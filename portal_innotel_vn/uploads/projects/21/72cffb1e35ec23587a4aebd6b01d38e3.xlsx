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30"/>
  <workbookPr/>
  <mc:AlternateContent xmlns:mc="http://schemas.openxmlformats.org/markup-compatibility/2006">
    <mc:Choice Requires="x15">
      <x15ac:absPath xmlns:x15ac="http://schemas.microsoft.com/office/spreadsheetml/2010/11/ac" url="G:\Other computers\HieuWKS\01-Workspace\06-Vietnet\A Sơn\SSIS\"/>
    </mc:Choice>
  </mc:AlternateContent>
  <xr:revisionPtr revIDLastSave="4" documentId="11_84FD8B17DBACEC2FCA86A6292193200FE010DE56" xr6:coauthVersionLast="47" xr6:coauthVersionMax="47" xr10:uidLastSave="{05469EDB-6407-4A1D-882D-21E88C93F48C}"/>
  <bookViews>
    <workbookView xWindow="-105" yWindow="-105" windowWidth="23250" windowHeight="12570" firstSheet="1" activeTab="1" xr2:uid="{00000000-000D-0000-FFFF-FFFF00000000}"/>
  </bookViews>
  <sheets>
    <sheet name="A3-MEP" sheetId="3" r:id="rId1"/>
    <sheet name="A6-MEP" sheetId="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#N/A</definedName>
    <definedName name="_?1">#N/A</definedName>
    <definedName name="_?271">#N/A</definedName>
    <definedName name="__??">#N/A</definedName>
    <definedName name="__?1">#N/A</definedName>
    <definedName name="__?271">#N/A</definedName>
    <definedName name="___??">#N/A</definedName>
    <definedName name="___?1">#N/A</definedName>
    <definedName name="___?271">#N/A</definedName>
    <definedName name="______________a1" localSheetId="0" hidden="1">{"'Sheet1'!$L$16"}</definedName>
    <definedName name="______________a1" localSheetId="1" hidden="1">{"'Sheet1'!$L$16"}</definedName>
    <definedName name="______________a1" hidden="1">{"'Sheet1'!$L$16"}</definedName>
    <definedName name="______________Goi8" localSheetId="0" hidden="1">{"'Sheet1'!$L$16"}</definedName>
    <definedName name="______________Goi8" localSheetId="1" hidden="1">{"'Sheet1'!$L$16"}</definedName>
    <definedName name="______________Goi8" hidden="1">{"'Sheet1'!$L$16"}</definedName>
    <definedName name="______________SCL4" localSheetId="0" hidden="1">{"'Sheet1'!$L$16"}</definedName>
    <definedName name="______________SCL4" localSheetId="1" hidden="1">{"'Sheet1'!$L$16"}</definedName>
    <definedName name="______________SCL4" hidden="1">{"'Sheet1'!$L$16"}</definedName>
    <definedName name="_____________a1" localSheetId="0" hidden="1">{"'Sheet1'!$L$16"}</definedName>
    <definedName name="_____________a1" localSheetId="1" hidden="1">{"'Sheet1'!$L$16"}</definedName>
    <definedName name="_____________a1" hidden="1">{"'Sheet1'!$L$16"}</definedName>
    <definedName name="_____________Goi8" localSheetId="0" hidden="1">{"'Sheet1'!$L$16"}</definedName>
    <definedName name="_____________Goi8" localSheetId="1" hidden="1">{"'Sheet1'!$L$16"}</definedName>
    <definedName name="_____________Goi8" hidden="1">{"'Sheet1'!$L$16"}</definedName>
    <definedName name="_____________PA3" localSheetId="0" hidden="1">{"'Sheet1'!$L$16"}</definedName>
    <definedName name="_____________PA3" localSheetId="1" hidden="1">{"'Sheet1'!$L$16"}</definedName>
    <definedName name="_____________PA3" hidden="1">{"'Sheet1'!$L$16"}</definedName>
    <definedName name="_____________SCL4" localSheetId="0" hidden="1">{"'Sheet1'!$L$16"}</definedName>
    <definedName name="_____________SCL4" localSheetId="1" hidden="1">{"'Sheet1'!$L$16"}</definedName>
    <definedName name="_____________SCL4" hidden="1">{"'Sheet1'!$L$16"}</definedName>
    <definedName name="____________a1" localSheetId="0" hidden="1">{"'Sheet1'!$L$16"}</definedName>
    <definedName name="____________a1" localSheetId="1" hidden="1">{"'Sheet1'!$L$16"}</definedName>
    <definedName name="____________a1" hidden="1">{"'Sheet1'!$L$16"}</definedName>
    <definedName name="____________Goi8" localSheetId="0" hidden="1">{"'Sheet1'!$L$16"}</definedName>
    <definedName name="____________Goi8" localSheetId="1" hidden="1">{"'Sheet1'!$L$16"}</definedName>
    <definedName name="____________Goi8" hidden="1">{"'Sheet1'!$L$16"}</definedName>
    <definedName name="____________SCL4" localSheetId="0" hidden="1">{"'Sheet1'!$L$16"}</definedName>
    <definedName name="____________SCL4" localSheetId="1" hidden="1">{"'Sheet1'!$L$16"}</definedName>
    <definedName name="____________SCL4" hidden="1">{"'Sheet1'!$L$16"}</definedName>
    <definedName name="____________tu4" localSheetId="0" hidden="1">{"'Sheet1'!$L$16"}</definedName>
    <definedName name="____________tu4" localSheetId="1" hidden="1">{"'Sheet1'!$L$16"}</definedName>
    <definedName name="____________tu4" hidden="1">{"'Sheet1'!$L$16"}</definedName>
    <definedName name="___________a1" localSheetId="0" hidden="1">{"'Sheet1'!$L$16"}</definedName>
    <definedName name="___________a1" localSheetId="1" hidden="1">{"'Sheet1'!$L$16"}</definedName>
    <definedName name="___________a1" hidden="1">{"'Sheet1'!$L$16"}</definedName>
    <definedName name="___________BTM250">#REF!</definedName>
    <definedName name="___________CNA50">#REF!</definedName>
    <definedName name="___________ddn400">#REF!</definedName>
    <definedName name="___________ddn600">#REF!</definedName>
    <definedName name="___________MAC12">#REF!</definedName>
    <definedName name="___________MAC46">#REF!</definedName>
    <definedName name="___________mtc1">#REF!</definedName>
    <definedName name="___________mtc2">#REF!</definedName>
    <definedName name="___________mtc3">#REF!</definedName>
    <definedName name="___________nc1">#REF!</definedName>
    <definedName name="___________nc2">#REF!</definedName>
    <definedName name="___________nc3">#REF!</definedName>
    <definedName name="___________NCL100">#REF!</definedName>
    <definedName name="___________NCL200">#REF!</definedName>
    <definedName name="___________NCL250">#REF!</definedName>
    <definedName name="___________nin190">#REF!</definedName>
    <definedName name="___________PA3" localSheetId="0" hidden="1">{"'Sheet1'!$L$16"}</definedName>
    <definedName name="___________PA3" localSheetId="1" hidden="1">{"'Sheet1'!$L$16"}</definedName>
    <definedName name="___________PA3" hidden="1">{"'Sheet1'!$L$16"}</definedName>
    <definedName name="___________sc3">#REF!</definedName>
    <definedName name="___________SN3">#REF!</definedName>
    <definedName name="___________TB1">#REF!</definedName>
    <definedName name="___________TH35">#REF!</definedName>
    <definedName name="___________TH50">#REF!</definedName>
    <definedName name="___________TL3">#REF!</definedName>
    <definedName name="___________VCM75">#REF!</definedName>
    <definedName name="___________vl1">#REF!</definedName>
    <definedName name="___________VL100">#REF!</definedName>
    <definedName name="___________vl2">#REF!</definedName>
    <definedName name="___________VL200">#REF!</definedName>
    <definedName name="___________VL250">#REF!</definedName>
    <definedName name="___________vl3">#REF!</definedName>
    <definedName name="___________vl4">#REF!</definedName>
    <definedName name="___________VLM75">#REF!</definedName>
    <definedName name="__________NCL100">#REF!</definedName>
    <definedName name="__________NCL200">#REF!</definedName>
    <definedName name="__________NCL250">#REF!</definedName>
    <definedName name="__________nin190">#REF!</definedName>
    <definedName name="__________SN3">#REF!</definedName>
    <definedName name="__________TL3">#REF!</definedName>
    <definedName name="__________tu4" localSheetId="0" hidden="1">{"'Sheet1'!$L$16"}</definedName>
    <definedName name="__________tu4" localSheetId="1" hidden="1">{"'Sheet1'!$L$16"}</definedName>
    <definedName name="__________tu4" hidden="1">{"'Sheet1'!$L$16"}</definedName>
    <definedName name="__________VL100">#REF!</definedName>
    <definedName name="__________VL200">#REF!</definedName>
    <definedName name="__________VL250">#REF!</definedName>
    <definedName name="_________a1" localSheetId="0" hidden="1">{"'Sheet1'!$L$16"}</definedName>
    <definedName name="_________a1" localSheetId="1" hidden="1">{"'Sheet1'!$L$16"}</definedName>
    <definedName name="_________a1" hidden="1">{"'Sheet1'!$L$16"}</definedName>
    <definedName name="_________BTM250">#REF!</definedName>
    <definedName name="_________CNA50">#REF!</definedName>
    <definedName name="_________ddn400">#REF!</definedName>
    <definedName name="_________ddn600">#REF!</definedName>
    <definedName name="_________MAC12">#REF!</definedName>
    <definedName name="_________MAC46">#REF!</definedName>
    <definedName name="_________mtc1">#REF!</definedName>
    <definedName name="_________mtc2">#REF!</definedName>
    <definedName name="_________mtc3">#REF!</definedName>
    <definedName name="_________nc1">#REF!</definedName>
    <definedName name="_________nc2">#REF!</definedName>
    <definedName name="_________nc3">#REF!</definedName>
    <definedName name="_________NCL100">#REF!</definedName>
    <definedName name="_________NCL200">#REF!</definedName>
    <definedName name="_________NCL250">#REF!</definedName>
    <definedName name="_________nin190">#REF!</definedName>
    <definedName name="_________PA3" localSheetId="0" hidden="1">{"'Sheet1'!$L$16"}</definedName>
    <definedName name="_________PA3" localSheetId="1" hidden="1">{"'Sheet1'!$L$16"}</definedName>
    <definedName name="_________PA3" hidden="1">{"'Sheet1'!$L$16"}</definedName>
    <definedName name="_________sc3">#REF!</definedName>
    <definedName name="_________SN3">#REF!</definedName>
    <definedName name="_________TB1">#REF!</definedName>
    <definedName name="_________TH35">#REF!</definedName>
    <definedName name="_________TH50">#REF!</definedName>
    <definedName name="_________TL3">#REF!</definedName>
    <definedName name="_________tu4" localSheetId="0" hidden="1">{"'Sheet1'!$L$16"}</definedName>
    <definedName name="_________tu4" localSheetId="1" hidden="1">{"'Sheet1'!$L$16"}</definedName>
    <definedName name="_________tu4" hidden="1">{"'Sheet1'!$L$16"}</definedName>
    <definedName name="_________VCM75">#REF!</definedName>
    <definedName name="_________vl1">#REF!</definedName>
    <definedName name="_________VL100">#REF!</definedName>
    <definedName name="_________vl2">#REF!</definedName>
    <definedName name="_________VL200">#REF!</definedName>
    <definedName name="_________VL250">#REF!</definedName>
    <definedName name="_________vl3">#REF!</definedName>
    <definedName name="_________vl4">#REF!</definedName>
    <definedName name="_________VLM75">#REF!</definedName>
    <definedName name="________CN1" localSheetId="0" hidden="1">{"'Sheet1'!$L$16"}</definedName>
    <definedName name="________CN1" localSheetId="1" hidden="1">{"'Sheet1'!$L$16"}</definedName>
    <definedName name="________CN1" hidden="1">{"'Sheet1'!$L$16"}</definedName>
    <definedName name="________TB1">#REF!</definedName>
    <definedName name="________tu4" localSheetId="0" hidden="1">{"'Sheet1'!$L$16"}</definedName>
    <definedName name="________tu4" localSheetId="1" hidden="1">{"'Sheet1'!$L$16"}</definedName>
    <definedName name="________tu4" hidden="1">{"'Sheet1'!$L$16"}</definedName>
    <definedName name="_______a1" localSheetId="0" hidden="1">{"'Sheet1'!$L$16"}</definedName>
    <definedName name="_______a1" localSheetId="1" hidden="1">{"'Sheet1'!$L$16"}</definedName>
    <definedName name="_______a1" hidden="1">{"'Sheet1'!$L$16"}</definedName>
    <definedName name="_______BG12" localSheetId="0" hidden="1">{"'Sheet1'!$L$16"}</definedName>
    <definedName name="_______BG12" localSheetId="1" hidden="1">{"'Sheet1'!$L$16"}</definedName>
    <definedName name="_______BG12" hidden="1">{"'Sheet1'!$L$16"}</definedName>
    <definedName name="_______BTM200">#REF!</definedName>
    <definedName name="_______BTM250">#REF!</definedName>
    <definedName name="_______CNA50">#REF!</definedName>
    <definedName name="_______ddn400">#REF!</definedName>
    <definedName name="_______ddn600">#REF!</definedName>
    <definedName name="_______MAC12">#REF!</definedName>
    <definedName name="_______MAC46">#REF!</definedName>
    <definedName name="_______mtc1">#REF!</definedName>
    <definedName name="_______mtc2">#REF!</definedName>
    <definedName name="_______mtc3">#REF!</definedName>
    <definedName name="_______nc1">#REF!</definedName>
    <definedName name="_______nc2">#REF!</definedName>
    <definedName name="_______nc3">#REF!</definedName>
    <definedName name="_______NCL100">#REF!</definedName>
    <definedName name="_______NCL200">#REF!</definedName>
    <definedName name="_______NCL250">#REF!</definedName>
    <definedName name="_______nin190">#REF!</definedName>
    <definedName name="_______PA3" localSheetId="0" hidden="1">{"'Sheet1'!$L$16"}</definedName>
    <definedName name="_______PA3" localSheetId="1" hidden="1">{"'Sheet1'!$L$16"}</definedName>
    <definedName name="_______PA3" hidden="1">{"'Sheet1'!$L$16"}</definedName>
    <definedName name="_______sc1">#REF!</definedName>
    <definedName name="_______SC2">#REF!</definedName>
    <definedName name="_______sc3">#REF!</definedName>
    <definedName name="_______SN3">#REF!</definedName>
    <definedName name="_______TB1">#REF!</definedName>
    <definedName name="_______TH35">#REF!</definedName>
    <definedName name="_______TH50">#REF!</definedName>
    <definedName name="_______TL1">#REF!</definedName>
    <definedName name="_______TL2">#REF!</definedName>
    <definedName name="_______TL3">#REF!</definedName>
    <definedName name="_______TLA120">#REF!</definedName>
    <definedName name="_______TLA35">#REF!</definedName>
    <definedName name="_______TLA50">#REF!</definedName>
    <definedName name="_______TLA70">#REF!</definedName>
    <definedName name="_______TLA95">#REF!</definedName>
    <definedName name="_______tu4" localSheetId="0" hidden="1">{"'Sheet1'!$L$16"}</definedName>
    <definedName name="_______tu4" localSheetId="1" hidden="1">{"'Sheet1'!$L$16"}</definedName>
    <definedName name="_______tu4" hidden="1">{"'Sheet1'!$L$16"}</definedName>
    <definedName name="_______VCM75">#REF!</definedName>
    <definedName name="_______vl1">#REF!</definedName>
    <definedName name="_______VL100">#REF!</definedName>
    <definedName name="_______vl2">#REF!</definedName>
    <definedName name="_______VL200">#REF!</definedName>
    <definedName name="_______VL250">#REF!</definedName>
    <definedName name="_______vl3">#REF!</definedName>
    <definedName name="_______vl4">#REF!</definedName>
    <definedName name="_______VLM75">#REF!</definedName>
    <definedName name="______a1" localSheetId="0" hidden="1">{"'Sheet1'!$L$16"}</definedName>
    <definedName name="______a1" localSheetId="1" hidden="1">{"'Sheet1'!$L$16"}</definedName>
    <definedName name="______a1" hidden="1">{"'Sheet1'!$L$16"}</definedName>
    <definedName name="______BTM200">#REF!</definedName>
    <definedName name="______CN1" localSheetId="0" hidden="1">{"'Sheet1'!$L$16"}</definedName>
    <definedName name="______CN1" localSheetId="1" hidden="1">{"'Sheet1'!$L$16"}</definedName>
    <definedName name="______CN1" hidden="1">{"'Sheet1'!$L$16"}</definedName>
    <definedName name="______NCL100">#REF!</definedName>
    <definedName name="______NCL200">#REF!</definedName>
    <definedName name="______NCL250">#REF!</definedName>
    <definedName name="______nin190">#REF!</definedName>
    <definedName name="______sc1">#REF!</definedName>
    <definedName name="______SC2">#REF!</definedName>
    <definedName name="______SN3">#REF!</definedName>
    <definedName name="______TB1">#REF!</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LA95">#REF!</definedName>
    <definedName name="______tu4" localSheetId="0" hidden="1">{"'Sheet1'!$L$16"}</definedName>
    <definedName name="______tu4" localSheetId="1" hidden="1">{"'Sheet1'!$L$16"}</definedName>
    <definedName name="______tu4" hidden="1">{"'Sheet1'!$L$16"}</definedName>
    <definedName name="______VL100">#REF!</definedName>
    <definedName name="______VL200">#REF!</definedName>
    <definedName name="______VL250">#REF!</definedName>
    <definedName name="______xlfn.BAHTTEXT" hidden="1">#NAME?</definedName>
    <definedName name="_____a1" localSheetId="0" hidden="1">{"'Sheet1'!$L$16"}</definedName>
    <definedName name="_____a1" localSheetId="1" hidden="1">{"'Sheet1'!$L$16"}</definedName>
    <definedName name="_____a1" hidden="1">{"'Sheet1'!$L$16"}</definedName>
    <definedName name="_____BG12" localSheetId="0" hidden="1">{"'Sheet1'!$L$16"}</definedName>
    <definedName name="_____BG12" localSheetId="1" hidden="1">{"'Sheet1'!$L$16"}</definedName>
    <definedName name="_____BG12" hidden="1">{"'Sheet1'!$L$16"}</definedName>
    <definedName name="_____BTM200">#REF!</definedName>
    <definedName name="_____BTM250">#REF!</definedName>
    <definedName name="_____CN1" localSheetId="0" hidden="1">{"'Sheet1'!$L$16"}</definedName>
    <definedName name="_____CN1" localSheetId="1" hidden="1">{"'Sheet1'!$L$16"}</definedName>
    <definedName name="_____CN1" hidden="1">{"'Sheet1'!$L$16"}</definedName>
    <definedName name="_____CNA50">#REF!</definedName>
    <definedName name="_____ddn400">#REF!</definedName>
    <definedName name="_____ddn600">#REF!</definedName>
    <definedName name="_____MAC12">#REF!</definedName>
    <definedName name="_____MAC46">#REF!</definedName>
    <definedName name="_____mtc1">#REF!</definedName>
    <definedName name="_____mtc2">#REF!</definedName>
    <definedName name="_____mtc3">#REF!</definedName>
    <definedName name="_____nc1">#REF!</definedName>
    <definedName name="_____nc2">#REF!</definedName>
    <definedName name="_____nc3">#REF!</definedName>
    <definedName name="_____NCL100">#REF!</definedName>
    <definedName name="_____NCL200">#REF!</definedName>
    <definedName name="_____NCL250">#REF!</definedName>
    <definedName name="_____nin190">#REF!</definedName>
    <definedName name="_____PA3" localSheetId="0" hidden="1">{"'Sheet1'!$L$16"}</definedName>
    <definedName name="_____PA3" localSheetId="1" hidden="1">{"'Sheet1'!$L$16"}</definedName>
    <definedName name="_____PA3" hidden="1">{"'Sheet1'!$L$16"}</definedName>
    <definedName name="_____sc1">#REF!</definedName>
    <definedName name="_____SC2">#REF!</definedName>
    <definedName name="_____sc3">#REF!</definedName>
    <definedName name="_____SN3">#REF!</definedName>
    <definedName name="_____TB1">#REF!</definedName>
    <definedName name="_____TH35">#REF!</definedName>
    <definedName name="_____TH50">#REF!</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u4" localSheetId="0" hidden="1">{"'Sheet1'!$L$16"}</definedName>
    <definedName name="_____tu4" localSheetId="1" hidden="1">{"'Sheet1'!$L$16"}</definedName>
    <definedName name="_____tu4" hidden="1">{"'Sheet1'!$L$16"}</definedName>
    <definedName name="_____VCM75">#REF!</definedName>
    <definedName name="_____vl1">#REF!</definedName>
    <definedName name="_____VL100">#REF!</definedName>
    <definedName name="_____vl2">#REF!</definedName>
    <definedName name="_____VL200">#REF!</definedName>
    <definedName name="_____VL250">#REF!</definedName>
    <definedName name="_____vl3">#REF!</definedName>
    <definedName name="_____vl4">#REF!</definedName>
    <definedName name="_____VLM75">#REF!</definedName>
    <definedName name="_____xlfn.BAHTTEXT" hidden="1">#NAME?</definedName>
    <definedName name="____a1" localSheetId="0" hidden="1">{"'Sheet1'!$L$16"}</definedName>
    <definedName name="____a1" localSheetId="1" hidden="1">{"'Sheet1'!$L$16"}</definedName>
    <definedName name="____a1" hidden="1">{"'Sheet1'!$L$16"}</definedName>
    <definedName name="____BG12" localSheetId="0" hidden="1">{"'Sheet1'!$L$16"}</definedName>
    <definedName name="____BG12" localSheetId="1" hidden="1">{"'Sheet1'!$L$16"}</definedName>
    <definedName name="____BG12" hidden="1">{"'Sheet1'!$L$16"}</definedName>
    <definedName name="____BTM200">#REF!</definedName>
    <definedName name="____BTM250">#REF!</definedName>
    <definedName name="____CNA50">#REF!</definedName>
    <definedName name="____ddn400">#REF!</definedName>
    <definedName name="____ddn600">#REF!</definedName>
    <definedName name="____FIL2">#REF!</definedName>
    <definedName name="____Goi8" localSheetId="0" hidden="1">{"'Sheet1'!$L$16"}</definedName>
    <definedName name="____Goi8" localSheetId="1" hidden="1">{"'Sheet1'!$L$16"}</definedName>
    <definedName name="____Goi8" hidden="1">{"'Sheet1'!$L$16"}</definedName>
    <definedName name="____hvk2">#REF!</definedName>
    <definedName name="____hvk3">#REF!</definedName>
    <definedName name="____MAC12">#REF!</definedName>
    <definedName name="____MAC46">#REF!</definedName>
    <definedName name="____mtc1">#REF!</definedName>
    <definedName name="____mtc2">#REF!</definedName>
    <definedName name="____mtc3">#REF!</definedName>
    <definedName name="____nc1">#REF!</definedName>
    <definedName name="____nc2">#REF!</definedName>
    <definedName name="____nc3">#REF!</definedName>
    <definedName name="____NCL100">#REF!</definedName>
    <definedName name="____NCL200">#REF!</definedName>
    <definedName name="____NCL250">#REF!</definedName>
    <definedName name="____nin190">#REF!</definedName>
    <definedName name="____NSO2" localSheetId="0" hidden="1">{"'Sheet1'!$L$16"}</definedName>
    <definedName name="____NSO2" localSheetId="1" hidden="1">{"'Sheet1'!$L$16"}</definedName>
    <definedName name="____NSO2" hidden="1">{"'Sheet1'!$L$16"}</definedName>
    <definedName name="____Ph30">#REF!</definedName>
    <definedName name="____PXB80">#REF!</definedName>
    <definedName name="____qH30">#REF!</definedName>
    <definedName name="____qXB80">#REF!</definedName>
    <definedName name="____sc1">#REF!</definedName>
    <definedName name="____SC2">#REF!</definedName>
    <definedName name="____sc3">#REF!</definedName>
    <definedName name="____SN3">#REF!</definedName>
    <definedName name="____TB1">#REF!</definedName>
    <definedName name="____TH35">#REF!</definedName>
    <definedName name="____TH50">#REF!</definedName>
    <definedName name="____thu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u4" localSheetId="0" hidden="1">{"'Sheet1'!$L$16"}</definedName>
    <definedName name="____tu4" localSheetId="1" hidden="1">{"'Sheet1'!$L$16"}</definedName>
    <definedName name="____tu4" hidden="1">{"'Sheet1'!$L$16"}</definedName>
    <definedName name="____VCM75">#REF!</definedName>
    <definedName name="____vl1">#REF!</definedName>
    <definedName name="____VL100">#REF!</definedName>
    <definedName name="____vl2">#REF!</definedName>
    <definedName name="____VL200">#REF!</definedName>
    <definedName name="____VL250">#REF!</definedName>
    <definedName name="____vl3">#REF!</definedName>
    <definedName name="____vl4">#REF!</definedName>
    <definedName name="____VLM75">#REF!</definedName>
    <definedName name="____xb80">#REF!</definedName>
    <definedName name="____xlfn.BAHTTEXT" hidden="1">#NAME?</definedName>
    <definedName name="___a1" localSheetId="0" hidden="1">{"'Sheet1'!$L$16"}</definedName>
    <definedName name="___a1" localSheetId="1" hidden="1">{"'Sheet1'!$L$16"}</definedName>
    <definedName name="___a1" hidden="1">{"'Sheet1'!$L$16"}</definedName>
    <definedName name="___BTM200">#REF!</definedName>
    <definedName name="___BTM250">#REF!</definedName>
    <definedName name="___cao1">#REF!</definedName>
    <definedName name="___cao2">#REF!</definedName>
    <definedName name="___cao3">#REF!</definedName>
    <definedName name="___cao4">#REF!</definedName>
    <definedName name="___cao5">#REF!</definedName>
    <definedName name="___cao6">#REF!</definedName>
    <definedName name="___CN1" localSheetId="0" hidden="1">{"'Sheet1'!$L$16"}</definedName>
    <definedName name="___CN1" localSheetId="1" hidden="1">{"'Sheet1'!$L$16"}</definedName>
    <definedName name="___CN1" hidden="1">{"'Sheet1'!$L$16"}</definedName>
    <definedName name="___CNA50">#REF!</definedName>
    <definedName name="___CON1">#REF!</definedName>
    <definedName name="___CON2">#REF!</definedName>
    <definedName name="___cpd1">#REF!</definedName>
    <definedName name="___cpd2">#REF!</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Excel_BuiltIn__FilterDatabase_2_1">#REF!</definedName>
    <definedName name="___Goi8" localSheetId="0" hidden="1">{"'Sheet1'!$L$16"}</definedName>
    <definedName name="___Goi8" localSheetId="1" hidden="1">{"'Sheet1'!$L$16"}</definedName>
    <definedName name="___Goi8" hidden="1">{"'Sheet1'!$L$16"}</definedName>
    <definedName name="___h1" localSheetId="0" hidden="1">{"'Sheet1'!$L$16"}</definedName>
    <definedName name="___h1" localSheetId="1" hidden="1">{"'Sheet1'!$L$16"}</definedName>
    <definedName name="___h1" hidden="1">{"'Sheet1'!$L$16"}</definedName>
    <definedName name="___hu1" localSheetId="0" hidden="1">{"'Sheet1'!$L$16"}</definedName>
    <definedName name="___hu1" localSheetId="1" hidden="1">{"'Sheet1'!$L$16"}</definedName>
    <definedName name="___hu1" hidden="1">{"'Sheet1'!$L$16"}</definedName>
    <definedName name="___hu2" localSheetId="0" hidden="1">{"'Sheet1'!$L$16"}</definedName>
    <definedName name="___hu2" localSheetId="1" hidden="1">{"'Sheet1'!$L$16"}</definedName>
    <definedName name="___hu2" hidden="1">{"'Sheet1'!$L$16"}</definedName>
    <definedName name="___hu5" localSheetId="0" hidden="1">{"'Sheet1'!$L$16"}</definedName>
    <definedName name="___hu5" localSheetId="1" hidden="1">{"'Sheet1'!$L$16"}</definedName>
    <definedName name="___hu5" hidden="1">{"'Sheet1'!$L$16"}</definedName>
    <definedName name="___hu6" localSheetId="0" hidden="1">{"'Sheet1'!$L$16"}</definedName>
    <definedName name="___hu6" localSheetId="1" hidden="1">{"'Sheet1'!$L$16"}</definedName>
    <definedName name="___hu6" hidden="1">{"'Sheet1'!$L$16"}</definedName>
    <definedName name="___hvk1">#REF!</definedName>
    <definedName name="___kl1">#REF!</definedName>
    <definedName name="___MAC12">#REF!</definedName>
    <definedName name="___MAC46">#REF!</definedName>
    <definedName name="___mtc1">#REF!</definedName>
    <definedName name="___mtc2">#REF!</definedName>
    <definedName name="___mtc3">#REF!</definedName>
    <definedName name="___nc1">#REF!</definedName>
    <definedName name="___nc151">#REF!</definedName>
    <definedName name="___nc2">#REF!</definedName>
    <definedName name="___nc3">#REF!</definedName>
    <definedName name="___NCL100">#REF!</definedName>
    <definedName name="___NCL200">#REF!</definedName>
    <definedName name="___NCL250">#REF!</definedName>
    <definedName name="___NET2">#REF!</definedName>
    <definedName name="___nin190">#REF!</definedName>
    <definedName name="___NSO2" localSheetId="0" hidden="1">{"'Sheet1'!$L$16"}</definedName>
    <definedName name="___NSO2" localSheetId="1" hidden="1">{"'Sheet1'!$L$16"}</definedName>
    <definedName name="___NSO2" hidden="1">{"'Sheet1'!$L$16"}</definedName>
    <definedName name="___PA3" localSheetId="0" hidden="1">{"'Sheet1'!$L$16"}</definedName>
    <definedName name="___PA3" localSheetId="1"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rp95">#REF!</definedName>
    <definedName name="___sc1">#REF!</definedName>
    <definedName name="___SC2">#REF!</definedName>
    <definedName name="___sc3">#REF!</definedName>
    <definedName name="___SCL4" localSheetId="0" hidden="1">{"'Sheet1'!$L$16"}</definedName>
    <definedName name="___SCL4" localSheetId="1" hidden="1">{"'Sheet1'!$L$16"}</definedName>
    <definedName name="___SCL4" hidden="1">{"'Sheet1'!$L$16"}</definedName>
    <definedName name="___Sdd24">#REF!</definedName>
    <definedName name="___Sdd33">#REF!</definedName>
    <definedName name="___Sdh24">#REF!</definedName>
    <definedName name="___Sdh33">#REF!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tb24">#REF!</definedName>
    <definedName name="___Stb33">#REF!</definedName>
    <definedName name="___TB1">#REF!</definedName>
    <definedName name="___tb2">#REF!</definedName>
    <definedName name="___TH20">#REF!</definedName>
    <definedName name="___TH35">#REF!</definedName>
    <definedName name="___TH50">#REF!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u4" localSheetId="0" hidden="1">{"'Sheet1'!$L$16"}</definedName>
    <definedName name="___tu4" localSheetId="1" hidden="1">{"'Sheet1'!$L$16"}</definedName>
    <definedName name="___tu4" hidden="1">{"'Sheet1'!$L$16"}</definedName>
    <definedName name="___VCM75">#REF!</definedName>
    <definedName name="___vl1">#REF!</definedName>
    <definedName name="___VL100">#REF!</definedName>
    <definedName name="___vl2">#REF!</definedName>
    <definedName name="___VL200">#REF!</definedName>
    <definedName name="___VL250">#REF!</definedName>
    <definedName name="___vl3">#REF!</definedName>
    <definedName name="___vl4">#REF!</definedName>
    <definedName name="___VLM75">#REF!</definedName>
    <definedName name="___xlfn.BAHTTEXT" hidden="1">#NAME?</definedName>
    <definedName name="__a1" localSheetId="0" hidden="1">{"'Sheet1'!$L$16"}</definedName>
    <definedName name="__a1" localSheetId="1"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0" hidden="1">{"'Sheet1'!$L$16"}</definedName>
    <definedName name="__a2" localSheetId="1" hidden="1">{"'Sheet1'!$L$16"}</definedName>
    <definedName name="__a2" hidden="1">{"'Sheet1'!$L$16"}</definedName>
    <definedName name="__a9" localSheetId="0" hidden="1">{"'Sheet1'!$L$16"}</definedName>
    <definedName name="__a9" localSheetId="1" hidden="1">{"'Sheet1'!$L$16"}</definedName>
    <definedName name="__a9" hidden="1">{"'Sheet1'!$L$16"}</definedName>
    <definedName name="__BG12" localSheetId="0" hidden="1">{"'Sheet1'!$L$16"}</definedName>
    <definedName name="__BG12" localSheetId="1" hidden="1">{"'Sheet1'!$L$16"}</definedName>
    <definedName name="__BG12" hidden="1">{"'Sheet1'!$L$16"}</definedName>
    <definedName name="__BTM200">#REF!</definedName>
    <definedName name="__cao1">#REF!</definedName>
    <definedName name="__cao2">#REF!</definedName>
    <definedName name="__cao3">#REF!</definedName>
    <definedName name="__cao4">#REF!</definedName>
    <definedName name="__cao5">#REF!</definedName>
    <definedName name="__cao6">#REF!</definedName>
    <definedName name="__CN1" localSheetId="0" hidden="1">{"'Sheet1'!$L$16"}</definedName>
    <definedName name="__CN1" localSheetId="1" hidden="1">{"'Sheet1'!$L$16"}</definedName>
    <definedName name="__CN1" hidden="1">{"'Sheet1'!$L$16"}</definedName>
    <definedName name="__CON1">#REF!</definedName>
    <definedName name="__CON2">#REF!</definedName>
    <definedName name="__cpd1">#REF!</definedName>
    <definedName name="__cpd2">#REF!</definedName>
    <definedName name="__d1500" localSheetId="0" hidden="1">{"'Sheet1'!$L$16"}</definedName>
    <definedName name="__d1500" localSheetId="1" hidden="1">{"'Sheet1'!$L$16"}</definedName>
    <definedName name="__d1500" hidden="1">{"'Sheet1'!$L$16"}</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FIL2">#REF!</definedName>
    <definedName name="__Goi8" localSheetId="0" hidden="1">{"'Sheet1'!$L$16"}</definedName>
    <definedName name="__Goi8" localSheetId="1" hidden="1">{"'Sheet1'!$L$16"}</definedName>
    <definedName name="__Goi8" hidden="1">{"'Sheet1'!$L$16"}</definedName>
    <definedName name="__h1" localSheetId="0" hidden="1">{"'Sheet1'!$L$16"}</definedName>
    <definedName name="__h1" localSheetId="1" hidden="1">{"'Sheet1'!$L$16"}</definedName>
    <definedName name="__h1" hidden="1">{"'Sheet1'!$L$16"}</definedName>
    <definedName name="__hu1" localSheetId="0" hidden="1">{"'Sheet1'!$L$16"}</definedName>
    <definedName name="__hu1" localSheetId="1" hidden="1">{"'Sheet1'!$L$16"}</definedName>
    <definedName name="__hu1" hidden="1">{"'Sheet1'!$L$16"}</definedName>
    <definedName name="__hu2" localSheetId="0" hidden="1">{"'Sheet1'!$L$16"}</definedName>
    <definedName name="__hu2" localSheetId="1" hidden="1">{"'Sheet1'!$L$16"}</definedName>
    <definedName name="__hu2" hidden="1">{"'Sheet1'!$L$16"}</definedName>
    <definedName name="__hu5" localSheetId="0" hidden="1">{"'Sheet1'!$L$16"}</definedName>
    <definedName name="__hu5" localSheetId="1" hidden="1">{"'Sheet1'!$L$16"}</definedName>
    <definedName name="__hu5" hidden="1">{"'Sheet1'!$L$16"}</definedName>
    <definedName name="__hu6" localSheetId="0" hidden="1">{"'Sheet1'!$L$16"}</definedName>
    <definedName name="__hu6" localSheetId="1" hidden="1">{"'Sheet1'!$L$16"}</definedName>
    <definedName name="__hu6" hidden="1">{"'Sheet1'!$L$16"}</definedName>
    <definedName name="__hvk1">#REF!</definedName>
    <definedName name="__hvk2">#REF!</definedName>
    <definedName name="__hvk3">#REF!</definedName>
    <definedName name="__K146" localSheetId="0" hidden="1">{"'Sheet1'!$L$16"}</definedName>
    <definedName name="__K146" localSheetId="1" hidden="1">{"'Sheet1'!$L$16"}</definedName>
    <definedName name="__K146" hidden="1">{"'Sheet1'!$L$16"}</definedName>
    <definedName name="__kl1">#REF!</definedName>
    <definedName name="__nc151">#REF!</definedName>
    <definedName name="__NCL100">#REF!</definedName>
    <definedName name="__NCL200">#REF!</definedName>
    <definedName name="__NCL250">#REF!</definedName>
    <definedName name="__NET2">#REF!</definedName>
    <definedName name="__nin190">#REF!</definedName>
    <definedName name="__NSO2" localSheetId="0" hidden="1">{"'Sheet1'!$L$16"}</definedName>
    <definedName name="__NSO2" localSheetId="1" hidden="1">{"'Sheet1'!$L$16"}</definedName>
    <definedName name="__NSO2" hidden="1">{"'Sheet1'!$L$16"}</definedName>
    <definedName name="__PA3" localSheetId="0" hidden="1">{"'Sheet1'!$L$16"}</definedName>
    <definedName name="__PA3" localSheetId="1" hidden="1">{"'Sheet1'!$L$16"}</definedName>
    <definedName name="__PA3" hidden="1">{"'Sheet1'!$L$16"}</definedName>
    <definedName name="__Ph30">#REF!</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XB80">#REF!</definedName>
    <definedName name="__qH30">#REF!</definedName>
    <definedName name="__qXB80">#REF!</definedName>
    <definedName name="__rp95">#REF!</definedName>
    <definedName name="__sc1">#REF!</definedName>
    <definedName name="__SC2">#REF!</definedName>
    <definedName name="__SCL4" localSheetId="0" hidden="1">{"'Sheet1'!$L$16"}</definedName>
    <definedName name="__SCL4" localSheetId="1" hidden="1">{"'Sheet1'!$L$16"}</definedName>
    <definedName name="__SCL4" hidden="1">{"'Sheet1'!$L$16"}</definedName>
    <definedName name="__Sdd24">#REF!</definedName>
    <definedName name="__Sdd33">#REF!</definedName>
    <definedName name="__Sdh24">#REF!</definedName>
    <definedName name="__Sdh3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tb24">#REF!</definedName>
    <definedName name="__Stb33">#REF!</definedName>
    <definedName name="__TB1">#REF!</definedName>
    <definedName name="__tb2">#REF!</definedName>
    <definedName name="__TH20">#REF!</definedName>
    <definedName name="__thu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3" localSheetId="0" hidden="1">{"'Sheet1'!$L$16"}</definedName>
    <definedName name="__tt3" localSheetId="1" hidden="1">{"'Sheet1'!$L$16"}</definedName>
    <definedName name="__tt3" hidden="1">{"'Sheet1'!$L$16"}</definedName>
    <definedName name="__tu4" localSheetId="0" hidden="1">{"'Sheet1'!$L$16"}</definedName>
    <definedName name="__tu4" localSheetId="1" hidden="1">{"'Sheet1'!$L$16"}</definedName>
    <definedName name="__tu4" hidden="1">{"'Sheet1'!$L$16"}</definedName>
    <definedName name="__VL100">#REF!</definedName>
    <definedName name="__VL200">#REF!</definedName>
    <definedName name="__VL250">#REF!</definedName>
    <definedName name="__xb80">#REF!</definedName>
    <definedName name="__xlfn.BAHTTEXT" hidden="1">#NAME?</definedName>
    <definedName name="_1">#REF!</definedName>
    <definedName name="_1000A01">#N/A</definedName>
    <definedName name="_11a1_" localSheetId="1">{"'Sheet1'!$L$16"}</definedName>
    <definedName name="_11a1_">{"'Sheet1'!$L$16"}</definedName>
    <definedName name="_17a1_" localSheetId="0" hidden="1">{"'Sheet1'!$L$16"}</definedName>
    <definedName name="_17a1_" localSheetId="1" hidden="1">{"'Sheet1'!$L$16"}</definedName>
    <definedName name="_17a1_" hidden="1">{"'Sheet1'!$L$16"}</definedName>
    <definedName name="_1BA2500">#REF!</definedName>
    <definedName name="_1BA3250">#REF!</definedName>
    <definedName name="_1BA400P">#REF!</definedName>
    <definedName name="_1CAP001">#REF!</definedName>
    <definedName name="_1DAU002">#REF!</definedName>
    <definedName name="_1DDAY03">#REF!</definedName>
    <definedName name="_1DDTT01">#REF!</definedName>
    <definedName name="_1Excel_BuiltIn__FilterDatabase_2_1">#REF!</definedName>
    <definedName name="_1FCO101">#REF!</definedName>
    <definedName name="_1GIA101">#REF!</definedName>
    <definedName name="_1LA1001">#REF!</definedName>
    <definedName name="_1MCCBO2">#REF!</definedName>
    <definedName name="_1PKCAP1">#REF!</definedName>
    <definedName name="_1PKTT01">#REF!</definedName>
    <definedName name="_1TCD101">#REF!</definedName>
    <definedName name="_1TCD201">#REF!</definedName>
    <definedName name="_1TD2001">#REF!</definedName>
    <definedName name="_1TIHT01">#REF!</definedName>
    <definedName name="_1TRU121">#REF!</definedName>
    <definedName name="_2">#REF!</definedName>
    <definedName name="_2a1_" localSheetId="1">{"'Sheet1'!$L$16"}</definedName>
    <definedName name="_2a1_">{"'Sheet1'!$L$16"}</definedName>
    <definedName name="_2BLA100">#REF!</definedName>
    <definedName name="_2DAL201">#REF!</definedName>
    <definedName name="_3a1_" localSheetId="1">{"'Sheet1'!$L$16"}</definedName>
    <definedName name="_3a1_">{"'Sheet1'!$L$16"}</definedName>
    <definedName name="_3BLXMD">#REF!</definedName>
    <definedName name="_3TU0609">#REF!</definedName>
    <definedName name="_4CNT240">#REF!</definedName>
    <definedName name="_4CTL240">#REF!</definedName>
    <definedName name="_4FCO100">#REF!</definedName>
    <definedName name="_4HDCTT4">#REF!</definedName>
    <definedName name="_4HNCTT4">#REF!</definedName>
    <definedName name="_4LBCO01">#REF!</definedName>
    <definedName name="_5a1_" localSheetId="1">{"'Sheet1'!$L$16"}</definedName>
    <definedName name="_5a1_">{"'Sheet1'!$L$16"}</definedName>
    <definedName name="_7a1_" localSheetId="1">{"'Sheet1'!$L$16"}</definedName>
    <definedName name="_7a1_">{"'Sheet1'!$L$16"}</definedName>
    <definedName name="_9a1_" localSheetId="1">{"'Sheet1'!$L$16"}</definedName>
    <definedName name="_9a1_">{"'Sheet1'!$L$16"}</definedName>
    <definedName name="_a1" localSheetId="0" hidden="1">{"'Sheet1'!$L$16"}</definedName>
    <definedName name="_a1" localSheetId="1" hidden="1">{"'Sheet1'!$L$16"}</definedName>
    <definedName name="_a1" hidden="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{"'Sheet1'!$L$16"}</definedName>
    <definedName name="_a2" localSheetId="1" hidden="1">{"'Sheet1'!$L$16"}</definedName>
    <definedName name="_a2" hidden="1">{"'Sheet1'!$L$16"}</definedName>
    <definedName name="_bht6" localSheetId="0" hidden="1">{"'Sheet1'!$L$16"}</definedName>
    <definedName name="_bht6" localSheetId="1" hidden="1">{"'Sheet1'!$L$16"}</definedName>
    <definedName name="_bht6" hidden="1">{"'Sheet1'!$L$16"}</definedName>
    <definedName name="_BTM200">#REF!</definedName>
    <definedName name="_BTM250">#REF!</definedName>
    <definedName name="_Builtin155" hidden="1">#N/A</definedName>
    <definedName name="_C_Lphi_4ab">#REF!</definedName>
    <definedName name="_cao1">#REF!</definedName>
    <definedName name="_cao2">#REF!</definedName>
    <definedName name="_cao3">#REF!</definedName>
    <definedName name="_cao4">#REF!</definedName>
    <definedName name="_cao5">#REF!</definedName>
    <definedName name="_cao6">#REF!</definedName>
    <definedName name="_CNA50">#REF!</definedName>
    <definedName name="_CON1">#REF!</definedName>
    <definedName name="_CON2">#REF!</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d1500" localSheetId="0" hidden="1">{"'Sheet1'!$L$16"}</definedName>
    <definedName name="_d1500" localSheetId="1" hidden="1">{"'Sheet1'!$L$16"}</definedName>
    <definedName name="_d1500" hidden="1">{"'Sheet1'!$L$16"}</definedName>
    <definedName name="_dai1">#REF!</definedName>
    <definedName name="_dai2">#REF!</definedName>
    <definedName name="_dai3">#REF!</definedName>
    <definedName name="_dai4">#REF!</definedName>
    <definedName name="_dai5">#REF!</definedName>
    <definedName name="_dai6">#REF!</definedName>
    <definedName name="_dam24">[1]GIAVLIEU!$M$51</definedName>
    <definedName name="_dan1">#REF!</definedName>
    <definedName name="_dan2">#REF!</definedName>
    <definedName name="_ddn400">#REF!</definedName>
    <definedName name="_ddn600">#REF!</definedName>
    <definedName name="_Excel_BuiltIn__FilterDatabase_2_1">#REF!</definedName>
    <definedName name="_FIL2">#REF!</definedName>
    <definedName name="_Fill" hidden="1">#REF!</definedName>
    <definedName name="_Fill_1">#REF!</definedName>
    <definedName name="_xlnm._FilterDatabase" localSheetId="0" hidden="1">'A3-MEP'!$A$6:$J$2589</definedName>
    <definedName name="_xlnm._FilterDatabase" localSheetId="1" hidden="1">'A6-MEP'!$A$6:$J$2607</definedName>
    <definedName name="_Goi8" localSheetId="0" hidden="1">{"'Sheet1'!$L$16"}</definedName>
    <definedName name="_Goi8" localSheetId="1" hidden="1">{"'Sheet1'!$L$16"}</definedName>
    <definedName name="_Goi8" hidden="1">{"'Sheet1'!$L$16"}</definedName>
    <definedName name="_h1" localSheetId="0" hidden="1">{"'Sheet1'!$L$16"}</definedName>
    <definedName name="_h1" localSheetId="1" hidden="1">{"'Sheet1'!$L$16"}</definedName>
    <definedName name="_h1" hidden="1">{"'Sheet1'!$L$16"}</definedName>
    <definedName name="_hu1" localSheetId="0" hidden="1">{"'Sheet1'!$L$16"}</definedName>
    <definedName name="_hu1" localSheetId="1" hidden="1">{"'Sheet1'!$L$16"}</definedName>
    <definedName name="_hu1" hidden="1">{"'Sheet1'!$L$16"}</definedName>
    <definedName name="_hu2" localSheetId="0" hidden="1">{"'Sheet1'!$L$16"}</definedName>
    <definedName name="_hu2" localSheetId="1" hidden="1">{"'Sheet1'!$L$16"}</definedName>
    <definedName name="_hu2" hidden="1">{"'Sheet1'!$L$16"}</definedName>
    <definedName name="_hu5" localSheetId="0" hidden="1">{"'Sheet1'!$L$16"}</definedName>
    <definedName name="_hu5" localSheetId="1" hidden="1">{"'Sheet1'!$L$16"}</definedName>
    <definedName name="_hu5" hidden="1">{"'Sheet1'!$L$16"}</definedName>
    <definedName name="_hu6" localSheetId="0" hidden="1">{"'Sheet1'!$L$16"}</definedName>
    <definedName name="_hu6" localSheetId="1" hidden="1">{"'Sheet1'!$L$16"}</definedName>
    <definedName name="_hu6" hidden="1">{"'Sheet1'!$L$16"}</definedName>
    <definedName name="_hu7" localSheetId="0" hidden="1">{"'Sheet1'!$L$16"}</definedName>
    <definedName name="_hu7" localSheetId="1" hidden="1">{"'Sheet1'!$L$16"}</definedName>
    <definedName name="_hu7" hidden="1">{"'Sheet1'!$L$16"}</definedName>
    <definedName name="_hvk1">#REF!</definedName>
    <definedName name="_hvk2">#REF!</definedName>
    <definedName name="_hvk3">#REF!</definedName>
    <definedName name="_K146" localSheetId="0" hidden="1">{"'Sheet1'!$L$16"}</definedName>
    <definedName name="_K146" localSheetId="1" hidden="1">{"'Sheet1'!$L$16"}</definedName>
    <definedName name="_K146" hidden="1">{"'Sheet1'!$L$16"}</definedName>
    <definedName name="_Key1" hidden="1">#REF!</definedName>
    <definedName name="_Key1_1">#REF!</definedName>
    <definedName name="_Key1_10">#REF!</definedName>
    <definedName name="_Key1_2">#REF!</definedName>
    <definedName name="_Key1_3">#REF!</definedName>
    <definedName name="_Key1_4">#REF!</definedName>
    <definedName name="_Key1_5">#REF!</definedName>
    <definedName name="_Key1_6">#REF!</definedName>
    <definedName name="_Key1_7">#REF!</definedName>
    <definedName name="_Key1_8">#REF!</definedName>
    <definedName name="_Key1_9">#REF!</definedName>
    <definedName name="_Key2" hidden="1">#REF!</definedName>
    <definedName name="_Key2_1">#REF!</definedName>
    <definedName name="_Key2_10">#REF!</definedName>
    <definedName name="_Key2_2">#REF!</definedName>
    <definedName name="_Key2_3">#REF!</definedName>
    <definedName name="_Key2_4">#REF!</definedName>
    <definedName name="_Key2_5">#REF!</definedName>
    <definedName name="_Key2_6">#REF!</definedName>
    <definedName name="_Key2_7">#REF!</definedName>
    <definedName name="_Key2_8">#REF!</definedName>
    <definedName name="_Key2_9">#REF!</definedName>
    <definedName name="_kl1">#REF!</definedName>
    <definedName name="_MAC12">#REF!</definedName>
    <definedName name="_MAC46">#REF!</definedName>
    <definedName name="_mtc1">#REF!</definedName>
    <definedName name="_mtc2">#REF!</definedName>
    <definedName name="_mtc3">#REF!</definedName>
    <definedName name="_nc1">#REF!</definedName>
    <definedName name="_nc151">#REF!</definedName>
    <definedName name="_nc2">#REF!</definedName>
    <definedName name="_nc3">#REF!</definedName>
    <definedName name="_NCL100">#REF!</definedName>
    <definedName name="_NCL200">#REF!</definedName>
    <definedName name="_NCL250">#REF!</definedName>
    <definedName name="_NET2">#REF!</definedName>
    <definedName name="_nin190">#REF!</definedName>
    <definedName name="_NSO2" localSheetId="0" hidden="1">{"'Sheet1'!$L$16"}</definedName>
    <definedName name="_NSO2" localSheetId="1" hidden="1">{"'Sheet1'!$L$16"}</definedName>
    <definedName name="_NSO2" hidden="1">{"'Sheet1'!$L$16"}</definedName>
    <definedName name="_Order1" hidden="1">255</definedName>
    <definedName name="_Order2" hidden="1">255</definedName>
    <definedName name="_PA3" localSheetId="0" hidden="1">{"'Sheet1'!$L$16"}</definedName>
    <definedName name="_PA3" localSheetId="1" hidden="1">{"'Sheet1'!$L$16"}</definedName>
    <definedName name="_PA3" hidden="1">{"'Sheet1'!$L$16"}</definedName>
    <definedName name="_Ph30">#REF!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XB80">#REF!</definedName>
    <definedName name="_qH30">#REF!</definedName>
    <definedName name="_qXB80">#REF!</definedName>
    <definedName name="_r" localSheetId="0" hidden="1">{"'Sheet1'!$L$16"}</definedName>
    <definedName name="_r" localSheetId="1" hidden="1">{"'Sheet1'!$L$16"}</definedName>
    <definedName name="_r" hidden="1">{"'Sheet1'!$L$16"}</definedName>
    <definedName name="_rp95">#REF!</definedName>
    <definedName name="_sc1">#REF!</definedName>
    <definedName name="_SC2">#REF!</definedName>
    <definedName name="_sc3">#REF!</definedName>
    <definedName name="_SCL4" localSheetId="0" hidden="1">{"'Sheet1'!$L$16"}</definedName>
    <definedName name="_SCL4" localSheetId="1" hidden="1">{"'Sheet1'!$L$16"}</definedName>
    <definedName name="_SCL4" hidden="1">{"'Sheet1'!$L$16"}</definedName>
    <definedName name="_Sdd24">#REF!</definedName>
    <definedName name="_Sdd33">#REF!</definedName>
    <definedName name="_Sdh24">#REF!</definedName>
    <definedName name="_Sdh3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Sort_1">#REF!</definedName>
    <definedName name="_Sort_10">#REF!</definedName>
    <definedName name="_Sort_2">#REF!</definedName>
    <definedName name="_Sort_3">#REF!</definedName>
    <definedName name="_Sort_4">#REF!</definedName>
    <definedName name="_Sort_5">#REF!</definedName>
    <definedName name="_Sort_6">#REF!</definedName>
    <definedName name="_Sort_7">#REF!</definedName>
    <definedName name="_Sort_8">#REF!</definedName>
    <definedName name="_Sort_9">#REF!</definedName>
    <definedName name="_Stb24">#REF!</definedName>
    <definedName name="_Stb33">#REF!</definedName>
    <definedName name="_sxt5" localSheetId="0" hidden="1">{"'Sheet1'!$L$16"}</definedName>
    <definedName name="_sxt5" localSheetId="1" hidden="1">{"'Sheet1'!$L$16"}</definedName>
    <definedName name="_sxt5" hidden="1">{"'Sheet1'!$L$16"}</definedName>
    <definedName name="_T10" localSheetId="0" hidden="1">{"'Sheet1'!$L$16"}</definedName>
    <definedName name="_T10" localSheetId="1" hidden="1">{"'Sheet1'!$L$16"}</definedName>
    <definedName name="_T10" hidden="1">{"'Sheet1'!$L$16"}</definedName>
    <definedName name="_T3" localSheetId="0" hidden="1">{"'Sheet1'!$L$16"}</definedName>
    <definedName name="_T3" localSheetId="1" hidden="1">{"'Sheet1'!$L$16"}</definedName>
    <definedName name="_T3" hidden="1">{"'Sheet1'!$L$16"}</definedName>
    <definedName name="_T4" localSheetId="1">{"Book1"}</definedName>
    <definedName name="_T4">{"Book1"}</definedName>
    <definedName name="_TB1">#REF!</definedName>
    <definedName name="_tb2">#REF!</definedName>
    <definedName name="_TH20">#REF!</definedName>
    <definedName name="_TH35">#REF!</definedName>
    <definedName name="_TH50">#REF!</definedName>
    <definedName name="_thu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t3" localSheetId="0" hidden="1">{"'Sheet1'!$L$16"}</definedName>
    <definedName name="_tt3" localSheetId="1" hidden="1">{"'Sheet1'!$L$16"}</definedName>
    <definedName name="_tt3" hidden="1">{"'Sheet1'!$L$16"}</definedName>
    <definedName name="_tu4" localSheetId="0" hidden="1">{"'Sheet1'!$L$16"}</definedName>
    <definedName name="_tu4" localSheetId="1" hidden="1">{"'Sheet1'!$L$16"}</definedName>
    <definedName name="_tu4" hidden="1">{"'Sheet1'!$L$16"}</definedName>
    <definedName name="_TVL1">#REF!</definedName>
    <definedName name="_VCM75">#REF!</definedName>
    <definedName name="_vl1">#REF!</definedName>
    <definedName name="_VL100">#REF!</definedName>
    <definedName name="_vl2">#REF!</definedName>
    <definedName name="_VL200">#REF!</definedName>
    <definedName name="_VL250">#REF!</definedName>
    <definedName name="_vl3">#REF!</definedName>
    <definedName name="_vl4">#REF!</definedName>
    <definedName name="_VLM75">#REF!</definedName>
    <definedName name="_vpt5" localSheetId="0" hidden="1">{"'Sheet1'!$L$16"}</definedName>
    <definedName name="_vpt5" localSheetId="1" hidden="1">{"'Sheet1'!$L$16"}</definedName>
    <definedName name="_vpt5" hidden="1">{"'Sheet1'!$L$16"}</definedName>
    <definedName name="_vpt6" localSheetId="0" hidden="1">{"'Sheet1'!$L$16"}</definedName>
    <definedName name="_vpt6" localSheetId="1" hidden="1">{"'Sheet1'!$L$16"}</definedName>
    <definedName name="_vpt6" hidden="1">{"'Sheet1'!$L$16"}</definedName>
    <definedName name="_xb80">#REF!</definedName>
    <definedName name="A">#REF!</definedName>
    <definedName name="ầ" localSheetId="0" hidden="1">{"'Sheet1'!$L$16"}</definedName>
    <definedName name="ầ" localSheetId="1" hidden="1">{"'Sheet1'!$L$16"}</definedName>
    <definedName name="ầ" hidden="1">{"'Sheet1'!$L$16"}</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A759">#N/A</definedName>
    <definedName name="a277Print_Titles">#REF!</definedName>
    <definedName name="A35_">#REF!</definedName>
    <definedName name="a4_">#REF!</definedName>
    <definedName name="A50_">#REF!</definedName>
    <definedName name="A70_">#REF!</definedName>
    <definedName name="A95_">#REF!</definedName>
    <definedName name="AA">#REF!</definedName>
    <definedName name="Ab">#REF!</definedName>
    <definedName name="AC120_">#REF!</definedName>
    <definedName name="AC35_">#REF!</definedName>
    <definedName name="AC50_">#REF!</definedName>
    <definedName name="AC70_">#REF!</definedName>
    <definedName name="AC95_">#REF!</definedName>
    <definedName name="AccessDatabase" hidden="1">"C:\My Documents\HAU\Danhsach\List Cpn.mdb"</definedName>
    <definedName name="ADAY">#REF!</definedName>
    <definedName name="adfsf">#REF!</definedName>
    <definedName name="adsadsa" localSheetId="0" hidden="1">{#N/A,#N/A,TRUE,"CS&amp;SS(AG)";#N/A,#N/A,TRUE,"CS(UG)";#N/A,#N/A,TRUE,"CSCL(UG)";#N/A,#N/A,TRUE,"KYNAR";#N/A,#N/A,TRUE,"ALLOY904";#N/A,#N/A,TRUE,"TITANIUM";#N/A,#N/A,TRUE,"STMTRACE"}</definedName>
    <definedName name="adsadsa" localSheetId="1"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ewe">#REF!</definedName>
    <definedName name="afafa" localSheetId="0" hidden="1">{"AnalRSA",#N/A,TRUE,"PL-Anal";"AnalIAS",#N/A,TRUE,"PL-Anal"}</definedName>
    <definedName name="afafa" localSheetId="1" hidden="1">{"AnalRSA",#N/A,TRUE,"PL-Anal";"AnalIAS",#N/A,TRUE,"PL-Anal"}</definedName>
    <definedName name="afafa" hidden="1">{"AnalRSA",#N/A,TRUE,"PL-Anal";"AnalIAS",#N/A,TRUE,"PL-Anal"}</definedName>
    <definedName name="afasfsagfas" localSheetId="0" hidden="1">{#N/A,#N/A,FALSE,"Chi tiÆt"}</definedName>
    <definedName name="afasfsagfas" localSheetId="1" hidden="1">{#N/A,#N/A,FALSE,"Chi tiÆt"}</definedName>
    <definedName name="afasfsagfas" hidden="1">{#N/A,#N/A,FALSE,"Chi tiÆt"}</definedName>
    <definedName name="al">#REF!</definedName>
    <definedName name="All_Item">#REF!</definedName>
    <definedName name="ALPIN">#N/A</definedName>
    <definedName name="ALPJYOU">#N/A</definedName>
    <definedName name="ALPTOI">#N/A</definedName>
    <definedName name="anpha">#REF!</definedName>
    <definedName name="anscount" hidden="1">1</definedName>
    <definedName name="Antoan" localSheetId="0" hidden="1">{"'Sheet1'!$L$16"}</definedName>
    <definedName name="Antoan" localSheetId="1" hidden="1">{"'Sheet1'!$L$16"}</definedName>
    <definedName name="Antoan" hidden="1">{"'Sheet1'!$L$16"}</definedName>
    <definedName name="ao">#REF!</definedName>
    <definedName name="AQ">#REF!</definedName>
    <definedName name="AS2DocOpenMode" hidden="1">"AS2DocumentEdit"</definedName>
    <definedName name="AS2ReportLS" hidden="1">1</definedName>
    <definedName name="AS2SyncStepLS" hidden="1">0</definedName>
    <definedName name="AS2VersionLS" hidden="1">300</definedName>
    <definedName name="asa" localSheetId="0" hidden="1">{"'Sheet1'!$L$16"}</definedName>
    <definedName name="asa" localSheetId="1" hidden="1">{"'Sheet1'!$L$16"}</definedName>
    <definedName name="asa" hidden="1">{"'Sheet1'!$L$16"}</definedName>
    <definedName name="aserasdea" localSheetId="0" hidden="1">{"'Sheet1'!$L$16"}</definedName>
    <definedName name="aserasdea" localSheetId="1" hidden="1">{"'Sheet1'!$L$16"}</definedName>
    <definedName name="aserasdea" hidden="1">{"'Sheet1'!$L$16"}</definedName>
    <definedName name="asf" localSheetId="0" hidden="1">{"'Sheet1'!$L$16"}</definedName>
    <definedName name="asf" localSheetId="1" hidden="1">{"'Sheet1'!$L$16"}</definedName>
    <definedName name="asf" hidden="1">{"'Sheet1'!$L$16"}</definedName>
    <definedName name="ATGT" localSheetId="0" hidden="1">{"'Sheet1'!$L$16"}</definedName>
    <definedName name="ATGT" localSheetId="1" hidden="1">{"'Sheet1'!$L$16"}</definedName>
    <definedName name="ATGT" hidden="1">{"'Sheet1'!$L$16"}</definedName>
    <definedName name="ATRAM">#REF!</definedName>
    <definedName name="aù40">#REF!</definedName>
    <definedName name="Avl">#REF!</definedName>
    <definedName name="B">#REF!</definedName>
    <definedName name="b_240">#REF!</definedName>
    <definedName name="b_260">#REF!</definedName>
    <definedName name="b_280">#REF!</definedName>
    <definedName name="b_320">#REF!</definedName>
    <definedName name="b_350">#REF!</definedName>
    <definedName name="B6a" localSheetId="0" hidden="1">{"'Sheet1'!$L$16"}</definedName>
    <definedName name="B6a" localSheetId="1" hidden="1">{"'Sheet1'!$L$16"}</definedName>
    <definedName name="B6a" hidden="1">{"'Sheet1'!$L$16"}</definedName>
    <definedName name="Bang_cly">#REF!</definedName>
    <definedName name="Bang_CVC">#REF!</definedName>
    <definedName name="bang_gia">#REF!</definedName>
    <definedName name="Bang_travl">#REF!</definedName>
    <definedName name="BangChu">#REF!</definedName>
    <definedName name="BBB" localSheetId="0" hidden="1">{"'Sheet1'!$L$16"}</definedName>
    <definedName name="BBB" localSheetId="1" hidden="1">{"'Sheet1'!$L$16"}</definedName>
    <definedName name="BBB" hidden="1">{"'Sheet1'!$L$16"}</definedName>
    <definedName name="bc" localSheetId="0" hidden="1">{"'Sheet1'!$L$16"}</definedName>
    <definedName name="bc" localSheetId="1" hidden="1">{"'Sheet1'!$L$16"}</definedName>
    <definedName name="bc" hidden="1">{"'Sheet1'!$L$16"}</definedName>
    <definedName name="BCTQ" localSheetId="0" hidden="1">{"'Sheet1'!$L$16"}</definedName>
    <definedName name="BCTQ" localSheetId="1" hidden="1">{"'Sheet1'!$L$16"}</definedName>
    <definedName name="BCTQ" hidden="1">{"'Sheet1'!$L$16"}</definedName>
    <definedName name="BDAY">#REF!</definedName>
    <definedName name="bdf">#REF!</definedName>
    <definedName name="beff">#REF!</definedName>
    <definedName name="bengam">#REF!</definedName>
    <definedName name="benuoc">#REF!</definedName>
    <definedName name="bg" localSheetId="0" hidden="1">{"'Sheet1'!$L$16"}</definedName>
    <definedName name="bg" localSheetId="1" hidden="1">{"'Sheet1'!$L$16"}</definedName>
    <definedName name="bg" hidden="1">{"'Sheet1'!$L$16"}</definedName>
    <definedName name="BG_Del" hidden="1">15</definedName>
    <definedName name="BG_Ins" hidden="1">4</definedName>
    <definedName name="BG_Mod" hidden="1">6</definedName>
    <definedName name="Bgiang" localSheetId="0" hidden="1">{"'Sheet1'!$L$16"}</definedName>
    <definedName name="Bgiang" localSheetId="1" hidden="1">{"'Sheet1'!$L$16"}</definedName>
    <definedName name="Bgiang" hidden="1">{"'Sheet1'!$L$16"}</definedName>
    <definedName name="BH">#REF!</definedName>
    <definedName name="bhthang6" localSheetId="0" hidden="1">{"'Sheet1'!$L$16"}</definedName>
    <definedName name="bhthang6" localSheetId="1" hidden="1">{"'Sheet1'!$L$16"}</definedName>
    <definedName name="bhthang6" hidden="1">{"'Sheet1'!$L$16"}</definedName>
    <definedName name="BIGC" localSheetId="0" hidden="1">{#N/A,#N/A,TRUE,"Str.";#N/A,#N/A,TRUE,"Steel &amp; Roof";#N/A,#N/A,TRUE,"Arc.";#N/A,#N/A,TRUE,"Preliminary";#N/A,#N/A,TRUE,"Sum_Prelim"}</definedName>
    <definedName name="BIGC" localSheetId="1" hidden="1">{#N/A,#N/A,TRUE,"Str.";#N/A,#N/A,TRUE,"Steel &amp; Roof";#N/A,#N/A,TRUE,"Arc.";#N/A,#N/A,TRUE,"Preliminary";#N/A,#N/A,TRUE,"Sum_Prelim"}</definedName>
    <definedName name="BIGC" hidden="1">{#N/A,#N/A,TRUE,"Str.";#N/A,#N/A,TRUE,"Steel &amp; Roof";#N/A,#N/A,TRUE,"Arc.";#N/A,#N/A,TRUE,"Preliminary";#N/A,#N/A,TRUE,"Sum_Prelim"}</definedName>
    <definedName name="Binh" localSheetId="0" hidden="1">{"'Sheet1'!$L$16"}</definedName>
    <definedName name="Binh" localSheetId="1" hidden="1">{"'Sheet1'!$L$16"}</definedName>
    <definedName name="Binh" hidden="1">{"'Sheet1'!$L$16"}</definedName>
    <definedName name="BL240HT">#REF!</definedName>
    <definedName name="BL280HT">#REF!</definedName>
    <definedName name="BL320HT">#REF!</definedName>
    <definedName name="BLDG">[2]LEGEND!$D$8</definedName>
    <definedName name="blf">#REF!</definedName>
    <definedName name="blkh">#REF!</definedName>
    <definedName name="BOQ">#REF!</definedName>
    <definedName name="bp">#REF!</definedName>
    <definedName name="bqo" localSheetId="1">{"Book1","BoQ2.XLS"}</definedName>
    <definedName name="bqo">{"Book1","BoQ2.XLS"}</definedName>
    <definedName name="bqo_1" localSheetId="1">{"Book1","BoQ2.XLS"}</definedName>
    <definedName name="bqo_1">{"Book1","BoQ2.XLS"}</definedName>
    <definedName name="bqo_2" localSheetId="1">{"Book1","BoQ2.XLS"}</definedName>
    <definedName name="bqo_2">{"Book1","BoQ2.XLS"}</definedName>
    <definedName name="bqo_3" localSheetId="1">{"Book1","BoQ2.XLS"}</definedName>
    <definedName name="bqo_3">{"Book1","BoQ2.XLS"}</definedName>
    <definedName name="bqo_4" localSheetId="1">{"Book1","BoQ2.XLS"}</definedName>
    <definedName name="bqo_4">{"Book1","BoQ2.XLS"}</definedName>
    <definedName name="bqo_5" localSheetId="1">{"Book1","BoQ2.XLS"}</definedName>
    <definedName name="bqo_5">{"Book1","BoQ2.XLS"}</definedName>
    <definedName name="bqo_6" localSheetId="1">{"Book1","BoQ2.XLS"}</definedName>
    <definedName name="bqo_6">{"Book1","BoQ2.XLS"}</definedName>
    <definedName name="bS">#REF!</definedName>
    <definedName name="bsf">#REF!</definedName>
    <definedName name="Bt_Moùng_phaàn_aâm">#REF!</definedName>
    <definedName name="btl" localSheetId="0" hidden="1">{"'Sheet1'!$L$16"}</definedName>
    <definedName name="btl" localSheetId="1" hidden="1">{"'Sheet1'!$L$16"}</definedName>
    <definedName name="btl" hidden="1">{"'Sheet1'!$L$16"}</definedName>
    <definedName name="btm">#REF!</definedName>
    <definedName name="BTRAM">#REF!</definedName>
    <definedName name="BuGia">#REF!</definedName>
    <definedName name="BuGiaNhienLieu">#REF!</definedName>
    <definedName name="Bust">#REF!</definedName>
    <definedName name="BVCISUMMARY">#REF!</definedName>
    <definedName name="bwf">#REF!</definedName>
    <definedName name="bWL">#REF!</definedName>
    <definedName name="bwlf">#REF!</definedName>
    <definedName name="CA">#REF!</definedName>
    <definedName name="CAMTC">#REF!</definedName>
    <definedName name="cao">#REF!</definedName>
    <definedName name="CAPT">#REF!</definedName>
    <definedName name="Category_All">#REF!</definedName>
    <definedName name="CATIN">#N/A</definedName>
    <definedName name="CATJYOU">#N/A</definedName>
    <definedName name="CATREC">#N/A</definedName>
    <definedName name="CATSYU">#N/A</definedName>
    <definedName name="Caùp_ñoàng_traàn_75mm2">#REF!</definedName>
    <definedName name="Caùp_ñoàng_traàn_75mm2_1">#REF!</definedName>
    <definedName name="Caùp_ñoàng_traàn_75mm2_2">#REF!</definedName>
    <definedName name="Caùp_ñoàng_traàn_75mm2_3">#REF!</definedName>
    <definedName name="Caùp_ñoàng_traàn_75mm2_4">#REF!</definedName>
    <definedName name="CAVT">#REF!</definedName>
    <definedName name="cb">#REF!</definedName>
    <definedName name="CBA35HT">#REF!</definedName>
    <definedName name="CBA50HT">#REF!</definedName>
    <definedName name="CBA70HT">#REF!</definedName>
    <definedName name="CBPT">#REF!</definedName>
    <definedName name="CBVT">#REF!</definedName>
    <definedName name="CCS">#REF!</definedName>
    <definedName name="CDAY">#REF!</definedName>
    <definedName name="CDD">#REF!</definedName>
    <definedName name="CDday">#REF!</definedName>
    <definedName name="CDDD">#REF!</definedName>
    <definedName name="CDDD1P">#REF!</definedName>
    <definedName name="CDDD1PHA">#REF!</definedName>
    <definedName name="CDDD3PHA">#REF!</definedName>
    <definedName name="CDdinh">#REF!</definedName>
    <definedName name="CDgoi">#REF!</definedName>
    <definedName name="CDHT">#REF!</definedName>
    <definedName name="cdn">#REF!</definedName>
    <definedName name="Cdo_8bat">#REF!</definedName>
    <definedName name="Cdo_TK50">#REF!</definedName>
    <definedName name="CDVAÄN_CHUYEÅN">#REF!</definedName>
    <definedName name="CDVC">#REF!</definedName>
    <definedName name="cfm">#REF!</definedName>
    <definedName name="CH">#REF!</definedName>
    <definedName name="chd">#REF!</definedName>
    <definedName name="ChiPhiChung">#REF!</definedName>
    <definedName name="chitietbgiang2" localSheetId="0" hidden="1">{"'Sheet1'!$L$16"}</definedName>
    <definedName name="chitietbgiang2" localSheetId="1" hidden="1">{"'Sheet1'!$L$16"}</definedName>
    <definedName name="chitietbgiang2"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3" localSheetId="1" hidden="1">{"'Sheet1'!$L$16"}</definedName>
    <definedName name="chot3" hidden="1">{"'Sheet1'!$L$16"}</definedName>
    <definedName name="chottda" localSheetId="0" hidden="1">{"'Sheet1'!$L$16"}</definedName>
    <definedName name="chottda" localSheetId="1" hidden="1">{"'Sheet1'!$L$16"}</definedName>
    <definedName name="chottda" hidden="1">{"'Sheet1'!$L$16"}</definedName>
    <definedName name="chuyen" localSheetId="0" hidden="1">{"'Sheet1'!$L$16"}</definedName>
    <definedName name="chuyen" localSheetId="1" hidden="1">{"'Sheet1'!$L$16"}</definedName>
    <definedName name="chuyen" hidden="1">{"'Sheet1'!$L$16"}</definedName>
    <definedName name="CK">#REF!</definedName>
    <definedName name="CLGia">#REF!</definedName>
    <definedName name="CLIENT">[2]LEGEND!$D$6</definedName>
    <definedName name="CLVC3">0.1</definedName>
    <definedName name="CLVC35">#REF!</definedName>
    <definedName name="CLVCTB">#REF!</definedName>
    <definedName name="CMC" localSheetId="0" hidden="1">{"'Sheet1'!$L$16"}</definedName>
    <definedName name="CMC" localSheetId="1" hidden="1">{"'Sheet1'!$L$16"}</definedName>
    <definedName name="CMC" hidden="1">{"'Sheet1'!$L$16"}</definedName>
    <definedName name="CN_RC1">#REF!</definedName>
    <definedName name="CN_RC2">#REF!</definedName>
    <definedName name="CN_Rnha">#REF!</definedName>
    <definedName name="CN_Rs">#REF!</definedName>
    <definedName name="Cneo_8bat">#REF!</definedName>
    <definedName name="Cneo_TK50">#REF!</definedName>
    <definedName name="Co">#REF!</definedName>
    <definedName name="coc">#REF!</definedName>
    <definedName name="cocbtct">#REF!</definedName>
    <definedName name="cocot">#REF!</definedName>
    <definedName name="cocott">#REF!</definedName>
    <definedName name="Cöï_ly_vaän_chuyeãn">#REF!</definedName>
    <definedName name="CÖÏ_LY_VAÄN_CHUYEÅN">#REF!</definedName>
    <definedName name="COMMON">#REF!</definedName>
    <definedName name="comong">#REF!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thuc">#REF!</definedName>
    <definedName name="CONST_EQ">#REF!</definedName>
    <definedName name="Continue">#REF!</definedName>
    <definedName name="cost2015">#REF!</definedName>
    <definedName name="cottra">#REF!</definedName>
    <definedName name="cottron">#REF!</definedName>
    <definedName name="cotvuong">#REF!</definedName>
    <definedName name="COVER">#REF!</definedName>
    <definedName name="cpdd1">#REF!</definedName>
    <definedName name="cplhsmt">[3]!cplhsmt</definedName>
    <definedName name="cplhsmt_1">cplhsmt</definedName>
    <definedName name="cplhsmt_10">cplhsmt</definedName>
    <definedName name="cplhsmt_2">cplhsmt</definedName>
    <definedName name="cplhsmt_3">cplhsmt</definedName>
    <definedName name="cplhsmt_4">cplhsmt</definedName>
    <definedName name="cplhsmt_5">cplhsmt</definedName>
    <definedName name="cplhsmt_6">cplhsmt</definedName>
    <definedName name="cplhsmt_7">cplhsmt</definedName>
    <definedName name="cplhsmt_8">cplhsmt</definedName>
    <definedName name="cplhsmt_9">cplhsmt</definedName>
    <definedName name="cps">#REF!</definedName>
    <definedName name="cptdhsmt">[3]!cptdhsmt</definedName>
    <definedName name="cptdhsmt_1">cptdhsmt</definedName>
    <definedName name="cptdhsmt_10">cptdhsmt</definedName>
    <definedName name="cptdhsmt_2">cptdhsmt</definedName>
    <definedName name="cptdhsmt_3">cptdhsmt</definedName>
    <definedName name="cptdhsmt_4">cptdhsmt</definedName>
    <definedName name="cptdhsmt_5">cptdhsmt</definedName>
    <definedName name="cptdhsmt_6">cptdhsmt</definedName>
    <definedName name="cptdhsmt_7">cptdhsmt</definedName>
    <definedName name="cptdhsmt_8">cptdhsmt</definedName>
    <definedName name="cptdhsmt_9">cptdhsmt</definedName>
    <definedName name="cptdtdt">[3]!cptdtdt</definedName>
    <definedName name="cptdtdt_1">cptdtdt</definedName>
    <definedName name="cptdtdt_10">cptdtdt</definedName>
    <definedName name="cptdtdt_2">cptdtdt</definedName>
    <definedName name="cptdtdt_3">cptdtdt</definedName>
    <definedName name="cptdtdt_4">cptdtdt</definedName>
    <definedName name="cptdtdt_5">cptdtdt</definedName>
    <definedName name="cptdtdt_6">cptdtdt</definedName>
    <definedName name="cptdtdt_7">cptdtdt</definedName>
    <definedName name="cptdtdt_8">cptdtdt</definedName>
    <definedName name="cptdtdt_9">cptdtdt</definedName>
    <definedName name="cptdtkkt">[3]!cptdtkkt</definedName>
    <definedName name="cptdtkkt_1">cptdtkkt</definedName>
    <definedName name="cptdtkkt_10">cptdtkkt</definedName>
    <definedName name="cptdtkkt_2">cptdtkkt</definedName>
    <definedName name="cptdtkkt_3">cptdtkkt</definedName>
    <definedName name="cptdtkkt_4">cptdtkkt</definedName>
    <definedName name="cptdtkkt_5">cptdtkkt</definedName>
    <definedName name="cptdtkkt_6">cptdtkkt</definedName>
    <definedName name="cptdtkkt_7">cptdtkkt</definedName>
    <definedName name="cptdtkkt_8">cptdtkkt</definedName>
    <definedName name="cptdtkkt_9">cptdtkkt</definedName>
    <definedName name="CPVC35">#REF!</definedName>
    <definedName name="CPVCDN">#REF!</definedName>
    <definedName name="CPXDvaTBi">#REF!</definedName>
    <definedName name="CRD">#REF!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CT1" localSheetId="0" hidden="1">{"'Sheet1'!$L$16"}</definedName>
    <definedName name="CTCT1" localSheetId="1" hidden="1">{"'Sheet1'!$L$16"}</definedName>
    <definedName name="CTCT1" hidden="1">{"'Sheet1'!$L$16"}</definedName>
    <definedName name="ctiep">#REF!</definedName>
    <definedName name="CTIET">#REF!</definedName>
    <definedName name="ctmai">#REF!</definedName>
    <definedName name="ctong">#REF!</definedName>
    <definedName name="CTRAM">#REF!</definedName>
    <definedName name="ctre">#REF!</definedName>
    <definedName name="cu_ly">#REF!</definedName>
    <definedName name="cua">#REF!</definedName>
    <definedName name="cui">#REF!</definedName>
    <definedName name="CuLy">#REF!</definedName>
    <definedName name="CuLy_Q">#REF!</definedName>
    <definedName name="cung" localSheetId="0" hidden="1">{"'Sheet1'!$L$16"}</definedName>
    <definedName name="cung" localSheetId="1" hidden="1">{"'Sheet1'!$L$16"}</definedName>
    <definedName name="cung" hidden="1">{"'Sheet1'!$L$16"}</definedName>
    <definedName name="cuoc_vc">#REF!</definedName>
    <definedName name="CuocVC">#REF!</definedName>
    <definedName name="cuong" localSheetId="0" hidden="1">{"'Sheet1'!$L$16"}</definedName>
    <definedName name="cuong" localSheetId="1" hidden="1">{"'Sheet1'!$L$16"}</definedName>
    <definedName name="cuong" hidden="1">{"'Sheet1'!$L$16"}</definedName>
    <definedName name="CURRENCY">#REF!</definedName>
    <definedName name="CVC_Q">#REF!</definedName>
    <definedName name="CX">#REF!</definedName>
    <definedName name="Cy">#REF!</definedName>
    <definedName name="Cz">#REF!</definedName>
    <definedName name="d">#REF!</definedName>
    <definedName name="D_7101A_B">#REF!</definedName>
    <definedName name="da" localSheetId="0" hidden="1">{"'Sheet1'!$L$16"}</definedName>
    <definedName name="da" localSheetId="1" hidden="1">{"'Sheet1'!$L$16"}</definedName>
    <definedName name="da" hidden="1">{"'Sheet1'!$L$16"}</definedName>
    <definedName name="dà" localSheetId="0" hidden="1">{"'Sheet1'!$L$16"}</definedName>
    <definedName name="dà" localSheetId="1" hidden="1">{"'Sheet1'!$L$16"}</definedName>
    <definedName name="dà" hidden="1">{"'Sheet1'!$L$16"}</definedName>
    <definedName name="DACAN">#REF!</definedName>
    <definedName name="dam">#REF!</definedName>
    <definedName name="danducsan">#REF!</definedName>
    <definedName name="DATA">#REF!</definedName>
    <definedName name="DATA_DATA2_List">#REF!</definedName>
    <definedName name="Data11">#REF!</definedName>
    <definedName name="Data41">#REF!</definedName>
    <definedName name="_xlnm.Database">#REF!</definedName>
    <definedName name="DataFilter" localSheetId="0">[4]!DataFilter</definedName>
    <definedName name="DataFilter" localSheetId="1">[4]!DataFilter</definedName>
    <definedName name="DataFilter">[4]!DataFilter</definedName>
    <definedName name="DataFilter_1" localSheetId="0">'A3-MEP'!DataFilter</definedName>
    <definedName name="DataFilter_1" localSheetId="1">'A6-MEP'!DataFilter</definedName>
    <definedName name="DataFilter_1">DataFilter</definedName>
    <definedName name="DataFilter_10" localSheetId="0">'A3-MEP'!DataFilter</definedName>
    <definedName name="DataFilter_10" localSheetId="1">'A6-MEP'!DataFilter</definedName>
    <definedName name="DataFilter_10">DataFilter</definedName>
    <definedName name="DataFilter_2" localSheetId="0">'A3-MEP'!DataFilter</definedName>
    <definedName name="DataFilter_2" localSheetId="1">'A6-MEP'!DataFilter</definedName>
    <definedName name="DataFilter_2">DataFilter</definedName>
    <definedName name="DataFilter_3" localSheetId="0">'A3-MEP'!DataFilter</definedName>
    <definedName name="DataFilter_3" localSheetId="1">'A6-MEP'!DataFilter</definedName>
    <definedName name="DataFilter_3">DataFilter</definedName>
    <definedName name="DataFilter_4" localSheetId="0">'A3-MEP'!DataFilter</definedName>
    <definedName name="DataFilter_4" localSheetId="1">'A6-MEP'!DataFilter</definedName>
    <definedName name="DataFilter_4">DataFilter</definedName>
    <definedName name="DataFilter_5" localSheetId="0">'A3-MEP'!DataFilter</definedName>
    <definedName name="DataFilter_5" localSheetId="1">'A6-MEP'!DataFilter</definedName>
    <definedName name="DataFilter_5">DataFilter</definedName>
    <definedName name="DataFilter_6" localSheetId="0">'A3-MEP'!DataFilter</definedName>
    <definedName name="DataFilter_6" localSheetId="1">'A6-MEP'!DataFilter</definedName>
    <definedName name="DataFilter_6">DataFilter</definedName>
    <definedName name="DataFilter_7" localSheetId="0">'A3-MEP'!DataFilter</definedName>
    <definedName name="DataFilter_7" localSheetId="1">'A6-MEP'!DataFilter</definedName>
    <definedName name="DataFilter_7">DataFilter</definedName>
    <definedName name="DataFilter_8" localSheetId="0">'A3-MEP'!DataFilter</definedName>
    <definedName name="DataFilter_8" localSheetId="1">'A6-MEP'!DataFilter</definedName>
    <definedName name="DataFilter_8">DataFilter</definedName>
    <definedName name="DataFilter_9" localSheetId="0">'A3-MEP'!DataFilter</definedName>
    <definedName name="DataFilter_9" localSheetId="1">'A6-MEP'!DataFilter</definedName>
    <definedName name="DataFilter_9">DataFilter</definedName>
    <definedName name="DataSort" localSheetId="0">[4]!DataSort</definedName>
    <definedName name="DataSort" localSheetId="1">[4]!DataSort</definedName>
    <definedName name="DataSort">[4]!DataSort</definedName>
    <definedName name="DataSort_1" localSheetId="0">'A3-MEP'!DataSort</definedName>
    <definedName name="DataSort_1" localSheetId="1">'A6-MEP'!DataSort</definedName>
    <definedName name="DataSort_1">DataSort</definedName>
    <definedName name="DataSort_10" localSheetId="0">'A3-MEP'!DataSort</definedName>
    <definedName name="DataSort_10" localSheetId="1">'A6-MEP'!DataSort</definedName>
    <definedName name="DataSort_10">DataSort</definedName>
    <definedName name="DataSort_2" localSheetId="0">'A3-MEP'!DataSort</definedName>
    <definedName name="DataSort_2" localSheetId="1">'A6-MEP'!DataSort</definedName>
    <definedName name="DataSort_2">DataSort</definedName>
    <definedName name="DataSort_3" localSheetId="0">'A3-MEP'!DataSort</definedName>
    <definedName name="DataSort_3" localSheetId="1">'A6-MEP'!DataSort</definedName>
    <definedName name="DataSort_3">DataSort</definedName>
    <definedName name="DataSort_4" localSheetId="0">'A3-MEP'!DataSort</definedName>
    <definedName name="DataSort_4" localSheetId="1">'A6-MEP'!DataSort</definedName>
    <definedName name="DataSort_4">DataSort</definedName>
    <definedName name="DataSort_5" localSheetId="0">'A3-MEP'!DataSort</definedName>
    <definedName name="DataSort_5" localSheetId="1">'A6-MEP'!DataSort</definedName>
    <definedName name="DataSort_5">DataSort</definedName>
    <definedName name="DataSort_6" localSheetId="0">'A3-MEP'!DataSort</definedName>
    <definedName name="DataSort_6" localSheetId="1">'A6-MEP'!DataSort</definedName>
    <definedName name="DataSort_6">DataSort</definedName>
    <definedName name="DataSort_7" localSheetId="0">'A3-MEP'!DataSort</definedName>
    <definedName name="DataSort_7" localSheetId="1">'A6-MEP'!DataSort</definedName>
    <definedName name="DataSort_7">DataSort</definedName>
    <definedName name="DataSort_8" localSheetId="0">'A3-MEP'!DataSort</definedName>
    <definedName name="DataSort_8" localSheetId="1">'A6-MEP'!DataSort</definedName>
    <definedName name="DataSort_8">DataSort</definedName>
    <definedName name="DataSort_9" localSheetId="0">'A3-MEP'!DataSort</definedName>
    <definedName name="DataSort_9" localSheetId="1">'A6-MEP'!DataSort</definedName>
    <definedName name="DataSort_9">DataSort</definedName>
    <definedName name="dc" localSheetId="0" hidden="1">{"'Sheet1'!$L$16"}</definedName>
    <definedName name="dc" localSheetId="1" hidden="1">{"'Sheet1'!$L$16"}</definedName>
    <definedName name="dc" hidden="1">{"'Sheet1'!$L$16"}</definedName>
    <definedName name="dche">#REF!</definedName>
    <definedName name="DD">#REF!</definedName>
    <definedName name="dd4x6">#REF!</definedName>
    <definedName name="ddång" localSheetId="0" hidden="1">{"'Sheet1'!$L$16"}</definedName>
    <definedName name="ddång" localSheetId="1" hidden="1">{"'Sheet1'!$L$16"}</definedName>
    <definedName name="ddång" hidden="1">{"'Sheet1'!$L$16"}</definedName>
    <definedName name="DDAY">#REF!</definedName>
    <definedName name="ddc" localSheetId="0" hidden="1">{"'Sheet1'!$L$16"}</definedName>
    <definedName name="ddc" localSheetId="1" hidden="1">{"'Sheet1'!$L$16"}</definedName>
    <definedName name="ddc" hidden="1">{"'Sheet1'!$L$16"}</definedName>
    <definedName name="ddd" localSheetId="0" hidden="1">{"'Sheet1'!$L$16"}</definedName>
    <definedName name="ddd" localSheetId="1" hidden="1">{"'Sheet1'!$L$16"}</definedName>
    <definedName name="ddd" hidden="1">{"'Sheet1'!$L$16"}</definedName>
    <definedName name="dddd" localSheetId="0" hidden="1">{"'Sheet1'!$L$16"}</definedName>
    <definedName name="dddd" localSheetId="1" hidden="1">{"'Sheet1'!$L$16"}</definedName>
    <definedName name="dddd" hidden="1">{"'Sheet1'!$L$16"}</definedName>
    <definedName name="dden">#REF!</definedName>
    <definedName name="DDHT">#REF!</definedName>
    <definedName name="ddia">#REF!</definedName>
    <definedName name="deff">#REF!</definedName>
    <definedName name="den_bu">#REF!</definedName>
    <definedName name="DENEO">#REF!</definedName>
    <definedName name="der" localSheetId="1">{"Book1","BoQ2.XLS"}</definedName>
    <definedName name="der">{"Book1","BoQ2.XLS"}</definedName>
    <definedName name="DFDF" localSheetId="0" hidden="1">{"ECA Qtrs C",#N/A,TRUE,"ECA_Qtrs_C";"ECA Qtrs D",#N/A,TRUE,"ECA_Qtrs_D";"ECA Qtrs F",#N/A,TRUE,"ECA_Qtrs_F";"ECA Qtrs G",#N/A,TRUE,"ECA_Qtrs_G";"ECA SisterApt",#N/A,TRUE,"ECA_SisterApt";"ECA Nurses",#N/A,TRUE,"ECA_NursesHostel"}</definedName>
    <definedName name="DFDF" localSheetId="1"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h" localSheetId="0" hidden="1">{"'Sheet1'!$L$16"}</definedName>
    <definedName name="dfh" localSheetId="1" hidden="1">{"'Sheet1'!$L$16"}</definedName>
    <definedName name="dfh" hidden="1">{"'Sheet1'!$L$16"}</definedName>
    <definedName name="dfsfsd" localSheetId="0" hidden="1">{"'Sheet1'!$L$16"}</definedName>
    <definedName name="dfsfsd" localSheetId="1" hidden="1">{"'Sheet1'!$L$16"}</definedName>
    <definedName name="dfsfsd" hidden="1">{"'Sheet1'!$L$16"}</definedName>
    <definedName name="DGCTI592">#REF!</definedName>
    <definedName name="DGiaDZ">#REF!</definedName>
    <definedName name="DGiaNCTr">#REF!</definedName>
    <definedName name="DGiaTBA">#REF!</definedName>
    <definedName name="DGiaTr">#REF!</definedName>
    <definedName name="DGNC">#REF!</definedName>
    <definedName name="DGTV">#REF!</definedName>
    <definedName name="dgvl">#REF!</definedName>
    <definedName name="DGVT">#REF!</definedName>
    <definedName name="dh">#REF!</definedName>
    <definedName name="dientichck">#REF!</definedName>
    <definedName name="DL10HT">#REF!</definedName>
    <definedName name="DL11HT">#REF!</definedName>
    <definedName name="DL12HT">#REF!</definedName>
    <definedName name="DL13HT">#REF!</definedName>
    <definedName name="DL14HT">#REF!</definedName>
    <definedName name="DL17HT">#REF!</definedName>
    <definedName name="DL18HT">#REF!</definedName>
    <definedName name="DL1HT">#REF!</definedName>
    <definedName name="DL21HT">#REF!</definedName>
    <definedName name="DL22HT">#REF!</definedName>
    <definedName name="DL23HT">#REF!</definedName>
    <definedName name="DL24HT">#REF!</definedName>
    <definedName name="DL25HT">#REF!</definedName>
    <definedName name="DL26HT">#REF!</definedName>
    <definedName name="DL2HT">#REF!</definedName>
    <definedName name="DL3HT">#REF!</definedName>
    <definedName name="DL4HT">#REF!</definedName>
    <definedName name="DL5HT">#REF!</definedName>
    <definedName name="DL6HT">#REF!</definedName>
    <definedName name="DL7HT">#REF!</definedName>
    <definedName name="DL8HT">#REF!</definedName>
    <definedName name="DL9HT">#REF!</definedName>
    <definedName name="DLCC">#REF!</definedName>
    <definedName name="DM">#REF!</definedName>
    <definedName name="dmat">#REF!</definedName>
    <definedName name="dmoi">#REF!</definedName>
    <definedName name="dn" localSheetId="0" hidden="1">{#N/A,#N/A,FALSE,"혼합골재"}</definedName>
    <definedName name="dn" localSheetId="1" hidden="1">{#N/A,#N/A,FALSE,"혼합골재"}</definedName>
    <definedName name="dn" hidden="1">{#N/A,#N/A,FALSE,"혼합골재"}</definedName>
    <definedName name="DN1_CT5" localSheetId="0" hidden="1">{"'Sheet1'!$L$16"}</definedName>
    <definedName name="DN1_CT5" localSheetId="1" hidden="1">{"'Sheet1'!$L$16"}</definedName>
    <definedName name="DN1_CT5" hidden="1">{"'Sheet1'!$L$16"}</definedName>
    <definedName name="doan1">#REF!</definedName>
    <definedName name="doan2">#REF!</definedName>
    <definedName name="doan3">#REF!</definedName>
    <definedName name="doan4">#REF!</definedName>
    <definedName name="doan5">#REF!</definedName>
    <definedName name="doan6">#REF!</definedName>
    <definedName name="Document_array" localSheetId="1">{"Book1","BoQ2.XLS"}</definedName>
    <definedName name="Document_array">{"Book1","BoQ2.XLS"}</definedName>
    <definedName name="Document_array_1" localSheetId="1">{"Book1","BoQ2.XLS"}</definedName>
    <definedName name="Document_array_1">{"Book1","BoQ2.XLS"}</definedName>
    <definedName name="Documents_array">#REF!</definedName>
    <definedName name="dongia">'[5]Đơn Giá '!$B$4:$K$122</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HT250">#REF!</definedName>
    <definedName name="DPHT350">#REF!</definedName>
    <definedName name="DPHT50">#REF!</definedName>
    <definedName name="ds_">#REF!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ct3pnc">#REF!</definedName>
    <definedName name="dsct3pvl">#REF!</definedName>
    <definedName name="DSPK1p1nc">#REF!</definedName>
    <definedName name="DSPK1p1vl">#REF!</definedName>
    <definedName name="DSPK1pnc">#REF!</definedName>
    <definedName name="DSPK1pvl">#REF!</definedName>
    <definedName name="DSTD_Clear">#N/A</definedName>
    <definedName name="DSTD_Clear_1">#N/A</definedName>
    <definedName name="DSTD_Clear_2">#N/A</definedName>
    <definedName name="DSTD_Clear_3">#N/A</definedName>
    <definedName name="DSTD_Clear_4">#N/A</definedName>
    <definedName name="DSTD_Clear_5">#N/A</definedName>
    <definedName name="DSTD_Clear_6">DSTD_Clear</definedName>
    <definedName name="DSUMDATA">#REF!</definedName>
    <definedName name="dtAB">#REF!</definedName>
    <definedName name="DTCT_d">#REF!</definedName>
    <definedName name="DTCT_gtcx">#REF!</definedName>
    <definedName name="DTCT_tn">#REF!</definedName>
    <definedName name="DTCT_vh">#REF!</definedName>
    <definedName name="dthd">#REF!</definedName>
    <definedName name="dtich1">#REF!</definedName>
    <definedName name="dtich2">#REF!</definedName>
    <definedName name="dtich3">#REF!</definedName>
    <definedName name="dtich4">#REF!</definedName>
    <definedName name="dtich5">#REF!</definedName>
    <definedName name="dtich6">#REF!</definedName>
    <definedName name="duc" localSheetId="0" hidden="1">{"'Sheet1'!$L$16"}</definedName>
    <definedName name="duc" localSheetId="1" hidden="1">{"'Sheet1'!$L$16"}</definedName>
    <definedName name="duc" hidden="1">{"'Sheet1'!$L$16"}</definedName>
    <definedName name="Duc_bkvn">[6]Duc_bk!$B$6:$C$57</definedName>
    <definedName name="Duong1" localSheetId="0" hidden="1">{"'Sheet1'!$L$16"}</definedName>
    <definedName name="Duong1" localSheetId="1" hidden="1">{"'Sheet1'!$L$16"}</definedName>
    <definedName name="Duong1" hidden="1">{"'Sheet1'!$L$16"}</definedName>
    <definedName name="DW">#REF!</definedName>
    <definedName name="e" localSheetId="0" hidden="1">{"'Sheet1'!$L$16"}</definedName>
    <definedName name="e" localSheetId="1" hidden="1">{"'Sheet1'!$L$16"}</definedName>
    <definedName name="e" hidden="1">{"'Sheet1'!$L$16"}</definedName>
    <definedName name="EARTH">#REF!</definedName>
    <definedName name="Ecoc">#REF!</definedName>
    <definedName name="ee" localSheetId="0" hidden="1">{#N/A,#N/A,FALSE,"단가표지"}</definedName>
    <definedName name="ee" localSheetId="1" hidden="1">{#N/A,#N/A,FALSE,"단가표지"}</definedName>
    <definedName name="ee" hidden="1">{#N/A,#N/A,FALSE,"단가표지"}</definedName>
    <definedName name="EI">#REF!</definedName>
    <definedName name="elan">#REF!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RT" localSheetId="0" hidden="1">{"'Sheet1'!$L$16"}</definedName>
    <definedName name="ERT" localSheetId="1" hidden="1">{"'Sheet1'!$L$16"}</definedName>
    <definedName name="ERT" hidden="1">{"'Sheet1'!$L$16"}</definedName>
    <definedName name="eù" localSheetId="1">{"Book1"}</definedName>
    <definedName name="eù">{"Book1"}</definedName>
    <definedName name="Excavati" localSheetId="0" hidden="1">{#N/A,#N/A,FALSE,"Chi tiÆt"}</definedName>
    <definedName name="Excavati" localSheetId="1" hidden="1">{#N/A,#N/A,FALSE,"Chi tiÆt"}</definedName>
    <definedName name="Excavati" hidden="1">{#N/A,#N/A,FALSE,"Chi tiÆt"}</definedName>
    <definedName name="Excel_BuiltIn__FilterDatabase_1">#REF!</definedName>
    <definedName name="Excel_BuiltIn__FilterDatabase_1_1">#REF!</definedName>
    <definedName name="Excel_BuiltIn__FilterDatabase_2">#REF!</definedName>
    <definedName name="Excel_BuiltIn__FilterDatabase_2_1">#REF!</definedName>
    <definedName name="Excel_BuiltIn__FilterDatabase_3">#REF!</definedName>
    <definedName name="Excel_BuiltIn__FilterDatabase_4">#REF!</definedName>
    <definedName name="Excel_BuiltIn__FilterDatabase_5">#REF!</definedName>
    <definedName name="Excel_BuiltIn__FilterDatabase_5_1">#REF!</definedName>
    <definedName name="Excel_BuiltIn__FilterDatabase_7">#REF!</definedName>
    <definedName name="Excel_BuiltIn__FilterDatabase_8">#REF!</definedName>
    <definedName name="Excel_BuiltIn__FilterDatabase_8_1">#REF!</definedName>
    <definedName name="Excel_BuiltIn__FilterDatabase_9">#REF!</definedName>
    <definedName name="Excel_BuiltIn_Database">#REF!</definedName>
    <definedName name="Excel_BuiltIn_Print_Area_1">#REF!</definedName>
    <definedName name="Excel_BuiltIn_Print_Area_2">#REF!</definedName>
    <definedName name="Excel_BuiltIn_Print_Area_3">#REF!</definedName>
    <definedName name="Excel_BuiltIn_Print_Titles_1">#REF!</definedName>
    <definedName name="Excel_BuiltIn_Print_Titles_1_1">#REF!</definedName>
    <definedName name="Excel_BuiltIn_Print_Titles_2">#REF!</definedName>
    <definedName name="Excel_BuiltIn_Print_Titles_3">#REF!</definedName>
    <definedName name="Excel_BuiltIn_Print_Titles_5">NA()</definedName>
    <definedName name="Excel_BuiltIn_Recorder">#REF!</definedName>
    <definedName name="EXPORT">#REF!</definedName>
    <definedName name="_xlnm.Extract">#REF!</definedName>
    <definedName name="f">#REF!</definedName>
    <definedName name="Fa">#REF!</definedName>
    <definedName name="fáaafafaf" localSheetId="0" hidden="1">{"'Sheet1'!$L$16"}</definedName>
    <definedName name="fáaafafaf" localSheetId="1" hidden="1">{"'Sheet1'!$L$16"}</definedName>
    <definedName name="fáaafafaf" hidden="1">{"'Sheet1'!$L$16"}</definedName>
    <definedName name="FACTOR">#REF!</definedName>
    <definedName name="fafafda" localSheetId="0" hidden="1">{"AnalRSA",#N/A,TRUE,"PL-Anal";"AnalIAS",#N/A,TRUE,"PL-Anal"}</definedName>
    <definedName name="fafafda" localSheetId="1" hidden="1">{"AnalRSA",#N/A,TRUE,"PL-Anal";"AnalIAS",#N/A,TRUE,"PL-Anal"}</definedName>
    <definedName name="fafafda" hidden="1">{"AnalRSA",#N/A,TRUE,"PL-Anal";"AnalIAS",#N/A,TRUE,"PL-Anal"}</definedName>
    <definedName name="fasfaga" localSheetId="0" hidden="1">{"'Sheet1'!$L$16"}</definedName>
    <definedName name="fasfaga" localSheetId="1" hidden="1">{"'Sheet1'!$L$16"}</definedName>
    <definedName name="fasfaga" hidden="1">{"'Sheet1'!$L$16"}</definedName>
    <definedName name="fc">#REF!</definedName>
    <definedName name="FC.2F">#REF!</definedName>
    <definedName name="FC.3F">#REF!</definedName>
    <definedName name="FC.4F">#REF!</definedName>
    <definedName name="FC.BF">#REF!</definedName>
    <definedName name="FC.GF">#REF!</definedName>
    <definedName name="FC.RF">#REF!</definedName>
    <definedName name="Fcoc">#REF!</definedName>
    <definedName name="Fdam">#REF!</definedName>
    <definedName name="FDC">#REF!</definedName>
    <definedName name="fd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sfsdfd" localSheetId="0" hidden="1">{"'Sheet1'!$L$16"}</definedName>
    <definedName name="fdsfsdfd" localSheetId="1" hidden="1">{"'Sheet1'!$L$16"}</definedName>
    <definedName name="fdsfsdfd" hidden="1">{"'Sheet1'!$L$16"}</definedName>
    <definedName name="ff" localSheetId="0" hidden="1">{#N/A,#N/A,FALSE,"단가표지"}</definedName>
    <definedName name="ff" localSheetId="1" hidden="1">{#N/A,#N/A,FALSE,"단가표지"}</definedName>
    <definedName name="ff" hidden="1">{#N/A,#N/A,FALSE,"단가표지"}</definedName>
    <definedName name="fff" localSheetId="0" hidden="1">{"'Sheet1'!$L$16"}</definedName>
    <definedName name="fff" localSheetId="1" hidden="1">{"'Sheet1'!$L$16"}</definedName>
    <definedName name="fff" hidden="1">{"'Sheet1'!$L$16"}</definedName>
    <definedName name="fffffffffffffff" localSheetId="0" hidden="1">{"'Sheet1'!$L$16"}</definedName>
    <definedName name="fffffffffffffff" localSheetId="1" hidden="1">{"'Sheet1'!$L$16"}</definedName>
    <definedName name="fffffffffffffff" hidden="1">{"'Sheet1'!$L$16"}</definedName>
    <definedName name="Fg">#REF!</definedName>
    <definedName name="fgf">#REF!</definedName>
    <definedName name="fgff" localSheetId="0" hidden="1">{#N/A,#N/A,TRUE,"SUM";#N/A,#N/A,TRUE,"EE";#N/A,#N/A,TRUE,"AC";#N/A,#N/A,TRUE,"SN"}</definedName>
    <definedName name="fgff" localSheetId="1" hidden="1">{#N/A,#N/A,TRUE,"SUM";#N/A,#N/A,TRUE,"EE";#N/A,#N/A,TRUE,"AC";#N/A,#N/A,TRUE,"SN"}</definedName>
    <definedName name="fgff" hidden="1">{#N/A,#N/A,TRUE,"SUM";#N/A,#N/A,TRUE,"EE";#N/A,#N/A,TRUE,"AC";#N/A,#N/A,TRUE,"SN"}</definedName>
    <definedName name="fgfg">#REF!</definedName>
    <definedName name="fghghgh">#REF!</definedName>
    <definedName name="FIL">#REF!</definedName>
    <definedName name="FILE">#REF!</definedName>
    <definedName name="FS.2F">#REF!</definedName>
    <definedName name="FS.3F">#REF!</definedName>
    <definedName name="FS.4F">#REF!</definedName>
    <definedName name="FS.BF">#REF!</definedName>
    <definedName name="FS.GF">#REF!</definedName>
    <definedName name="g" localSheetId="0" hidden="1">{"'Sheet1'!$L$16"}</definedName>
    <definedName name="g" localSheetId="1" hidden="1">{"'Sheet1'!$L$16"}</definedName>
    <definedName name="g" hidden="1">{"'Sheet1'!$L$16"}</definedName>
    <definedName name="g_1">#REF!</definedName>
    <definedName name="G_2">#REF!</definedName>
    <definedName name="g_3">#REF!</definedName>
    <definedName name="ga" localSheetId="0" hidden="1">{"'Sheet1'!$L$16"}</definedName>
    <definedName name="ga" localSheetId="1" hidden="1">{"'Sheet1'!$L$16"}</definedName>
    <definedName name="ga" hidden="1">{"'Sheet1'!$L$16"}</definedName>
    <definedName name="gas">#REF!</definedName>
    <definedName name="gb">#REF!</definedName>
    <definedName name="gchi">#REF!</definedName>
    <definedName name="gdfgdfgdf" localSheetId="0" hidden="1">{"'Sheet1'!$L$16"}</definedName>
    <definedName name="gdfgdfgdf" localSheetId="1" hidden="1">{"'Sheet1'!$L$16"}</definedName>
    <definedName name="gdfgdfgdf" hidden="1">{"'Sheet1'!$L$16"}</definedName>
    <definedName name="geff">#REF!</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gfj" hidden="1">#REF!</definedName>
    <definedName name="gia">#REF!</definedName>
    <definedName name="Gia_CT">#REF!</definedName>
    <definedName name="gia_tien">#REF!</definedName>
    <definedName name="gia_tien_1">#REF!</definedName>
    <definedName name="gia_tien_2">#REF!</definedName>
    <definedName name="gia_tien_3">#REF!</definedName>
    <definedName name="gia_tien_BTN">#REF!</definedName>
    <definedName name="GIA_tk">#REF!</definedName>
    <definedName name="gia_tri_1BTN">#REF!</definedName>
    <definedName name="gia_tri_2BTN">#REF!</definedName>
    <definedName name="gia_tri_3BTN">#REF!</definedName>
    <definedName name="Gia_VT">#REF!</definedName>
    <definedName name="GIADNEO">#REF!</definedName>
    <definedName name="GIATB">#REF!</definedName>
    <definedName name="GIAVLIEUTN">#REF!</definedName>
    <definedName name="gl3p">#REF!</definedName>
    <definedName name="gld">#REF!</definedName>
    <definedName name="gmsmc">#REF!</definedName>
    <definedName name="go">[1]GIAVLIEU!$M$70</definedName>
    <definedName name="GoBack" localSheetId="0">[4]Sheet1!GoBack</definedName>
    <definedName name="GoBack" localSheetId="1">[4]Sheet1!GoBack</definedName>
    <definedName name="GoBack">[4]Sheet1!GoBack</definedName>
    <definedName name="GoBack_1" localSheetId="0">'A3-MEP'!GoBack</definedName>
    <definedName name="GoBack_1" localSheetId="1">'A6-MEP'!GoBack</definedName>
    <definedName name="GoBack_1">GoBack</definedName>
    <definedName name="GoBack_10" localSheetId="0">'A3-MEP'!GoBack</definedName>
    <definedName name="GoBack_10" localSheetId="1">'A6-MEP'!GoBack</definedName>
    <definedName name="GoBack_10">GoBack</definedName>
    <definedName name="GoBack_2" localSheetId="0">'A3-MEP'!GoBack</definedName>
    <definedName name="GoBack_2" localSheetId="1">'A6-MEP'!GoBack</definedName>
    <definedName name="GoBack_2">GoBack</definedName>
    <definedName name="GoBack_3" localSheetId="0">'A3-MEP'!GoBack</definedName>
    <definedName name="GoBack_3" localSheetId="1">'A6-MEP'!GoBack</definedName>
    <definedName name="GoBack_3">GoBack</definedName>
    <definedName name="GoBack_4" localSheetId="0">'A3-MEP'!GoBack</definedName>
    <definedName name="GoBack_4" localSheetId="1">'A6-MEP'!GoBack</definedName>
    <definedName name="GoBack_4">GoBack</definedName>
    <definedName name="GoBack_5" localSheetId="0">'A3-MEP'!GoBack</definedName>
    <definedName name="GoBack_5" localSheetId="1">'A6-MEP'!GoBack</definedName>
    <definedName name="GoBack_5">GoBack</definedName>
    <definedName name="GoBack_6" localSheetId="0">'A3-MEP'!GoBack</definedName>
    <definedName name="GoBack_6" localSheetId="1">'A6-MEP'!GoBack</definedName>
    <definedName name="GoBack_6">GoBack</definedName>
    <definedName name="GoBack_7" localSheetId="0">'A3-MEP'!GoBack</definedName>
    <definedName name="GoBack_7" localSheetId="1">'A6-MEP'!GoBack</definedName>
    <definedName name="GoBack_7">GoBack</definedName>
    <definedName name="GoBack_8" localSheetId="0">'A3-MEP'!GoBack</definedName>
    <definedName name="GoBack_8" localSheetId="1">'A6-MEP'!GoBack</definedName>
    <definedName name="GoBack_8">GoBack</definedName>
    <definedName name="GoBack_9" localSheetId="0">'A3-MEP'!GoBack</definedName>
    <definedName name="GoBack_9" localSheetId="1">'A6-MEP'!GoBack</definedName>
    <definedName name="GoBack_9">GoBack</definedName>
    <definedName name="goi">[1]GIAVLIEU!$M$67</definedName>
    <definedName name="Gqlda">#REF!</definedName>
    <definedName name="GSFFAFSFSDF" localSheetId="0" hidden="1">{"'Sheet1'!$L$16"}</definedName>
    <definedName name="GSFFAFSFSDF" localSheetId="1" hidden="1">{"'Sheet1'!$L$16"}</definedName>
    <definedName name="GSFFAFSFSDF" hidden="1">{"'Sheet1'!$L$16"}</definedName>
    <definedName name="gsktxd">[3]!gsktxd</definedName>
    <definedName name="gsktxd_1">gsktxd</definedName>
    <definedName name="gsktxd_10">gsktxd</definedName>
    <definedName name="gsktxd_2">gsktxd</definedName>
    <definedName name="gsktxd_3">gsktxd</definedName>
    <definedName name="gsktxd_4">gsktxd</definedName>
    <definedName name="gsktxd_5">gsktxd</definedName>
    <definedName name="gsktxd_6">gsktxd</definedName>
    <definedName name="gsktxd_7">gsktxd</definedName>
    <definedName name="gsktxd_8">gsktxd</definedName>
    <definedName name="gsktxd_9">gsktxd</definedName>
    <definedName name="gtc">#REF!</definedName>
    <definedName name="GTRI">#REF!</definedName>
    <definedName name="GTXL">#REF!</definedName>
    <definedName name="Gxd">#REF!</definedName>
    <definedName name="gxm">#REF!</definedName>
    <definedName name="GXMAX">#REF!</definedName>
    <definedName name="GXMIN">#REF!</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MAX">#REF!</definedName>
    <definedName name="GYMIN">#REF!</definedName>
    <definedName name="H" localSheetId="0" hidden="1">{"'Sheet1'!$L$16"}</definedName>
    <definedName name="H" localSheetId="1" hidden="1">{"'Sheet1'!$L$16"}</definedName>
    <definedName name="h" hidden="1">{"'Sheet1'!$L$16"}</definedName>
    <definedName name="H_30">#REF!</definedName>
    <definedName name="h_d">#REF!</definedName>
    <definedName name="H_THUCHTHH">#REF!</definedName>
    <definedName name="H_THUCTT">#REF!</definedName>
    <definedName name="Hang_muc_khac">#REF!</definedName>
    <definedName name="hanh" localSheetId="0" hidden="1">{"'Sheet1'!$L$16"}</definedName>
    <definedName name="hanh" localSheetId="1" hidden="1">{"'Sheet1'!$L$16"}</definedName>
    <definedName name="hanh" hidden="1">{"'Sheet1'!$L$16"}</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 localSheetId="0" hidden="1">{"'Sheet1'!$L$16"}</definedName>
    <definedName name="hb" localSheetId="1" hidden="1">{"'Sheet1'!$L$16"}</definedName>
    <definedName name="hb" hidden="1">{"'Sheet1'!$L$16"}</definedName>
    <definedName name="hban">#REF!</definedName>
    <definedName name="hc">#REF!</definedName>
    <definedName name="hcd">#REF!</definedName>
    <definedName name="hct">#REF!</definedName>
    <definedName name="hdi">#REF!</definedName>
    <definedName name="Heä_soá_laép_xaø_H">1.7</definedName>
    <definedName name="heä_soá_sình_laày">#REF!</definedName>
    <definedName name="height">#REF!</definedName>
    <definedName name="Hello">#REF!</definedName>
    <definedName name="HESO">#REF!</definedName>
    <definedName name="hfgsdf" localSheetId="0" hidden="1">{"'Sheet1'!$L$16"}</definedName>
    <definedName name="hfgsdf" localSheetId="1" hidden="1">{"'Sheet1'!$L$16"}</definedName>
    <definedName name="hfgsdf" hidden="1">{"'Sheet1'!$L$16"}</definedName>
    <definedName name="Hg">#REF!</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10HT">#REF!</definedName>
    <definedName name="HH11HT">#REF!</definedName>
    <definedName name="HH12HT">#REF!</definedName>
    <definedName name="HH13HT">#REF!</definedName>
    <definedName name="HH14HT">#REF!</definedName>
    <definedName name="HH17HT">#REF!</definedName>
    <definedName name="HH18HT">#REF!</definedName>
    <definedName name="HH1HT">#REF!</definedName>
    <definedName name="HH21HT">#REF!</definedName>
    <definedName name="HH22HT">#REF!</definedName>
    <definedName name="HH23HT">#REF!</definedName>
    <definedName name="HH24HT">#REF!</definedName>
    <definedName name="HH25HT">#REF!</definedName>
    <definedName name="HH26HT">#REF!</definedName>
    <definedName name="HH2HT">#REF!</definedName>
    <definedName name="HH3HT">#REF!</definedName>
    <definedName name="HH4HT">#REF!</definedName>
    <definedName name="HH5HT">#REF!</definedName>
    <definedName name="HH6HT">#REF!</definedName>
    <definedName name="HH7HT">#REF!</definedName>
    <definedName name="HH8HT">#REF!</definedName>
    <definedName name="HH9HT">#REF!</definedName>
    <definedName name="hhb" localSheetId="0" hidden="1">{"'Sheet1'!$L$16"}</definedName>
    <definedName name="hhb" localSheetId="1" hidden="1">{"'Sheet1'!$L$16"}</definedName>
    <definedName name="hhb" hidden="1">{"'Sheet1'!$L$16"}</definedName>
    <definedName name="HHHT">#REF!</definedName>
    <definedName name="HHTT">#REF!</definedName>
    <definedName name="hien">#REF!</definedName>
    <definedName name="Hinh_thuc">#REF!</definedName>
    <definedName name="HJHH" localSheetId="0" hidden="1">{"ECA Qtrs C",#N/A,TRUE,"ECA_Qtrs_C";"ECA Qtrs D",#N/A,TRUE,"ECA_Qtrs_D";"ECA Qtrs F",#N/A,TRUE,"ECA_Qtrs_F";"ECA Qtrs G",#N/A,TRUE,"ECA_Qtrs_G";"ECA SisterApt",#N/A,TRUE,"ECA_SisterApt";"ECA Nurses",#N/A,TRUE,"ECA_NursesHostel"}</definedName>
    <definedName name="HJHH" localSheetId="1"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#REF!</definedName>
    <definedName name="hnAB">#REF!</definedName>
    <definedName name="hnhd">#REF!</definedName>
    <definedName name="ho">#REF!</definedName>
    <definedName name="HoI">#REF!</definedName>
    <definedName name="HoII">#REF!</definedName>
    <definedName name="HoIII">#REF!</definedName>
    <definedName name="HOME_MANP">#REF!</definedName>
    <definedName name="HOMEOFFICE_COST">#REF!</definedName>
    <definedName name="HS">#REF!</definedName>
    <definedName name="HSCG">#REF!</definedName>
    <definedName name="HSCT3">0.1</definedName>
    <definedName name="hsdc1">#REF!</definedName>
    <definedName name="HSDN">2.5</definedName>
    <definedName name="HSHH">#REF!</definedName>
    <definedName name="HSHHUT">#REF!</definedName>
    <definedName name="HSKK35">#REF!</definedName>
    <definedName name="HSLX">#REF!</definedName>
    <definedName name="HSLXH">1.7</definedName>
    <definedName name="HSLXP">#REF!</definedName>
    <definedName name="hsUd">#REF!</definedName>
    <definedName name="HSVC1">#REF!</definedName>
    <definedName name="HSVC2">#REF!</definedName>
    <definedName name="HSVC3">#REF!</definedName>
    <definedName name="HT">#REF!</definedName>
    <definedName name="HTHH">#REF!</definedName>
    <definedName name="htlm" localSheetId="0" hidden="1">{"'Sheet1'!$L$16"}</definedName>
    <definedName name="htlm" localSheetId="1" hidden="1">{"'Sheet1'!$L$16"}</definedName>
    <definedName name="htlm" hidden="1">{"'Sheet1'!$L$16"}</definedName>
    <definedName name="HTML_CodePage" hidden="1">950</definedName>
    <definedName name="HTML_Control" localSheetId="0" hidden="1">{"'Sheet1'!$L$16"}</definedName>
    <definedName name="HTML_Control" localSheetId="1" hidden="1">{"'Sheet1'!$L$16"}</definedName>
    <definedName name="HTML_Control" hidden="1">{"'Sheet1'!$L$16"}</definedName>
    <definedName name="HTML_Control_1" localSheetId="1">{"'Sheet1'!$L$16"}</definedName>
    <definedName name="HTML_Control_1">{"'Sheet1'!$L$16"}</definedName>
    <definedName name="HTML_Control_2" localSheetId="1">{"'Sheet1'!$L$16"}</definedName>
    <definedName name="HTML_Control_2">{"'Sheet1'!$L$16"}</definedName>
    <definedName name="HTML_Control_3" localSheetId="1">{"'Sheet1'!$L$16"}</definedName>
    <definedName name="HTML_Control_3">{"'Sheet1'!$L$16"}</definedName>
    <definedName name="HTML_Control_4" localSheetId="1">{"'Sheet1'!$L$16"}</definedName>
    <definedName name="HTML_Control_4">{"'Sheet1'!$L$16"}</definedName>
    <definedName name="HTML_Control_5" localSheetId="1">{"'Sheet1'!$L$16"}</definedName>
    <definedName name="HTML_Control_5">{"'Sheet1'!$L$16"}</definedName>
    <definedName name="HTML_Control_6" localSheetId="1">{"'Sheet1'!$L$16"}</definedName>
    <definedName name="HTML_Control_6">{"'Sheet1'!$L$16"}</definedName>
    <definedName name="HTML_Control1" localSheetId="0" hidden="1">{"'Sheet1'!$L$16"}</definedName>
    <definedName name="HTML_Control1" localSheetId="1" hidden="1">{"'Sheet1'!$L$16"}</definedName>
    <definedName name="HTML_Control1"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cpnmtrol" localSheetId="0" hidden="1">{"'Sheet1'!$L$16"}</definedName>
    <definedName name="HTMLcpnmtrol" localSheetId="1" hidden="1">{"'Sheet1'!$L$16"}</definedName>
    <definedName name="HTMLcpnmtrol" hidden="1">{"'Sheet1'!$L$16"}</definedName>
    <definedName name="HTNC">#REF!</definedName>
    <definedName name="HTVC">#REF!</definedName>
    <definedName name="HTVL">#REF!</definedName>
    <definedName name="hu" localSheetId="0" hidden="1">{"'Sheet1'!$L$16"}</definedName>
    <definedName name="hu" localSheetId="1" hidden="1">{"'Sheet1'!$L$16"}</definedName>
    <definedName name="hu"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i" localSheetId="1" hidden="1">{"'Sheet1'!$L$16"}</definedName>
    <definedName name="hui" hidden="1">{"'Sheet1'!$L$16"}</definedName>
    <definedName name="hung" localSheetId="0" hidden="1">{"'Sheet1'!$L$16"}</definedName>
    <definedName name="hung" localSheetId="1" hidden="1">{"'Sheet1'!$L$16"}</definedName>
    <definedName name="hung" hidden="1">{"'Sheet1'!$L$16"}</definedName>
    <definedName name="huy" localSheetId="0" hidden="1">{"'Sheet1'!$L$16"}</definedName>
    <definedName name="huy" localSheetId="1" hidden="1">{"'Sheet1'!$L$16"}</definedName>
    <definedName name="huy" hidden="1">{"'Sheet1'!$L$16"}</definedName>
    <definedName name="huy_1" localSheetId="1">{"'Sheet1'!$L$16"}</definedName>
    <definedName name="huy_1">{"'Sheet1'!$L$16"}</definedName>
    <definedName name="huy_2" localSheetId="1">{"'Sheet1'!$L$16"}</definedName>
    <definedName name="huy_2">{"'Sheet1'!$L$16"}</definedName>
    <definedName name="huy_3" localSheetId="1">{"'Sheet1'!$L$16"}</definedName>
    <definedName name="huy_3">{"'Sheet1'!$L$16"}</definedName>
    <definedName name="huy_4" localSheetId="1">{"'Sheet1'!$L$16"}</definedName>
    <definedName name="huy_4">{"'Sheet1'!$L$16"}</definedName>
    <definedName name="huy_5" localSheetId="1">{"'Sheet1'!$L$16"}</definedName>
    <definedName name="huy_5">{"'Sheet1'!$L$16"}</definedName>
    <definedName name="huy_6" localSheetId="1">{"'Sheet1'!$L$16"}</definedName>
    <definedName name="huy_6">{"'Sheet1'!$L$16"}</definedName>
    <definedName name="HUYØ" localSheetId="0" hidden="1">{"'Sheet1'!$L$16"}</definedName>
    <definedName name="HUYØ" localSheetId="1" hidden="1">{"'Sheet1'!$L$16"}</definedName>
    <definedName name="HUYØ" hidden="1">{"'Sheet1'!$L$16"}</definedName>
    <definedName name="hvc">#REF!</definedName>
    <definedName name="hy" localSheetId="0" hidden="1">{"'Sheet1'!$L$16"}</definedName>
    <definedName name="hy" localSheetId="1" hidden="1">{"'Sheet1'!$L$16"}</definedName>
    <definedName name="hy" hidden="1">{"'Sheet1'!$L$16"}</definedName>
    <definedName name="I">#REF!</definedName>
    <definedName name="I_p">#REF!</definedName>
    <definedName name="i0">#REF!</definedName>
    <definedName name="Icoc">#REF!</definedName>
    <definedName name="IDLAB_COST">#REF!</definedName>
    <definedName name="ii">#REF!</definedName>
    <definedName name="IMPORT">#REF!</definedName>
    <definedName name="IND_LAB">#REF!</definedName>
    <definedName name="INDMANP">#REF!</definedName>
    <definedName name="INPUT">#REF!</definedName>
    <definedName name="INPUT1">#REF!</definedName>
    <definedName name="IPX">#REF!</definedName>
    <definedName name="IPY">#REF!</definedName>
    <definedName name="j">#REF!</definedName>
    <definedName name="j356C8">#REF!</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njnn">#REF!</definedName>
    <definedName name="JK" localSheetId="1">{"Book1","BoQ2.XLS"}</definedName>
    <definedName name="JK">{"Book1","BoQ2.XLS"}</definedName>
    <definedName name="JK_1" localSheetId="1">{"Book1","BoQ2.XLS"}</definedName>
    <definedName name="JK_1">{"Book1","BoQ2.XLS"}</definedName>
    <definedName name="JK_2" localSheetId="1">{"Book1","BoQ2.XLS"}</definedName>
    <definedName name="JK_2">{"Book1","BoQ2.XLS"}</definedName>
    <definedName name="JK_3" localSheetId="1">{"Book1","BoQ2.XLS"}</definedName>
    <definedName name="JK_3">{"Book1","BoQ2.XLS"}</definedName>
    <definedName name="JK_4" localSheetId="1">{"Book1","BoQ2.XLS"}</definedName>
    <definedName name="JK_4">{"Book1","BoQ2.XLS"}</definedName>
    <definedName name="JK_5" localSheetId="1">{"Book1","BoQ2.XLS"}</definedName>
    <definedName name="JK_5">{"Book1","BoQ2.XLS"}</definedName>
    <definedName name="JK_6" localSheetId="1">{"Book1","BoQ2.XLS"}</definedName>
    <definedName name="JK_6">{"Book1","BoQ2.XLS"}</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khjh" localSheetId="1" hidden="1">{"sintesi",#N/A,FALSE,"contrib_unit";"dett_materiali",#N/A,FALSE,"contrib_unit";"dett_lav.ne",#N/A,FALSE,"contrib_unit";"dett_altre_ind.li",#N/A,FALSE,"contrib_unit";"dett_commerciali",#N/A,FALSE,"contrib_unit"}</definedName>
    <definedName name="jkhjh" hidden="1">{"sintesi",#N/A,FALSE,"contrib_unit";"dett_materiali",#N/A,FALSE,"contrib_unit";"dett_lav.ne",#N/A,FALSE,"contrib_unit";"dett_altre_ind.li",#N/A,FALSE,"contrib_unit";"dett_commerciali",#N/A,FALSE,"contrib_unit"}</definedName>
    <definedName name="jkjk" hidden="1">#REF!</definedName>
    <definedName name="jkjk_1">#REF!</definedName>
    <definedName name="jkjk_2">#REF!</definedName>
    <definedName name="jkjk_3">#REF!</definedName>
    <definedName name="jkjk_4">#REF!</definedName>
    <definedName name="jsdh" localSheetId="0" hidden="1">{"'Sheet1'!$L$16"}</definedName>
    <definedName name="jsdh" localSheetId="1" hidden="1">{"'Sheet1'!$L$16"}</definedName>
    <definedName name="jsdh" hidden="1">{"'Sheet1'!$L$16"}</definedName>
    <definedName name="Jxdam">#REF!</definedName>
    <definedName name="Jydam">#REF!</definedName>
    <definedName name="k">#REF!</definedName>
    <definedName name="K_1">#N/A</definedName>
    <definedName name="K_2">#N/A</definedName>
    <definedName name="k2b">#REF!</definedName>
    <definedName name="kcong">#REF!</definedName>
    <definedName name="kdien">#REF!</definedName>
    <definedName name="KH_Chang">#REF!</definedName>
    <definedName name="KHldatcat">#REF!</definedName>
    <definedName name="khongtruotgia" localSheetId="0" hidden="1">{"'Sheet1'!$L$16"}</definedName>
    <definedName name="khongtruotgia" localSheetId="1" hidden="1">{"'Sheet1'!$L$16"}</definedName>
    <definedName name="khongtruotgia" hidden="1">{"'Sheet1'!$L$16"}</definedName>
    <definedName name="KHTB">'[7]BAOCHE A'!$Q$4</definedName>
    <definedName name="Kiem_tra_trung_ten">#REF!</definedName>
    <definedName name="kj">#REF!</definedName>
    <definedName name="KL">#REF!</definedName>
    <definedName name="KL_d">#REF!</definedName>
    <definedName name="KL_gtcx">#REF!</definedName>
    <definedName name="KL_tn">#REF!</definedName>
    <definedName name="KL_vh">#REF!</definedName>
    <definedName name="klc">#REF!</definedName>
    <definedName name="klctbb">#REF!</definedName>
    <definedName name="KLDV">#REF!</definedName>
    <definedName name="KLTHDN">#REF!</definedName>
    <definedName name="KLVL1">#REF!</definedName>
    <definedName name="KLVT_d">#REF!</definedName>
    <definedName name="KLVT_gtcx">#REF!</definedName>
    <definedName name="KLVT_tn">#REF!</definedName>
    <definedName name="KLVT_vh">#REF!</definedName>
    <definedName name="KNEHT">#REF!</definedName>
    <definedName name="kp1ph">#REF!</definedName>
    <definedName name="ks" localSheetId="0" hidden="1">{"'Sheet1'!$L$16"}</definedName>
    <definedName name="ks" localSheetId="1" hidden="1">{"'Sheet1'!$L$16"}</definedName>
    <definedName name="ks" hidden="1">{"'Sheet1'!$L$16"}</definedName>
    <definedName name="ksbn" localSheetId="0" hidden="1">{"'Sheet1'!$L$16"}</definedName>
    <definedName name="ksbn" localSheetId="1" hidden="1">{"'Sheet1'!$L$16"}</definedName>
    <definedName name="ksbn" hidden="1">{"'Sheet1'!$L$16"}</definedName>
    <definedName name="kshn" localSheetId="0" hidden="1">{"'Sheet1'!$L$16"}</definedName>
    <definedName name="kshn" localSheetId="1" hidden="1">{"'Sheet1'!$L$16"}</definedName>
    <definedName name="kshn" hidden="1">{"'Sheet1'!$L$16"}</definedName>
    <definedName name="ksls" localSheetId="0" hidden="1">{"'Sheet1'!$L$16"}</definedName>
    <definedName name="ksls" localSheetId="1" hidden="1">{"'Sheet1'!$L$16"}</definedName>
    <definedName name="ksls" hidden="1">{"'Sheet1'!$L$16"}</definedName>
    <definedName name="KSTK">#REF!</definedName>
    <definedName name="ktc">#REF!</definedName>
    <definedName name="l">#REF!</definedName>
    <definedName name="l_1">#REF!</definedName>
    <definedName name="L_mong">#REF!</definedName>
    <definedName name="l1d">#REF!</definedName>
    <definedName name="l3s">#REF!</definedName>
    <definedName name="LAB_D">'[8]BIDDING-SUM'!#REF!</definedName>
    <definedName name="LAB_D_1">'[8]BIDDING-SUM'!#REF!</definedName>
    <definedName name="LAB_D_2">'[8]BIDDING-SUM'!#REF!</definedName>
    <definedName name="LAB_D_3">'[8]BIDDING-SUM'!#REF!</definedName>
    <definedName name="LAB_D_4">'[8]BIDDING-SUM'!#REF!</definedName>
    <definedName name="LABEL">#REF!</definedName>
    <definedName name="lan" localSheetId="0" hidden="1">{#N/A,#N/A,TRUE,"BT M200 da 10x20"}</definedName>
    <definedName name="lan" localSheetId="1" hidden="1">{#N/A,#N/A,TRUE,"BT M200 da 10x20"}</definedName>
    <definedName name="lan" hidden="1">{#N/A,#N/A,TRUE,"BT M200 da 10x20"}</definedName>
    <definedName name="langson" localSheetId="0" hidden="1">{"'Sheet1'!$L$16"}</definedName>
    <definedName name="langson" localSheetId="1" hidden="1">{"'Sheet1'!$L$16"}</definedName>
    <definedName name="langson" hidden="1">{"'Sheet1'!$L$16"}</definedName>
    <definedName name="lanhto">#REF!</definedName>
    <definedName name="lao_keo_dam_cau">#REF!</definedName>
    <definedName name="Lb">#REF!</definedName>
    <definedName name="Lban">#REF!</definedName>
    <definedName name="lcd">#REF!</definedName>
    <definedName name="lct">#REF!</definedName>
    <definedName name="Ldatcat">#REF!</definedName>
    <definedName name="Ldi">#REF!</definedName>
    <definedName name="LK_hathe">#REF!</definedName>
    <definedName name="Lmk">#REF!</definedName>
    <definedName name="Lms">#REF!</definedName>
    <definedName name="Lmt">#REF!</definedName>
    <definedName name="Lnsc">#REF!</definedName>
    <definedName name="loai">#REF!</definedName>
    <definedName name="LOAI_DUONG">#REF!</definedName>
    <definedName name="Loai_TD">#REF!</definedName>
    <definedName name="LoaiCT">#REF!</definedName>
    <definedName name="LoaixeH">#REF!</definedName>
    <definedName name="LoaixeXB">#REF!</definedName>
    <definedName name="LOCATION">[2]LEGEND!$D$7</definedName>
    <definedName name="Long" localSheetId="0" hidden="1">{"'Sheet1'!$L$16"}</definedName>
    <definedName name="Long" localSheetId="1" hidden="1">{"'Sheet1'!$L$16"}</definedName>
    <definedName name="Long" hidden="1">{"'Sheet1'!$L$16"}</definedName>
    <definedName name="LOOP">#REF!</definedName>
    <definedName name="ltre">#REF!</definedName>
    <definedName name="luan" localSheetId="0" hidden="1">{"'Sheet1'!$L$16"}</definedName>
    <definedName name="luan" localSheetId="1" hidden="1">{"'Sheet1'!$L$16"}</definedName>
    <definedName name="luan" hidden="1">{"'Sheet1'!$L$16"}</definedName>
    <definedName name="luong" localSheetId="0" hidden="1">{"'Sheet1'!$L$16"}</definedName>
    <definedName name="luong" localSheetId="1" hidden="1">{"'Sheet1'!$L$16"}</definedName>
    <definedName name="luong" hidden="1">{"'Sheet1'!$L$16"}</definedName>
    <definedName name="lvc">#REF!</definedName>
    <definedName name="m">#REF!</definedName>
    <definedName name="M10." localSheetId="0" hidden="1">{"'Sheet1'!$L$16"}</definedName>
    <definedName name="M10." localSheetId="1" hidden="1">{"'Sheet1'!$L$16"}</definedName>
    <definedName name="M10." hidden="1">{"'Sheet1'!$L$16"}</definedName>
    <definedName name="M102bn">#REF!</definedName>
    <definedName name="M102bnvc">#REF!</definedName>
    <definedName name="M10aavc">#REF!</definedName>
    <definedName name="M10bbnc">#REF!</definedName>
    <definedName name="M10bbvc">#REF!</definedName>
    <definedName name="M10bbvl">#REF!</definedName>
    <definedName name="M122bnvc">#REF!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HT">#REF!</definedName>
    <definedName name="M8aanc">#REF!</definedName>
    <definedName name="M8aavl">#REF!</definedName>
    <definedName name="M8aHT">#REF!</definedName>
    <definedName name="M8anc">#REF!</definedName>
    <definedName name="M8avl">#REF!</definedName>
    <definedName name="Ma3pnc">#REF!</definedName>
    <definedName name="Ma3pvl">#REF!</definedName>
    <definedName name="Maa3pnc">#REF!</definedName>
    <definedName name="Maa3pvl">#REF!</definedName>
    <definedName name="MACRO">#REF!</definedName>
    <definedName name="Macro3">#REF!</definedName>
    <definedName name="MAJ_CON_EQP">#REF!</definedName>
    <definedName name="MakeIt">#REF!</definedName>
    <definedName name="mat.spare" localSheetId="0" hidden="1">{"'ELEC'!$A$2:$H$216","'ELEC'!$C$2:$D$2"}</definedName>
    <definedName name="mat.spare" localSheetId="1" hidden="1">{"'ELEC'!$A$2:$H$216","'ELEC'!$C$2:$D$2"}</definedName>
    <definedName name="mat.spare" hidden="1">{"'ELEC'!$A$2:$H$216","'ELEC'!$C$2:$D$2"}</definedName>
    <definedName name="Mat_cau">#REF!</definedName>
    <definedName name="MAT_D">'[8]BIDDING-SUM'!#REF!</definedName>
    <definedName name="MAT_D_1">'[8]BIDDING-SUM'!#REF!</definedName>
    <definedName name="MAT_D_2">'[8]BIDDING-SUM'!#REF!</definedName>
    <definedName name="MAT_D_3">'[8]BIDDING-SUM'!#REF!</definedName>
    <definedName name="MAT_D_4">'[8]BIDDING-SUM'!#REF!</definedName>
    <definedName name="Material_Rate">'[9]3.Material Rate'!$B:$K</definedName>
    <definedName name="MAU" localSheetId="0" hidden="1">{"'Sheet1'!$L$16"}</definedName>
    <definedName name="MAU" localSheetId="1" hidden="1">{"'Sheet1'!$L$16"}</definedName>
    <definedName name="MAU" hidden="1">{"'Sheet1'!$L$16"}</definedName>
    <definedName name="Maùy_bieán_aùp_löïc_110_22_15KV___40MVA">#REF!</definedName>
    <definedName name="MAVLTHDN">#REF!</definedName>
    <definedName name="MB20nc">#REF!</definedName>
    <definedName name="MB20vc">#REF!</definedName>
    <definedName name="MB20vl">#REF!</definedName>
    <definedName name="Mba1p">#REF!</definedName>
    <definedName name="Mba3p">#REF!</definedName>
    <definedName name="Mbb3p">#REF!</definedName>
    <definedName name="MBnc">#REF!</definedName>
    <definedName name="MBvl">#REF!</definedName>
    <definedName name="me">#REF!</definedName>
    <definedName name="MENU1">#REF!</definedName>
    <definedName name="MENUVIEW">#REF!</definedName>
    <definedName name="MESSAGE">#REF!</definedName>
    <definedName name="MESSAGE1">#REF!</definedName>
    <definedName name="MESSAGE2">#REF!</definedName>
    <definedName name="MG_A">#REF!</definedName>
    <definedName name="mi">#REF!</definedName>
    <definedName name="mlan">#REF!</definedName>
    <definedName name="mm" localSheetId="1">{"Book1","BoQ2.XLS"}</definedName>
    <definedName name="mm">{"Book1","BoQ2.XLS"}</definedName>
    <definedName name="mm_1" localSheetId="1">{"Book1","BoQ2.XLS"}</definedName>
    <definedName name="mm_1">{"Book1","BoQ2.XLS"}</definedName>
    <definedName name="mm_2" localSheetId="1">{"Book1","BoQ2.XLS"}</definedName>
    <definedName name="mm_2">{"Book1","BoQ2.XLS"}</definedName>
    <definedName name="mm_3" localSheetId="1">{"Book1","BoQ2.XLS"}</definedName>
    <definedName name="mm_3">{"Book1","BoQ2.XLS"}</definedName>
    <definedName name="mm_4" localSheetId="1">{"Book1","BoQ2.XLS"}</definedName>
    <definedName name="mm_4">{"Book1","BoQ2.XLS"}</definedName>
    <definedName name="mm_5" localSheetId="1">{"Book1","BoQ2.XLS"}</definedName>
    <definedName name="mm_5">{"Book1","BoQ2.XLS"}</definedName>
    <definedName name="mm_6" localSheetId="1">{"Book1","BoQ2.XLS"}</definedName>
    <definedName name="mm_6">{"Book1","BoQ2.XLS"}</definedName>
    <definedName name="MODIFY">#REF!</definedName>
    <definedName name="moi" localSheetId="0" hidden="1">{"'Sheet1'!$L$16"}</definedName>
    <definedName name="moi" localSheetId="1" hidden="1">{"'Sheet1'!$L$16"}</definedName>
    <definedName name="moi" hidden="1">{"'Sheet1'!$L$16"}</definedName>
    <definedName name="mongbang">#REF!</definedName>
    <definedName name="mongdon">#REF!</definedName>
    <definedName name="Morning">#REF!</definedName>
    <definedName name="Morong">#REF!</definedName>
    <definedName name="Morong4054_85">#REF!</definedName>
    <definedName name="morong4054_98">#REF!</definedName>
    <definedName name="Moùng">#REF!</definedName>
    <definedName name="mR">#REF!</definedName>
    <definedName name="MSCT">#REF!</definedName>
    <definedName name="MTC">#REF!</definedName>
    <definedName name="MTCMB">#REF!</definedName>
    <definedName name="MTHI">#REF!</definedName>
    <definedName name="MTHII">#REF!</definedName>
    <definedName name="MTHIII">#REF!</definedName>
    <definedName name="MTMAC12">#REF!</definedName>
    <definedName name="mtram">#REF!</definedName>
    <definedName name="MyBC">"44 NK 4001"</definedName>
    <definedName name="myclient">"UNILEVER"</definedName>
    <definedName name="mylocation">"Ho Chi Minh City,VIETNAM"</definedName>
    <definedName name="n">#REF!</definedName>
    <definedName name="n_1">#REF!</definedName>
    <definedName name="n_2">#REF!</definedName>
    <definedName name="n_3">#REF!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m" localSheetId="0" hidden="1">{"'Sheet1'!$L$16"}</definedName>
    <definedName name="nam" localSheetId="1" hidden="1">{"'Sheet1'!$L$16"}</definedName>
    <definedName name="nam" hidden="1">{"'Sheet1'!$L$16"}</definedName>
    <definedName name="NC">#REF!</definedName>
    <definedName name="nc3p">#REF!</definedName>
    <definedName name="NCBD100">#REF!</definedName>
    <definedName name="NCBD200">#REF!</definedName>
    <definedName name="NCBD250">#REF!</definedName>
    <definedName name="NCCT3p">#REF!</definedName>
    <definedName name="nctram">#REF!</definedName>
    <definedName name="NCVC100">#REF!</definedName>
    <definedName name="NCVC200">#REF!</definedName>
    <definedName name="NCVC250">#REF!</definedName>
    <definedName name="NCVC3P">#REF!</definedName>
    <definedName name="NCVCM100">#REF!</definedName>
    <definedName name="NCVCM200">#REF!</definedName>
    <definedName name="neff">#REF!</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T">#REF!</definedName>
    <definedName name="NET_1">#REF!</definedName>
    <definedName name="NET_ANA">#REF!</definedName>
    <definedName name="NET_ANA_1">#REF!</definedName>
    <definedName name="NET_ANA_2">#REF!</definedName>
    <definedName name="NEW" localSheetId="0" hidden="1">{#N/A,#N/A,FALSE,"Chi tiÆt"}</definedName>
    <definedName name="NEW" localSheetId="1" hidden="1">{#N/A,#N/A,FALSE,"Chi tiÆt"}</definedName>
    <definedName name="NEW" hidden="1">{#N/A,#N/A,FALSE,"Chi tiÆt"}</definedName>
    <definedName name="NEWNAME" localSheetId="0" hidden="1">{#N/A,#N/A,FALSE,"CCTV"}</definedName>
    <definedName name="NEWNAME" localSheetId="1" hidden="1">{#N/A,#N/A,FALSE,"CCTV"}</definedName>
    <definedName name="NEWNAME" hidden="1">{#N/A,#N/A,FALSE,"CCTV"}</definedName>
    <definedName name="NEXT">#REF!</definedName>
    <definedName name="Ng">#REF!</definedName>
    <definedName name="ngau">#REF!</definedName>
    <definedName name="NGAY">#REF!</definedName>
    <definedName name="NGAY6">[10]NKC6!$C$3:$C$506</definedName>
    <definedName name="NH">#REF!</definedName>
    <definedName name="NHAÂN_COÂNG">#NAME?</definedName>
    <definedName name="NHAÂN_COÂNG_1">BTRAM</definedName>
    <definedName name="NHAÂN_COÂNG_2">'[11]Table 8-MEP'!BTRAM</definedName>
    <definedName name="NHAÂN_COÂNG_3">'[11]Table 8-MEP'!BTRAM</definedName>
    <definedName name="NHAÂN_COÂNG_4">'[11]Table 8-MEP'!BTRAM</definedName>
    <definedName name="NHAÂN_COÂNG_5">'[11]Table 8-MEP'!BTRAM</definedName>
    <definedName name="nharac" localSheetId="0" hidden="1">{#N/A,#N/A,FALSE,"Chi tiÆt"}</definedName>
    <definedName name="nharac" localSheetId="1" hidden="1">{#N/A,#N/A,FALSE,"Chi tiÆt"}</definedName>
    <definedName name="nharac" hidden="1">{#N/A,#N/A,FALSE,"Chi tiÆt"}</definedName>
    <definedName name="Nhiem" localSheetId="0" hidden="1">{"'Sheet1'!$L$16"}</definedName>
    <definedName name="Nhiem" localSheetId="1" hidden="1">{"'Sheet1'!$L$16"}</definedName>
    <definedName name="Nhiem" hidden="1">{"'Sheet1'!$L$16"}</definedName>
    <definedName name="nhn">#REF!</definedName>
    <definedName name="nhoatH30">#REF!</definedName>
    <definedName name="NHot">#REF!</definedName>
    <definedName name="nhua">#REF!</definedName>
    <definedName name="nig">#REF!</definedName>
    <definedName name="nig1p">#REF!</definedName>
    <definedName name="nig3p">#REF!</definedName>
    <definedName name="NIGnc">#REF!</definedName>
    <definedName name="nignc1p">#REF!</definedName>
    <definedName name="NIGvc">#REF!</definedName>
    <definedName name="NIGvl">#REF!</definedName>
    <definedName name="nigvl1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20nc">#REF!</definedName>
    <definedName name="NIN20vc">#REF!</definedName>
    <definedName name="NIN20vl">#REF!</definedName>
    <definedName name="nin290nc3p">#REF!</definedName>
    <definedName name="nin290vl3p">#REF!</definedName>
    <definedName name="nin3p">#REF!</definedName>
    <definedName name="NIN9020nc">#REF!</definedName>
    <definedName name="NIN9020vc">#REF!</definedName>
    <definedName name="NIN9020vl">#REF!</definedName>
    <definedName name="NIN90nc">#REF!</definedName>
    <definedName name="NIN90vc">#REF!</definedName>
    <definedName name="NIN90vl">#REF!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kl">#REF!</definedName>
    <definedName name="nl">#REF!</definedName>
    <definedName name="NL12nc">#REF!</definedName>
    <definedName name="NL12vl">#REF!</definedName>
    <definedName name="nl1p">#REF!</definedName>
    <definedName name="nl3p">#REF!</definedName>
    <definedName name="nlht">#REF!</definedName>
    <definedName name="NLTK1p">#REF!</definedName>
    <definedName name="nn">#REF!</definedName>
    <definedName name="nn1p">#REF!</definedName>
    <definedName name="nn3p">#REF!</definedName>
    <definedName name="nnnc3p">#REF!</definedName>
    <definedName name="nnvl3p">#REF!</definedName>
    <definedName name="No">#REF!</definedName>
    <definedName name="NoiSuy_TKP">#REF!</definedName>
    <definedName name="Nq">#REF!</definedName>
    <definedName name="NS_ChonThauTB">#REF!</definedName>
    <definedName name="NS_ChonThauXL">#REF!</definedName>
    <definedName name="NS_CPQLDA">#REF!</definedName>
    <definedName name="NS_GiamSatTB">#REF!</definedName>
    <definedName name="NS_GiamSatXL">#REF!</definedName>
    <definedName name="NS_KiemToan">#REF!</definedName>
    <definedName name="NS_QToan">#REF!</definedName>
    <definedName name="NS_ThamTraDT">#REF!</definedName>
    <definedName name="NS_ThamTraTK">#REF!</definedName>
    <definedName name="NToS" localSheetId="0">[12]!NToS</definedName>
    <definedName name="NToS" localSheetId="1">[12]!NToS</definedName>
    <definedName name="NToS">[12]!NToS</definedName>
    <definedName name="NToS_1" localSheetId="0">'A3-MEP'!NToS</definedName>
    <definedName name="NToS_1" localSheetId="1">'A6-MEP'!NToS</definedName>
    <definedName name="NToS_1">NToS</definedName>
    <definedName name="NToS_10" localSheetId="0">'A3-MEP'!NToS</definedName>
    <definedName name="NToS_10" localSheetId="1">'A6-MEP'!NToS</definedName>
    <definedName name="NToS_10">NToS</definedName>
    <definedName name="NToS_2" localSheetId="0">'A3-MEP'!NToS</definedName>
    <definedName name="NToS_2" localSheetId="1">'A6-MEP'!NToS</definedName>
    <definedName name="NToS_2">NToS</definedName>
    <definedName name="NToS_3" localSheetId="0">'A3-MEP'!NToS</definedName>
    <definedName name="NToS_3" localSheetId="1">'A6-MEP'!NToS</definedName>
    <definedName name="NToS_3">NToS</definedName>
    <definedName name="NToS_4" localSheetId="0">'A3-MEP'!NToS</definedName>
    <definedName name="NToS_4" localSheetId="1">'A6-MEP'!NToS</definedName>
    <definedName name="NToS_4">NToS</definedName>
    <definedName name="NToS_5" localSheetId="0">'A3-MEP'!NToS</definedName>
    <definedName name="NToS_5" localSheetId="1">'A6-MEP'!NToS</definedName>
    <definedName name="NToS_5">NToS</definedName>
    <definedName name="NToS_6" localSheetId="0">'A3-MEP'!NToS</definedName>
    <definedName name="NToS_6" localSheetId="1">'A6-MEP'!NToS</definedName>
    <definedName name="NToS_6">NToS</definedName>
    <definedName name="NToS_7" localSheetId="0">'A3-MEP'!NToS</definedName>
    <definedName name="NToS_7" localSheetId="1">'A6-MEP'!NToS</definedName>
    <definedName name="NToS_7">NToS</definedName>
    <definedName name="NToS_8" localSheetId="0">'A3-MEP'!NToS</definedName>
    <definedName name="NToS_8" localSheetId="1">'A6-MEP'!NToS</definedName>
    <definedName name="NToS_8">NToS</definedName>
    <definedName name="NToS_9" localSheetId="0">'A3-MEP'!NToS</definedName>
    <definedName name="NToS_9" localSheetId="1">'A6-MEP'!NToS</definedName>
    <definedName name="NToS_9">NToS</definedName>
    <definedName name="nx">#REF!</definedName>
    <definedName name="NXHT">#REF!</definedName>
    <definedName name="NXnc">#REF!</definedName>
    <definedName name="NXvl">#REF!</definedName>
    <definedName name="o">#REF!</definedName>
    <definedName name="Ö135">#REF!</definedName>
    <definedName name="ö513">#REF!</definedName>
    <definedName name="oanh" localSheetId="0" hidden="1">{"'Sheet1'!$L$16"}</definedName>
    <definedName name="oanh" localSheetId="1" hidden="1">{"'Sheet1'!$L$16"}</definedName>
    <definedName name="oanh" hidden="1">{"'Sheet1'!$L$16"}</definedName>
    <definedName name="ol">#REF!</definedName>
    <definedName name="ong_cong_duc_san">#REF!</definedName>
    <definedName name="Ong_cong_hinh_hop_do_tai_cho">#REF!</definedName>
    <definedName name="osc">#REF!</definedName>
    <definedName name="oxy">#REF!</definedName>
    <definedName name="p">#REF!</definedName>
    <definedName name="PAIII_" localSheetId="0" hidden="1">{"'Sheet1'!$L$16"}</definedName>
    <definedName name="PAIII_" localSheetId="1" hidden="1">{"'Sheet1'!$L$16"}</definedName>
    <definedName name="PAIII_" hidden="1">{"'Sheet1'!$L$16"}</definedName>
    <definedName name="panen">#REF!</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1"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RATE">#REF!</definedName>
    <definedName name="Pd">#REF!</definedName>
    <definedName name="pgia">#REF!</definedName>
    <definedName name="phio">#REF!</definedName>
    <definedName name="phu_luc_vua">#REF!</definedName>
    <definedName name="Phuong" localSheetId="0" hidden="1">{"'Sheet1'!$L$16"}</definedName>
    <definedName name="Phuong" localSheetId="1" hidden="1">{"'Sheet1'!$L$16"}</definedName>
    <definedName name="Phuong" hidden="1">{"'Sheet1'!$L$16"}</definedName>
    <definedName name="pile">#REF!</definedName>
    <definedName name="PILE_LENG">#REF!</definedName>
    <definedName name="PILE_TYPE">#REF!</definedName>
    <definedName name="PileSize">#REF!</definedName>
    <definedName name="PileType">#REF!</definedName>
    <definedName name="Pipe" localSheetId="0" hidden="1">{#N/A,#N/A,FALSE,"CCTV"}</definedName>
    <definedName name="Pipe" localSheetId="1" hidden="1">{#N/A,#N/A,FALSE,"CCTV"}</definedName>
    <definedName name="Pipe" hidden="1">{#N/A,#N/A,FALSE,"CCTV"}</definedName>
    <definedName name="PLCT">#REF!</definedName>
    <definedName name="PLOT">#REF!</definedName>
    <definedName name="PMS" localSheetId="0" hidden="1">{"'Sheet1'!$L$16"}</definedName>
    <definedName name="PMS" localSheetId="1" hidden="1">{"'Sheet1'!$L$16"}</definedName>
    <definedName name="PMS" hidden="1">{"'Sheet1'!$L$16"}</definedName>
    <definedName name="Poppy">#REF!</definedName>
    <definedName name="pp" localSheetId="0" hidden="1">{#N/A,#N/A,FALSE,"OUTPUT SHEET "}</definedName>
    <definedName name="pp" localSheetId="1" hidden="1">{#N/A,#N/A,FALSE,"OUTPUT SHEET "}</definedName>
    <definedName name="pp" hidden="1">{#N/A,#N/A,FALSE,"OUTPUT SHEET "}</definedName>
    <definedName name="PPPP" localSheetId="0" hidden="1">{"'Sheet1'!$L$16"}</definedName>
    <definedName name="PPPP" localSheetId="1" hidden="1">{"'Sheet1'!$L$16"}</definedName>
    <definedName name="PPPP" hidden="1">{"'Sheet1'!$L$16"}</definedName>
    <definedName name="PRICE">#REF!</definedName>
    <definedName name="PRICE1">#REF!</definedName>
    <definedName name="_xlnm.Print_Area" localSheetId="0">'A3-MEP'!$B$1:$J$2591</definedName>
    <definedName name="_xlnm.Print_Area" localSheetId="1">'A6-MEP'!$B$1:$J$2608</definedName>
    <definedName name="PRINT_AREA_MI" localSheetId="1">#REF!</definedName>
    <definedName name="PRINT_AREA_MI">#REF!</definedName>
    <definedName name="_xlnm.Print_Titles" localSheetId="0">'A3-MEP'!$5:$6</definedName>
    <definedName name="_xlnm.Print_Titles" localSheetId="1">'A6-MEP'!$5:$6</definedName>
    <definedName name="_xlnm.Print_Titles">#N/A</definedName>
    <definedName name="PRINT_TITLES_MI">#REF!</definedName>
    <definedName name="PRINTA">#REF!</definedName>
    <definedName name="PRINTB">#REF!</definedName>
    <definedName name="PRINTC">#REF!</definedName>
    <definedName name="Pro_Soil">#REF!</definedName>
    <definedName name="PROJ">[2]LEGEND!$D$4</definedName>
    <definedName name="PROPOSAL" localSheetId="1">#REF!</definedName>
    <definedName name="PROPOSAL">#REF!</definedName>
    <definedName name="pt" localSheetId="1">#REF!</definedName>
    <definedName name="pt">#REF!</definedName>
    <definedName name="PT_Duong" localSheetId="1">#REF!</definedName>
    <definedName name="PT_Duong">#REF!</definedName>
    <definedName name="ptbc">#REF!</definedName>
    <definedName name="ptdg">#REF!</definedName>
    <definedName name="PTDG_cau">#REF!</definedName>
    <definedName name="ptdg_cong">#REF!</definedName>
    <definedName name="ptdg_duong">#REF!</definedName>
    <definedName name="ptdg_ke">#REF!</definedName>
    <definedName name="PTVT_d">#REF!</definedName>
    <definedName name="PTVT_gtcx">#REF!</definedName>
    <definedName name="PTVT_tn">#REF!</definedName>
    <definedName name="PTVT_vh">#REF!</definedName>
    <definedName name="qc">#REF!</definedName>
    <definedName name="qd10_gt" localSheetId="0" hidden="1">{"'Sheet1'!$L$16"}</definedName>
    <definedName name="qd10_gt" localSheetId="1" hidden="1">{"'Sheet1'!$L$16"}</definedName>
    <definedName name="qd10_gt" hidden="1">{"'Sheet1'!$L$16"}</definedName>
    <definedName name="QL_phi">#REF!</definedName>
    <definedName name="qlcan">#REF!</definedName>
    <definedName name="qlda" localSheetId="0">[3]!qlda</definedName>
    <definedName name="qlda" localSheetId="1">[3]!qlda</definedName>
    <definedName name="qlda">[3]!qlda</definedName>
    <definedName name="qlda_1" localSheetId="0">'A3-MEP'!qlda</definedName>
    <definedName name="qlda_1" localSheetId="1">'A6-MEP'!qlda</definedName>
    <definedName name="qlda_1">qlda</definedName>
    <definedName name="qlda_10" localSheetId="0">'A3-MEP'!qlda</definedName>
    <definedName name="qlda_10" localSheetId="1">'A6-MEP'!qlda</definedName>
    <definedName name="qlda_10">qlda</definedName>
    <definedName name="qlda_2" localSheetId="0">'A3-MEP'!qlda</definedName>
    <definedName name="qlda_2" localSheetId="1">'A6-MEP'!qlda</definedName>
    <definedName name="qlda_2">qlda</definedName>
    <definedName name="qlda_3" localSheetId="0">'A3-MEP'!qlda</definedName>
    <definedName name="qlda_3" localSheetId="1">'A6-MEP'!qlda</definedName>
    <definedName name="qlda_3">qlda</definedName>
    <definedName name="qlda_4" localSheetId="0">'A3-MEP'!qlda</definedName>
    <definedName name="qlda_4" localSheetId="1">'A6-MEP'!qlda</definedName>
    <definedName name="qlda_4">qlda</definedName>
    <definedName name="qlda_5" localSheetId="0">'A3-MEP'!qlda</definedName>
    <definedName name="qlda_5" localSheetId="1">'A6-MEP'!qlda</definedName>
    <definedName name="qlda_5">qlda</definedName>
    <definedName name="qlda_6" localSheetId="0">'A3-MEP'!qlda</definedName>
    <definedName name="qlda_6" localSheetId="1">'A6-MEP'!qlda</definedName>
    <definedName name="qlda_6">qlda</definedName>
    <definedName name="qlda_7" localSheetId="0">'A3-MEP'!qlda</definedName>
    <definedName name="qlda_7" localSheetId="1">'A6-MEP'!qlda</definedName>
    <definedName name="qlda_7">qlda</definedName>
    <definedName name="qlda_8" localSheetId="0">'A3-MEP'!qlda</definedName>
    <definedName name="qlda_8" localSheetId="1">'A6-MEP'!qlda</definedName>
    <definedName name="qlda_8">qlda</definedName>
    <definedName name="qlda_9" localSheetId="0">'A3-MEP'!qlda</definedName>
    <definedName name="qlda_9" localSheetId="1">'A6-MEP'!qlda</definedName>
    <definedName name="qlda_9">qlda</definedName>
    <definedName name="qncjstkdehdwhrud" localSheetId="0" hidden="1">{#N/A,#N/A,TRUE,"1";#N/A,#N/A,TRUE,"2";#N/A,#N/A,TRUE,"3";#N/A,#N/A,TRUE,"4";#N/A,#N/A,TRUE,"5";#N/A,#N/A,TRUE,"6";#N/A,#N/A,TRUE,"7"}</definedName>
    <definedName name="qncjstkdehdwhrud" localSheetId="1" hidden="1">{#N/A,#N/A,TRUE,"1";#N/A,#N/A,TRUE,"2";#N/A,#N/A,TRUE,"3";#N/A,#N/A,TRUE,"4";#N/A,#N/A,TRUE,"5";#N/A,#N/A,TRUE,"6";#N/A,#N/A,TRUE,"7"}</definedName>
    <definedName name="qncjstkdehdwhrud" hidden="1">{#N/A,#N/A,TRUE,"1";#N/A,#N/A,TRUE,"2";#N/A,#N/A,TRUE,"3";#N/A,#N/A,TRUE,"4";#N/A,#N/A,TRUE,"5";#N/A,#N/A,TRUE,"6";#N/A,#N/A,TRUE,"7"}</definedName>
    <definedName name="qq" localSheetId="0" hidden="1">{#N/A,#N/A,FALSE,"단가표지"}</definedName>
    <definedName name="qq" localSheetId="1" hidden="1">{#N/A,#N/A,FALSE,"단가표지"}</definedName>
    <definedName name="qq" hidden="1">{#N/A,#N/A,FALSE,"단가표지"}</definedName>
    <definedName name="qqq" localSheetId="0" hidden="1">{"'Sheet1'!$L$16"}</definedName>
    <definedName name="qqq" localSheetId="1" hidden="1">{"'Sheet1'!$L$16"}</definedName>
    <definedName name="qqq" hidden="1">{"'Sheet1'!$L$16"}</definedName>
    <definedName name="qtinh">#REF!</definedName>
    <definedName name="qu">#REF!</definedName>
    <definedName name="qw" localSheetId="0" hidden="1">{#N/A,#N/A,FALSE,"단가표지"}</definedName>
    <definedName name="qw" localSheetId="1" hidden="1">{#N/A,#N/A,FALSE,"단가표지"}</definedName>
    <definedName name="qw" hidden="1">{#N/A,#N/A,FALSE,"단가표지"}</definedName>
    <definedName name="qwwqe" localSheetId="0" hidden="1">{"'Sheet1'!$L$16"}</definedName>
    <definedName name="qwwqe" localSheetId="1" hidden="1">{"'Sheet1'!$L$16"}</definedName>
    <definedName name="qwwqe" hidden="1">{"'Sheet1'!$L$16"}</definedName>
    <definedName name="ra11p">#REF!</definedName>
    <definedName name="ra13p">#REF!</definedName>
    <definedName name="rack1">#REF!</definedName>
    <definedName name="rack2">#REF!</definedName>
    <definedName name="rack3">#REF!</definedName>
    <definedName name="rack4">#REF!</definedName>
    <definedName name="Ranhxay" localSheetId="0" hidden="1">{"'Sheet1'!$L$16"}</definedName>
    <definedName name="Ranhxay" localSheetId="1" hidden="1">{"'Sheet1'!$L$16"}</definedName>
    <definedName name="Ranhxay" hidden="1">{"'Sheet1'!$L$16"}</definedName>
    <definedName name="rate">14000</definedName>
    <definedName name="RBOHT">#REF!</definedName>
    <definedName name="RBOSHT">#REF!</definedName>
    <definedName name="RBSHT">#REF!</definedName>
    <definedName name="Rcc">#REF!</definedName>
    <definedName name="RECOUT">#N/A</definedName>
    <definedName name="Rfa">#REF!</definedName>
    <definedName name="Rfn">#REF!</definedName>
    <definedName name="RFP003A">#REF!</definedName>
    <definedName name="RFP003B">#REF!</definedName>
    <definedName name="RFP003C">#REF!</definedName>
    <definedName name="RFP003D">#REF!</definedName>
    <definedName name="RFP003E">#REF!</definedName>
    <definedName name="RFP003F">#REF!</definedName>
    <definedName name="Rhh">#REF!</definedName>
    <definedName name="Rhm">#REF!</definedName>
    <definedName name="RHODIA" localSheetId="0" hidden="1">{"'DocTypeCode'!$A$142:$A$226"}</definedName>
    <definedName name="RHODIA" localSheetId="1" hidden="1">{"'DocTypeCode'!$A$142:$A$226"}</definedName>
    <definedName name="RHODIA" hidden="1">{"'DocTypeCode'!$A$142:$A$226"}</definedName>
    <definedName name="rhq" localSheetId="0">{"Book1"}</definedName>
    <definedName name="rhq" localSheetId="1">{"Book1"}</definedName>
    <definedName name="rhq">{"Book1"}</definedName>
    <definedName name="RHSHT">#REF!</definedName>
    <definedName name="rjhbserightr" hidden="1">#REF!</definedName>
    <definedName name="Rk">#REF!</definedName>
    <definedName name="RM" localSheetId="1">[13]Room!$B:$E</definedName>
    <definedName name="RM">[14]Room!$B:$E</definedName>
    <definedName name="Rmm" localSheetId="1">#REF!</definedName>
    <definedName name="Rmm">#REF!</definedName>
    <definedName name="RMSHT" localSheetId="1">#REF!</definedName>
    <definedName name="RMSHT">#REF!</definedName>
    <definedName name="Ro" localSheetId="1">#REF!</definedName>
    <definedName name="Ro">#REF!</definedName>
    <definedName name="rong1">#REF!</definedName>
    <definedName name="rong2">#REF!</definedName>
    <definedName name="rong3">#REF!</definedName>
    <definedName name="rong4">#REF!</definedName>
    <definedName name="rong5">#REF!</definedName>
    <definedName name="rong6">#REF!</definedName>
    <definedName name="Room">'[15]Unit Room'!$B$4:$Q$341</definedName>
    <definedName name="Rpp" localSheetId="1">#REF!</definedName>
    <definedName name="Rpp">#REF!</definedName>
    <definedName name="rr" localSheetId="0" hidden="1">{#N/A,#N/A,FALSE,"단가표지"}</definedName>
    <definedName name="rr" localSheetId="1" hidden="1">{#N/A,#N/A,FALSE,"단가표지"}</definedName>
    <definedName name="rr" hidden="1">{#N/A,#N/A,FALSE,"단가표지"}</definedName>
    <definedName name="rrr" localSheetId="0" hidden="1">{"'Sheet1'!$L$16"}</definedName>
    <definedName name="rrr" localSheetId="1" hidden="1">{"'Sheet1'!$L$16"}</definedName>
    <definedName name="rrr" hidden="1">{"'Sheet1'!$L$16"}</definedName>
    <definedName name="rtry">#REF!</definedName>
    <definedName name="ruu">#REF!</definedName>
    <definedName name="ruv">#REF!</definedName>
    <definedName name="ruw">#REF!</definedName>
    <definedName name="rvu">#REF!</definedName>
    <definedName name="rvv">#REF!</definedName>
    <definedName name="rvw">#REF!</definedName>
    <definedName name="rwu">#REF!</definedName>
    <definedName name="rwv">#REF!</definedName>
    <definedName name="rww">#REF!</definedName>
    <definedName name="s">#REF!</definedName>
    <definedName name="sa" localSheetId="0" hidden="1">{"'Sheet1'!$L$16"}</definedName>
    <definedName name="sa" localSheetId="1" hidden="1">{"'Sheet1'!$L$16"}</definedName>
    <definedName name="sa" hidden="1">{"'Sheet1'!$L$16"}</definedName>
    <definedName name="san">#REF!</definedName>
    <definedName name="sasaasd">#REF!</definedName>
    <definedName name="Sc">#REF!</definedName>
    <definedName name="scao98">#REF!</definedName>
    <definedName name="SCH">#REF!</definedName>
    <definedName name="schedule" localSheetId="0" hidden="1">{"'Sheet1'!$L$16"}</definedName>
    <definedName name="schedule" localSheetId="1" hidden="1">{"'Sheet1'!$L$16"}</definedName>
    <definedName name="schedule" hidden="1">{"'Sheet1'!$L$16"}</definedName>
    <definedName name="SCHUYEN">#REF!</definedName>
    <definedName name="SD" localSheetId="0" hidden="1">{"'ELEC'!$A$2:$H$216","'ELEC'!$C$2:$D$2"}</definedName>
    <definedName name="SD" localSheetId="1" hidden="1">{"'ELEC'!$A$2:$H$216","'ELEC'!$C$2:$D$2"}</definedName>
    <definedName name="SD" hidden="1">{"'ELEC'!$A$2:$H$216","'ELEC'!$C$2:$D$2"}</definedName>
    <definedName name="sd1p">#REF!</definedName>
    <definedName name="sd3p">#REF!</definedName>
    <definedName name="sdd" localSheetId="0" hidden="1">{"'Sheet1'!$L$16"}</definedName>
    <definedName name="sdd" localSheetId="1" hidden="1">{"'Sheet1'!$L$16"}</definedName>
    <definedName name="sdd" hidden="1">{"'Sheet1'!$L$16"}</definedName>
    <definedName name="sdf" localSheetId="0" hidden="1">{"'Sheet1'!$L$16"}</definedName>
    <definedName name="sdf" localSheetId="1" hidden="1">{"'Sheet1'!$L$16"}</definedName>
    <definedName name="sdf" hidden="1">{"'Sheet1'!$L$16"}</definedName>
    <definedName name="sdfda" localSheetId="0" hidden="1">{"'Sheet1'!$L$16"}</definedName>
    <definedName name="sdfda" localSheetId="1" hidden="1">{"'Sheet1'!$L$16"}</definedName>
    <definedName name="sdfda" hidden="1">{"'Sheet1'!$L$16"}</definedName>
    <definedName name="sdfsdfsd" localSheetId="0" hidden="1">{"'Sheet1'!$L$16"}</definedName>
    <definedName name="sdfsdfsd" localSheetId="1" hidden="1">{"'Sheet1'!$L$16"}</definedName>
    <definedName name="sdfsdfsd" hidden="1">{"'Sheet1'!$L$16"}</definedName>
    <definedName name="SDMONG">#REF!</definedName>
    <definedName name="Sdnn">#REF!</definedName>
    <definedName name="Sdnt">#REF!</definedName>
    <definedName name="sencount" hidden="1">1</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G" localSheetId="0" hidden="1">{"'Sheet1'!$L$16"}</definedName>
    <definedName name="SGG" localSheetId="1" hidden="1">{"'Sheet1'!$L$16"}</definedName>
    <definedName name="SGG" hidden="1">{"'Sheet1'!$L$16"}</definedName>
    <definedName name="Sheet1">#REF!</definedName>
    <definedName name="sheet3" localSheetId="0" hidden="1">{"NGUYEN QUI THIEP - Personal View",#N/A,FALSE,"XDCB.HT.FUR."}</definedName>
    <definedName name="sheet3" localSheetId="1" hidden="1">{"NGUYEN QUI THIEP - Personal View",#N/A,FALSE,"XDCB.HT.FUR."}</definedName>
    <definedName name="sheet3" hidden="1">{"NGUYEN QUI THIEP - Personal View",#N/A,FALSE,"XDCB.HT.FUR."}</definedName>
    <definedName name="sht">#REF!</definedName>
    <definedName name="sht1p">#REF!</definedName>
    <definedName name="sht3p">#REF!</definedName>
    <definedName name="sieucao">#REF!</definedName>
    <definedName name="SIGN">#REF!</definedName>
    <definedName name="SIZE">#REF!</definedName>
    <definedName name="SL_CRD">#REF!</definedName>
    <definedName name="SL_CRS">#REF!</definedName>
    <definedName name="SL_CS">#REF!</definedName>
    <definedName name="SL_DD">#REF!</definedName>
    <definedName name="slg">#REF!</definedName>
    <definedName name="sm">#REF!</definedName>
    <definedName name="SOÁ_CHUYEÁN">#REF!</definedName>
    <definedName name="soc3p">#REF!</definedName>
    <definedName name="socai">#REF!</definedName>
    <definedName name="SOCTU6">[10]NKC6!$D$3:$D$506</definedName>
    <definedName name="SOHT" localSheetId="1">#REF!</definedName>
    <definedName name="SOHT">#REF!</definedName>
    <definedName name="SoilType" localSheetId="1">#REF!</definedName>
    <definedName name="SoilType">#REF!</definedName>
    <definedName name="solieu" localSheetId="1">#REF!</definedName>
    <definedName name="solieu">#REF!</definedName>
    <definedName name="SORT">#REF!</definedName>
    <definedName name="sort_bgd">#REF!</definedName>
    <definedName name="sort_bgtn">#REF!</definedName>
    <definedName name="sort_bgvh">#REF!</definedName>
    <definedName name="sort_d">#REF!</definedName>
    <definedName name="sort_ptd">#REF!</definedName>
    <definedName name="sort_pttn">#REF!</definedName>
    <definedName name="sort_ptvh">#REF!</definedName>
    <definedName name="sort_tn">#REF!</definedName>
    <definedName name="sort_vh">#REF!</definedName>
    <definedName name="SOTIEN6">[10]NKC6!$I$3:$I$506</definedName>
    <definedName name="Spanner_Auto_File">"C:\My Documents\tinh cdo.x2a"</definedName>
    <definedName name="SPEC">#REF!</definedName>
    <definedName name="SPECSUMMARY">#REF!</definedName>
    <definedName name="SPTMC">#REF!</definedName>
    <definedName name="SS" localSheetId="0" hidden="1">{"'Sheet1'!$L$16"}</definedName>
    <definedName name="SS" localSheetId="1" hidden="1">{"'Sheet1'!$L$16"}</definedName>
    <definedName name="SS" hidden="1">{"'Sheet1'!$L$16"}</definedName>
    <definedName name="sss" localSheetId="0" hidden="1">{#N/A,#N/A,FALSE,"전력간선"}</definedName>
    <definedName name="sss" localSheetId="1" hidden="1">{#N/A,#N/A,FALSE,"전력간선"}</definedName>
    <definedName name="sss" hidden="1">{#N/A,#N/A,FALSE,"전력간선"}</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umMTC">#REF!</definedName>
    <definedName name="SumMTC1">#REF!</definedName>
    <definedName name="SumMTC2">#REF!</definedName>
    <definedName name="SumNC">#REF!</definedName>
    <definedName name="SUMNC1">#REF!</definedName>
    <definedName name="SumNC2">#REF!</definedName>
    <definedName name="SumVL">#REF!</definedName>
    <definedName name="SX_Lapthao_khungV_Sdao">#REF!</definedName>
    <definedName name="szdasda" localSheetId="0" hidden="1">{#N/A,#N/A,FALSE,"Chi tiÆt"}</definedName>
    <definedName name="szdasda" localSheetId="1" hidden="1">{#N/A,#N/A,FALSE,"Chi tiÆt"}</definedName>
    <definedName name="szdasda" hidden="1">{#N/A,#N/A,FALSE,"Chi tiÆt"}</definedName>
    <definedName name="t">#REF!</definedName>
    <definedName name="t101p">#REF!</definedName>
    <definedName name="t103p">#REF!</definedName>
    <definedName name="T10HT">#REF!</definedName>
    <definedName name="t10m">#REF!</definedName>
    <definedName name="T10nc">#REF!</definedName>
    <definedName name="t10nc1p">#REF!</definedName>
    <definedName name="T10vc">#REF!</definedName>
    <definedName name="T10vl">#REF!</definedName>
    <definedName name="t10vl1p">#REF!</definedName>
    <definedName name="t121p">#REF!</definedName>
    <definedName name="t123p">#REF!</definedName>
    <definedName name="T12nc">#REF!</definedName>
    <definedName name="t12nc3p">#REF!</definedName>
    <definedName name="T12vc">#REF!</definedName>
    <definedName name="T12vl">#REF!</definedName>
    <definedName name="t141p">#REF!</definedName>
    <definedName name="t143p">#REF!</definedName>
    <definedName name="T14nc">#REF!</definedName>
    <definedName name="T14vl">#REF!</definedName>
    <definedName name="T7HT">#REF!</definedName>
    <definedName name="t7m">#REF!</definedName>
    <definedName name="T8HT">#REF!</definedName>
    <definedName name="t8m">#REF!</definedName>
    <definedName name="T8nc">#REF!</definedName>
    <definedName name="T8vl">#REF!</definedName>
    <definedName name="ta">#REF!</definedName>
    <definedName name="tadao">#REF!</definedName>
    <definedName name="tamdan">#REF!</definedName>
    <definedName name="TaxTV">10%</definedName>
    <definedName name="TaxXL">5%</definedName>
    <definedName name="tb">#REF!</definedName>
    <definedName name="tbtram">#REF!</definedName>
    <definedName name="TBXD">#REF!</definedName>
    <definedName name="TC">#REF!</definedName>
    <definedName name="TC_NHANH1">#REF!</definedName>
    <definedName name="TCDHT">#REF!</definedName>
    <definedName name="Tchuan">#REF!</definedName>
    <definedName name="TCTRU">#REF!</definedName>
    <definedName name="td">#REF!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nc">#REF!</definedName>
    <definedName name="tdnc1p">#REF!</definedName>
    <definedName name="tdo">#REF!</definedName>
    <definedName name="tdtr2cnc">#REF!</definedName>
    <definedName name="tdtr2cvl">#REF!</definedName>
    <definedName name="TDvl">#REF!</definedName>
    <definedName name="tdvl1p">#REF!</definedName>
    <definedName name="ten_tra_1BTN">#REF!</definedName>
    <definedName name="ten_tra_2BTN">#REF!</definedName>
    <definedName name="ten_tra_3BTN">#REF!</definedName>
    <definedName name="tenck">#REF!</definedName>
    <definedName name="test">#N/A</definedName>
    <definedName name="test2" localSheetId="0" hidden="1">{"IASTrail",#N/A,FALSE,"IAS"}</definedName>
    <definedName name="test2" localSheetId="1" hidden="1">{"IASTrail",#N/A,FALSE,"IAS"}</definedName>
    <definedName name="test2" hidden="1">{"IASTrail",#N/A,FALSE,"IAS"}</definedName>
    <definedName name="test3" localSheetId="0" hidden="1">{#N/A,#N/A,FALSE,"FA_1";#N/A,#N/A,FALSE,"Dep'n SE";#N/A,#N/A,FALSE,"Dep'n FC"}</definedName>
    <definedName name="test3" localSheetId="1" hidden="1">{#N/A,#N/A,FALSE,"FA_1";#N/A,#N/A,FALSE,"Dep'n SE";#N/A,#N/A,FALSE,"Dep'n FC"}</definedName>
    <definedName name="test3" hidden="1">{#N/A,#N/A,FALSE,"FA_1";#N/A,#N/A,FALSE,"Dep'n SE";#N/A,#N/A,FALSE,"Dep'n FC"}</definedName>
    <definedName name="Test5">#REF!</definedName>
    <definedName name="Tgtgt_xd">#REF!</definedName>
    <definedName name="tha" localSheetId="0" hidden="1">{"'Sheet1'!$L$16"}</definedName>
    <definedName name="tha" localSheetId="1" hidden="1">{"'Sheet1'!$L$16"}</definedName>
    <definedName name="tha" hidden="1">{"'Sheet1'!$L$16"}</definedName>
    <definedName name="thai" localSheetId="0" hidden="1">{"'Sheet1'!$L$16"}</definedName>
    <definedName name="thai" localSheetId="1" hidden="1">{"'Sheet1'!$L$16"}</definedName>
    <definedName name="thai" hidden="1">{"'Sheet1'!$L$16"}</definedName>
    <definedName name="thang" localSheetId="0" hidden="1">{"'Sheet1'!$L$16"}</definedName>
    <definedName name="thang" localSheetId="1" hidden="1">{"'Sheet1'!$L$16"}</definedName>
    <definedName name="thang" hidden="1">{"'Sheet1'!$L$16"}</definedName>
    <definedName name="thang10" localSheetId="0" hidden="1">{"'Sheet1'!$L$16"}</definedName>
    <definedName name="thang10" localSheetId="1" hidden="1">{"'Sheet1'!$L$16"}</definedName>
    <definedName name="thang10" hidden="1">{"'Sheet1'!$L$16"}</definedName>
    <definedName name="thanh" localSheetId="0" hidden="1">{"'Sheet1'!$L$16"}</definedName>
    <definedName name="thanh" localSheetId="1" hidden="1">{"'Sheet1'!$L$16"}</definedName>
    <definedName name="thanh" hidden="1">{"'Sheet1'!$L$16"}</definedName>
    <definedName name="Thanh_LC_tayvin">#REF!</definedName>
    <definedName name="thanhtien">#REF!</definedName>
    <definedName name="THC" localSheetId="0" hidden="1">{"'Sheet1'!$L$16"}</definedName>
    <definedName name="THC" localSheetId="1" hidden="1">{"'Sheet1'!$L$16"}</definedName>
    <definedName name="THC" hidden="1">{"'Sheet1'!$L$16"}</definedName>
    <definedName name="THDT" localSheetId="0" hidden="1">{"'Sheet1'!$L$16"}</definedName>
    <definedName name="THDT" localSheetId="1" hidden="1">{"'Sheet1'!$L$16"}</definedName>
    <definedName name="THDT" hidden="1">{"'Sheet1'!$L$16"}</definedName>
    <definedName name="thepban">#REF!</definedName>
    <definedName name="theph">[1]GIAVLIEU!$M$41</definedName>
    <definedName name="thetichck" localSheetId="1">#REF!</definedName>
    <definedName name="thetichck">#REF!</definedName>
    <definedName name="THGO1pnc" localSheetId="1">#REF!</definedName>
    <definedName name="THGO1pnc">#REF!</definedName>
    <definedName name="THHT" localSheetId="1">#REF!</definedName>
    <definedName name="THHT">#REF!</definedName>
    <definedName name="THI">#REF!</definedName>
    <definedName name="thkp3">#REF!</definedName>
    <definedName name="THKPM8" localSheetId="0" hidden="1">{"'Sheet1'!$L$16"}</definedName>
    <definedName name="THKPM8" localSheetId="1" hidden="1">{"'Sheet1'!$L$16"}</definedName>
    <definedName name="THKPM8" hidden="1">{"'Sheet1'!$L$16"}</definedName>
    <definedName name="THT">#REF!</definedName>
    <definedName name="thtich1">#REF!</definedName>
    <definedName name="thtich2">#REF!</definedName>
    <definedName name="thtich3">#REF!</definedName>
    <definedName name="thtich4">#REF!</definedName>
    <definedName name="thtich5">#REF!</definedName>
    <definedName name="thtich6">#REF!</definedName>
    <definedName name="thtt">#REF!</definedName>
    <definedName name="thuy" localSheetId="0" hidden="1">{"'Sheet1'!$L$16"}</definedName>
    <definedName name="thuy" localSheetId="1" hidden="1">{"'Sheet1'!$L$16"}</definedName>
    <definedName name="thuy" hidden="1">{"'Sheet1'!$L$16"}</definedName>
    <definedName name="Tien">#REF!</definedName>
    <definedName name="TIENVC">#REF!</definedName>
    <definedName name="tienZ_d">#REF!</definedName>
    <definedName name="tienZ_tn">#REF!</definedName>
    <definedName name="tienZ_vh">#REF!</definedName>
    <definedName name="tieu">[16]LEGEND!$D$4</definedName>
    <definedName name="Tim_cong" localSheetId="1">#REF!</definedName>
    <definedName name="Tim_cong">#REF!</definedName>
    <definedName name="Tim_lan_xuat_hien_cong" localSheetId="1">#REF!</definedName>
    <definedName name="Tim_lan_xuat_hien_cong">#REF!</definedName>
    <definedName name="tim_xuat_hien" localSheetId="1">#REF!</definedName>
    <definedName name="tim_xuat_hien">#REF!</definedName>
    <definedName name="tinhqt" localSheetId="0">[3]!tinhqt</definedName>
    <definedName name="tinhqt" localSheetId="1">[3]!tinhqt</definedName>
    <definedName name="tinhqt">[3]!tinhqt</definedName>
    <definedName name="tinhqt_1" localSheetId="0">'A3-MEP'!tinhqt</definedName>
    <definedName name="tinhqt_1" localSheetId="1">'A6-MEP'!tinhqt</definedName>
    <definedName name="tinhqt_1">tinhqt</definedName>
    <definedName name="tinhqt_10" localSheetId="0">'A3-MEP'!tinhqt</definedName>
    <definedName name="tinhqt_10" localSheetId="1">'A6-MEP'!tinhqt</definedName>
    <definedName name="tinhqt_10">tinhqt</definedName>
    <definedName name="tinhqt_2" localSheetId="0">'A3-MEP'!tinhqt</definedName>
    <definedName name="tinhqt_2" localSheetId="1">'A6-MEP'!tinhqt</definedName>
    <definedName name="tinhqt_2">tinhqt</definedName>
    <definedName name="tinhqt_3" localSheetId="0">'A3-MEP'!tinhqt</definedName>
    <definedName name="tinhqt_3" localSheetId="1">'A6-MEP'!tinhqt</definedName>
    <definedName name="tinhqt_3">tinhqt</definedName>
    <definedName name="tinhqt_4" localSheetId="0">'A3-MEP'!tinhqt</definedName>
    <definedName name="tinhqt_4" localSheetId="1">'A6-MEP'!tinhqt</definedName>
    <definedName name="tinhqt_4">tinhqt</definedName>
    <definedName name="tinhqt_5" localSheetId="0">'A3-MEP'!tinhqt</definedName>
    <definedName name="tinhqt_5" localSheetId="1">'A6-MEP'!tinhqt</definedName>
    <definedName name="tinhqt_5">tinhqt</definedName>
    <definedName name="tinhqt_6" localSheetId="0">'A3-MEP'!tinhqt</definedName>
    <definedName name="tinhqt_6" localSheetId="1">'A6-MEP'!tinhqt</definedName>
    <definedName name="tinhqt_6">tinhqt</definedName>
    <definedName name="tinhqt_7" localSheetId="0">'A3-MEP'!tinhqt</definedName>
    <definedName name="tinhqt_7" localSheetId="1">'A6-MEP'!tinhqt</definedName>
    <definedName name="tinhqt_7">tinhqt</definedName>
    <definedName name="tinhqt_8" localSheetId="0">'A3-MEP'!tinhqt</definedName>
    <definedName name="tinhqt_8" localSheetId="1">'A6-MEP'!tinhqt</definedName>
    <definedName name="tinhqt_8">tinhqt</definedName>
    <definedName name="tinhqt_9" localSheetId="0">'A3-MEP'!tinhqt</definedName>
    <definedName name="tinhqt_9" localSheetId="1">'A6-MEP'!tinhqt</definedName>
    <definedName name="tinhqt_9">tinhqt</definedName>
    <definedName name="TITAN" localSheetId="1">#REF!</definedName>
    <definedName name="TITAN">#REF!</definedName>
    <definedName name="tkp" localSheetId="0">[3]!tkp</definedName>
    <definedName name="tkp" localSheetId="1">[3]!tkp</definedName>
    <definedName name="tkp">[3]!tkp</definedName>
    <definedName name="tkp_1" localSheetId="0">'A3-MEP'!tkp</definedName>
    <definedName name="tkp_1" localSheetId="1">'A6-MEP'!tkp</definedName>
    <definedName name="tkp_1">tkp</definedName>
    <definedName name="tkp_10" localSheetId="0">'A3-MEP'!tkp</definedName>
    <definedName name="tkp_10" localSheetId="1">'A6-MEP'!tkp</definedName>
    <definedName name="tkp_10">tkp</definedName>
    <definedName name="tkp_2" localSheetId="0">'A3-MEP'!tkp</definedName>
    <definedName name="tkp_2" localSheetId="1">'A6-MEP'!tkp</definedName>
    <definedName name="tkp_2">tkp</definedName>
    <definedName name="tkp_3" localSheetId="0">'A3-MEP'!tkp</definedName>
    <definedName name="tkp_3" localSheetId="1">'A6-MEP'!tkp</definedName>
    <definedName name="tkp_3">tkp</definedName>
    <definedName name="tkp_4" localSheetId="0">'A3-MEP'!tkp</definedName>
    <definedName name="tkp_4" localSheetId="1">'A6-MEP'!tkp</definedName>
    <definedName name="tkp_4">tkp</definedName>
    <definedName name="tkp_5" localSheetId="0">'A3-MEP'!tkp</definedName>
    <definedName name="tkp_5" localSheetId="1">'A6-MEP'!tkp</definedName>
    <definedName name="tkp_5">tkp</definedName>
    <definedName name="tkp_6" localSheetId="0">'A3-MEP'!tkp</definedName>
    <definedName name="tkp_6" localSheetId="1">'A6-MEP'!tkp</definedName>
    <definedName name="tkp_6">tkp</definedName>
    <definedName name="tkp_7" localSheetId="0">'A3-MEP'!tkp</definedName>
    <definedName name="tkp_7" localSheetId="1">'A6-MEP'!tkp</definedName>
    <definedName name="tkp_7">tkp</definedName>
    <definedName name="tkp_8" localSheetId="0">'A3-MEP'!tkp</definedName>
    <definedName name="tkp_8" localSheetId="1">'A6-MEP'!tkp</definedName>
    <definedName name="tkp_8">tkp</definedName>
    <definedName name="tkp_9" localSheetId="0">'A3-MEP'!tkp</definedName>
    <definedName name="tkp_9" localSheetId="1">'A6-MEP'!tkp</definedName>
    <definedName name="tkp_9">tkp</definedName>
    <definedName name="tkpdt" localSheetId="0">[3]!tkpdt</definedName>
    <definedName name="tkpdt" localSheetId="1">[3]!tkpdt</definedName>
    <definedName name="tkpdt">[3]!tkpdt</definedName>
    <definedName name="tkpdt_1" localSheetId="0">'A3-MEP'!tkpdt</definedName>
    <definedName name="tkpdt_1" localSheetId="1">'A6-MEP'!tkpdt</definedName>
    <definedName name="tkpdt_1">tkpdt</definedName>
    <definedName name="tkpdt_10" localSheetId="0">'A3-MEP'!tkpdt</definedName>
    <definedName name="tkpdt_10" localSheetId="1">'A6-MEP'!tkpdt</definedName>
    <definedName name="tkpdt_10">tkpdt</definedName>
    <definedName name="tkpdt_2" localSheetId="0">'A3-MEP'!tkpdt</definedName>
    <definedName name="tkpdt_2" localSheetId="1">'A6-MEP'!tkpdt</definedName>
    <definedName name="tkpdt_2">tkpdt</definedName>
    <definedName name="tkpdt_3" localSheetId="0">'A3-MEP'!tkpdt</definedName>
    <definedName name="tkpdt_3" localSheetId="1">'A6-MEP'!tkpdt</definedName>
    <definedName name="tkpdt_3">tkpdt</definedName>
    <definedName name="tkpdt_4" localSheetId="0">'A3-MEP'!tkpdt</definedName>
    <definedName name="tkpdt_4" localSheetId="1">'A6-MEP'!tkpdt</definedName>
    <definedName name="tkpdt_4">tkpdt</definedName>
    <definedName name="tkpdt_5" localSheetId="0">'A3-MEP'!tkpdt</definedName>
    <definedName name="tkpdt_5" localSheetId="1">'A6-MEP'!tkpdt</definedName>
    <definedName name="tkpdt_5">tkpdt</definedName>
    <definedName name="tkpdt_6" localSheetId="0">'A3-MEP'!tkpdt</definedName>
    <definedName name="tkpdt_6" localSheetId="1">'A6-MEP'!tkpdt</definedName>
    <definedName name="tkpdt_6">tkpdt</definedName>
    <definedName name="tkpdt_7" localSheetId="0">'A3-MEP'!tkpdt</definedName>
    <definedName name="tkpdt_7" localSheetId="1">'A6-MEP'!tkpdt</definedName>
    <definedName name="tkpdt_7">tkpdt</definedName>
    <definedName name="tkpdt_8" localSheetId="0">'A3-MEP'!tkpdt</definedName>
    <definedName name="tkpdt_8" localSheetId="1">'A6-MEP'!tkpdt</definedName>
    <definedName name="tkpdt_8">tkpdt</definedName>
    <definedName name="tkpdt_9" localSheetId="0">'A3-MEP'!tkpdt</definedName>
    <definedName name="tkpdt_9" localSheetId="1">'A6-MEP'!tkpdt</definedName>
    <definedName name="tkpdt_9">tkpdt</definedName>
    <definedName name="TLAC120" localSheetId="1">#REF!</definedName>
    <definedName name="TLAC120">#REF!</definedName>
    <definedName name="TLAC35" localSheetId="1">#REF!</definedName>
    <definedName name="TLAC35">#REF!</definedName>
    <definedName name="TLAC50" localSheetId="1">#REF!</definedName>
    <definedName name="TLAC50">#REF!</definedName>
    <definedName name="TLAC70">#REF!</definedName>
    <definedName name="TLAC95">#REF!</definedName>
    <definedName name="TLDPK">#REF!</definedName>
    <definedName name="Tle">#REF!</definedName>
    <definedName name="TM_d">#REF!</definedName>
    <definedName name="TM_tn">#REF!</definedName>
    <definedName name="TM_vh">#REF!</definedName>
    <definedName name="TNC_d">#REF!</definedName>
    <definedName name="TNC_tn">#REF!</definedName>
    <definedName name="TNC_vh">#REF!</definedName>
    <definedName name="TNChiuThue">#REF!</definedName>
    <definedName name="ton">#REF!</definedName>
    <definedName name="tongbt">#REF!</definedName>
    <definedName name="tongcong">#REF!</definedName>
    <definedName name="tongdientich">#REF!</definedName>
    <definedName name="TONGDUTOAN">#REF!</definedName>
    <definedName name="tongthep">#REF!</definedName>
    <definedName name="tongthetich">#REF!</definedName>
    <definedName name="TOTAL">#N/A</definedName>
    <definedName name="TPLRP">#REF!</definedName>
    <definedName name="TR">#REF!</definedName>
    <definedName name="TR10HT">#REF!</definedName>
    <definedName name="TR11HT">#REF!</definedName>
    <definedName name="TR12HT">#REF!</definedName>
    <definedName name="TR13HT">#REF!</definedName>
    <definedName name="TR14HT">#REF!</definedName>
    <definedName name="TR17HT">#REF!</definedName>
    <definedName name="TR18HT">#REF!</definedName>
    <definedName name="TR1HT">#REF!</definedName>
    <definedName name="TR21HT">#REF!</definedName>
    <definedName name="TR22HT">#REF!</definedName>
    <definedName name="TR23HT">#REF!</definedName>
    <definedName name="TR24HT">#REF!</definedName>
    <definedName name="TR25HT">#REF!</definedName>
    <definedName name="TR26HT">#REF!</definedName>
    <definedName name="TR2HT">#REF!</definedName>
    <definedName name="TR3HT">#REF!</definedName>
    <definedName name="TR4HT">#REF!</definedName>
    <definedName name="TR5HT">#REF!</definedName>
    <definedName name="TR6HT">#REF!</definedName>
    <definedName name="TR7HT">#REF!</definedName>
    <definedName name="TR8HT">#REF!</definedName>
    <definedName name="TR9HT">#REF!</definedName>
    <definedName name="Tra_Cot">#REF!</definedName>
    <definedName name="Tra_DM_su_dung">#REF!</definedName>
    <definedName name="Tra_DM_su_dung_cau">#REF!</definedName>
    <definedName name="Tra_don_gia_KS">#REF!</definedName>
    <definedName name="Tra_DTCT">#REF!</definedName>
    <definedName name="Tra_gia">#REF!</definedName>
    <definedName name="Tra_gtxl_cong">#REF!</definedName>
    <definedName name="Tra_ten_cong">#REF!</definedName>
    <definedName name="Tra_tim_hang_mucPT_trung">#REF!</definedName>
    <definedName name="Tra_TL">#REF!</definedName>
    <definedName name="Tra_TT">#REF!</definedName>
    <definedName name="Tra_ty_le">#REF!</definedName>
    <definedName name="Tra_ty_le2">#REF!</definedName>
    <definedName name="Tra_ty_le3">#REF!</definedName>
    <definedName name="Tra_ty_le4">#REF!</definedName>
    <definedName name="Tra_ty_le5">#REF!</definedName>
    <definedName name="TRA_VAT_LIEU">#REF!</definedName>
    <definedName name="TRA_VL">#REF!</definedName>
    <definedName name="tra_xlbtn">#REF!</definedName>
    <definedName name="trab">#REF!</definedName>
    <definedName name="trabtn">#REF!</definedName>
    <definedName name="TraDAH_H">#REF!</definedName>
    <definedName name="TRADE2">#REF!</definedName>
    <definedName name="TRAM">#REF!</definedName>
    <definedName name="TRAvH">#REF!</definedName>
    <definedName name="TRHT">#REF!</definedName>
    <definedName name="TRU">#REF!</definedName>
    <definedName name="tru_can">#REF!</definedName>
    <definedName name="TRUNGNGUYEN" localSheetId="0" hidden="1">{#N/A,#N/A,FALSE,"Chi tiÆt"}</definedName>
    <definedName name="TRUNGNGUYEN" localSheetId="1" hidden="1">{#N/A,#N/A,FALSE,"Chi tiÆt"}</definedName>
    <definedName name="TRUNGNGUYEN" hidden="1">{#N/A,#N/A,FALSE,"Chi tiÆt"}</definedName>
    <definedName name="TS">#REF!</definedName>
    <definedName name="TT_1P">#REF!</definedName>
    <definedName name="TT_3p">#REF!</definedName>
    <definedName name="ttao">#REF!</definedName>
    <definedName name="TTDD1P">#REF!</definedName>
    <definedName name="TTDKKH">#REF!</definedName>
    <definedName name="tthi">#REF!</definedName>
    <definedName name="TTMTC">#REF!</definedName>
    <definedName name="TTNC">#REF!</definedName>
    <definedName name="ttronmk">#REF!</definedName>
    <definedName name="tttt" localSheetId="0" hidden="1">{"'Sheet1'!$L$16"}</definedName>
    <definedName name="tttt" localSheetId="1" hidden="1">{"'Sheet1'!$L$16"}</definedName>
    <definedName name="tttt" hidden="1">{"'Sheet1'!$L$16"}</definedName>
    <definedName name="TU" localSheetId="0" hidden="1">{"'Sheet1'!$L$16"}</definedName>
    <definedName name="TU" localSheetId="1" hidden="1">{"'Sheet1'!$L$16"}</definedName>
    <definedName name="TU" hidden="1">{"'Sheet1'!$L$16"}</definedName>
    <definedName name="tuam" localSheetId="0" hidden="1">{"'Sheet1'!$L$16"}</definedName>
    <definedName name="tuam" localSheetId="1" hidden="1">{"'Sheet1'!$L$16"}</definedName>
    <definedName name="tuam" hidden="1">{"'Sheet1'!$L$16"}</definedName>
    <definedName name="tuan03" localSheetId="0" hidden="1">{"'Sheet1'!$L$16"}</definedName>
    <definedName name="tuan03" localSheetId="1" hidden="1">{"'Sheet1'!$L$16"}</definedName>
    <definedName name="tuan03" hidden="1">{"'Sheet1'!$L$16"}</definedName>
    <definedName name="TUANKHANHTUYET45" localSheetId="1" hidden="1">{0}</definedName>
    <definedName name="TUANKHANHTUYET45" hidden="1">{0}</definedName>
    <definedName name="Tuong_chan">#REF!</definedName>
    <definedName name="TUVAN_dtxl">#REF!</definedName>
    <definedName name="tuyennhanh" localSheetId="0" hidden="1">{"'Sheet1'!$L$16"}</definedName>
    <definedName name="tuyennhanh" localSheetId="1" hidden="1">{"'Sheet1'!$L$16"}</definedName>
    <definedName name="tuyennhanh" hidden="1">{"'Sheet1'!$L$16"}</definedName>
    <definedName name="tv75nc">#REF!</definedName>
    <definedName name="tv75vl">#REF!</definedName>
    <definedName name="TVL_d">#REF!</definedName>
    <definedName name="TVL_tn">#REF!</definedName>
    <definedName name="TVL_vh">#REF!</definedName>
    <definedName name="TX">#REF!</definedName>
    <definedName name="TY">#REF!</definedName>
    <definedName name="ty_le">#REF!</definedName>
    <definedName name="ty_le_2">#REF!</definedName>
    <definedName name="ty_le_3">#REF!</definedName>
    <definedName name="ty_le_BTN">#REF!</definedName>
    <definedName name="Ty_le1">#REF!</definedName>
    <definedName name="u">#N/A</definedName>
    <definedName name="Ucoc">#REF!</definedName>
    <definedName name="usd">15000</definedName>
    <definedName name="v">#REF!</definedName>
    <definedName name="V_a_b__t_ng_M200____1x2">#N/A</definedName>
    <definedName name="V8.Refresh" localSheetId="0" hidden="1">{"NGUYEN QUI THIEP - Personal View",#N/A,FALSE,"XDCB.HT.FUR."}</definedName>
    <definedName name="V8.Refresh" localSheetId="1" hidden="1">{"NGUYEN QUI THIEP - Personal View",#N/A,FALSE,"XDCB.HT.FUR."}</definedName>
    <definedName name="V8.Refresh" hidden="1">{"NGUYEN QUI THIEP - Personal View",#N/A,FALSE,"XDCB.HT.FUR."}</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RIINST">#REF!</definedName>
    <definedName name="VARIPURC">#REF!</definedName>
    <definedName name="VAT">#REF!</definedName>
    <definedName name="VatLieu">#REF!</definedName>
    <definedName name="vbtchongnuocm300">#REF!</definedName>
    <definedName name="vbtm150">#REF!</definedName>
    <definedName name="vbtm300">#REF!</definedName>
    <definedName name="vbtm400">#REF!</definedName>
    <definedName name="VC">#REF!</definedName>
    <definedName name="VCBo">#REF!</definedName>
    <definedName name="VCCH12M200">#REF!</definedName>
    <definedName name="VCCU">#REF!</definedName>
    <definedName name="VCHT">#REF!</definedName>
    <definedName name="VCL46M100">#REF!</definedName>
    <definedName name="VCM24M200">#REF!</definedName>
    <definedName name="vcoto" localSheetId="0" hidden="1">{"'Sheet1'!$L$16"}</definedName>
    <definedName name="vcoto" localSheetId="1" hidden="1">{"'Sheet1'!$L$16"}</definedName>
    <definedName name="vcoto" hidden="1">{"'Sheet1'!$L$16"}</definedName>
    <definedName name="VCTHEP10">#REF!</definedName>
    <definedName name="VCTHEP18">#REF!</definedName>
    <definedName name="VCTHEP20">#REF!</definedName>
    <definedName name="VCthuy">#REF!</definedName>
    <definedName name="VCTT">#REF!</definedName>
    <definedName name="VCVAN">#REF!</definedName>
    <definedName name="vd">#REF!</definedName>
    <definedName name="vd3p">#REF!</definedName>
    <definedName name="vidu">#REF!</definedName>
    <definedName name="vidu_h">#REF!</definedName>
    <definedName name="Viet" localSheetId="0" hidden="1">{"'Sheet1'!$L$16"}</definedName>
    <definedName name="Viet" localSheetId="1" hidden="1">{"'Sheet1'!$L$16"}</definedName>
    <definedName name="Viet" hidden="1">{"'Sheet1'!$L$16"}</definedName>
    <definedName name="VIEW">#REF!</definedName>
    <definedName name="vkcauthang">#REF!</definedName>
    <definedName name="vksan">#REF!</definedName>
    <definedName name="vl">#REF!</definedName>
    <definedName name="VL_RC1">#REF!</definedName>
    <definedName name="VL_RC2">#REF!</definedName>
    <definedName name="VL_Rnha">#REF!</definedName>
    <definedName name="VL_RS">#REF!</definedName>
    <definedName name="vl3p">#REF!</definedName>
    <definedName name="VLc">#REF!</definedName>
    <definedName name="VLCH12M200">#REF!</definedName>
    <definedName name="VLCT3p">#REF!</definedName>
    <definedName name="vlctbb">#REF!</definedName>
    <definedName name="VLCU">#REF!</definedName>
    <definedName name="vldn400">#REF!</definedName>
    <definedName name="vldn600">#REF!</definedName>
    <definedName name="VLKhac">#REF!</definedName>
    <definedName name="VLL46M100">#REF!</definedName>
    <definedName name="VLM24M200">#REF!</definedName>
    <definedName name="VLP">#REF!</definedName>
    <definedName name="VLTHEP10">#REF!</definedName>
    <definedName name="VLTHEP18">#REF!</definedName>
    <definedName name="VLTHEP20">#REF!</definedName>
    <definedName name="vltram">#REF!</definedName>
    <definedName name="VLVAN">#REF!</definedName>
    <definedName name="vr3p">#REF!</definedName>
    <definedName name="VT">#REF!</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LL">#REF!</definedName>
    <definedName name="WALL_FIN">#REF!</definedName>
    <definedName name="Wch">#REF!</definedName>
    <definedName name="Wcol">#REF!</definedName>
    <definedName name="WIND1_H">#REF!</definedName>
    <definedName name="WIND1_W">#REF!</definedName>
    <definedName name="WIND2_H">#REF!</definedName>
    <definedName name="WIND2_W">#REF!</definedName>
    <definedName name="wm.조골재1" localSheetId="0" hidden="1">{#N/A,#N/A,FALSE,"조골재"}</definedName>
    <definedName name="wm.조골재1" localSheetId="1" hidden="1">{#N/A,#N/A,FALSE,"조골재"}</definedName>
    <definedName name="wm.조골재1" hidden="1">{#N/A,#N/A,FALSE,"조골재"}</definedName>
    <definedName name="Wp">#REF!</definedName>
    <definedName name="Wpc">#REF!</definedName>
    <definedName name="wqe" localSheetId="0" hidden="1">{"'ELEC'!$A$2:$H$216","'ELEC'!$C$2:$D$2"}</definedName>
    <definedName name="wqe" localSheetId="1" hidden="1">{"'ELEC'!$A$2:$H$216","'ELEC'!$C$2:$D$2"}</definedName>
    <definedName name="wqe" hidden="1">{"'ELEC'!$A$2:$H$216","'ELEC'!$C$2:$D$2"}</definedName>
    <definedName name="WRITE" localSheetId="0" hidden="1">{#N/A,#N/A,FALSE,"CCTV"}</definedName>
    <definedName name="WRITE" localSheetId="1" hidden="1">{#N/A,#N/A,FALSE,"CCTV"}</definedName>
    <definedName name="WRITE" hidden="1">{#N/A,#N/A,FALSE,"CCTV"}</definedName>
    <definedName name="wrn.2번." localSheetId="0" hidden="1">{#N/A,#N/A,FALSE,"2~8번"}</definedName>
    <definedName name="wrn.2번." localSheetId="1" hidden="1">{#N/A,#N/A,FALSE,"2~8번"}</definedName>
    <definedName name="wrn.2번." hidden="1">{#N/A,#N/A,FALSE,"2~8번"}</definedName>
    <definedName name="wrn.97년._.사업계획._.및._.예산지침." localSheetId="0" hidden="1">{#N/A,#N/A,TRUE,"1";#N/A,#N/A,TRUE,"2";#N/A,#N/A,TRUE,"3";#N/A,#N/A,TRUE,"4";#N/A,#N/A,TRUE,"5";#N/A,#N/A,TRUE,"6";#N/A,#N/A,TRUE,"7"}</definedName>
    <definedName name="wrn.97년._.사업계획._.및._.예산지침." localSheetId="1" hidden="1">{#N/A,#N/A,TRUE,"1";#N/A,#N/A,TRUE,"2";#N/A,#N/A,TRUE,"3";#N/A,#N/A,TRUE,"4";#N/A,#N/A,TRUE,"5";#N/A,#N/A,TRUE,"6";#N/A,#N/A,TRUE,"7"}</definedName>
    <definedName name="wrn.97년._.사업계획._.및._.예산지침." hidden="1">{#N/A,#N/A,TRUE,"1";#N/A,#N/A,TRUE,"2";#N/A,#N/A,TRUE,"3";#N/A,#N/A,TRUE,"4";#N/A,#N/A,TRUE,"5";#N/A,#N/A,TRUE,"6";#N/A,#N/A,TRUE,"7"}</definedName>
    <definedName name="wrn.A." localSheetId="0" hidden="1">{#N/A,#N/A,TRUE,"SUM";#N/A,#N/A,TRUE,"EE";#N/A,#N/A,TRUE,"AC";#N/A,#N/A,TRUE,"SN"}</definedName>
    <definedName name="wrn.A." localSheetId="1" hidden="1">{#N/A,#N/A,TRUE,"SUM";#N/A,#N/A,TRUE,"EE";#N/A,#N/A,TRUE,"AC";#N/A,#N/A,TRUE,"SN"}</definedName>
    <definedName name="wrn.A." hidden="1">{#N/A,#N/A,TRUE,"SUM";#N/A,#N/A,TRUE,"EE";#N/A,#N/A,TRUE,"AC";#N/A,#N/A,TRUE,"SN"}</definedName>
    <definedName name="wrn.aaa." localSheetId="0" hidden="1">{#N/A,#N/A,FALSE,"Sheet1";#N/A,#N/A,FALSE,"Sheet1";#N/A,#N/A,FALSE,"Sheet1"}</definedName>
    <definedName name="wrn.aaa." localSheetId="1" hidden="1">{#N/A,#N/A,FALSE,"Sheet1";#N/A,#N/A,FALSE,"Sheet1";#N/A,#N/A,FALSE,"Sheet1"}</definedName>
    <definedName name="wrn.aaa." hidden="1">{#N/A,#N/A,FALSE,"Sheet1";#N/A,#N/A,FALSE,"Sheet1";#N/A,#N/A,FALSE,"Sheet1"}</definedName>
    <definedName name="wrn.Bang._.ke._.nhan._.hang." localSheetId="0" hidden="1">{#N/A,#N/A,FALSE,"Ke khai NH"}</definedName>
    <definedName name="wrn.Bang._.ke._.nhan._.hang." localSheetId="1" hidden="1">{#N/A,#N/A,FALSE,"Ke khai NH"}</definedName>
    <definedName name="wrn.Bang._.ke._.nhan._.hang." hidden="1">{#N/A,#N/A,FALSE,"Ke khai NH"}</definedName>
    <definedName name="wrn.BIDSUM." localSheetId="0" hidden="1">{#N/A,#N/A,TRUE,"SUMMARY";#N/A,#N/A,TRUE,"ISBL";#N/A,#N/A,TRUE,"OSBL";#N/A,#N/A,TRUE,"OFFSITE";#N/A,#N/A,TRUE,"STEAM"}</definedName>
    <definedName name="wrn.BIDSUM." localSheetId="1"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localSheetId="1"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localSheetId="1" hidden="1">{#N/A,#N/A,FALSE,"CCTV"}</definedName>
    <definedName name="wrn.BM." hidden="1">{#N/A,#N/A,FALSE,"CCTV"}</definedName>
    <definedName name="wrn.Che._.do._.duoc._.huong." localSheetId="0" hidden="1">{#N/A,#N/A,FALSE,"BN (2)"}</definedName>
    <definedName name="wrn.Che._.do._.duoc._.huong." localSheetId="1" hidden="1">{#N/A,#N/A,FALSE,"BN (2)"}</definedName>
    <definedName name="wrn.Che._.do._.duoc._.huong." hidden="1">{#N/A,#N/A,FALSE,"BN (2)"}</definedName>
    <definedName name="wrn.chi._.tiÆt." localSheetId="0" hidden="1">{#N/A,#N/A,FALSE,"Chi tiÆt"}</definedName>
    <definedName name="wrn.chi._.tiÆt." localSheetId="1" hidden="1">{#N/A,#N/A,FALSE,"Chi tiÆt"}</definedName>
    <definedName name="wrn.chi._.tiÆt." hidden="1">{#N/A,#N/A,FALSE,"Chi tiÆt"}</definedName>
    <definedName name="wrn.chi._.tiÆt._1" localSheetId="0">{#N/A,#N/A,FALSE,"Chi tiÆt"}</definedName>
    <definedName name="wrn.chi._.tiÆt._1" localSheetId="1">{#N/A,#N/A,FALSE,"Chi tiÆt"}</definedName>
    <definedName name="wrn.chi._.tiÆt._1">{#N/A,#N/A,FALSE,"Chi tiÆt"}</definedName>
    <definedName name="wrn.chi._.tiÆt._2" localSheetId="0">{#N/A,#N/A,FALSE,"Chi tiÆt"}</definedName>
    <definedName name="wrn.chi._.tiÆt._2" localSheetId="1">{#N/A,#N/A,FALSE,"Chi tiÆt"}</definedName>
    <definedName name="wrn.chi._.tiÆt._2">{#N/A,#N/A,FALSE,"Chi tiÆt"}</definedName>
    <definedName name="wrn.chi._.tiÆt._3" localSheetId="0">{#N/A,#N/A,FALSE,"Chi tiÆt"}</definedName>
    <definedName name="wrn.chi._.tiÆt._3" localSheetId="1">{#N/A,#N/A,FALSE,"Chi tiÆt"}</definedName>
    <definedName name="wrn.chi._.tiÆt._3">{#N/A,#N/A,FALSE,"Chi tiÆt"}</definedName>
    <definedName name="wrn.chi._.tiÆt._4" localSheetId="0">{#N/A,#N/A,FALSE,"Chi tiÆt"}</definedName>
    <definedName name="wrn.chi._.tiÆt._4" localSheetId="1">{#N/A,#N/A,FALSE,"Chi tiÆt"}</definedName>
    <definedName name="wrn.chi._.tiÆt._4">{#N/A,#N/A,FALSE,"Chi tiÆt"}</definedName>
    <definedName name="wrn.chi._.tiÆt._5" localSheetId="0">{#N/A,#N/A,FALSE,"Chi tiÆt"}</definedName>
    <definedName name="wrn.chi._.tiÆt._5" localSheetId="1">{#N/A,#N/A,FALSE,"Chi tiÆt"}</definedName>
    <definedName name="wrn.chi._.tiÆt._5">{#N/A,#N/A,FALSE,"Chi tiÆt"}</definedName>
    <definedName name="wrn.chi._.tiÆt._6" localSheetId="0">{#N/A,#N/A,FALSE,"Chi tiÆt"}</definedName>
    <definedName name="wrn.chi._.tiÆt._6" localSheetId="1">{#N/A,#N/A,FALSE,"Chi tiÆt"}</definedName>
    <definedName name="wrn.chi._.tiÆt._6">{#N/A,#N/A,FALSE,"Chi tiÆt"}</definedName>
    <definedName name="wrn.Coded._.IAS._.FS." localSheetId="0" hidden="1">{"IASTrail",#N/A,FALSE,"IAS"}</definedName>
    <definedName name="wrn.Coded._.IAS._.FS." localSheetId="1" hidden="1">{"IASTrail",#N/A,FALSE,"IAS"}</definedName>
    <definedName name="wrn.Coded._.IAS._.FS." hidden="1">{"IASTrail",#N/A,FALSE,"IAS"}</definedName>
    <definedName name="wrn.cong." localSheetId="0" hidden="1">{#N/A,#N/A,FALSE,"Sheet1"}</definedName>
    <definedName name="wrn.cong." localSheetId="1" hidden="1">{#N/A,#N/A,FALSE,"Sheet1"}</definedName>
    <definedName name="wrn.cong." hidden="1">{#N/A,#N/A,FALSE,"Sheet1"}</definedName>
    <definedName name="wrn.DIRLABR." localSheetId="0" hidden="1">{#N/A,#N/A,TRUE,"CS&amp;SS(AG)";#N/A,#N/A,TRUE,"CS(UG)";#N/A,#N/A,TRUE,"CSCL(UG)";#N/A,#N/A,TRUE,"KYNAR";#N/A,#N/A,TRUE,"ALLOY904";#N/A,#N/A,TRUE,"TITANIUM";#N/A,#N/A,TRUE,"STMTRACE"}</definedName>
    <definedName name="wrn.DIRLABR." localSheetId="1"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1"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ixed._.Assets._.Note._.and._.Depreciation." localSheetId="0" hidden="1">{#N/A,#N/A,FALSE,"FA_1";#N/A,#N/A,FALSE,"Dep'n SE";#N/A,#N/A,FALSE,"Dep'n FC"}</definedName>
    <definedName name="wrn.Fixed._.Assets._.Note._.and._.Depreciation." localSheetId="1" hidden="1">{#N/A,#N/A,FALSE,"FA_1";#N/A,#N/A,FALSE,"Dep'n SE";#N/A,#N/A,FALSE,"Dep'n FC"}</definedName>
    <definedName name="wrn.Fixed._.Assets._.Note._.and._.Depreciation." hidden="1">{#N/A,#N/A,FALSE,"FA_1";#N/A,#N/A,FALSE,"Dep'n SE";#N/A,#N/A,FALSE,"Dep'n FC"}</definedName>
    <definedName name="wrn.Full._.IAS._.STATEMENTS." localSheetId="0" hidden="1">{"IASBS",#N/A,FALSE,"IAS";"IASPL",#N/A,FALSE,"IAS";#N/A,#N/A,FALSE,"CF DIR";"IASNotes",#N/A,FALSE,"IAS";#N/A,#N/A,FALSE,"FA_1";#N/A,#N/A,FALSE,"Dep'n FC";#N/A,#N/A,FALSE,"Dep'n SE";#N/A,#N/A,FALSE,"Inv_1";#N/A,#N/A,FALSE,"NMG";#N/A,#N/A,FALSE,"Recon";#N/A,#N/A,FALSE,"EPS"}</definedName>
    <definedName name="wrn.Full._.IAS._.STATEMENTS." localSheetId="1"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Full._.TRAIL." localSheetId="1"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Giáy._.bao._.no." localSheetId="0" hidden="1">{#N/A,#N/A,FALSE,"BN"}</definedName>
    <definedName name="wrn.Giáy._.bao._.no." localSheetId="1" hidden="1">{#N/A,#N/A,FALSE,"BN"}</definedName>
    <definedName name="wrn.Giáy._.bao._.no." hidden="1">{#N/A,#N/A,FALSE,"BN"}</definedName>
    <definedName name="wrn.Help." localSheetId="0" hidden="1">{#N/A,#N/A,TRUE,"MAP";#N/A,#N/A,TRUE,"STEPS";#N/A,#N/A,TRUE,"RULES"}</definedName>
    <definedName name="wrn.Help." localSheetId="1" hidden="1">{#N/A,#N/A,TRUE,"MAP";#N/A,#N/A,TRUE,"STEPS";#N/A,#N/A,TRUE,"RULES"}</definedName>
    <definedName name="wrn.Help." hidden="1">{#N/A,#N/A,TRUE,"MAP";#N/A,#N/A,TRUE,"STEPS";#N/A,#N/A,TRUE,"RULES"}</definedName>
    <definedName name="wrn.IAS._.BS._.PL._.CF._.and._.Notes." localSheetId="0" hidden="1">{"IASBS",#N/A,TRUE,"IAS";"IASPL",#N/A,TRUE,"IAS";"IASNotes",#N/A,TRUE,"IAS";"CFDir - expanded",#N/A,TRUE,"CF DIR"}</definedName>
    <definedName name="wrn.IAS._.BS._.PL._.CF._.and._.Notes." localSheetId="1" hidden="1">{"IASBS",#N/A,TRUE,"IAS";"IASPL",#N/A,TRUE,"IAS";"IASNotes",#N/A,TRUE,"IAS";"CFDir - expanded",#N/A,TRUE,"CF DIR"}</definedName>
    <definedName name="wrn.IAS._.BS._.PL._.CF._.and._.Notes."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FS._.ZOOMED._.IN._.Forms." localSheetId="1"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AS._.Mapping." localSheetId="1" hidden="1">{"IAS Mapping",#N/A,TRUE,"RSA_FS"}</definedName>
    <definedName name="wrn.IAS._.Mapping." hidden="1">{"IAS Mapping",#N/A,TRUE,"RSA_FS"}</definedName>
    <definedName name="wrn.INDIRCOS." localSheetId="0" hidden="1">{#N/A,#N/A,TRUE,"FIELDOFF";#N/A,#N/A,TRUE,"SCAFF";#N/A,#N/A,TRUE,"CONSTEQP";#N/A,#N/A,TRUE,"FUELUBE";#N/A,#N/A,TRUE,"CONSUME";#N/A,#N/A,TRUE,"FIELDEXP";#N/A,#N/A,TRUE,"MANPLAN";#N/A,#N/A,TRUE,"EQPLAN"}</definedName>
    <definedName name="wrn.INDIRCOS." localSheetId="1"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flation._.factors._.used." localSheetId="0" hidden="1">{#N/A,#N/A,FALSE,"Infl_fact"}</definedName>
    <definedName name="wrn.Inflation._.factors._.used." localSheetId="1" hidden="1">{#N/A,#N/A,FALSE,"Infl_fact"}</definedName>
    <definedName name="wrn.Inflation._.factors._.used." hidden="1">{#N/A,#N/A,FALSE,"Infl_fact"}</definedName>
    <definedName name="wrn.mai._.khanh." localSheetId="0" hidden="1">{"NGUYEN QUI THIEP - Personal View",#N/A,FALSE,"XDCB.HT.FUR."}</definedName>
    <definedName name="wrn.mai._.khanh." localSheetId="1" hidden="1">{"NGUYEN QUI THIEP - Personal View",#N/A,FALSE,"XDCB.HT.FUR."}</definedName>
    <definedName name="wrn.mai._.khanh." hidden="1">{"NGUYEN QUI THIEP - Personal View",#N/A,FALSE,"XDCB.HT.FUR."}</definedName>
    <definedName name="wrn.Monthly._.Statement." localSheetId="0" hidden="1">{#N/A,#N/A,FALSE,"Tabelle2";#N/A,#N/A,FALSE,"Tabelle1"}</definedName>
    <definedName name="wrn.Monthly._.Statement." localSheetId="1" hidden="1">{#N/A,#N/A,FALSE,"Tabelle2";#N/A,#N/A,FALSE,"Tabelle1"}</definedName>
    <definedName name="wrn.Monthly._.Statement." hidden="1">{#N/A,#N/A,FALSE,"Tabelle2";#N/A,#N/A,FALSE,"Tabelle1"}</definedName>
    <definedName name="wrn.PL._.Analysis." localSheetId="0" hidden="1">{"AnalRSA",#N/A,TRUE,"PL-Anal";"AnalIAS",#N/A,TRUE,"PL-Anal"}</definedName>
    <definedName name="wrn.PL._.Analysis." localSheetId="1" hidden="1">{"AnalRSA",#N/A,TRUE,"PL-Anal";"AnalIAS",#N/A,TRUE,"PL-Anal"}</definedName>
    <definedName name="wrn.PL._.Analysis." hidden="1">{"AnalRSA",#N/A,TRUE,"PL-Anal";"AnalIAS",#N/A,TRUE,"PL-Anal"}</definedName>
    <definedName name="wrn.Print._.Output." localSheetId="0" hidden="1">{#N/A,#N/A,FALSE,"OUTPUT SHEET "}</definedName>
    <definedName name="wrn.Print._.Output." localSheetId="1" hidden="1">{#N/A,#N/A,FALSE,"OUTPUT SHEET "}</definedName>
    <definedName name="wrn.Print._.Output." hidden="1">{#N/A,#N/A,FALSE,"OUTPUT SHEET "}</definedName>
    <definedName name="wrn.Residential." localSheetId="0" hidden="1">{"ECA Qtrs C",#N/A,TRUE,"ECA_Qtrs_C";"ECA Qtrs D",#N/A,TRUE,"ECA_Qtrs_D";"ECA Qtrs F",#N/A,TRUE,"ECA_Qtrs_F";"ECA Qtrs G",#N/A,TRUE,"ECA_Qtrs_G";"ECA SisterApt",#N/A,TRUE,"ECA_SisterApt";"ECA Nurses",#N/A,TRUE,"ECA_NursesHostel"}</definedName>
    <definedName name="wrn.Residential." localSheetId="1"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SA._.BS._.and._.PL." localSheetId="0" hidden="1">{"BS1",#N/A,TRUE,"RSA_FS";"BS2",#N/A,TRUE,"RSA_FS";"BS3",#N/A,TRUE,"RSA_FS"}</definedName>
    <definedName name="wrn.RSA._.BS._.and._.PL." localSheetId="1" hidden="1">{"BS1",#N/A,TRUE,"RSA_FS";"BS2",#N/A,TRUE,"RSA_FS";"BS3",#N/A,TRUE,"RSA_FS"}</definedName>
    <definedName name="wrn.RSA._.BS._.and._.PL." hidden="1">{"BS1",#N/A,TRUE,"RSA_FS";"BS2",#N/A,TRUE,"RSA_FS";"BS3",#N/A,TRUE,"RSA_FS"}</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E." localSheetId="1" hidden="1">{#N/A,#N/A,FALSE,"GAZ_CP500ML";#N/A,#N/A,FALSE,"VARI_SE_CP900ML";#N/A,#N/A,FALSE,"VARI_SE_CP70ML";#N/A,#N/A,FALSE,"ALS_CP70ML";#N/A,#N/A,FALSE,"AMB_CP70ML";#N/A,#N/A,FALSE,"MAK_CP250ML";#N/A,#N/A,FALSE,"ATT_CP70ML";#N/A,#N/A,FALSE,"DAL_CP70ML";#N/A,#N/A,FALSE,"VARI_SE_CP330ML_E";#N/A,#N/A,FALSE,"AMB_CP250ML"}</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TOTALE." localSheetId="0" hidden="1">{"sintesi",#N/A,FALSE,"contrib_unit";"dett_materiali",#N/A,FALSE,"contrib_unit";"dett_lav.ne",#N/A,FALSE,"contrib_unit";"dett_altre_ind.li",#N/A,FALSE,"contrib_unit";"dett_commerciali",#N/A,FALSE,"contrib_unit"}</definedName>
    <definedName name="wrn.TOTALE." localSheetId="1" hidden="1">{"sintesi",#N/A,FALSE,"contrib_unit";"dett_materiali",#N/A,FALSE,"contrib_unit";"dett_lav.ne",#N/A,FALSE,"contrib_unit";"dett_altre_ind.li",#N/A,FALSE,"contrib_unit";"dett_commerciali",#N/A,FALSE,"contrib_unit"}</definedName>
    <definedName name="wrn.TOTALE." hidden="1">{"sintesi",#N/A,FALSE,"contrib_unit";"dett_materiali",#N/A,FALSE,"contrib_unit";"dett_lav.ne",#N/A,FALSE,"contrib_unit";"dett_altre_ind.li",#N/A,FALSE,"contrib_unit";"dett_commerciali",#N/A,FALSE,"contrib_unit"}</definedName>
    <definedName name="wrn.vd." localSheetId="0" hidden="1">{#N/A,#N/A,TRUE,"BT M200 da 10x20"}</definedName>
    <definedName name="wrn.vd." localSheetId="1" hidden="1">{#N/A,#N/A,TRUE,"BT M200 da 10x20"}</definedName>
    <definedName name="wrn.vd." hidden="1">{#N/A,#N/A,TRUE,"BT M200 da 10x20"}</definedName>
    <definedName name="wrn.골재소요량." localSheetId="0"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localSheetId="1" hidden="1">{#N/A,#N/A,FALSE,"전력간선"}</definedName>
    <definedName name="wrn.교육청." hidden="1">{#N/A,#N/A,FALSE,"전력간선"}</definedName>
    <definedName name="wrn.구조2." localSheetId="0" hidden="1">{#N/A,#N/A,FALSE,"구조2"}</definedName>
    <definedName name="wrn.구조2." localSheetId="1" hidden="1">{#N/A,#N/A,FALSE,"구조2"}</definedName>
    <definedName name="wrn.구조2." hidden="1">{#N/A,#N/A,FALSE,"구조2"}</definedName>
    <definedName name="wrn.단가표지." localSheetId="0" hidden="1">{#N/A,#N/A,FALSE,"단가표지"}</definedName>
    <definedName name="wrn.단가표지." localSheetId="1" hidden="1">{#N/A,#N/A,FALSE,"단가표지"}</definedName>
    <definedName name="wrn.단가표지."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1"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localSheetId="0" hidden="1">{#N/A,#N/A,FALSE,"배수1"}</definedName>
    <definedName name="wrn.배수1." localSheetId="1" hidden="1">{#N/A,#N/A,FALSE,"배수1"}</definedName>
    <definedName name="wrn.배수1." hidden="1">{#N/A,#N/A,FALSE,"배수1"}</definedName>
    <definedName name="wrn.배수2." localSheetId="0" hidden="1">{#N/A,#N/A,FALSE,"배수2"}</definedName>
    <definedName name="wrn.배수2." localSheetId="1" hidden="1">{#N/A,#N/A,FALSE,"배수2"}</definedName>
    <definedName name="wrn.배수2." hidden="1">{#N/A,#N/A,FALSE,"배수2"}</definedName>
    <definedName name="wrn.부대1." localSheetId="0" hidden="1">{#N/A,#N/A,FALSE,"부대1"}</definedName>
    <definedName name="wrn.부대1." localSheetId="1" hidden="1">{#N/A,#N/A,FALSE,"부대1"}</definedName>
    <definedName name="wrn.부대1." hidden="1">{#N/A,#N/A,FALSE,"부대1"}</definedName>
    <definedName name="wrn.부대2." localSheetId="0" hidden="1">{#N/A,#N/A,FALSE,"부대2"}</definedName>
    <definedName name="wrn.부대2." localSheetId="1" hidden="1">{#N/A,#N/A,FALSE,"부대2"}</definedName>
    <definedName name="wrn.부대2."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0" hidden="1">{#N/A,#N/A,FALSE,"속도"}</definedName>
    <definedName name="wrn.속도." localSheetId="1" hidden="1">{#N/A,#N/A,FALSE,"속도"}</definedName>
    <definedName name="wrn.속도." hidden="1">{#N/A,#N/A,FALSE,"속도"}</definedName>
    <definedName name="wrn.실행품의." localSheetId="0" hidden="1">{#N/A,#N/A,FALSE,"갑지";#N/A,#N/A,FALSE,"개요";#N/A,#N/A,FALSE,"비목별";#N/A,#N/A,FALSE,"건물별";#N/A,#N/A,FALSE,"기구표";#N/A,#N/A,FALSE,"직원투입"}</definedName>
    <definedName name="wrn.실행품의." localSheetId="1"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운반시간." localSheetId="0" hidden="1">{#N/A,#N/A,FALSE,"운반시간"}</definedName>
    <definedName name="wrn.운반시간." localSheetId="1" hidden="1">{#N/A,#N/A,FALSE,"운반시간"}</definedName>
    <definedName name="wrn.운반시간." hidden="1">{#N/A,#N/A,FALSE,"운반시간"}</definedName>
    <definedName name="wrn.이정표." localSheetId="0" hidden="1">{#N/A,#N/A,FALSE,"이정표"}</definedName>
    <definedName name="wrn.이정표." localSheetId="1" hidden="1">{#N/A,#N/A,FALSE,"이정표"}</definedName>
    <definedName name="wrn.이정표." hidden="1">{#N/A,#N/A,FALSE,"이정표"}</definedName>
    <definedName name="wrn.조골재." localSheetId="0" hidden="1">{#N/A,#N/A,FALSE,"조골재"}</definedName>
    <definedName name="wrn.조골재." localSheetId="1" hidden="1">{#N/A,#N/A,FALSE,"조골재"}</definedName>
    <definedName name="wrn.조골재." hidden="1">{#N/A,#N/A,FALSE,"조골재"}</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localSheetId="1"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토공1." localSheetId="0" hidden="1">{#N/A,#N/A,FALSE,"구조1"}</definedName>
    <definedName name="wrn.토공1." localSheetId="1" hidden="1">{#N/A,#N/A,FALSE,"구조1"}</definedName>
    <definedName name="wrn.토공1." hidden="1">{#N/A,#N/A,FALSE,"구조1"}</definedName>
    <definedName name="wrn.토공2." localSheetId="0" hidden="1">{#N/A,#N/A,FALSE,"토공2"}</definedName>
    <definedName name="wrn.토공2." localSheetId="1" hidden="1">{#N/A,#N/A,FALSE,"토공2"}</definedName>
    <definedName name="wrn.토공2." hidden="1">{#N/A,#N/A,FALSE,"토공2"}</definedName>
    <definedName name="wrn.포장1." localSheetId="0" hidden="1">{#N/A,#N/A,FALSE,"포장1";#N/A,#N/A,FALSE,"포장1"}</definedName>
    <definedName name="wrn.포장1." localSheetId="1" hidden="1">{#N/A,#N/A,FALSE,"포장1";#N/A,#N/A,FALSE,"포장1"}</definedName>
    <definedName name="wrn.포장1." hidden="1">{#N/A,#N/A,FALSE,"포장1";#N/A,#N/A,FALSE,"포장1"}</definedName>
    <definedName name="wrn.포장2." localSheetId="0" hidden="1">{#N/A,#N/A,FALSE,"포장2"}</definedName>
    <definedName name="wrn.포장2." localSheetId="1" hidden="1">{#N/A,#N/A,FALSE,"포장2"}</definedName>
    <definedName name="wrn.포장2." hidden="1">{#N/A,#N/A,FALSE,"포장2"}</definedName>
    <definedName name="wrn.표지." localSheetId="0" hidden="1">{#N/A,#N/A,FALSE,"표지"}</definedName>
    <definedName name="wrn.표지." localSheetId="1" hidden="1">{#N/A,#N/A,FALSE,"표지"}</definedName>
    <definedName name="wrn.표지." hidden="1">{#N/A,#N/A,FALSE,"표지"}</definedName>
    <definedName name="wrn.표지목차." localSheetId="0" hidden="1">{#N/A,#N/A,FALSE,"표지목차"}</definedName>
    <definedName name="wrn.표지목차." localSheetId="1" hidden="1">{#N/A,#N/A,FALSE,"표지목차"}</definedName>
    <definedName name="wrn.표지목차." hidden="1">{#N/A,#N/A,FALSE,"표지목차"}</definedName>
    <definedName name="wrn.혼합골재." localSheetId="0" hidden="1">{#N/A,#N/A,FALSE,"혼합골재"}</definedName>
    <definedName name="wrn.혼합골재." localSheetId="1" hidden="1">{#N/A,#N/A,FALSE,"혼합골재"}</definedName>
    <definedName name="wrn.혼합골재." hidden="1">{#N/A,#N/A,FALSE,"혼합골재"}</definedName>
    <definedName name="www" localSheetId="0" hidden="1">{"ECA Qtrs C",#N/A,TRUE,"ECA_Qtrs_C";"ECA Qtrs D",#N/A,TRUE,"ECA_Qtrs_D";"ECA Qtrs F",#N/A,TRUE,"ECA_Qtrs_F";"ECA Qtrs G",#N/A,TRUE,"ECA_Qtrs_G";"ECA SisterApt",#N/A,TRUE,"ECA_SisterApt";"ECA Nurses",#N/A,TRUE,"ECA_NursesHostel"}</definedName>
    <definedName name="www" localSheetId="1"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zb">#REF!</definedName>
    <definedName name="Wzt">#REF!</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a">#REF!</definedName>
    <definedName name="XB_80">#REF!</definedName>
    <definedName name="XCCT">0.5</definedName>
    <definedName name="XDKT" localSheetId="0" hidden="1">{"NGUYEN QUI THIEP - Personal View",#N/A,FALSE,"XDCB.HT.FUR."}</definedName>
    <definedName name="XDKT" localSheetId="1" hidden="1">{"NGUYEN QUI THIEP - Personal View",#N/A,FALSE,"XDCB.HT.FUR."}</definedName>
    <definedName name="XDKT" hidden="1">{"NGUYEN QUI THIEP - Personal View",#N/A,FALSE,"XDCB.HT.FUR."}</definedName>
    <definedName name="xfco">#REF!</definedName>
    <definedName name="xfco3p">#REF!</definedName>
    <definedName name="XFCOnc">#REF!</definedName>
    <definedName name="xfcotnc">#REF!</definedName>
    <definedName name="xfcotvl">#REF!</definedName>
    <definedName name="XFCOvc">#REF!</definedName>
    <definedName name="XFCOvl">#REF!</definedName>
    <definedName name="xh">#REF!</definedName>
    <definedName name="xhn">#REF!</definedName>
    <definedName name="Xi">#REF!</definedName>
    <definedName name="xig">#REF!</definedName>
    <definedName name="xig1">#REF!</definedName>
    <definedName name="XIG1nc">#REF!</definedName>
    <definedName name="xig1p">#REF!</definedName>
    <definedName name="XIG1vl">#REF!</definedName>
    <definedName name="xig3p">#REF!</definedName>
    <definedName name="XIGnc">#REF!</definedName>
    <definedName name="xignc3p">#REF!</definedName>
    <definedName name="XIGvc">#REF!</definedName>
    <definedName name="XIGvl">#REF!</definedName>
    <definedName name="xigvl3p">#REF!</definedName>
    <definedName name="xin">#REF!</definedName>
    <definedName name="xin190">#REF!</definedName>
    <definedName name="xin1903p">#REF!</definedName>
    <definedName name="XIN190nc">#REF!</definedName>
    <definedName name="XIN190vc">#REF!</definedName>
    <definedName name="XIN190vl">#REF!</definedName>
    <definedName name="xin290nc3p">#REF!</definedName>
    <definedName name="xin290vl3p">#REF!</definedName>
    <definedName name="xin3p">#REF!</definedName>
    <definedName name="xind">#REF!</definedName>
    <definedName name="xind1p">#REF!</definedName>
    <definedName name="xind3p">#REF!</definedName>
    <definedName name="XINDnc">#REF!</definedName>
    <definedName name="xindnc1p">#REF!</definedName>
    <definedName name="XINDvc">#REF!</definedName>
    <definedName name="XINDvl">#REF!</definedName>
    <definedName name="xindvl1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nc">#REF!</definedName>
    <definedName name="xit1p">#REF!</definedName>
    <definedName name="XIT1vl">#REF!</definedName>
    <definedName name="xit23p">#REF!</definedName>
    <definedName name="xit2nc3p">#REF!</definedName>
    <definedName name="xit2vl3p">#REF!</definedName>
    <definedName name="xit3p">#REF!</definedName>
    <definedName name="XITnc">#REF!</definedName>
    <definedName name="xitnc3p">#REF!</definedName>
    <definedName name="XITvc">#REF!</definedName>
    <definedName name="XITvl">#REF!</definedName>
    <definedName name="xitvl3p">#REF!</definedName>
    <definedName name="xkich">#REF!</definedName>
    <definedName name="xl">#REF!</definedName>
    <definedName name="xlc">#REF!</definedName>
    <definedName name="xlk">#REF!</definedName>
    <definedName name="xlttbninh" localSheetId="0" hidden="1">{"'Sheet1'!$L$16"}</definedName>
    <definedName name="xlttbninh" localSheetId="1" hidden="1">{"'Sheet1'!$L$16"}</definedName>
    <definedName name="xlttbninh" hidden="1">{"'Sheet1'!$L$16"}</definedName>
    <definedName name="XMAX">#REF!</definedName>
    <definedName name="xmcax">#REF!</definedName>
    <definedName name="XMIN">#REF!</definedName>
    <definedName name="xmp40">#REF!</definedName>
    <definedName name="xn">#REF!</definedName>
    <definedName name="XXXAAAA" localSheetId="0" hidden="1">{"'Sheet1'!$L$16"}</definedName>
    <definedName name="XXXAAAA" localSheetId="1" hidden="1">{"'Sheet1'!$L$16"}</definedName>
    <definedName name="XXXAAAA" hidden="1">{"'Sheet1'!$L$16"}</definedName>
    <definedName name="y">#REF!</definedName>
    <definedName name="yi">#REF!</definedName>
    <definedName name="YMAX">#REF!</definedName>
    <definedName name="YMIN">#REF!</definedName>
    <definedName name="yo">#REF!</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01B68964_5EDB_456A_883C_AB2B4A639354_.wvu.Cols">'[17]1.R18 BF'!#REF!</definedName>
    <definedName name="Z_01B68964_5EDB_456A_883C_AB2B4A639354_.wvu.Cols_1">[17]A!#REF!</definedName>
    <definedName name="Z_01B68964_5EDB_456A_883C_AB2B4A639354_.wvu.Cols_2">[17]G!#REF!</definedName>
    <definedName name="Z_01B68964_5EDB_456A_883C_AB2B4A639354_.wvu.Cols_3">'[17]F-B'!#REF!</definedName>
    <definedName name="Z_01B68964_5EDB_456A_883C_AB2B4A639354_.wvu.Cols_4">'[17]H-J'!#REF!</definedName>
    <definedName name="Z_01B68964_5EDB_456A_883C_AB2B4A639354_.wvu.Cols_5">'[17]6.External works-R18'!#REF!</definedName>
    <definedName name="Z_01B68964_5EDB_456A_883C_AB2B4A639354_.wvu.Rows">'[17]1.R18 BF'!#REF!</definedName>
    <definedName name="Z_01B68964_5EDB_456A_883C_AB2B4A639354_.wvu.Rows_1">[17]A!#REF!</definedName>
    <definedName name="Z_01B68964_5EDB_456A_883C_AB2B4A639354_.wvu.Rows_2">[17]G!#REF!</definedName>
    <definedName name="Z_01B68964_5EDB_456A_883C_AB2B4A639354_.wvu.Rows_3">'[17]F-B'!#REF!</definedName>
    <definedName name="Z_01B68964_5EDB_456A_883C_AB2B4A639354_.wvu.Rows_4">'[17]H-J'!#REF!</definedName>
    <definedName name="Z_01B68964_5EDB_456A_883C_AB2B4A639354_.wvu.Rows_5">'[17]6.External works-R18'!#REF!</definedName>
    <definedName name="Z_0FEC2AA1_BAE9_4368_B80D_C16045356ADE_.wvu.FilterData" localSheetId="0" hidden="1">'A3-MEP'!$A$6:$J$2538</definedName>
    <definedName name="Z_18B3599C_C210_4C5D_9BB7_9779C1820E5B_.wvu.Rows" localSheetId="1">([17]A!$7:$54,[17]A!#REF!,[17]A!$61:$69,[17]A!$71:$85,[17]A!$87:$96,[17]A!$98:$109,[17]A!#REF!,[17]A!$111:$111,[17]A!$113:$120,[17]A!$123:$127,[17]A!$129:$176,[17]A!$178:$183,[17]A!$185:$204,[17]A!#REF!,[17]A!#REF!)</definedName>
    <definedName name="Z_18B3599C_C210_4C5D_9BB7_9779C1820E5B_.wvu.Rows">([17]A!$7:$54,[17]A!#REF!,[17]A!$61:$69,[17]A!$71:$85,[17]A!$87:$96,[17]A!$98:$109,[17]A!#REF!,[17]A!$111:$111,[17]A!$113:$120,[17]A!$123:$127,[17]A!$129:$176,[17]A!$178:$183,[17]A!$185:$204,[17]A!#REF!,[17]A!#REF!)</definedName>
    <definedName name="Z_18B3599C_C210_4C5D_9BB7_9779C1820E5B_.wvu.Rows_1" localSheetId="1">([17]G!$7:$54,[17]G!#REF!,[17]G!$61:$69,[17]G!$71:$83,[17]G!$85:$94,[17]G!$96:$107,[17]G!#REF!,[17]G!$109:$109,[17]G!$111:$117,[17]G!$120:$123,[17]G!$125:$169,[17]G!$171:$176,[17]G!$178:$199,[17]G!#REF!,[17]G!#REF!)</definedName>
    <definedName name="Z_18B3599C_C210_4C5D_9BB7_9779C1820E5B_.wvu.Rows_1">([17]G!$7:$54,[17]G!#REF!,[17]G!$61:$69,[17]G!$71:$83,[17]G!$85:$94,[17]G!$96:$107,[17]G!#REF!,[17]G!$109:$109,[17]G!$111:$117,[17]G!$120:$123,[17]G!$125:$169,[17]G!$171:$176,[17]G!$178:$199,[17]G!#REF!,[17]G!#REF!)</definedName>
    <definedName name="Z_27AB58B4_2EDF_4D87_8925_066FBB2E72E1_.wvu.FilterData" localSheetId="1" hidden="1">'A6-MEP'!$A$6:$J$2587</definedName>
    <definedName name="Z_27AB58B4_2EDF_4D87_8925_066FBB2E72E1_.wvu.PrintArea" localSheetId="1" hidden="1">'A6-MEP'!$B$1:$J$2587</definedName>
    <definedName name="Z_27AB58B4_2EDF_4D87_8925_066FBB2E72E1_.wvu.PrintTitles" localSheetId="1" hidden="1">'A6-MEP'!$5:$6</definedName>
    <definedName name="Z_35CA572D_C4DD_45FF_B398_86E7393DD497_.wvu.FilterData" localSheetId="0" hidden="1">'A3-MEP'!$A$6:$J$2538</definedName>
    <definedName name="Z_35CA572D_C4DD_45FF_B398_86E7393DD497_.wvu.FilterData" localSheetId="1" hidden="1">'A6-MEP'!$A$6:$J$2587</definedName>
    <definedName name="Z_35CA572D_C4DD_45FF_B398_86E7393DD497_.wvu.PrintArea" localSheetId="0" hidden="1">'A3-MEP'!$B$1:$J$2538</definedName>
    <definedName name="Z_35CA572D_C4DD_45FF_B398_86E7393DD497_.wvu.PrintArea" localSheetId="1" hidden="1">'A6-MEP'!$B$1:$J$2587</definedName>
    <definedName name="Z_35CA572D_C4DD_45FF_B398_86E7393DD497_.wvu.PrintTitles" localSheetId="0" hidden="1">'A3-MEP'!$5:$6</definedName>
    <definedName name="Z_35CA572D_C4DD_45FF_B398_86E7393DD497_.wvu.PrintTitles" localSheetId="1" hidden="1">'A6-MEP'!$5:$6</definedName>
    <definedName name="Z_3A53007D_A33A_4797_8133_A127A8EBFB3B_.wvu.FilterData" localSheetId="1" hidden="1">'A6-MEP'!$A$6:$J$2587</definedName>
    <definedName name="Z_3A53007D_A33A_4797_8133_A127A8EBFB3B_.wvu.PrintArea" localSheetId="1" hidden="1">'A6-MEP'!$B$1:$J$2587</definedName>
    <definedName name="Z_3A53007D_A33A_4797_8133_A127A8EBFB3B_.wvu.PrintTitles" localSheetId="1" hidden="1">'A6-MEP'!$5:$6</definedName>
    <definedName name="Z_6139D84B_866A_4CC4_A21A_7B6E86C120A9_.wvu.Cols">[17]G!#REF!</definedName>
    <definedName name="Z_6139D84B_866A_4CC4_A21A_7B6E86C120A9_.wvu.Rows" localSheetId="1">('[17]1.R18 BF'!$83:$83,'[17]1.R18 BF'!#REF!)</definedName>
    <definedName name="Z_6139D84B_866A_4CC4_A21A_7B6E86C120A9_.wvu.Rows">('[17]1.R18 BF'!$83:$83,'[17]1.R18 BF'!#REF!)</definedName>
    <definedName name="Z_69D864C4_6116_4D10_BDA0_E7D44D5BA468_.wvu.Rows" localSheetId="1">('[17]F-B'!$7:$45,'[17]F-B'!#REF!,'[17]F-B'!$52:$59,'[17]F-B'!$61:$72,'[17]F-B'!$74:$81,'[17]F-B'!$83:$87,'[17]F-B'!$89:$92,'[17]F-B'!#REF!,'[17]F-B'!$94:$94,'[17]F-B'!$96:$103,'[17]F-B'!$106:$110,'[17]F-B'!$112:$155,'[17]F-B'!$157:$162,'[17]F-B'!$164:$183,'[17]F-B'!#REF!,'[17]F-B'!$198:$198)</definedName>
    <definedName name="Z_69D864C4_6116_4D10_BDA0_E7D44D5BA468_.wvu.Rows">('[17]F-B'!$7:$45,'[17]F-B'!#REF!,'[17]F-B'!$52:$59,'[17]F-B'!$61:$72,'[17]F-B'!$74:$81,'[17]F-B'!$83:$87,'[17]F-B'!$89:$92,'[17]F-B'!#REF!,'[17]F-B'!$94:$94,'[17]F-B'!$96:$103,'[17]F-B'!$106:$110,'[17]F-B'!$112:$155,'[17]F-B'!$157:$162,'[17]F-B'!$164:$183,'[17]F-B'!#REF!,'[17]F-B'!$198:$198)</definedName>
    <definedName name="Z_7B1E55D5_E3A3_4316_B6D8_3ED9C395D8B9_.wvu.FilterData" localSheetId="0" hidden="1">'A3-MEP'!$A$6:$J$2538</definedName>
    <definedName name="Z_7B1E55D5_E3A3_4316_B6D8_3ED9C395D8B9_.wvu.PrintArea" localSheetId="0" hidden="1">'A3-MEP'!$B$1:$J$2538</definedName>
    <definedName name="Z_7B1E55D5_E3A3_4316_B6D8_3ED9C395D8B9_.wvu.PrintTitles" localSheetId="0" hidden="1">'A3-MEP'!$5:$6</definedName>
    <definedName name="Z_9AC62E3A_C291_4115_9987_57A765C90D12_.wvu.FilterData" localSheetId="0" hidden="1">'A3-MEP'!$A$6:$J$2538</definedName>
    <definedName name="Z_9AC62E3A_C291_4115_9987_57A765C90D12_.wvu.FilterData" localSheetId="1" hidden="1">'A6-MEP'!$A$6:$J$2587</definedName>
    <definedName name="Z_9AC62E3A_C291_4115_9987_57A765C90D12_.wvu.PrintArea" localSheetId="0" hidden="1">'A3-MEP'!$B$1:$J$2538</definedName>
    <definedName name="Z_9AC62E3A_C291_4115_9987_57A765C90D12_.wvu.PrintArea" localSheetId="1" hidden="1">'A6-MEP'!$B$1:$J$2587</definedName>
    <definedName name="Z_9AC62E3A_C291_4115_9987_57A765C90D12_.wvu.PrintTitles" localSheetId="0" hidden="1">'A3-MEP'!$5:$6</definedName>
    <definedName name="Z_9AC62E3A_C291_4115_9987_57A765C90D12_.wvu.PrintTitles" localSheetId="1" hidden="1">'A6-MEP'!$5:$6</definedName>
    <definedName name="Z_B4B895EB_FC05_4ED0_A829_6A9F59F322FD_.wvu.FilterData" localSheetId="0" hidden="1">'A3-MEP'!$A$6:$J$2538</definedName>
    <definedName name="Z_B4B895EB_FC05_4ED0_A829_6A9F59F322FD_.wvu.PrintArea" localSheetId="0" hidden="1">'A3-MEP'!$B$1:$J$2538</definedName>
    <definedName name="Z_B4B895EB_FC05_4ED0_A829_6A9F59F322FD_.wvu.PrintTitles" localSheetId="0" hidden="1">'A3-MEP'!$5:$6</definedName>
    <definedName name="Z_dh" localSheetId="1">#REF!</definedName>
    <definedName name="Z_dh">#REF!</definedName>
    <definedName name="zbot" localSheetId="1">#REF!</definedName>
    <definedName name="zbot">#REF!</definedName>
    <definedName name="zt" localSheetId="1">#REF!</definedName>
    <definedName name="zt">#REF!</definedName>
    <definedName name="ztop">#REF!</definedName>
    <definedName name="ZXD">#REF!</definedName>
    <definedName name="ZXzX" localSheetId="0" hidden="1">{"'Sheet1'!$L$16"}</definedName>
    <definedName name="ZXzX" localSheetId="1" hidden="1">{"'Sheet1'!$L$16"}</definedName>
    <definedName name="ZXzX" hidden="1">{"'Sheet1'!$L$16"}</definedName>
    <definedName name="ZYX">#REF!</definedName>
    <definedName name="ZZZ">#REF!</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1" hidden="1">{#N/A,#N/A,FALSE,"GAZ_CP500ML";#N/A,#N/A,FALSE,"VARI_SE_CP900ML";#N/A,#N/A,FALSE,"VARI_SE_CP70ML";#N/A,#N/A,FALSE,"ALS_CP70ML";#N/A,#N/A,FALSE,"AMB_CP70ML";#N/A,#N/A,FALSE,"MAK_CP250ML";#N/A,#N/A,FALSE,"ATT_CP70ML";#N/A,#N/A,FALSE,"DAL_CP70ML";#N/A,#N/A,FALSE,"VARI_SE_CP330ML_E";#N/A,#N/A,FALSE,"AMB_CP250ML"}</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нне" localSheetId="1" hidden="1">{"sintesi",#N/A,FALSE,"contrib_unit";"dett_materiali",#N/A,FALSE,"contrib_unit";"dett_lav.ne",#N/A,FALSE,"contrib_unit";"dett_altre_ind.li",#N/A,FALSE,"contrib_unit";"dett_commerciali",#N/A,FALSE,"contrib_unit"}</definedName>
    <definedName name="нне" hidden="1">{"sintesi",#N/A,FALSE,"contrib_unit";"dett_materiali",#N/A,FALSE,"contrib_unit";"dett_lav.ne",#N/A,FALSE,"contrib_unit";"dett_altre_ind.li",#N/A,FALSE,"contrib_unit";"dett_commerciali",#N/A,FALSE,"contrib_unit"}</definedName>
    <definedName name="간접비" localSheetId="0" hidden="1">{#N/A,#N/A,FALSE,"갑지";#N/A,#N/A,FALSE,"개요";#N/A,#N/A,FALSE,"비목별";#N/A,#N/A,FALSE,"건물별";#N/A,#N/A,FALSE,"기구표";#N/A,#N/A,FALSE,"직원투입"}</definedName>
    <definedName name="간접비" localSheetId="1"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접비1" localSheetId="1"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건축비목집계" localSheetId="0" hidden="1">{#N/A,#N/A,FALSE,"표지"}</definedName>
    <definedName name="건축비목집계" localSheetId="1" hidden="1">{#N/A,#N/A,FALSE,"표지"}</definedName>
    <definedName name="건축비목집계" hidden="1">{#N/A,#N/A,FALSE,"표지"}</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 localSheetId="0" hidden="1">{#N/A,#N/A,FALSE,"갑지";#N/A,#N/A,FALSE,"개요";#N/A,#N/A,FALSE,"비목별";#N/A,#N/A,FALSE,"건물별";#N/A,#N/A,FALSE,"기구표";#N/A,#N/A,FALSE,"직원투입"}</definedName>
    <definedName name="관리비2" localSheetId="1"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산출근거" localSheetId="0" hidden="1">{#N/A,#N/A,TRUE,"1";#N/A,#N/A,TRUE,"2";#N/A,#N/A,TRUE,"3";#N/A,#N/A,TRUE,"4";#N/A,#N/A,TRUE,"5";#N/A,#N/A,TRUE,"6";#N/A,#N/A,TRUE,"7"}</definedName>
    <definedName name="내역산출근거" localSheetId="1" hidden="1">{#N/A,#N/A,TRUE,"1";#N/A,#N/A,TRUE,"2";#N/A,#N/A,TRUE,"3";#N/A,#N/A,TRUE,"4";#N/A,#N/A,TRUE,"5";#N/A,#N/A,TRUE,"6";#N/A,#N/A,TRUE,"7"}</definedName>
    <definedName name="내역산출근거" hidden="1">{#N/A,#N/A,TRUE,"1";#N/A,#N/A,TRUE,"2";#N/A,#N/A,TRUE,"3";#N/A,#N/A,TRUE,"4";#N/A,#N/A,TRUE,"5";#N/A,#N/A,TRUE,"6";#N/A,#N/A,TRUE,"7"}</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ㄱ" localSheetId="0" hidden="1">{#N/A,#N/A,FALSE,"전력간선"}</definedName>
    <definedName name="단ㄱ" localSheetId="1" hidden="1">{#N/A,#N/A,FALSE,"전력간선"}</definedName>
    <definedName name="단ㄱ"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구연숩" localSheetId="0" hidden="1">{#N/A,#N/A,FALSE,"전력간선"}</definedName>
    <definedName name="동구연숩" localSheetId="1" hidden="1">{#N/A,#N/A,FALSE,"전력간선"}</definedName>
    <definedName name="동구연숩" hidden="1">{#N/A,#N/A,FALSE,"전력간선"}</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1">#REF!</definedName>
    <definedName name="ㅁㅂ">#REF!</definedName>
    <definedName name="ㅂㅂ" localSheetId="0" hidden="1">{#N/A,#N/A,FALSE,"표지"}</definedName>
    <definedName name="ㅂㅂ" localSheetId="1" hidden="1">{#N/A,#N/A,FALSE,"표지"}</definedName>
    <definedName name="ㅂㅂ" hidden="1">{#N/A,#N/A,FALSE,"표지"}</definedName>
    <definedName name="ㅂㅈ" localSheetId="0" hidden="1">{#N/A,#N/A,TRUE,"1";#N/A,#N/A,TRUE,"2";#N/A,#N/A,TRUE,"3";#N/A,#N/A,TRUE,"4";#N/A,#N/A,TRUE,"5";#N/A,#N/A,TRUE,"6";#N/A,#N/A,TRUE,"7"}</definedName>
    <definedName name="ㅂㅈ" localSheetId="1" hidden="1">{#N/A,#N/A,TRUE,"1";#N/A,#N/A,TRUE,"2";#N/A,#N/A,TRUE,"3";#N/A,#N/A,TRUE,"4";#N/A,#N/A,TRUE,"5";#N/A,#N/A,TRUE,"6";#N/A,#N/A,TRUE,"7"}</definedName>
    <definedName name="ㅂㅈ" hidden="1">{#N/A,#N/A,TRUE,"1";#N/A,#N/A,TRUE,"2";#N/A,#N/A,TRUE,"3";#N/A,#N/A,TRUE,"4";#N/A,#N/A,TRUE,"5";#N/A,#N/A,TRUE,"6";#N/A,#N/A,TRUE,"7"}</definedName>
    <definedName name="바붕" localSheetId="0" hidden="1">{#N/A,#N/A,FALSE,"전력간선"}</definedName>
    <definedName name="바붕" localSheetId="1" hidden="1">{#N/A,#N/A,FALSE,"전력간선"}</definedName>
    <definedName name="바붕" hidden="1">{#N/A,#N/A,FALSE,"전력간선"}</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천상동조경" localSheetId="0" hidden="1">{#N/A,#N/A,FALSE,"표지"}</definedName>
    <definedName name="부천상동조경" localSheetId="1" hidden="1">{#N/A,#N/A,FALSE,"표지"}</definedName>
    <definedName name="부천상동조경" hidden="1">{#N/A,#N/A,FALSE,"표지"}</definedName>
    <definedName name="수량산출근거" localSheetId="0" hidden="1">{#N/A,#N/A,FALSE,"표지"}</definedName>
    <definedName name="수량산출근거" localSheetId="1" hidden="1">{#N/A,#N/A,FALSE,"표지"}</definedName>
    <definedName name="수량산출근거" hidden="1">{#N/A,#N/A,FALSE,"표지"}</definedName>
    <definedName name="억이상" localSheetId="0" hidden="1">{#N/A,#N/A,FALSE,"2~8번"}</definedName>
    <definedName name="억이상" localSheetId="1" hidden="1">{#N/A,#N/A,FALSE,"2~8번"}</definedName>
    <definedName name="억이상" hidden="1">{#N/A,#N/A,FALSE,"2~8번"}</definedName>
    <definedName name="원가" localSheetId="0" hidden="1">{#N/A,#N/A,FALSE,"운반시간"}</definedName>
    <definedName name="원가" localSheetId="1" hidden="1">{#N/A,#N/A,FALSE,"운반시간"}</definedName>
    <definedName name="원가" hidden="1">{#N/A,#N/A,FALSE,"운반시간"}</definedName>
    <definedName name="의" localSheetId="0" hidden="1">{#N/A,#N/A,FALSE,"운반시간"}</definedName>
    <definedName name="의" localSheetId="1" hidden="1">{#N/A,#N/A,FALSE,"운반시간"}</definedName>
    <definedName name="의" hidden="1">{#N/A,#N/A,FALSE,"운반시간"}</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공사" localSheetId="1" hidden="1">{#N/A,#N/A,FALSE,"표지"}</definedName>
    <definedName name="조경공사" hidden="1">{#N/A,#N/A,FALSE,"표지"}</definedName>
    <definedName name="조경사본" localSheetId="0" hidden="1">{#N/A,#N/A,FALSE,"표지"}</definedName>
    <definedName name="조경사본" localSheetId="1" hidden="1">{#N/A,#N/A,FALSE,"표지"}</definedName>
    <definedName name="조경사본"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주차장" localSheetId="1" hidden="1">{#N/A,#N/A,FALSE,"표지"}</definedName>
    <definedName name="주차장" hidden="1">{#N/A,#N/A,FALSE,"표지"}</definedName>
    <definedName name="토목설계" localSheetId="0"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271">#REF!</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3" i="3" l="1"/>
  <c r="I373" i="3" s="1"/>
  <c r="H403" i="3"/>
  <c r="I403" i="3" s="1"/>
  <c r="H469" i="3"/>
  <c r="I469" i="3" s="1"/>
  <c r="H475" i="3"/>
  <c r="I475" i="3" s="1"/>
  <c r="H481" i="3"/>
  <c r="I481" i="3" s="1"/>
  <c r="H601" i="3"/>
  <c r="I601" i="3" s="1"/>
  <c r="H949" i="3"/>
  <c r="I949" i="3" s="1"/>
  <c r="H955" i="3"/>
  <c r="I955" i="3" s="1"/>
  <c r="H979" i="3"/>
  <c r="I979" i="3" s="1"/>
  <c r="H991" i="3"/>
  <c r="I991" i="3" s="1"/>
  <c r="H1033" i="3"/>
  <c r="I1033" i="3" s="1"/>
  <c r="H1039" i="3"/>
  <c r="I1039" i="3" s="1"/>
  <c r="H1045" i="3"/>
  <c r="I1045" i="3" s="1"/>
  <c r="H1051" i="3"/>
  <c r="I1051" i="3" s="1"/>
  <c r="H1117" i="3"/>
  <c r="I1117" i="3" s="1"/>
  <c r="H1171" i="3"/>
  <c r="I1171" i="3" s="1"/>
  <c r="H1177" i="3"/>
  <c r="I1177" i="3" s="1"/>
  <c r="H1291" i="3"/>
  <c r="I1291" i="3" s="1"/>
  <c r="H1327" i="3"/>
  <c r="I1327" i="3" s="1"/>
  <c r="H1339" i="3"/>
  <c r="I1339" i="3" s="1"/>
  <c r="H1453" i="3"/>
  <c r="I1453" i="3" s="1"/>
  <c r="H1459" i="3"/>
  <c r="I1459" i="3" s="1"/>
  <c r="H1645" i="3"/>
  <c r="H1837" i="3"/>
  <c r="I1837" i="3" s="1"/>
  <c r="H2221" i="3"/>
  <c r="I2221" i="3" s="1"/>
  <c r="H2281" i="3"/>
  <c r="I2281" i="3" s="1"/>
  <c r="H2287" i="3"/>
  <c r="I2287" i="3" s="1"/>
  <c r="H2299" i="3"/>
  <c r="I2299" i="3" s="1"/>
  <c r="H2311" i="3"/>
  <c r="I2311" i="3" s="1"/>
  <c r="H2377" i="3"/>
  <c r="I2377" i="3" s="1"/>
  <c r="H2467" i="3"/>
  <c r="I2467" i="3" s="1"/>
  <c r="H2473" i="3"/>
  <c r="I2473" i="3" s="1"/>
  <c r="H2539" i="3"/>
  <c r="I2539" i="3" s="1"/>
  <c r="H2557" i="3"/>
  <c r="I2557" i="3" s="1"/>
  <c r="H1124" i="4"/>
  <c r="I1124" i="4" s="1"/>
  <c r="H1225" i="4"/>
  <c r="I1225" i="4" s="1"/>
  <c r="H1232" i="4"/>
  <c r="I1232" i="4" s="1"/>
  <c r="H1274" i="4"/>
  <c r="H1279" i="4"/>
  <c r="I1279" i="4" s="1"/>
  <c r="H1155" i="3"/>
  <c r="I1155" i="3" s="1"/>
  <c r="H1263" i="3"/>
  <c r="I1263" i="3" s="1"/>
  <c r="H1281" i="3"/>
  <c r="I1281" i="3" s="1"/>
  <c r="H1311" i="3"/>
  <c r="I1311" i="3" s="1"/>
  <c r="H1323" i="3"/>
  <c r="I1323" i="3" s="1"/>
  <c r="H1329" i="3"/>
  <c r="I1329" i="3" s="1"/>
  <c r="H1335" i="3"/>
  <c r="I1335" i="3" s="1"/>
  <c r="H2607" i="4"/>
  <c r="I2607" i="4" s="1"/>
  <c r="H2590" i="4"/>
  <c r="I2590" i="4" s="1"/>
  <c r="H2580" i="4"/>
  <c r="I2580" i="4" s="1"/>
  <c r="H2576" i="4"/>
  <c r="I2576" i="4" s="1"/>
  <c r="E2572" i="4"/>
  <c r="E2567" i="4"/>
  <c r="E2566" i="4"/>
  <c r="H2533" i="4"/>
  <c r="I2533" i="4" s="1"/>
  <c r="H2507" i="4"/>
  <c r="I2507" i="4" s="1"/>
  <c r="H2473" i="4"/>
  <c r="I2473" i="4" s="1"/>
  <c r="H2467" i="4"/>
  <c r="I2467" i="4" s="1"/>
  <c r="H2457" i="4"/>
  <c r="I2457" i="4" s="1"/>
  <c r="H2453" i="4"/>
  <c r="I2453" i="4" s="1"/>
  <c r="E2447" i="4"/>
  <c r="H2381" i="4"/>
  <c r="I2381" i="4" s="1"/>
  <c r="H2354" i="4"/>
  <c r="I2354" i="4" s="1"/>
  <c r="H2313" i="4"/>
  <c r="I2313" i="4" s="1"/>
  <c r="H2302" i="4"/>
  <c r="I2302" i="4" s="1"/>
  <c r="H2263" i="4"/>
  <c r="I2263" i="4" s="1"/>
  <c r="H2252" i="4"/>
  <c r="I2252" i="4" s="1"/>
  <c r="H2248" i="4"/>
  <c r="I2248" i="4" s="1"/>
  <c r="H2242" i="4"/>
  <c r="I2242" i="4" s="1"/>
  <c r="H2235" i="4"/>
  <c r="I2235" i="4" s="1"/>
  <c r="H2157" i="4"/>
  <c r="I2157" i="4" s="1"/>
  <c r="H2085" i="4"/>
  <c r="I2085" i="4" s="1"/>
  <c r="H2043" i="4"/>
  <c r="I2043" i="4" s="1"/>
  <c r="H1977" i="4"/>
  <c r="I1977" i="4" s="1"/>
  <c r="H1885" i="4"/>
  <c r="I1885" i="4" s="1"/>
  <c r="H1867" i="4"/>
  <c r="I1867" i="4" s="1"/>
  <c r="H1846" i="4"/>
  <c r="I1846" i="4" s="1"/>
  <c r="H1813" i="4"/>
  <c r="I1813" i="4" s="1"/>
  <c r="H1796" i="4"/>
  <c r="I1796" i="4" s="1"/>
  <c r="H1772" i="4"/>
  <c r="I1772" i="4" s="1"/>
  <c r="E1754" i="4"/>
  <c r="E1744" i="4"/>
  <c r="E1725" i="4"/>
  <c r="E1723" i="4"/>
  <c r="E1722" i="4"/>
  <c r="H1694" i="4"/>
  <c r="I1694" i="4" s="1"/>
  <c r="E1682" i="4"/>
  <c r="E1681" i="4"/>
  <c r="E1678" i="4"/>
  <c r="E1677" i="4"/>
  <c r="E1676" i="4"/>
  <c r="E1674" i="4"/>
  <c r="E1669" i="4"/>
  <c r="H1665" i="4"/>
  <c r="I1665" i="4" s="1"/>
  <c r="H1659" i="4"/>
  <c r="I1659" i="4" s="1"/>
  <c r="E1656" i="4"/>
  <c r="E1655" i="4"/>
  <c r="E1654" i="4"/>
  <c r="H1631" i="4"/>
  <c r="I1631" i="4" s="1"/>
  <c r="H1625" i="4"/>
  <c r="I1625" i="4" s="1"/>
  <c r="H1623" i="4"/>
  <c r="I1623" i="4" s="1"/>
  <c r="H1587" i="4"/>
  <c r="I1587" i="4" s="1"/>
  <c r="H1569" i="4"/>
  <c r="I1569" i="4" s="1"/>
  <c r="H1568" i="4"/>
  <c r="I1568" i="4" s="1"/>
  <c r="H1563" i="4"/>
  <c r="I1563" i="4" s="1"/>
  <c r="H1533" i="4"/>
  <c r="I1533" i="4" s="1"/>
  <c r="H1389" i="4"/>
  <c r="I1389" i="4" s="1"/>
  <c r="H1376" i="4"/>
  <c r="I1376" i="4" s="1"/>
  <c r="H1370" i="4"/>
  <c r="I1370" i="4" s="1"/>
  <c r="E1328" i="4"/>
  <c r="E1325" i="4"/>
  <c r="H1323" i="4"/>
  <c r="I1323" i="4" s="1"/>
  <c r="H1283" i="4"/>
  <c r="I1283" i="4" s="1"/>
  <c r="E1273" i="4"/>
  <c r="E1275" i="4" s="1"/>
  <c r="E1272" i="4"/>
  <c r="E1274" i="4" s="1"/>
  <c r="H1264" i="4"/>
  <c r="I1264" i="4" s="1"/>
  <c r="H1262" i="4"/>
  <c r="I1262" i="4" s="1"/>
  <c r="E1260" i="4"/>
  <c r="H1258" i="4"/>
  <c r="I1258" i="4" s="1"/>
  <c r="H1257" i="4"/>
  <c r="E1257" i="4"/>
  <c r="E1255" i="4"/>
  <c r="E1254" i="4"/>
  <c r="H1247" i="4"/>
  <c r="I1247" i="4" s="1"/>
  <c r="H1241" i="4"/>
  <c r="I1241" i="4" s="1"/>
  <c r="H1234" i="4"/>
  <c r="I1234" i="4" s="1"/>
  <c r="H1229" i="4"/>
  <c r="I1229" i="4" s="1"/>
  <c r="H1222" i="4"/>
  <c r="I1222" i="4" s="1"/>
  <c r="H1217" i="4"/>
  <c r="I1217" i="4" s="1"/>
  <c r="H1211" i="4"/>
  <c r="I1211" i="4" s="1"/>
  <c r="H1209" i="4"/>
  <c r="I1209" i="4" s="1"/>
  <c r="E1193" i="4"/>
  <c r="H1192" i="4"/>
  <c r="I1192" i="4" s="1"/>
  <c r="E1188" i="4"/>
  <c r="E1185" i="4"/>
  <c r="H1181" i="4"/>
  <c r="I1181" i="4" s="1"/>
  <c r="E1180" i="4"/>
  <c r="H1175" i="4"/>
  <c r="I1175" i="4" s="1"/>
  <c r="H1173" i="4"/>
  <c r="I1173" i="4" s="1"/>
  <c r="H1157" i="4"/>
  <c r="I1157" i="4" s="1"/>
  <c r="E1121" i="4"/>
  <c r="E1115" i="4"/>
  <c r="E1114" i="4"/>
  <c r="E1107" i="4"/>
  <c r="E1106" i="4"/>
  <c r="E1105" i="4"/>
  <c r="E1104" i="4"/>
  <c r="E1103" i="4"/>
  <c r="E1089" i="4"/>
  <c r="E1088" i="4"/>
  <c r="E1084" i="4"/>
  <c r="E1081" i="4"/>
  <c r="H1076" i="4"/>
  <c r="I1076" i="4" s="1"/>
  <c r="H1073" i="4"/>
  <c r="I1073" i="4" s="1"/>
  <c r="H1060" i="4"/>
  <c r="I1060" i="4" s="1"/>
  <c r="E1052" i="4"/>
  <c r="H1018" i="4"/>
  <c r="I1018" i="4" s="1"/>
  <c r="H982" i="4"/>
  <c r="I982" i="4" s="1"/>
  <c r="H970" i="4"/>
  <c r="I970" i="4" s="1"/>
  <c r="H964" i="4"/>
  <c r="I964" i="4" s="1"/>
  <c r="H928" i="4"/>
  <c r="I928" i="4" s="1"/>
  <c r="H922" i="4"/>
  <c r="I922" i="4" s="1"/>
  <c r="H916" i="4"/>
  <c r="I916" i="4" s="1"/>
  <c r="I899" i="4"/>
  <c r="H828" i="4"/>
  <c r="I828" i="4" s="1"/>
  <c r="H822" i="4"/>
  <c r="I822" i="4" s="1"/>
  <c r="H816" i="4"/>
  <c r="I816" i="4" s="1"/>
  <c r="H798" i="4"/>
  <c r="I798" i="4" s="1"/>
  <c r="H786" i="4"/>
  <c r="I786" i="4" s="1"/>
  <c r="E763" i="4"/>
  <c r="H749" i="4"/>
  <c r="I749" i="4" s="1"/>
  <c r="H748" i="4"/>
  <c r="I748" i="4" s="1"/>
  <c r="H744" i="4"/>
  <c r="I744" i="4" s="1"/>
  <c r="H733" i="4"/>
  <c r="I733" i="4" s="1"/>
  <c r="H730" i="4"/>
  <c r="I730" i="4" s="1"/>
  <c r="H718" i="4"/>
  <c r="I718" i="4" s="1"/>
  <c r="E717" i="4"/>
  <c r="E716" i="4"/>
  <c r="E714" i="4"/>
  <c r="E708" i="4"/>
  <c r="H693" i="4"/>
  <c r="I693" i="4" s="1"/>
  <c r="E691" i="4"/>
  <c r="E690" i="4"/>
  <c r="H688" i="4"/>
  <c r="E688" i="4"/>
  <c r="E686" i="4"/>
  <c r="H665" i="4"/>
  <c r="I665" i="4" s="1"/>
  <c r="H655" i="4"/>
  <c r="I655" i="4" s="1"/>
  <c r="H647" i="4"/>
  <c r="I647" i="4" s="1"/>
  <c r="H635" i="4"/>
  <c r="I635" i="4" s="1"/>
  <c r="H631" i="4"/>
  <c r="I631" i="4" s="1"/>
  <c r="H625" i="4"/>
  <c r="I625" i="4" s="1"/>
  <c r="H619" i="4"/>
  <c r="I619" i="4" s="1"/>
  <c r="H613" i="4"/>
  <c r="I613" i="4" s="1"/>
  <c r="H580" i="4"/>
  <c r="I580" i="4" s="1"/>
  <c r="H574" i="4"/>
  <c r="I574" i="4" s="1"/>
  <c r="H560" i="4"/>
  <c r="I560" i="4" s="1"/>
  <c r="H547" i="4"/>
  <c r="I547" i="4" s="1"/>
  <c r="H519" i="4"/>
  <c r="I519" i="4" s="1"/>
  <c r="H513" i="4"/>
  <c r="I513" i="4" s="1"/>
  <c r="H507" i="4"/>
  <c r="I507" i="4" s="1"/>
  <c r="H503" i="4"/>
  <c r="I503" i="4" s="1"/>
  <c r="H439" i="4"/>
  <c r="I439" i="4" s="1"/>
  <c r="H394" i="4"/>
  <c r="I394" i="4" s="1"/>
  <c r="H362" i="4"/>
  <c r="I362" i="4" s="1"/>
  <c r="H323" i="4"/>
  <c r="I323" i="4" s="1"/>
  <c r="H316" i="4"/>
  <c r="I316" i="4" s="1"/>
  <c r="H260" i="4"/>
  <c r="I260" i="4" s="1"/>
  <c r="H254" i="4"/>
  <c r="I254" i="4" s="1"/>
  <c r="H201" i="4"/>
  <c r="I201" i="4" s="1"/>
  <c r="H179" i="4"/>
  <c r="I179" i="4" s="1"/>
  <c r="H155" i="4"/>
  <c r="I155" i="4" s="1"/>
  <c r="H149" i="4"/>
  <c r="I149" i="4" s="1"/>
  <c r="H143" i="4"/>
  <c r="I143" i="4" s="1"/>
  <c r="H112" i="4"/>
  <c r="I112" i="4" s="1"/>
  <c r="H90" i="4"/>
  <c r="I90" i="4" s="1"/>
  <c r="H84" i="4"/>
  <c r="I84" i="4" s="1"/>
  <c r="H78" i="4"/>
  <c r="I78" i="4" s="1"/>
  <c r="H74" i="4"/>
  <c r="I74" i="4" s="1"/>
  <c r="E73" i="4"/>
  <c r="H71" i="4"/>
  <c r="I71" i="4" s="1"/>
  <c r="H67" i="4"/>
  <c r="I67" i="4" s="1"/>
  <c r="H37" i="4"/>
  <c r="I37" i="4" s="1"/>
  <c r="B13" i="4"/>
  <c r="B14" i="4" s="1"/>
  <c r="H2588" i="3"/>
  <c r="I2588" i="3" s="1"/>
  <c r="H2582" i="3"/>
  <c r="I2582" i="3" s="1"/>
  <c r="H2580" i="3"/>
  <c r="I2580" i="3" s="1"/>
  <c r="H2574" i="3"/>
  <c r="I2574" i="3" s="1"/>
  <c r="H2565" i="3"/>
  <c r="I2565" i="3" s="1"/>
  <c r="H2556" i="3"/>
  <c r="I2556" i="3" s="1"/>
  <c r="H2550" i="3"/>
  <c r="I2550" i="3" s="1"/>
  <c r="H2544" i="3"/>
  <c r="I2544" i="3" s="1"/>
  <c r="H2538" i="3"/>
  <c r="I2538" i="3" s="1"/>
  <c r="H2522" i="3"/>
  <c r="I2522" i="3" s="1"/>
  <c r="E2521" i="3"/>
  <c r="H2507" i="3"/>
  <c r="I2507" i="3" s="1"/>
  <c r="H2501" i="3"/>
  <c r="I2501" i="3" s="1"/>
  <c r="H2495" i="3"/>
  <c r="I2495" i="3" s="1"/>
  <c r="H2490" i="3"/>
  <c r="I2490" i="3" s="1"/>
  <c r="H2483" i="3"/>
  <c r="I2483" i="3" s="1"/>
  <c r="H2477" i="3"/>
  <c r="I2477" i="3" s="1"/>
  <c r="H2465" i="3"/>
  <c r="I2465" i="3" s="1"/>
  <c r="H2457" i="3"/>
  <c r="I2457" i="3" s="1"/>
  <c r="H2444" i="3"/>
  <c r="I2444" i="3" s="1"/>
  <c r="H2432" i="3"/>
  <c r="I2432" i="3" s="1"/>
  <c r="H2427" i="3"/>
  <c r="I2427" i="3" s="1"/>
  <c r="H2426" i="3"/>
  <c r="I2426" i="3" s="1"/>
  <c r="H2415" i="3"/>
  <c r="I2415" i="3" s="1"/>
  <c r="H2409" i="3"/>
  <c r="I2409" i="3" s="1"/>
  <c r="H2408" i="3"/>
  <c r="I2408" i="3" s="1"/>
  <c r="H2362" i="3"/>
  <c r="I2362" i="3" s="1"/>
  <c r="H2361" i="3"/>
  <c r="I2361" i="3" s="1"/>
  <c r="H2355" i="3"/>
  <c r="I2355" i="3" s="1"/>
  <c r="H2344" i="3"/>
  <c r="I2344" i="3" s="1"/>
  <c r="H2294" i="3"/>
  <c r="I2294" i="3" s="1"/>
  <c r="H2293" i="3"/>
  <c r="I2293" i="3" s="1"/>
  <c r="H2271" i="3"/>
  <c r="I2271" i="3" s="1"/>
  <c r="H2253" i="3"/>
  <c r="I2253" i="3" s="1"/>
  <c r="H2223" i="3"/>
  <c r="I2223" i="3" s="1"/>
  <c r="H2217" i="3"/>
  <c r="I2217" i="3" s="1"/>
  <c r="H2211" i="3"/>
  <c r="I2211" i="3" s="1"/>
  <c r="H2163" i="3"/>
  <c r="I2163" i="3" s="1"/>
  <c r="H2138" i="3"/>
  <c r="I2138" i="3" s="1"/>
  <c r="H2115" i="3"/>
  <c r="I2115" i="3" s="1"/>
  <c r="H2093" i="3"/>
  <c r="I2093" i="3" s="1"/>
  <c r="H2078" i="3"/>
  <c r="I2078" i="3" s="1"/>
  <c r="H2074" i="3"/>
  <c r="I2074" i="3" s="1"/>
  <c r="H2061" i="3"/>
  <c r="I2061" i="3" s="1"/>
  <c r="H2049" i="3"/>
  <c r="I2049" i="3" s="1"/>
  <c r="H2048" i="3"/>
  <c r="I2048" i="3" s="1"/>
  <c r="H2043" i="3"/>
  <c r="I2043" i="3" s="1"/>
  <c r="H2040" i="3"/>
  <c r="I2040" i="3" s="1"/>
  <c r="H2039" i="3"/>
  <c r="I2039" i="3" s="1"/>
  <c r="H2027" i="3"/>
  <c r="I2027" i="3" s="1"/>
  <c r="H2022" i="3"/>
  <c r="I2022" i="3" s="1"/>
  <c r="H2009" i="3"/>
  <c r="I2009" i="3" s="1"/>
  <c r="H2004" i="3"/>
  <c r="I2004" i="3" s="1"/>
  <c r="H1997" i="3"/>
  <c r="I1997" i="3" s="1"/>
  <c r="H1973" i="3"/>
  <c r="I1973" i="3" s="1"/>
  <c r="H1965" i="3"/>
  <c r="I1965" i="3" s="1"/>
  <c r="H1961" i="3"/>
  <c r="I1961" i="3" s="1"/>
  <c r="H1959" i="3"/>
  <c r="I1959" i="3" s="1"/>
  <c r="H1947" i="3"/>
  <c r="I1947" i="3" s="1"/>
  <c r="H1917" i="3"/>
  <c r="I1917" i="3" s="1"/>
  <c r="H1875" i="3"/>
  <c r="I1875" i="3" s="1"/>
  <c r="H1863" i="3"/>
  <c r="I1863" i="3" s="1"/>
  <c r="H1860" i="3"/>
  <c r="I1860" i="3" s="1"/>
  <c r="H1847" i="3"/>
  <c r="I1847" i="3" s="1"/>
  <c r="H1841" i="3"/>
  <c r="I1841" i="3" s="1"/>
  <c r="H1818" i="3"/>
  <c r="I1818" i="3" s="1"/>
  <c r="H1806" i="3"/>
  <c r="I1806" i="3" s="1"/>
  <c r="H1736" i="3"/>
  <c r="I1736" i="3" s="1"/>
  <c r="H1690" i="3"/>
  <c r="I1690" i="3" s="1"/>
  <c r="H1673" i="3"/>
  <c r="E1673" i="3"/>
  <c r="E1666" i="3"/>
  <c r="E1664" i="3"/>
  <c r="E1646" i="3"/>
  <c r="E1645" i="3"/>
  <c r="E1637" i="3"/>
  <c r="H1626" i="3"/>
  <c r="I1626" i="3" s="1"/>
  <c r="H1622" i="3"/>
  <c r="I1622" i="3" s="1"/>
  <c r="E1620" i="3"/>
  <c r="H1617" i="3"/>
  <c r="I1617" i="3" s="1"/>
  <c r="H1612" i="3"/>
  <c r="I1612" i="3" s="1"/>
  <c r="H1484" i="3"/>
  <c r="I1484" i="3" s="1"/>
  <c r="E1443" i="3"/>
  <c r="H1436" i="3"/>
  <c r="I1436" i="3" s="1"/>
  <c r="E1408" i="3"/>
  <c r="E1407" i="3"/>
  <c r="E1404" i="3"/>
  <c r="E1391" i="3"/>
  <c r="E1392" i="3" s="1"/>
  <c r="E1393" i="3" s="1"/>
  <c r="H1390" i="3"/>
  <c r="I1390" i="3" s="1"/>
  <c r="E1389" i="3"/>
  <c r="H1386" i="3"/>
  <c r="E1386" i="3"/>
  <c r="H1379" i="3"/>
  <c r="I1379" i="3" s="1"/>
  <c r="H1373" i="3"/>
  <c r="I1373" i="3" s="1"/>
  <c r="H1349" i="3"/>
  <c r="I1349" i="3" s="1"/>
  <c r="H1343" i="3"/>
  <c r="I1343" i="3" s="1"/>
  <c r="I1342" i="3" s="1"/>
  <c r="H1338" i="3"/>
  <c r="I1338" i="3" s="1"/>
  <c r="H1336" i="3"/>
  <c r="I1336" i="3" s="1"/>
  <c r="H1334" i="3"/>
  <c r="I1334" i="3" s="1"/>
  <c r="H1330" i="3"/>
  <c r="I1330" i="3" s="1"/>
  <c r="H1324" i="3"/>
  <c r="I1324" i="3" s="1"/>
  <c r="E1322" i="3"/>
  <c r="E1321" i="3"/>
  <c r="E1320" i="3"/>
  <c r="H1319" i="3"/>
  <c r="I1319" i="3" s="1"/>
  <c r="H1314" i="3"/>
  <c r="I1314" i="3" s="1"/>
  <c r="H1307" i="3"/>
  <c r="I1307" i="3" s="1"/>
  <c r="H1290" i="3"/>
  <c r="I1290" i="3" s="1"/>
  <c r="H1288" i="3"/>
  <c r="I1288" i="3" s="1"/>
  <c r="E1279" i="3"/>
  <c r="H1274" i="3"/>
  <c r="E1274" i="3"/>
  <c r="E1272" i="3"/>
  <c r="H1270" i="3"/>
  <c r="I1270" i="3" s="1"/>
  <c r="E1269" i="3"/>
  <c r="E1268" i="3"/>
  <c r="H1264" i="3"/>
  <c r="I1264" i="3" s="1"/>
  <c r="H1242" i="3"/>
  <c r="I1242" i="3" s="1"/>
  <c r="H1229" i="3"/>
  <c r="I1229" i="3" s="1"/>
  <c r="H1190" i="3"/>
  <c r="I1190" i="3" s="1"/>
  <c r="H1180" i="3"/>
  <c r="I1180" i="3" s="1"/>
  <c r="H1176" i="3"/>
  <c r="I1176" i="3" s="1"/>
  <c r="H1174" i="3"/>
  <c r="I1174" i="3" s="1"/>
  <c r="H1164" i="3"/>
  <c r="I1164" i="3" s="1"/>
  <c r="H1162" i="3"/>
  <c r="I1162" i="3" s="1"/>
  <c r="H1158" i="3"/>
  <c r="I1158" i="3" s="1"/>
  <c r="H1151" i="3"/>
  <c r="I1151" i="3" s="1"/>
  <c r="H1148" i="3"/>
  <c r="I1148" i="3" s="1"/>
  <c r="H1124" i="3"/>
  <c r="I1124" i="3" s="1"/>
  <c r="H1118" i="3"/>
  <c r="I1118" i="3" s="1"/>
  <c r="H1113" i="3"/>
  <c r="I1113" i="3" s="1"/>
  <c r="H1083" i="3"/>
  <c r="I1083" i="3" s="1"/>
  <c r="H1077" i="3"/>
  <c r="I1077" i="3" s="1"/>
  <c r="H1073" i="3"/>
  <c r="I1073" i="3" s="1"/>
  <c r="H1059" i="3"/>
  <c r="I1059" i="3" s="1"/>
  <c r="H1052" i="3"/>
  <c r="I1052" i="3" s="1"/>
  <c r="E1050" i="3"/>
  <c r="H1041" i="3"/>
  <c r="I1041" i="3" s="1"/>
  <c r="H1030" i="3"/>
  <c r="I1030" i="3" s="1"/>
  <c r="H1018" i="3"/>
  <c r="I1018" i="3" s="1"/>
  <c r="H1008" i="3"/>
  <c r="I1008" i="3" s="1"/>
  <c r="H1006" i="3"/>
  <c r="I1006" i="3" s="1"/>
  <c r="H1002" i="3"/>
  <c r="I1002" i="3" s="1"/>
  <c r="H982" i="3"/>
  <c r="I982" i="3" s="1"/>
  <c r="H928" i="3"/>
  <c r="E928" i="3"/>
  <c r="H924" i="3"/>
  <c r="I924" i="3" s="1"/>
  <c r="H918" i="3"/>
  <c r="I918" i="3" s="1"/>
  <c r="H898" i="3"/>
  <c r="I898" i="3" s="1"/>
  <c r="E891" i="3"/>
  <c r="E881" i="3"/>
  <c r="E876" i="3"/>
  <c r="E872" i="3"/>
  <c r="H866" i="3"/>
  <c r="I866" i="3" s="1"/>
  <c r="H864" i="3"/>
  <c r="E864" i="3"/>
  <c r="E863" i="3"/>
  <c r="E861" i="3"/>
  <c r="E859" i="3"/>
  <c r="E857" i="3"/>
  <c r="E856" i="3"/>
  <c r="E855" i="3"/>
  <c r="H814" i="3"/>
  <c r="I814" i="3" s="1"/>
  <c r="H772" i="3"/>
  <c r="I772" i="3" s="1"/>
  <c r="H766" i="3"/>
  <c r="I766" i="3" s="1"/>
  <c r="H742" i="3"/>
  <c r="I742" i="3" s="1"/>
  <c r="H694" i="3"/>
  <c r="I694" i="3" s="1"/>
  <c r="H688" i="3"/>
  <c r="I688" i="3" s="1"/>
  <c r="H664" i="3"/>
  <c r="I664" i="3" s="1"/>
  <c r="H659" i="3"/>
  <c r="I659" i="3" s="1"/>
  <c r="H626" i="3"/>
  <c r="I626" i="3" s="1"/>
  <c r="H625" i="3"/>
  <c r="I625" i="3" s="1"/>
  <c r="H623" i="3"/>
  <c r="I623" i="3" s="1"/>
  <c r="H599" i="3"/>
  <c r="I599" i="3" s="1"/>
  <c r="H593" i="3"/>
  <c r="I593" i="3" s="1"/>
  <c r="H588" i="3"/>
  <c r="I588" i="3" s="1"/>
  <c r="H582" i="3"/>
  <c r="I582" i="3" s="1"/>
  <c r="H551" i="3"/>
  <c r="I551" i="3" s="1"/>
  <c r="H528" i="3"/>
  <c r="I528" i="3" s="1"/>
  <c r="H527" i="3"/>
  <c r="I527" i="3" s="1"/>
  <c r="H522" i="3"/>
  <c r="I522" i="3" s="1"/>
  <c r="H501" i="3"/>
  <c r="I501" i="3" s="1"/>
  <c r="H492" i="3"/>
  <c r="I492" i="3" s="1"/>
  <c r="H491" i="3"/>
  <c r="I491" i="3" s="1"/>
  <c r="H483" i="3"/>
  <c r="I483" i="3" s="1"/>
  <c r="H452" i="3"/>
  <c r="I452" i="3" s="1"/>
  <c r="H424" i="3"/>
  <c r="I424" i="3" s="1"/>
  <c r="H412" i="3"/>
  <c r="I412" i="3" s="1"/>
  <c r="H389" i="3"/>
  <c r="I389" i="3" s="1"/>
  <c r="H341" i="3"/>
  <c r="I341" i="3" s="1"/>
  <c r="H340" i="3"/>
  <c r="I340" i="3" s="1"/>
  <c r="H339" i="3"/>
  <c r="I339" i="3" s="1"/>
  <c r="H338" i="3"/>
  <c r="I338" i="3" s="1"/>
  <c r="H326" i="3"/>
  <c r="I326" i="3" s="1"/>
  <c r="H321" i="3"/>
  <c r="I321" i="3" s="1"/>
  <c r="H318" i="3"/>
  <c r="I318" i="3" s="1"/>
  <c r="H303" i="3"/>
  <c r="I303" i="3" s="1"/>
  <c r="H297" i="3"/>
  <c r="I297" i="3" s="1"/>
  <c r="H291" i="3"/>
  <c r="I291" i="3" s="1"/>
  <c r="H285" i="3"/>
  <c r="I285" i="3" s="1"/>
  <c r="H280" i="3"/>
  <c r="I280" i="3" s="1"/>
  <c r="H265" i="3"/>
  <c r="I265" i="3" s="1"/>
  <c r="H240" i="3"/>
  <c r="I240" i="3" s="1"/>
  <c r="H236" i="3"/>
  <c r="I236" i="3" s="1"/>
  <c r="H231" i="3"/>
  <c r="I231" i="3" s="1"/>
  <c r="H213" i="3"/>
  <c r="I213" i="3" s="1"/>
  <c r="H209" i="3"/>
  <c r="I209" i="3" s="1"/>
  <c r="H202" i="3"/>
  <c r="I202" i="3" s="1"/>
  <c r="H174" i="3"/>
  <c r="I174" i="3" s="1"/>
  <c r="H162" i="3"/>
  <c r="I162" i="3" s="1"/>
  <c r="H114" i="3"/>
  <c r="I114" i="3" s="1"/>
  <c r="H108" i="3"/>
  <c r="I108" i="3" s="1"/>
  <c r="H96" i="3"/>
  <c r="I96" i="3" s="1"/>
  <c r="H84" i="3"/>
  <c r="I84" i="3" s="1"/>
  <c r="H81" i="3"/>
  <c r="I81" i="3" s="1"/>
  <c r="H78" i="3"/>
  <c r="I78" i="3" s="1"/>
  <c r="H71" i="3"/>
  <c r="I71" i="3" s="1"/>
  <c r="H69" i="3"/>
  <c r="I69" i="3" s="1"/>
  <c r="H29" i="3"/>
  <c r="I29" i="3" s="1"/>
  <c r="H15" i="3"/>
  <c r="I15" i="3" s="1"/>
  <c r="H14" i="3"/>
  <c r="I14" i="3" s="1"/>
  <c r="B13" i="3"/>
  <c r="B14" i="3" s="1"/>
  <c r="I928" i="3" l="1"/>
  <c r="I1274" i="3"/>
  <c r="I1386" i="3"/>
  <c r="I688" i="4"/>
  <c r="I1257" i="4"/>
  <c r="I1274" i="4"/>
  <c r="I864" i="3"/>
  <c r="I1673" i="3"/>
  <c r="I1645" i="3"/>
  <c r="H353" i="4"/>
  <c r="I353" i="4" s="1"/>
  <c r="H1314" i="4"/>
  <c r="I1314" i="4" s="1"/>
  <c r="H1337" i="4"/>
  <c r="I1337" i="4" s="1"/>
  <c r="H1361" i="4"/>
  <c r="I1361" i="4" s="1"/>
  <c r="H1403" i="4"/>
  <c r="I1403" i="4" s="1"/>
  <c r="H1548" i="4"/>
  <c r="I1548" i="4" s="1"/>
  <c r="H2452" i="4"/>
  <c r="I2452" i="4" s="1"/>
  <c r="H480" i="4"/>
  <c r="I480" i="4" s="1"/>
  <c r="H522" i="4"/>
  <c r="I522" i="4" s="1"/>
  <c r="H534" i="4"/>
  <c r="I534" i="4" s="1"/>
  <c r="H570" i="4"/>
  <c r="I570" i="4" s="1"/>
  <c r="H606" i="4"/>
  <c r="I606" i="4" s="1"/>
  <c r="H612" i="4"/>
  <c r="I612" i="4" s="1"/>
  <c r="H618" i="4"/>
  <c r="I618" i="4" s="1"/>
  <c r="H636" i="4"/>
  <c r="I636" i="4" s="1"/>
  <c r="H642" i="4"/>
  <c r="I642" i="4" s="1"/>
  <c r="H648" i="4"/>
  <c r="I648" i="4" s="1"/>
  <c r="H654" i="4"/>
  <c r="I654" i="4" s="1"/>
  <c r="H660" i="4"/>
  <c r="I660" i="4" s="1"/>
  <c r="H728" i="4"/>
  <c r="I728" i="4" s="1"/>
  <c r="H734" i="4"/>
  <c r="I734" i="4" s="1"/>
  <c r="H1291" i="4"/>
  <c r="I1291" i="4" s="1"/>
  <c r="H1404" i="4"/>
  <c r="I1404" i="4" s="1"/>
  <c r="H1734" i="4"/>
  <c r="I1734" i="4" s="1"/>
  <c r="H1895" i="4"/>
  <c r="I1895" i="4" s="1"/>
  <c r="H2141" i="4"/>
  <c r="I2141" i="4" s="1"/>
  <c r="H2165" i="4"/>
  <c r="I2165" i="4" s="1"/>
  <c r="H2189" i="4"/>
  <c r="I2189" i="4" s="1"/>
  <c r="H2321" i="4"/>
  <c r="I2321" i="4" s="1"/>
  <c r="H2339" i="4"/>
  <c r="I2339" i="4" s="1"/>
  <c r="H1441" i="4"/>
  <c r="I1441" i="4" s="1"/>
  <c r="H1447" i="4"/>
  <c r="I1447" i="4" s="1"/>
  <c r="H1453" i="4"/>
  <c r="I1453" i="4" s="1"/>
  <c r="H1471" i="4"/>
  <c r="I1471" i="4" s="1"/>
  <c r="H1501" i="4"/>
  <c r="I1501" i="4" s="1"/>
  <c r="H1519" i="4"/>
  <c r="I1519" i="4" s="1"/>
  <c r="H1567" i="4"/>
  <c r="I1567" i="4" s="1"/>
  <c r="H1579" i="4"/>
  <c r="I1579" i="4" s="1"/>
  <c r="H1621" i="4"/>
  <c r="I1621" i="4" s="1"/>
  <c r="H1135" i="4"/>
  <c r="I1135" i="4" s="1"/>
  <c r="H1123" i="4"/>
  <c r="I1123" i="4" s="1"/>
  <c r="H765" i="4"/>
  <c r="I765" i="4" s="1"/>
  <c r="H1047" i="4"/>
  <c r="I1047" i="4" s="1"/>
  <c r="H1058" i="4"/>
  <c r="I1058" i="4" s="1"/>
  <c r="H1695" i="4"/>
  <c r="I1695" i="4" s="1"/>
  <c r="H1707" i="4"/>
  <c r="I1707" i="4" s="1"/>
  <c r="H1747" i="4"/>
  <c r="I1747" i="4" s="1"/>
  <c r="H2323" i="4"/>
  <c r="I2323" i="4" s="1"/>
  <c r="H1720" i="4"/>
  <c r="I1720" i="4" s="1"/>
  <c r="H1910" i="4"/>
  <c r="I1910" i="4" s="1"/>
  <c r="H1946" i="4"/>
  <c r="I1946" i="4" s="1"/>
  <c r="H2078" i="4"/>
  <c r="I2078" i="4" s="1"/>
  <c r="H1516" i="4"/>
  <c r="I1516" i="4" s="1"/>
  <c r="H1546" i="4"/>
  <c r="I1546" i="4" s="1"/>
  <c r="H1558" i="4"/>
  <c r="I1558" i="4" s="1"/>
  <c r="H2402" i="4"/>
  <c r="I2402" i="4" s="1"/>
  <c r="H1295" i="4"/>
  <c r="I1295" i="4" s="1"/>
  <c r="H1307" i="4"/>
  <c r="I1307" i="4" s="1"/>
  <c r="H1336" i="4"/>
  <c r="I1336" i="4" s="1"/>
  <c r="H1354" i="4"/>
  <c r="I1354" i="4" s="1"/>
  <c r="H1372" i="4"/>
  <c r="I1372" i="4" s="1"/>
  <c r="H1378" i="4"/>
  <c r="I1378" i="4" s="1"/>
  <c r="H1390" i="4"/>
  <c r="I1390" i="4" s="1"/>
  <c r="H1421" i="4"/>
  <c r="I1421" i="4" s="1"/>
  <c r="H1445" i="4"/>
  <c r="I1445" i="4" s="1"/>
  <c r="H1481" i="4"/>
  <c r="I1481" i="4" s="1"/>
  <c r="H1493" i="4"/>
  <c r="I1493" i="4" s="1"/>
  <c r="H1499" i="4"/>
  <c r="I1499" i="4" s="1"/>
  <c r="H1535" i="4"/>
  <c r="I1535" i="4" s="1"/>
  <c r="H1547" i="4"/>
  <c r="I1547" i="4" s="1"/>
  <c r="H1571" i="4"/>
  <c r="I1571" i="4" s="1"/>
  <c r="H1583" i="4"/>
  <c r="I1583" i="4" s="1"/>
  <c r="H62" i="4"/>
  <c r="I62" i="4" s="1"/>
  <c r="H115" i="4"/>
  <c r="I115" i="4" s="1"/>
  <c r="H246" i="4"/>
  <c r="I246" i="4" s="1"/>
  <c r="H258" i="4"/>
  <c r="I258" i="4" s="1"/>
  <c r="H306" i="4"/>
  <c r="I306" i="4" s="1"/>
  <c r="H360" i="4"/>
  <c r="I360" i="4" s="1"/>
  <c r="H390" i="4"/>
  <c r="I390" i="4" s="1"/>
  <c r="H763" i="4"/>
  <c r="I763" i="4" s="1"/>
  <c r="H775" i="4"/>
  <c r="I775" i="4" s="1"/>
  <c r="H1294" i="4"/>
  <c r="I1294" i="4" s="1"/>
  <c r="H1347" i="4"/>
  <c r="I1347" i="4" s="1"/>
  <c r="H1353" i="4"/>
  <c r="I1353" i="4" s="1"/>
  <c r="H1365" i="4"/>
  <c r="I1365" i="4" s="1"/>
  <c r="H1377" i="4"/>
  <c r="I1377" i="4" s="1"/>
  <c r="H1647" i="4"/>
  <c r="I1647" i="4" s="1"/>
  <c r="H2377" i="4"/>
  <c r="I2377" i="4" s="1"/>
  <c r="H2395" i="4"/>
  <c r="I2395" i="4" s="1"/>
  <c r="H2401" i="4"/>
  <c r="I2401" i="4" s="1"/>
  <c r="H2448" i="4"/>
  <c r="I2448" i="4" s="1"/>
  <c r="H2460" i="4"/>
  <c r="I2460" i="4" s="1"/>
  <c r="H2466" i="4"/>
  <c r="I2466" i="4" s="1"/>
  <c r="H2472" i="4"/>
  <c r="I2472" i="4" s="1"/>
  <c r="H2478" i="4"/>
  <c r="I2478" i="4" s="1"/>
  <c r="H295" i="4"/>
  <c r="I295" i="4" s="1"/>
  <c r="H343" i="4"/>
  <c r="I343" i="4" s="1"/>
  <c r="H740" i="4"/>
  <c r="I740" i="4" s="1"/>
  <c r="H860" i="4"/>
  <c r="I860" i="4" s="1"/>
  <c r="H1420" i="4"/>
  <c r="I1420" i="4" s="1"/>
  <c r="H1456" i="4"/>
  <c r="I1456" i="4" s="1"/>
  <c r="H1462" i="4"/>
  <c r="I1462" i="4" s="1"/>
  <c r="H1474" i="4"/>
  <c r="I1474" i="4" s="1"/>
  <c r="H1552" i="4"/>
  <c r="I1552" i="4" s="1"/>
  <c r="H1691" i="4"/>
  <c r="I1691" i="4" s="1"/>
  <c r="H1709" i="4"/>
  <c r="I1709" i="4" s="1"/>
  <c r="H1715" i="4"/>
  <c r="I1715" i="4" s="1"/>
  <c r="H2240" i="4"/>
  <c r="I2240" i="4" s="1"/>
  <c r="H2258" i="4"/>
  <c r="I2258" i="4" s="1"/>
  <c r="H2532" i="4"/>
  <c r="I2532" i="4" s="1"/>
  <c r="H2521" i="4"/>
  <c r="I2521" i="4" s="1"/>
  <c r="H86" i="4"/>
  <c r="I86" i="4" s="1"/>
  <c r="H92" i="4"/>
  <c r="I92" i="4" s="1"/>
  <c r="H110" i="4"/>
  <c r="I110" i="4" s="1"/>
  <c r="H116" i="4"/>
  <c r="I116" i="4" s="1"/>
  <c r="H122" i="4"/>
  <c r="I122" i="4" s="1"/>
  <c r="H128" i="4"/>
  <c r="I128" i="4" s="1"/>
  <c r="H451" i="4"/>
  <c r="I451" i="4" s="1"/>
  <c r="H457" i="4"/>
  <c r="I457" i="4" s="1"/>
  <c r="H565" i="4"/>
  <c r="I565" i="4" s="1"/>
  <c r="H729" i="4"/>
  <c r="I729" i="4" s="1"/>
  <c r="H902" i="4"/>
  <c r="I902" i="4" s="1"/>
  <c r="H920" i="4"/>
  <c r="I920" i="4" s="1"/>
  <c r="H962" i="4"/>
  <c r="I962" i="4" s="1"/>
  <c r="H1004" i="4"/>
  <c r="I1004" i="4" s="1"/>
  <c r="H1010" i="4"/>
  <c r="I1010" i="4" s="1"/>
  <c r="H1046" i="4"/>
  <c r="I1046" i="4" s="1"/>
  <c r="H1553" i="4"/>
  <c r="I1553" i="4" s="1"/>
  <c r="H1726" i="4"/>
  <c r="I1726" i="4" s="1"/>
  <c r="H1755" i="4"/>
  <c r="I1755" i="4" s="1"/>
  <c r="H1779" i="4"/>
  <c r="I1779" i="4" s="1"/>
  <c r="H1785" i="4"/>
  <c r="I1785" i="4" s="1"/>
  <c r="H1803" i="4"/>
  <c r="I1803" i="4" s="1"/>
  <c r="H1839" i="4"/>
  <c r="I1839" i="4" s="1"/>
  <c r="H2289" i="4"/>
  <c r="I2289" i="4" s="1"/>
  <c r="H2373" i="4"/>
  <c r="I2373" i="4" s="1"/>
  <c r="H2420" i="4"/>
  <c r="I2420" i="4" s="1"/>
  <c r="H2432" i="4"/>
  <c r="I2432" i="4" s="1"/>
  <c r="H2438" i="4"/>
  <c r="I2438" i="4" s="1"/>
  <c r="H2444" i="4"/>
  <c r="I2444" i="4" s="1"/>
  <c r="H2468" i="4"/>
  <c r="I2468" i="4" s="1"/>
  <c r="H2579" i="4"/>
  <c r="I2579" i="4" s="1"/>
  <c r="H34" i="4"/>
  <c r="I34" i="4" s="1"/>
  <c r="H70" i="4"/>
  <c r="I70" i="4" s="1"/>
  <c r="H500" i="4"/>
  <c r="I500" i="4" s="1"/>
  <c r="H506" i="4"/>
  <c r="I506" i="4" s="1"/>
  <c r="H518" i="4"/>
  <c r="I518" i="4" s="1"/>
  <c r="H584" i="4"/>
  <c r="I584" i="4" s="1"/>
  <c r="H602" i="4"/>
  <c r="I602" i="4" s="1"/>
  <c r="H969" i="4"/>
  <c r="I969" i="4" s="1"/>
  <c r="H1005" i="4"/>
  <c r="I1005" i="4" s="1"/>
  <c r="H1494" i="4"/>
  <c r="I1494" i="4" s="1"/>
  <c r="H1506" i="4"/>
  <c r="I1506" i="4" s="1"/>
  <c r="H1554" i="4"/>
  <c r="I1554" i="4" s="1"/>
  <c r="H1566" i="4"/>
  <c r="I1566" i="4" s="1"/>
  <c r="H1578" i="4"/>
  <c r="I1578" i="4" s="1"/>
  <c r="H1722" i="4"/>
  <c r="I1722" i="4" s="1"/>
  <c r="H1858" i="4"/>
  <c r="I1858" i="4" s="1"/>
  <c r="H1876" i="4"/>
  <c r="I1876" i="4" s="1"/>
  <c r="H2284" i="4"/>
  <c r="I2284" i="4" s="1"/>
  <c r="H165" i="4"/>
  <c r="I165" i="4" s="1"/>
  <c r="H183" i="4"/>
  <c r="I183" i="4" s="1"/>
  <c r="H345" i="4"/>
  <c r="I345" i="4" s="1"/>
  <c r="H1327" i="4"/>
  <c r="I1327" i="4" s="1"/>
  <c r="H1495" i="4"/>
  <c r="I1495" i="4" s="1"/>
  <c r="H1513" i="4"/>
  <c r="I1513" i="4" s="1"/>
  <c r="H1693" i="4"/>
  <c r="I1693" i="4" s="1"/>
  <c r="H1769" i="4"/>
  <c r="I1769" i="4" s="1"/>
  <c r="H1811" i="4"/>
  <c r="I1811" i="4" s="1"/>
  <c r="H2015" i="4"/>
  <c r="I2015" i="4" s="1"/>
  <c r="H2291" i="4"/>
  <c r="I2291" i="4" s="1"/>
  <c r="H2481" i="4"/>
  <c r="I2481" i="4" s="1"/>
  <c r="H2599" i="4"/>
  <c r="I2599" i="4" s="1"/>
  <c r="H130" i="4"/>
  <c r="I130" i="4" s="1"/>
  <c r="H591" i="4"/>
  <c r="I591" i="4" s="1"/>
  <c r="H597" i="4"/>
  <c r="I597" i="4" s="1"/>
  <c r="H615" i="4"/>
  <c r="I615" i="4" s="1"/>
  <c r="H627" i="4"/>
  <c r="I627" i="4" s="1"/>
  <c r="H190" i="4"/>
  <c r="I190" i="4" s="1"/>
  <c r="H238" i="4"/>
  <c r="I238" i="4" s="1"/>
  <c r="H250" i="4"/>
  <c r="I250" i="4" s="1"/>
  <c r="H508" i="4"/>
  <c r="I508" i="4" s="1"/>
  <c r="H809" i="4"/>
  <c r="I809" i="4" s="1"/>
  <c r="H839" i="4"/>
  <c r="I839" i="4" s="1"/>
  <c r="H851" i="4"/>
  <c r="I851" i="4" s="1"/>
  <c r="H1304" i="4"/>
  <c r="I1304" i="4" s="1"/>
  <c r="H1363" i="4"/>
  <c r="I1363" i="4" s="1"/>
  <c r="H1381" i="4"/>
  <c r="I1381" i="4" s="1"/>
  <c r="H2345" i="4"/>
  <c r="I2345" i="4" s="1"/>
  <c r="H2357" i="4"/>
  <c r="I2357" i="4" s="1"/>
  <c r="H119" i="4"/>
  <c r="I119" i="4" s="1"/>
  <c r="H125" i="4"/>
  <c r="I125" i="4" s="1"/>
  <c r="H698" i="4"/>
  <c r="I698" i="4" s="1"/>
  <c r="H750" i="4"/>
  <c r="I750" i="4" s="1"/>
  <c r="H756" i="4"/>
  <c r="I756" i="4" s="1"/>
  <c r="H959" i="4"/>
  <c r="I959" i="4" s="1"/>
  <c r="H983" i="4"/>
  <c r="I983" i="4" s="1"/>
  <c r="H1094" i="4"/>
  <c r="I1094" i="4" s="1"/>
  <c r="I1093" i="4" s="1"/>
  <c r="H1382" i="4"/>
  <c r="I1382" i="4" s="1"/>
  <c r="H1400" i="4"/>
  <c r="I1400" i="4" s="1"/>
  <c r="H1424" i="4"/>
  <c r="I1424" i="4" s="1"/>
  <c r="H1430" i="4"/>
  <c r="I1430" i="4" s="1"/>
  <c r="H1436" i="4"/>
  <c r="I1436" i="4" s="1"/>
  <c r="H1442" i="4"/>
  <c r="I1442" i="4" s="1"/>
  <c r="H1448" i="4"/>
  <c r="I1448" i="4" s="1"/>
  <c r="H1454" i="4"/>
  <c r="I1454" i="4" s="1"/>
  <c r="H1466" i="4"/>
  <c r="I1466" i="4" s="1"/>
  <c r="H1478" i="4"/>
  <c r="I1478" i="4" s="1"/>
  <c r="H1484" i="4"/>
  <c r="I1484" i="4" s="1"/>
  <c r="H1508" i="4"/>
  <c r="I1508" i="4" s="1"/>
  <c r="H1520" i="4"/>
  <c r="I1520" i="4" s="1"/>
  <c r="H1628" i="4"/>
  <c r="I1628" i="4" s="1"/>
  <c r="H1842" i="4"/>
  <c r="I1842" i="4" s="1"/>
  <c r="H1866" i="4"/>
  <c r="I1866" i="4" s="1"/>
  <c r="H1926" i="4"/>
  <c r="I1926" i="4" s="1"/>
  <c r="H1962" i="4"/>
  <c r="I1962" i="4" s="1"/>
  <c r="H1968" i="4"/>
  <c r="I1968" i="4" s="1"/>
  <c r="H1992" i="4"/>
  <c r="I1992" i="4" s="1"/>
  <c r="H2028" i="4"/>
  <c r="I2028" i="4" s="1"/>
  <c r="H2052" i="4"/>
  <c r="I2052" i="4" s="1"/>
  <c r="H2058" i="4"/>
  <c r="I2058" i="4" s="1"/>
  <c r="H2064" i="4"/>
  <c r="I2064" i="4" s="1"/>
  <c r="H2076" i="4"/>
  <c r="I2076" i="4" s="1"/>
  <c r="H2082" i="4"/>
  <c r="I2082" i="4" s="1"/>
  <c r="H2106" i="4"/>
  <c r="I2106" i="4" s="1"/>
  <c r="H2112" i="4"/>
  <c r="I2112" i="4" s="1"/>
  <c r="H2130" i="4"/>
  <c r="I2130" i="4" s="1"/>
  <c r="H2202" i="4"/>
  <c r="I2202" i="4" s="1"/>
  <c r="H2214" i="4"/>
  <c r="I2214" i="4" s="1"/>
  <c r="H2220" i="4"/>
  <c r="I2220" i="4" s="1"/>
  <c r="H2226" i="4"/>
  <c r="I2226" i="4" s="1"/>
  <c r="H2262" i="4"/>
  <c r="I2262" i="4" s="1"/>
  <c r="H2286" i="4"/>
  <c r="I2286" i="4" s="1"/>
  <c r="H2370" i="4"/>
  <c r="I2370" i="4" s="1"/>
  <c r="H2512" i="4"/>
  <c r="I2512" i="4" s="1"/>
  <c r="H2536" i="4"/>
  <c r="I2536" i="4" s="1"/>
  <c r="H2548" i="4"/>
  <c r="I2548" i="4" s="1"/>
  <c r="H2554" i="4"/>
  <c r="I2554" i="4" s="1"/>
  <c r="H2560" i="4"/>
  <c r="I2560" i="4" s="1"/>
  <c r="H31" i="4"/>
  <c r="I31" i="4" s="1"/>
  <c r="H389" i="4"/>
  <c r="I389" i="4" s="1"/>
  <c r="H864" i="4"/>
  <c r="I864" i="4" s="1"/>
  <c r="H918" i="4"/>
  <c r="I918" i="4" s="1"/>
  <c r="H960" i="4"/>
  <c r="I960" i="4" s="1"/>
  <c r="H1008" i="4"/>
  <c r="I1008" i="4" s="1"/>
  <c r="H1443" i="4"/>
  <c r="I1443" i="4" s="1"/>
  <c r="H1449" i="4"/>
  <c r="I1449" i="4" s="1"/>
  <c r="H1455" i="4"/>
  <c r="I1455" i="4" s="1"/>
  <c r="H1461" i="4"/>
  <c r="I1461" i="4" s="1"/>
  <c r="H1509" i="4"/>
  <c r="I1509" i="4" s="1"/>
  <c r="H1527" i="4"/>
  <c r="I1527" i="4" s="1"/>
  <c r="H1599" i="4"/>
  <c r="I1599" i="4" s="1"/>
  <c r="H1855" i="4"/>
  <c r="I1855" i="4" s="1"/>
  <c r="H2131" i="4"/>
  <c r="I2131" i="4" s="1"/>
  <c r="H2149" i="4"/>
  <c r="I2149" i="4" s="1"/>
  <c r="H2161" i="4"/>
  <c r="I2161" i="4" s="1"/>
  <c r="H2239" i="4"/>
  <c r="I2239" i="4" s="1"/>
  <c r="H2293" i="4"/>
  <c r="I2293" i="4" s="1"/>
  <c r="H2442" i="4"/>
  <c r="I2442" i="4" s="1"/>
  <c r="H118" i="3"/>
  <c r="I118" i="3" s="1"/>
  <c r="H130" i="3"/>
  <c r="I130" i="3" s="1"/>
  <c r="H514" i="3"/>
  <c r="I514" i="3" s="1"/>
  <c r="H568" i="3"/>
  <c r="I568" i="3" s="1"/>
  <c r="H580" i="3"/>
  <c r="I580" i="3" s="1"/>
  <c r="H610" i="3"/>
  <c r="I610" i="3" s="1"/>
  <c r="H1822" i="3"/>
  <c r="I1822" i="3" s="1"/>
  <c r="H1060" i="3"/>
  <c r="I1060" i="3" s="1"/>
  <c r="H1066" i="3"/>
  <c r="I1066" i="3" s="1"/>
  <c r="H1072" i="3"/>
  <c r="I1072" i="3" s="1"/>
  <c r="H1120" i="3"/>
  <c r="I1120" i="3" s="1"/>
  <c r="I1119" i="3" s="1"/>
  <c r="H2589" i="3"/>
  <c r="I2589" i="3" s="1"/>
  <c r="H1668" i="3"/>
  <c r="I1668" i="3" s="1"/>
  <c r="H2512" i="3"/>
  <c r="I2512" i="3" s="1"/>
  <c r="H474" i="3"/>
  <c r="I474" i="3" s="1"/>
  <c r="H618" i="3"/>
  <c r="I618" i="3" s="1"/>
  <c r="H624" i="3"/>
  <c r="I624" i="3" s="1"/>
  <c r="H1014" i="3"/>
  <c r="I1014" i="3" s="1"/>
  <c r="H2388" i="3"/>
  <c r="I2388" i="3" s="1"/>
  <c r="H139" i="3"/>
  <c r="I139" i="3" s="1"/>
  <c r="H157" i="3"/>
  <c r="I157" i="3" s="1"/>
  <c r="H163" i="3"/>
  <c r="I163" i="3" s="1"/>
  <c r="H169" i="3"/>
  <c r="I169" i="3" s="1"/>
  <c r="H319" i="3"/>
  <c r="I319" i="3" s="1"/>
  <c r="H421" i="3"/>
  <c r="I421" i="3" s="1"/>
  <c r="H517" i="3"/>
  <c r="I517" i="3" s="1"/>
  <c r="H523" i="3"/>
  <c r="I523" i="3" s="1"/>
  <c r="H559" i="3"/>
  <c r="I559" i="3" s="1"/>
  <c r="H1063" i="3"/>
  <c r="I1063" i="3" s="1"/>
  <c r="H1393" i="3"/>
  <c r="H1613" i="3"/>
  <c r="I1613" i="3" s="1"/>
  <c r="H1885" i="3"/>
  <c r="I1885" i="3" s="1"/>
  <c r="H1903" i="3"/>
  <c r="I1903" i="3" s="1"/>
  <c r="H1987" i="3"/>
  <c r="I1987" i="3" s="1"/>
  <c r="H2143" i="3"/>
  <c r="I2143" i="3" s="1"/>
  <c r="H2257" i="3"/>
  <c r="I2257" i="3" s="1"/>
  <c r="H2407" i="3"/>
  <c r="I2407" i="3" s="1"/>
  <c r="H2431" i="3"/>
  <c r="I2431" i="3" s="1"/>
  <c r="H27" i="3"/>
  <c r="I27" i="3" s="1"/>
  <c r="H812" i="3"/>
  <c r="I812" i="3" s="1"/>
  <c r="H874" i="3"/>
  <c r="I874" i="3" s="1"/>
  <c r="H927" i="3"/>
  <c r="I927" i="3" s="1"/>
  <c r="H944" i="3"/>
  <c r="I944" i="3" s="1"/>
  <c r="H968" i="3"/>
  <c r="I968" i="3" s="1"/>
  <c r="H992" i="3"/>
  <c r="I992" i="3" s="1"/>
  <c r="H1010" i="3"/>
  <c r="I1010" i="3" s="1"/>
  <c r="H1022" i="3"/>
  <c r="I1022" i="3" s="1"/>
  <c r="H1046" i="3"/>
  <c r="I1046" i="3" s="1"/>
  <c r="H1353" i="3"/>
  <c r="I1353" i="3" s="1"/>
  <c r="H1359" i="3"/>
  <c r="I1359" i="3" s="1"/>
  <c r="H1542" i="3"/>
  <c r="I1542" i="3" s="1"/>
  <c r="H1695" i="3"/>
  <c r="I1695" i="3" s="1"/>
  <c r="H1748" i="3"/>
  <c r="I1748" i="3" s="1"/>
  <c r="H1784" i="3"/>
  <c r="I1784" i="3" s="1"/>
  <c r="H1790" i="3"/>
  <c r="I1790" i="3" s="1"/>
  <c r="H1796" i="3"/>
  <c r="I1796" i="3" s="1"/>
  <c r="H1814" i="3"/>
  <c r="I1814" i="3" s="1"/>
  <c r="H1820" i="3"/>
  <c r="I1820" i="3" s="1"/>
  <c r="H1826" i="3"/>
  <c r="I1826" i="3" s="1"/>
  <c r="H1832" i="3"/>
  <c r="I1832" i="3" s="1"/>
  <c r="H1856" i="3"/>
  <c r="I1856" i="3" s="1"/>
  <c r="H2378" i="3"/>
  <c r="I2378" i="3" s="1"/>
  <c r="H2485" i="3"/>
  <c r="I2485" i="3" s="1"/>
  <c r="H117" i="3"/>
  <c r="I117" i="3" s="1"/>
  <c r="H129" i="3"/>
  <c r="I129" i="3" s="1"/>
  <c r="H177" i="3"/>
  <c r="I177" i="3" s="1"/>
  <c r="H201" i="3"/>
  <c r="I201" i="3" s="1"/>
  <c r="H2156" i="3"/>
  <c r="I2156" i="3" s="1"/>
  <c r="H537" i="3"/>
  <c r="I537" i="3" s="1"/>
  <c r="H543" i="3"/>
  <c r="I543" i="3" s="1"/>
  <c r="H579" i="3"/>
  <c r="I579" i="3" s="1"/>
  <c r="H597" i="3"/>
  <c r="I597" i="3" s="1"/>
  <c r="H609" i="3"/>
  <c r="I609" i="3" s="1"/>
  <c r="H633" i="3"/>
  <c r="I633" i="3" s="1"/>
  <c r="H741" i="3"/>
  <c r="I741" i="3" s="1"/>
  <c r="H813" i="3"/>
  <c r="I813" i="3" s="1"/>
  <c r="H969" i="3"/>
  <c r="I969" i="3" s="1"/>
  <c r="H975" i="3"/>
  <c r="I975" i="3" s="1"/>
  <c r="H987" i="3"/>
  <c r="I987" i="3" s="1"/>
  <c r="H1567" i="3"/>
  <c r="I1567" i="3" s="1"/>
  <c r="H1573" i="3"/>
  <c r="I1573" i="3" s="1"/>
  <c r="H1591" i="3"/>
  <c r="I1591" i="3" s="1"/>
  <c r="H1597" i="3"/>
  <c r="I1597" i="3" s="1"/>
  <c r="H1609" i="3"/>
  <c r="I1609" i="3" s="1"/>
  <c r="H1749" i="3"/>
  <c r="I1749" i="3" s="1"/>
  <c r="H1755" i="3"/>
  <c r="I1755" i="3" s="1"/>
  <c r="H1773" i="3"/>
  <c r="I1773" i="3" s="1"/>
  <c r="H1791" i="3"/>
  <c r="I1791" i="3" s="1"/>
  <c r="H1797" i="3"/>
  <c r="I1797" i="3" s="1"/>
  <c r="H2468" i="3"/>
  <c r="I2468" i="3" s="1"/>
  <c r="H2486" i="3"/>
  <c r="I2486" i="3" s="1"/>
  <c r="H2504" i="3"/>
  <c r="I2504" i="3" s="1"/>
  <c r="H47" i="4"/>
  <c r="I47" i="4" s="1"/>
  <c r="H302" i="4"/>
  <c r="I302" i="4" s="1"/>
  <c r="H517" i="4"/>
  <c r="I517" i="4" s="1"/>
  <c r="H535" i="4"/>
  <c r="I535" i="4" s="1"/>
  <c r="H588" i="4"/>
  <c r="I588" i="4" s="1"/>
  <c r="H711" i="4"/>
  <c r="I711" i="4" s="1"/>
  <c r="H716" i="4"/>
  <c r="I716" i="4" s="1"/>
  <c r="H990" i="4"/>
  <c r="I990" i="4" s="1"/>
  <c r="H1293" i="4"/>
  <c r="I1293" i="4" s="1"/>
  <c r="H1340" i="4"/>
  <c r="I1340" i="4" s="1"/>
  <c r="H1405" i="4"/>
  <c r="I1405" i="4" s="1"/>
  <c r="H1435" i="4"/>
  <c r="I1435" i="4" s="1"/>
  <c r="H1483" i="4"/>
  <c r="I1483" i="4" s="1"/>
  <c r="H1593" i="4"/>
  <c r="I1593" i="4" s="1"/>
  <c r="H1617" i="4"/>
  <c r="I1617" i="4" s="1"/>
  <c r="H1853" i="4"/>
  <c r="I1853" i="4" s="1"/>
  <c r="H2138" i="4"/>
  <c r="I2138" i="4" s="1"/>
  <c r="H2156" i="4"/>
  <c r="I2156" i="4" s="1"/>
  <c r="H2204" i="4"/>
  <c r="I2204" i="4" s="1"/>
  <c r="H2257" i="4"/>
  <c r="I2257" i="4" s="1"/>
  <c r="H2297" i="4"/>
  <c r="I2297" i="4" s="1"/>
  <c r="H2303" i="4"/>
  <c r="I2303" i="4" s="1"/>
  <c r="H2434" i="4"/>
  <c r="I2434" i="4" s="1"/>
  <c r="H2475" i="4"/>
  <c r="I2475" i="4" s="1"/>
  <c r="H2486" i="4"/>
  <c r="I2486" i="4" s="1"/>
  <c r="H2568" i="4"/>
  <c r="I2568" i="4" s="1"/>
  <c r="H2603" i="4"/>
  <c r="I2603" i="4" s="1"/>
  <c r="H18" i="4"/>
  <c r="I18" i="4" s="1"/>
  <c r="H48" i="4"/>
  <c r="I48" i="4" s="1"/>
  <c r="H279" i="4"/>
  <c r="I279" i="4" s="1"/>
  <c r="H712" i="4"/>
  <c r="I712" i="4" s="1"/>
  <c r="H1009" i="4"/>
  <c r="I1009" i="4" s="1"/>
  <c r="H1027" i="4"/>
  <c r="I1027" i="4" s="1"/>
  <c r="H1489" i="4"/>
  <c r="I1489" i="4" s="1"/>
  <c r="H1541" i="4"/>
  <c r="I1541" i="4" s="1"/>
  <c r="H1664" i="4"/>
  <c r="I1664" i="4" s="1"/>
  <c r="H1669" i="4"/>
  <c r="I1669" i="4" s="1"/>
  <c r="H1679" i="4"/>
  <c r="I1679" i="4" s="1"/>
  <c r="H1742" i="4"/>
  <c r="I1742" i="4" s="1"/>
  <c r="H1818" i="4"/>
  <c r="I1818" i="4" s="1"/>
  <c r="H1865" i="4"/>
  <c r="I1865" i="4" s="1"/>
  <c r="H1894" i="4"/>
  <c r="I1894" i="4" s="1"/>
  <c r="H2145" i="4"/>
  <c r="I2145" i="4" s="1"/>
  <c r="H2304" i="4"/>
  <c r="I2304" i="4" s="1"/>
  <c r="H2363" i="4"/>
  <c r="I2363" i="4" s="1"/>
  <c r="H2369" i="4"/>
  <c r="I2369" i="4" s="1"/>
  <c r="H2375" i="4"/>
  <c r="I2375" i="4" s="1"/>
  <c r="H2393" i="4"/>
  <c r="I2393" i="4" s="1"/>
  <c r="H2487" i="4"/>
  <c r="I2487" i="4" s="1"/>
  <c r="H2493" i="4"/>
  <c r="I2493" i="4" s="1"/>
  <c r="H2499" i="4"/>
  <c r="I2499" i="4" s="1"/>
  <c r="H2516" i="4"/>
  <c r="I2516" i="4" s="1"/>
  <c r="H2528" i="4"/>
  <c r="I2528" i="4" s="1"/>
  <c r="H2574" i="4"/>
  <c r="I2574" i="4" s="1"/>
  <c r="H60" i="4"/>
  <c r="I60" i="4" s="1"/>
  <c r="H387" i="4"/>
  <c r="I387" i="4" s="1"/>
  <c r="H554" i="4"/>
  <c r="I554" i="4" s="1"/>
  <c r="H583" i="4"/>
  <c r="I583" i="4" s="1"/>
  <c r="H747" i="4"/>
  <c r="I747" i="4" s="1"/>
  <c r="H788" i="4"/>
  <c r="I788" i="4" s="1"/>
  <c r="H1040" i="4"/>
  <c r="I1040" i="4" s="1"/>
  <c r="H1069" i="4"/>
  <c r="I1069" i="4" s="1"/>
  <c r="H1624" i="4"/>
  <c r="I1624" i="4" s="1"/>
  <c r="H1636" i="4"/>
  <c r="I1636" i="4" s="1"/>
  <c r="H1642" i="4"/>
  <c r="I1642" i="4" s="1"/>
  <c r="H1675" i="4"/>
  <c r="I1675" i="4" s="1"/>
  <c r="H1725" i="4"/>
  <c r="I1725" i="4" s="1"/>
  <c r="H2247" i="4"/>
  <c r="I2247" i="4" s="1"/>
  <c r="H2275" i="4"/>
  <c r="I2275" i="4" s="1"/>
  <c r="H2287" i="4"/>
  <c r="I2287" i="4" s="1"/>
  <c r="H2316" i="4"/>
  <c r="I2316" i="4" s="1"/>
  <c r="H2328" i="4"/>
  <c r="I2328" i="4" s="1"/>
  <c r="H2405" i="4"/>
  <c r="I2405" i="4" s="1"/>
  <c r="H2411" i="4"/>
  <c r="I2411" i="4" s="1"/>
  <c r="H2470" i="4"/>
  <c r="I2470" i="4" s="1"/>
  <c r="H2476" i="4"/>
  <c r="I2476" i="4" s="1"/>
  <c r="H2598" i="4"/>
  <c r="I2598" i="4" s="1"/>
  <c r="H13" i="4"/>
  <c r="I13" i="4" s="1"/>
  <c r="H286" i="4"/>
  <c r="I286" i="4" s="1"/>
  <c r="H382" i="4"/>
  <c r="I382" i="4" s="1"/>
  <c r="H713" i="4"/>
  <c r="I713" i="4" s="1"/>
  <c r="H1313" i="4"/>
  <c r="I1313" i="4" s="1"/>
  <c r="H1467" i="4"/>
  <c r="I1467" i="4" s="1"/>
  <c r="H1473" i="4"/>
  <c r="I1473" i="4" s="1"/>
  <c r="H1507" i="4"/>
  <c r="I1507" i="4" s="1"/>
  <c r="H1536" i="4"/>
  <c r="I1536" i="4" s="1"/>
  <c r="H1542" i="4"/>
  <c r="I1542" i="4" s="1"/>
  <c r="H1589" i="4"/>
  <c r="I1589" i="4" s="1"/>
  <c r="H1601" i="4"/>
  <c r="I1601" i="4" s="1"/>
  <c r="H1703" i="4"/>
  <c r="I1703" i="4" s="1"/>
  <c r="H1721" i="4"/>
  <c r="I1721" i="4" s="1"/>
  <c r="H1837" i="4"/>
  <c r="I1837" i="4" s="1"/>
  <c r="H1889" i="4"/>
  <c r="I1889" i="4" s="1"/>
  <c r="H1972" i="4"/>
  <c r="I1972" i="4" s="1"/>
  <c r="H1978" i="4"/>
  <c r="I1978" i="4" s="1"/>
  <c r="H1984" i="4"/>
  <c r="I1984" i="4" s="1"/>
  <c r="H2086" i="4"/>
  <c r="I2086" i="4" s="1"/>
  <c r="H2092" i="4"/>
  <c r="I2092" i="4" s="1"/>
  <c r="H2104" i="4"/>
  <c r="I2104" i="4" s="1"/>
  <c r="H2152" i="4"/>
  <c r="I2152" i="4" s="1"/>
  <c r="H2158" i="4"/>
  <c r="I2158" i="4" s="1"/>
  <c r="H2230" i="4"/>
  <c r="I2230" i="4" s="1"/>
  <c r="H2388" i="4"/>
  <c r="I2388" i="4" s="1"/>
  <c r="H2394" i="4"/>
  <c r="I2394" i="4" s="1"/>
  <c r="H120" i="4"/>
  <c r="I120" i="4" s="1"/>
  <c r="H197" i="4"/>
  <c r="I197" i="4" s="1"/>
  <c r="H269" i="4"/>
  <c r="I269" i="4" s="1"/>
  <c r="H430" i="4"/>
  <c r="I430" i="4" s="1"/>
  <c r="H537" i="4"/>
  <c r="I537" i="4" s="1"/>
  <c r="H777" i="4"/>
  <c r="I777" i="4" s="1"/>
  <c r="H813" i="4"/>
  <c r="I813" i="4" s="1"/>
  <c r="H873" i="4"/>
  <c r="I873" i="4" s="1"/>
  <c r="H885" i="4"/>
  <c r="I885" i="4" s="1"/>
  <c r="H891" i="4"/>
  <c r="I891" i="4" s="1"/>
  <c r="H1485" i="4"/>
  <c r="I1485" i="4" s="1"/>
  <c r="H1491" i="4"/>
  <c r="I1491" i="4" s="1"/>
  <c r="H1525" i="4"/>
  <c r="I1525" i="4" s="1"/>
  <c r="H1537" i="4"/>
  <c r="I1537" i="4" s="1"/>
  <c r="H1590" i="4"/>
  <c r="I1590" i="4" s="1"/>
  <c r="H1738" i="4"/>
  <c r="I1738" i="4" s="1"/>
  <c r="H1826" i="4"/>
  <c r="I1826" i="4" s="1"/>
  <c r="H1907" i="4"/>
  <c r="I1907" i="4" s="1"/>
  <c r="H2051" i="4"/>
  <c r="I2051" i="4" s="1"/>
  <c r="H2201" i="4"/>
  <c r="I2201" i="4" s="1"/>
  <c r="H2213" i="4"/>
  <c r="I2213" i="4" s="1"/>
  <c r="H2259" i="4"/>
  <c r="I2259" i="4" s="1"/>
  <c r="H2312" i="4"/>
  <c r="I2312" i="4" s="1"/>
  <c r="H2418" i="4"/>
  <c r="I2418" i="4" s="1"/>
  <c r="H2547" i="4"/>
  <c r="I2547" i="4" s="1"/>
  <c r="H544" i="4"/>
  <c r="I544" i="4" s="1"/>
  <c r="H754" i="4"/>
  <c r="I754" i="4" s="1"/>
  <c r="H1343" i="4"/>
  <c r="I1343" i="4" s="1"/>
  <c r="H1414" i="4"/>
  <c r="I1414" i="4" s="1"/>
  <c r="H1532" i="4"/>
  <c r="I1532" i="4" s="1"/>
  <c r="H1632" i="4"/>
  <c r="I1632" i="4" s="1"/>
  <c r="H1681" i="4"/>
  <c r="I1681" i="4" s="1"/>
  <c r="H1727" i="4"/>
  <c r="I1727" i="4" s="1"/>
  <c r="H2454" i="4"/>
  <c r="I2454" i="4" s="1"/>
  <c r="H2489" i="4"/>
  <c r="I2489" i="4" s="1"/>
  <c r="H2501" i="4"/>
  <c r="I2501" i="4" s="1"/>
  <c r="H2518" i="4"/>
  <c r="I2518" i="4" s="1"/>
  <c r="H21" i="4"/>
  <c r="I21" i="4" s="1"/>
  <c r="H371" i="4"/>
  <c r="I371" i="4" s="1"/>
  <c r="H496" i="4"/>
  <c r="I496" i="4" s="1"/>
  <c r="H526" i="4"/>
  <c r="I526" i="4" s="1"/>
  <c r="H714" i="4"/>
  <c r="I714" i="4" s="1"/>
  <c r="H802" i="4"/>
  <c r="I802" i="4" s="1"/>
  <c r="H808" i="4"/>
  <c r="I808" i="4" s="1"/>
  <c r="H838" i="4"/>
  <c r="I838" i="4" s="1"/>
  <c r="H880" i="4"/>
  <c r="I880" i="4" s="1"/>
  <c r="H892" i="4"/>
  <c r="I892" i="4" s="1"/>
  <c r="H1597" i="4"/>
  <c r="I1597" i="4" s="1"/>
  <c r="H1661" i="4"/>
  <c r="I1661" i="4" s="1"/>
  <c r="H1717" i="4"/>
  <c r="I1717" i="4" s="1"/>
  <c r="H1856" i="4"/>
  <c r="I1856" i="4" s="1"/>
  <c r="H2154" i="4"/>
  <c r="I2154" i="4" s="1"/>
  <c r="H2178" i="4"/>
  <c r="I2178" i="4" s="1"/>
  <c r="H163" i="4"/>
  <c r="I163" i="4" s="1"/>
  <c r="H318" i="4"/>
  <c r="I318" i="4" s="1"/>
  <c r="H336" i="4"/>
  <c r="I336" i="4" s="1"/>
  <c r="H461" i="4"/>
  <c r="I461" i="4" s="1"/>
  <c r="H755" i="4"/>
  <c r="I755" i="4" s="1"/>
  <c r="H1024" i="4"/>
  <c r="I1024" i="4" s="1"/>
  <c r="H2244" i="4"/>
  <c r="I2244" i="4" s="1"/>
  <c r="H2331" i="4"/>
  <c r="I2331" i="4" s="1"/>
  <c r="H2360" i="4"/>
  <c r="I2360" i="4" s="1"/>
  <c r="H2479" i="4"/>
  <c r="I2479" i="4" s="1"/>
  <c r="H2589" i="4"/>
  <c r="I2589" i="4" s="1"/>
  <c r="H2595" i="4"/>
  <c r="I2595" i="4" s="1"/>
  <c r="H39" i="4"/>
  <c r="I39" i="4" s="1"/>
  <c r="H51" i="4"/>
  <c r="I51" i="4" s="1"/>
  <c r="H69" i="4"/>
  <c r="I69" i="4" s="1"/>
  <c r="H863" i="4"/>
  <c r="I863" i="4" s="1"/>
  <c r="H1031" i="4"/>
  <c r="I1031" i="4" s="1"/>
  <c r="H1297" i="4"/>
  <c r="I1297" i="4" s="1"/>
  <c r="H1332" i="4"/>
  <c r="I1332" i="4" s="1"/>
  <c r="H1338" i="4"/>
  <c r="I1338" i="4" s="1"/>
  <c r="H1356" i="4"/>
  <c r="I1356" i="4" s="1"/>
  <c r="H1362" i="4"/>
  <c r="I1362" i="4" s="1"/>
  <c r="H1380" i="4"/>
  <c r="I1380" i="4" s="1"/>
  <c r="H1415" i="4"/>
  <c r="I1415" i="4" s="1"/>
  <c r="H1439" i="4"/>
  <c r="I1439" i="4" s="1"/>
  <c r="H1550" i="4"/>
  <c r="I1550" i="4" s="1"/>
  <c r="H1677" i="4"/>
  <c r="I1677" i="4" s="1"/>
  <c r="H1745" i="4"/>
  <c r="I1745" i="4" s="1"/>
  <c r="H1780" i="4"/>
  <c r="I1780" i="4" s="1"/>
  <c r="H1786" i="4"/>
  <c r="I1786" i="4" s="1"/>
  <c r="H1810" i="4"/>
  <c r="I1810" i="4" s="1"/>
  <c r="H259" i="4"/>
  <c r="I259" i="4" s="1"/>
  <c r="H277" i="4"/>
  <c r="I277" i="4" s="1"/>
  <c r="H307" i="4"/>
  <c r="I307" i="4" s="1"/>
  <c r="H408" i="4"/>
  <c r="I408" i="4" s="1"/>
  <c r="H599" i="4"/>
  <c r="I599" i="4" s="1"/>
  <c r="H659" i="4"/>
  <c r="I659" i="4" s="1"/>
  <c r="H762" i="4"/>
  <c r="I762" i="4" s="1"/>
  <c r="H1357" i="4"/>
  <c r="I1357" i="4" s="1"/>
  <c r="H1539" i="4"/>
  <c r="I1539" i="4" s="1"/>
  <c r="H1592" i="4"/>
  <c r="I1592" i="4" s="1"/>
  <c r="H1616" i="4"/>
  <c r="I1616" i="4" s="1"/>
  <c r="H1662" i="4"/>
  <c r="I1662" i="4" s="1"/>
  <c r="H1673" i="4"/>
  <c r="I1673" i="4" s="1"/>
  <c r="H1718" i="4"/>
  <c r="I1718" i="4" s="1"/>
  <c r="H1723" i="4"/>
  <c r="I1723" i="4" s="1"/>
  <c r="H1915" i="4"/>
  <c r="I1915" i="4" s="1"/>
  <c r="H1927" i="4"/>
  <c r="I1927" i="4" s="1"/>
  <c r="H1939" i="4"/>
  <c r="I1939" i="4" s="1"/>
  <c r="H1957" i="4"/>
  <c r="I1957" i="4" s="1"/>
  <c r="H1963" i="4"/>
  <c r="I1963" i="4" s="1"/>
  <c r="H1981" i="4"/>
  <c r="I1981" i="4" s="1"/>
  <c r="H2017" i="4"/>
  <c r="I2017" i="4" s="1"/>
  <c r="H2041" i="4"/>
  <c r="I2041" i="4" s="1"/>
  <c r="H2053" i="4"/>
  <c r="I2053" i="4" s="1"/>
  <c r="H2065" i="4"/>
  <c r="I2065" i="4" s="1"/>
  <c r="H2089" i="4"/>
  <c r="I2089" i="4" s="1"/>
  <c r="H2125" i="4"/>
  <c r="I2125" i="4" s="1"/>
  <c r="H2173" i="4"/>
  <c r="I2173" i="4" s="1"/>
  <c r="H2227" i="4"/>
  <c r="I2227" i="4" s="1"/>
  <c r="H2250" i="4"/>
  <c r="I2250" i="4" s="1"/>
  <c r="H2256" i="4"/>
  <c r="I2256" i="4" s="1"/>
  <c r="H2450" i="4"/>
  <c r="I2450" i="4" s="1"/>
  <c r="H2485" i="4"/>
  <c r="I2485" i="4" s="1"/>
  <c r="H2491" i="4"/>
  <c r="I2491" i="4" s="1"/>
  <c r="H2503" i="4"/>
  <c r="I2503" i="4" s="1"/>
  <c r="H2514" i="4"/>
  <c r="I2514" i="4" s="1"/>
  <c r="H367" i="4"/>
  <c r="I367" i="4" s="1"/>
  <c r="H1316" i="4"/>
  <c r="I1316" i="4" s="1"/>
  <c r="H1339" i="4"/>
  <c r="I1339" i="4" s="1"/>
  <c r="H1452" i="4"/>
  <c r="I1452" i="4" s="1"/>
  <c r="H1470" i="4"/>
  <c r="I1470" i="4" s="1"/>
  <c r="H1551" i="4"/>
  <c r="I1551" i="4" s="1"/>
  <c r="H1646" i="4"/>
  <c r="I1646" i="4" s="1"/>
  <c r="H1852" i="4"/>
  <c r="I1852" i="4" s="1"/>
  <c r="H2273" i="4"/>
  <c r="I2273" i="4" s="1"/>
  <c r="H2279" i="4"/>
  <c r="I2279" i="4" s="1"/>
  <c r="H2344" i="4"/>
  <c r="I2344" i="4" s="1"/>
  <c r="H2350" i="4"/>
  <c r="I2350" i="4" s="1"/>
  <c r="H2427" i="4"/>
  <c r="I2427" i="4" s="1"/>
  <c r="H2439" i="4"/>
  <c r="I2439" i="4" s="1"/>
  <c r="H2480" i="4"/>
  <c r="I2480" i="4" s="1"/>
  <c r="H2544" i="4"/>
  <c r="I2544" i="4" s="1"/>
  <c r="H2550" i="4"/>
  <c r="I2550" i="4" s="1"/>
  <c r="H61" i="4"/>
  <c r="I61" i="4" s="1"/>
  <c r="H280" i="4"/>
  <c r="I280" i="4" s="1"/>
  <c r="H546" i="4"/>
  <c r="I546" i="4" s="1"/>
  <c r="H640" i="4"/>
  <c r="I640" i="4" s="1"/>
  <c r="H663" i="4"/>
  <c r="I663" i="4" s="1"/>
  <c r="H681" i="4"/>
  <c r="I681" i="4" s="1"/>
  <c r="H783" i="4"/>
  <c r="I783" i="4" s="1"/>
  <c r="H819" i="4"/>
  <c r="I819" i="4" s="1"/>
  <c r="H926" i="4"/>
  <c r="I926" i="4" s="1"/>
  <c r="H938" i="4"/>
  <c r="I938" i="4" s="1"/>
  <c r="H1003" i="4"/>
  <c r="I1003" i="4" s="1"/>
  <c r="H1039" i="4"/>
  <c r="I1039" i="4" s="1"/>
  <c r="H38" i="4"/>
  <c r="I38" i="4" s="1"/>
  <c r="H144" i="4"/>
  <c r="I144" i="4" s="1"/>
  <c r="H150" i="4"/>
  <c r="I150" i="4" s="1"/>
  <c r="H168" i="4"/>
  <c r="I168" i="4" s="1"/>
  <c r="H203" i="4"/>
  <c r="I203" i="4" s="1"/>
  <c r="H209" i="4"/>
  <c r="I209" i="4" s="1"/>
  <c r="H221" i="4"/>
  <c r="I221" i="4" s="1"/>
  <c r="H239" i="4"/>
  <c r="I239" i="4" s="1"/>
  <c r="H245" i="4"/>
  <c r="I245" i="4" s="1"/>
  <c r="H275" i="4"/>
  <c r="I275" i="4" s="1"/>
  <c r="H340" i="4"/>
  <c r="I340" i="4" s="1"/>
  <c r="H446" i="4"/>
  <c r="I446" i="4" s="1"/>
  <c r="H464" i="4"/>
  <c r="I464" i="4" s="1"/>
  <c r="H482" i="4"/>
  <c r="I482" i="4" s="1"/>
  <c r="H488" i="4"/>
  <c r="I488" i="4" s="1"/>
  <c r="H529" i="4"/>
  <c r="I529" i="4" s="1"/>
  <c r="H692" i="4"/>
  <c r="I692" i="4" s="1"/>
  <c r="H719" i="4"/>
  <c r="I719" i="4" s="1"/>
  <c r="H725" i="4"/>
  <c r="I725" i="4" s="1"/>
  <c r="H731" i="4"/>
  <c r="I731" i="4" s="1"/>
  <c r="H737" i="4"/>
  <c r="I737" i="4" s="1"/>
  <c r="H743" i="4"/>
  <c r="I743" i="4" s="1"/>
  <c r="H778" i="4"/>
  <c r="I778" i="4" s="1"/>
  <c r="H820" i="4"/>
  <c r="I820" i="4" s="1"/>
  <c r="H826" i="4"/>
  <c r="I826" i="4" s="1"/>
  <c r="H850" i="4"/>
  <c r="I850" i="4" s="1"/>
  <c r="H886" i="4"/>
  <c r="I886" i="4" s="1"/>
  <c r="H903" i="4"/>
  <c r="I903" i="4" s="1"/>
  <c r="H1080" i="4"/>
  <c r="I1080" i="4" s="1"/>
  <c r="H1090" i="4"/>
  <c r="I1090" i="4" s="1"/>
  <c r="H27" i="4"/>
  <c r="I27" i="4" s="1"/>
  <c r="H97" i="4"/>
  <c r="I97" i="4" s="1"/>
  <c r="H103" i="4"/>
  <c r="I103" i="4" s="1"/>
  <c r="H109" i="4"/>
  <c r="I109" i="4" s="1"/>
  <c r="H186" i="4"/>
  <c r="I186" i="4" s="1"/>
  <c r="H192" i="4"/>
  <c r="I192" i="4" s="1"/>
  <c r="H436" i="4"/>
  <c r="I436" i="4" s="1"/>
  <c r="H465" i="4"/>
  <c r="I465" i="4" s="1"/>
  <c r="H576" i="4"/>
  <c r="I576" i="4" s="1"/>
  <c r="H710" i="4"/>
  <c r="I710" i="4" s="1"/>
  <c r="H720" i="4"/>
  <c r="I720" i="4" s="1"/>
  <c r="H732" i="4"/>
  <c r="I732" i="4" s="1"/>
  <c r="H898" i="4"/>
  <c r="I898" i="4" s="1"/>
  <c r="H946" i="4"/>
  <c r="I946" i="4" s="1"/>
  <c r="H170" i="4"/>
  <c r="I170" i="4" s="1"/>
  <c r="H247" i="4"/>
  <c r="I247" i="4" s="1"/>
  <c r="H418" i="4"/>
  <c r="I418" i="4" s="1"/>
  <c r="H448" i="4"/>
  <c r="I448" i="4" s="1"/>
  <c r="H490" i="4"/>
  <c r="I490" i="4" s="1"/>
  <c r="H571" i="4"/>
  <c r="I571" i="4" s="1"/>
  <c r="H40" i="4"/>
  <c r="I40" i="4" s="1"/>
  <c r="H46" i="4"/>
  <c r="I46" i="4" s="1"/>
  <c r="H342" i="4"/>
  <c r="I342" i="4" s="1"/>
  <c r="H780" i="4"/>
  <c r="I780" i="4" s="1"/>
  <c r="H929" i="4"/>
  <c r="I929" i="4" s="1"/>
  <c r="H1012" i="4"/>
  <c r="I1012" i="4" s="1"/>
  <c r="H1059" i="4"/>
  <c r="I1059" i="4" s="1"/>
  <c r="H81" i="4"/>
  <c r="I81" i="4" s="1"/>
  <c r="H87" i="4"/>
  <c r="I87" i="4" s="1"/>
  <c r="H93" i="4"/>
  <c r="I93" i="4" s="1"/>
  <c r="H99" i="4"/>
  <c r="I99" i="4" s="1"/>
  <c r="H105" i="4"/>
  <c r="I105" i="4" s="1"/>
  <c r="H366" i="4"/>
  <c r="I366" i="4" s="1"/>
  <c r="H395" i="4"/>
  <c r="I395" i="4" s="1"/>
  <c r="H413" i="4"/>
  <c r="I413" i="4" s="1"/>
  <c r="H520" i="4"/>
  <c r="I520" i="4" s="1"/>
  <c r="H666" i="4"/>
  <c r="I666" i="4" s="1"/>
  <c r="H672" i="4"/>
  <c r="I672" i="4" s="1"/>
  <c r="H689" i="4"/>
  <c r="I689" i="4" s="1"/>
  <c r="H700" i="4"/>
  <c r="I700" i="4" s="1"/>
  <c r="H751" i="4"/>
  <c r="I751" i="4" s="1"/>
  <c r="H894" i="4"/>
  <c r="I894" i="4" s="1"/>
  <c r="H76" i="4"/>
  <c r="I76" i="4" s="1"/>
  <c r="H124" i="4"/>
  <c r="I124" i="4" s="1"/>
  <c r="H296" i="4"/>
  <c r="I296" i="4" s="1"/>
  <c r="H313" i="4"/>
  <c r="I313" i="4" s="1"/>
  <c r="H361" i="4"/>
  <c r="I361" i="4" s="1"/>
  <c r="H402" i="4"/>
  <c r="I402" i="4" s="1"/>
  <c r="H1048" i="4"/>
  <c r="I1048" i="4" s="1"/>
  <c r="H1065" i="4"/>
  <c r="I1065" i="4" s="1"/>
  <c r="H685" i="4"/>
  <c r="I685" i="4" s="1"/>
  <c r="H707" i="4"/>
  <c r="I707" i="4" s="1"/>
  <c r="H781" i="4"/>
  <c r="I781" i="4" s="1"/>
  <c r="H823" i="4"/>
  <c r="I823" i="4" s="1"/>
  <c r="H835" i="4"/>
  <c r="I835" i="4" s="1"/>
  <c r="H859" i="4"/>
  <c r="I859" i="4" s="1"/>
  <c r="H900" i="4"/>
  <c r="I900" i="4" s="1"/>
  <c r="H906" i="4"/>
  <c r="I906" i="4" s="1"/>
  <c r="H912" i="4"/>
  <c r="I912" i="4" s="1"/>
  <c r="H954" i="4"/>
  <c r="I954" i="4" s="1"/>
  <c r="H1019" i="4"/>
  <c r="I1019" i="4" s="1"/>
  <c r="H1025" i="4"/>
  <c r="I1025" i="4" s="1"/>
  <c r="H1043" i="4"/>
  <c r="I1043" i="4" s="1"/>
  <c r="H1072" i="4"/>
  <c r="I1072" i="4" s="1"/>
  <c r="H77" i="4"/>
  <c r="I77" i="4" s="1"/>
  <c r="H148" i="4"/>
  <c r="I148" i="4" s="1"/>
  <c r="H160" i="4"/>
  <c r="I160" i="4" s="1"/>
  <c r="H166" i="4"/>
  <c r="I166" i="4" s="1"/>
  <c r="H213" i="4"/>
  <c r="I213" i="4" s="1"/>
  <c r="H219" i="4"/>
  <c r="I219" i="4" s="1"/>
  <c r="H243" i="4"/>
  <c r="I243" i="4" s="1"/>
  <c r="H267" i="4"/>
  <c r="I267" i="4" s="1"/>
  <c r="H308" i="4"/>
  <c r="I308" i="4" s="1"/>
  <c r="H332" i="4"/>
  <c r="I332" i="4" s="1"/>
  <c r="H603" i="4"/>
  <c r="I603" i="4" s="1"/>
  <c r="H19" i="4"/>
  <c r="I19" i="4" s="1"/>
  <c r="H131" i="4"/>
  <c r="I131" i="4" s="1"/>
  <c r="H208" i="4"/>
  <c r="I208" i="4" s="1"/>
  <c r="H256" i="4"/>
  <c r="I256" i="4" s="1"/>
  <c r="H315" i="4"/>
  <c r="I315" i="4" s="1"/>
  <c r="H403" i="4"/>
  <c r="I403" i="4" s="1"/>
  <c r="H421" i="4"/>
  <c r="I421" i="4" s="1"/>
  <c r="H516" i="4"/>
  <c r="I516" i="4" s="1"/>
  <c r="H633" i="4"/>
  <c r="I633" i="4" s="1"/>
  <c r="H668" i="4"/>
  <c r="I668" i="4" s="1"/>
  <c r="H680" i="4"/>
  <c r="I680" i="4" s="1"/>
  <c r="H696" i="4"/>
  <c r="I696" i="4" s="1"/>
  <c r="H794" i="4"/>
  <c r="I794" i="4" s="1"/>
  <c r="H967" i="4"/>
  <c r="I967" i="4" s="1"/>
  <c r="H1038" i="4"/>
  <c r="I1038" i="4" s="1"/>
  <c r="H1260" i="4"/>
  <c r="I1260" i="4" s="1"/>
  <c r="H1248" i="4"/>
  <c r="I1248" i="4" s="1"/>
  <c r="H1206" i="4"/>
  <c r="I1206" i="4" s="1"/>
  <c r="H1200" i="4"/>
  <c r="I1200" i="4" s="1"/>
  <c r="H1176" i="4"/>
  <c r="I1176" i="4" s="1"/>
  <c r="H1170" i="4"/>
  <c r="I1170" i="4" s="1"/>
  <c r="H1158" i="4"/>
  <c r="I1158" i="4" s="1"/>
  <c r="H1128" i="4"/>
  <c r="I1128" i="4" s="1"/>
  <c r="H1240" i="4"/>
  <c r="I1240" i="4" s="1"/>
  <c r="H1194" i="4"/>
  <c r="I1194" i="4" s="1"/>
  <c r="H1235" i="4"/>
  <c r="I1235" i="4" s="1"/>
  <c r="H1252" i="4"/>
  <c r="I1252" i="4" s="1"/>
  <c r="H1189" i="4"/>
  <c r="I1189" i="4" s="1"/>
  <c r="H1218" i="4"/>
  <c r="I1218" i="4" s="1"/>
  <c r="H1263" i="4"/>
  <c r="I1263" i="4" s="1"/>
  <c r="H1231" i="4"/>
  <c r="I1231" i="4" s="1"/>
  <c r="H1259" i="4"/>
  <c r="I1259" i="4" s="1"/>
  <c r="H1204" i="4"/>
  <c r="I1204" i="4" s="1"/>
  <c r="H1221" i="4"/>
  <c r="I1221" i="4" s="1"/>
  <c r="H1098" i="4"/>
  <c r="I1098" i="4" s="1"/>
  <c r="H1119" i="4"/>
  <c r="I1119" i="4" s="1"/>
  <c r="H1142" i="4"/>
  <c r="I1142" i="4" s="1"/>
  <c r="H1125" i="4"/>
  <c r="I1125" i="4" s="1"/>
  <c r="H1166" i="4"/>
  <c r="I1166" i="4" s="1"/>
  <c r="H1120" i="4"/>
  <c r="I1120" i="4" s="1"/>
  <c r="H1150" i="4"/>
  <c r="I1150" i="4" s="1"/>
  <c r="H1133" i="4"/>
  <c r="I1133" i="4" s="1"/>
  <c r="H1168" i="4"/>
  <c r="I1168" i="4" s="1"/>
  <c r="H1151" i="4"/>
  <c r="I1151" i="4" s="1"/>
  <c r="H1117" i="4"/>
  <c r="I1117" i="4" s="1"/>
  <c r="H1152" i="4"/>
  <c r="I1152" i="4" s="1"/>
  <c r="H1163" i="4"/>
  <c r="I1163" i="4" s="1"/>
  <c r="H1147" i="4"/>
  <c r="I1147" i="4" s="1"/>
  <c r="H20" i="4"/>
  <c r="I20" i="4" s="1"/>
  <c r="H25" i="4"/>
  <c r="I25" i="4" s="1"/>
  <c r="H42" i="4"/>
  <c r="I42" i="4" s="1"/>
  <c r="H54" i="4"/>
  <c r="I54" i="4" s="1"/>
  <c r="H65" i="4"/>
  <c r="I65" i="4" s="1"/>
  <c r="H133" i="4"/>
  <c r="I133" i="4" s="1"/>
  <c r="H162" i="4"/>
  <c r="I162" i="4" s="1"/>
  <c r="H173" i="4"/>
  <c r="I173" i="4" s="1"/>
  <c r="H205" i="4"/>
  <c r="I205" i="4" s="1"/>
  <c r="H211" i="4"/>
  <c r="I211" i="4" s="1"/>
  <c r="H217" i="4"/>
  <c r="I217" i="4" s="1"/>
  <c r="H228" i="4"/>
  <c r="I228" i="4" s="1"/>
  <c r="H314" i="4"/>
  <c r="I314" i="4" s="1"/>
  <c r="H330" i="4"/>
  <c r="I330" i="4" s="1"/>
  <c r="H391" i="4"/>
  <c r="I391" i="4" s="1"/>
  <c r="H412" i="4"/>
  <c r="I412" i="4" s="1"/>
  <c r="H429" i="4"/>
  <c r="I429" i="4" s="1"/>
  <c r="H435" i="4"/>
  <c r="I435" i="4" s="1"/>
  <c r="H441" i="4"/>
  <c r="I441" i="4" s="1"/>
  <c r="H459" i="4"/>
  <c r="I459" i="4" s="1"/>
  <c r="H471" i="4"/>
  <c r="I471" i="4" s="1"/>
  <c r="H489" i="4"/>
  <c r="I489" i="4" s="1"/>
  <c r="H494" i="4"/>
  <c r="I494" i="4" s="1"/>
  <c r="H528" i="4"/>
  <c r="I528" i="4" s="1"/>
  <c r="H539" i="4"/>
  <c r="I539" i="4" s="1"/>
  <c r="H561" i="4"/>
  <c r="I561" i="4" s="1"/>
  <c r="H567" i="4"/>
  <c r="I567" i="4" s="1"/>
  <c r="H617" i="4"/>
  <c r="I617" i="4" s="1"/>
  <c r="H49" i="4"/>
  <c r="I49" i="4" s="1"/>
  <c r="H55" i="4"/>
  <c r="I55" i="4" s="1"/>
  <c r="H66" i="4"/>
  <c r="I66" i="4" s="1"/>
  <c r="H185" i="4"/>
  <c r="I185" i="4" s="1"/>
  <c r="H212" i="4"/>
  <c r="I212" i="4" s="1"/>
  <c r="H218" i="4"/>
  <c r="I218" i="4" s="1"/>
  <c r="H235" i="4"/>
  <c r="I235" i="4" s="1"/>
  <c r="H285" i="4"/>
  <c r="I285" i="4" s="1"/>
  <c r="H297" i="4"/>
  <c r="I297" i="4" s="1"/>
  <c r="H325" i="4"/>
  <c r="I325" i="4" s="1"/>
  <c r="H331" i="4"/>
  <c r="I331" i="4" s="1"/>
  <c r="H359" i="4"/>
  <c r="I359" i="4" s="1"/>
  <c r="H370" i="4"/>
  <c r="I370" i="4" s="1"/>
  <c r="H523" i="4"/>
  <c r="I523" i="4" s="1"/>
  <c r="H573" i="4"/>
  <c r="I573" i="4" s="1"/>
  <c r="H596" i="4"/>
  <c r="I596" i="4" s="1"/>
  <c r="H15" i="4"/>
  <c r="I15" i="4" s="1"/>
  <c r="H50" i="4"/>
  <c r="I50" i="4" s="1"/>
  <c r="H72" i="4"/>
  <c r="I72" i="4" s="1"/>
  <c r="H88" i="4"/>
  <c r="I88" i="4" s="1"/>
  <c r="H135" i="4"/>
  <c r="I135" i="4" s="1"/>
  <c r="H146" i="4"/>
  <c r="I146" i="4" s="1"/>
  <c r="H169" i="4"/>
  <c r="I169" i="4" s="1"/>
  <c r="H241" i="4"/>
  <c r="I241" i="4" s="1"/>
  <c r="H298" i="4"/>
  <c r="I298" i="4" s="1"/>
  <c r="H303" i="4"/>
  <c r="I303" i="4" s="1"/>
  <c r="H309" i="4"/>
  <c r="I309" i="4" s="1"/>
  <c r="H320" i="4"/>
  <c r="I320" i="4" s="1"/>
  <c r="H337" i="4"/>
  <c r="I337" i="4" s="1"/>
  <c r="H349" i="4"/>
  <c r="I349" i="4" s="1"/>
  <c r="H376" i="4"/>
  <c r="I376" i="4" s="1"/>
  <c r="H392" i="4"/>
  <c r="I392" i="4" s="1"/>
  <c r="H398" i="4"/>
  <c r="I398" i="4" s="1"/>
  <c r="H419" i="4"/>
  <c r="I419" i="4" s="1"/>
  <c r="H454" i="4"/>
  <c r="I454" i="4" s="1"/>
  <c r="H466" i="4"/>
  <c r="I466" i="4" s="1"/>
  <c r="H472" i="4"/>
  <c r="I472" i="4" s="1"/>
  <c r="H478" i="4"/>
  <c r="I478" i="4" s="1"/>
  <c r="H585" i="4"/>
  <c r="I585" i="4" s="1"/>
  <c r="H607" i="4"/>
  <c r="I607" i="4" s="1"/>
  <c r="H624" i="4"/>
  <c r="I624" i="4" s="1"/>
  <c r="H943" i="4"/>
  <c r="I943" i="4" s="1"/>
  <c r="H1309" i="4"/>
  <c r="I1309" i="4" s="1"/>
  <c r="H16" i="4"/>
  <c r="I16" i="4" s="1"/>
  <c r="H33" i="4"/>
  <c r="I33" i="4" s="1"/>
  <c r="H89" i="4"/>
  <c r="I89" i="4" s="1"/>
  <c r="H118" i="4"/>
  <c r="I118" i="4" s="1"/>
  <c r="H147" i="4"/>
  <c r="I147" i="4" s="1"/>
  <c r="H181" i="4"/>
  <c r="I181" i="4" s="1"/>
  <c r="H248" i="4"/>
  <c r="I248" i="4" s="1"/>
  <c r="H377" i="4"/>
  <c r="I377" i="4" s="1"/>
  <c r="H393" i="4"/>
  <c r="I393" i="4" s="1"/>
  <c r="H449" i="4"/>
  <c r="I449" i="4" s="1"/>
  <c r="H479" i="4"/>
  <c r="I479" i="4" s="1"/>
  <c r="H485" i="4"/>
  <c r="I485" i="4" s="1"/>
  <c r="H536" i="4"/>
  <c r="I536" i="4" s="1"/>
  <c r="H569" i="4"/>
  <c r="I569" i="4" s="1"/>
  <c r="H608" i="4"/>
  <c r="I608" i="4" s="1"/>
  <c r="H670" i="4"/>
  <c r="I670" i="4" s="1"/>
  <c r="H57" i="4"/>
  <c r="I57" i="4" s="1"/>
  <c r="H136" i="4"/>
  <c r="I136" i="4" s="1"/>
  <c r="H159" i="4"/>
  <c r="I159" i="4" s="1"/>
  <c r="H176" i="4"/>
  <c r="I176" i="4" s="1"/>
  <c r="H231" i="4"/>
  <c r="I231" i="4" s="1"/>
  <c r="H293" i="4"/>
  <c r="I293" i="4" s="1"/>
  <c r="H299" i="4"/>
  <c r="I299" i="4" s="1"/>
  <c r="H317" i="4"/>
  <c r="I317" i="4" s="1"/>
  <c r="H327" i="4"/>
  <c r="I327" i="4" s="1"/>
  <c r="H350" i="4"/>
  <c r="I350" i="4" s="1"/>
  <c r="H404" i="4"/>
  <c r="I404" i="4" s="1"/>
  <c r="H409" i="4"/>
  <c r="I409" i="4" s="1"/>
  <c r="H426" i="4"/>
  <c r="I426" i="4" s="1"/>
  <c r="H432" i="4"/>
  <c r="I432" i="4" s="1"/>
  <c r="H438" i="4"/>
  <c r="I438" i="4" s="1"/>
  <c r="H462" i="4"/>
  <c r="I462" i="4" s="1"/>
  <c r="H491" i="4"/>
  <c r="I491" i="4" s="1"/>
  <c r="H553" i="4"/>
  <c r="I553" i="4" s="1"/>
  <c r="H586" i="4"/>
  <c r="I586" i="4" s="1"/>
  <c r="H598" i="4"/>
  <c r="I598" i="4" s="1"/>
  <c r="H1922" i="4"/>
  <c r="I1922" i="4" s="1"/>
  <c r="H17" i="4"/>
  <c r="I17" i="4" s="1"/>
  <c r="H265" i="4"/>
  <c r="I265" i="4" s="1"/>
  <c r="H322" i="4"/>
  <c r="I322" i="4" s="1"/>
  <c r="H333" i="4"/>
  <c r="I333" i="4" s="1"/>
  <c r="H339" i="4"/>
  <c r="I339" i="4" s="1"/>
  <c r="H427" i="4"/>
  <c r="I427" i="4" s="1"/>
  <c r="H543" i="4"/>
  <c r="I543" i="4" s="1"/>
  <c r="H593" i="4"/>
  <c r="I593" i="4" s="1"/>
  <c r="H609" i="4"/>
  <c r="I609" i="4" s="1"/>
  <c r="H643" i="4"/>
  <c r="I643" i="4" s="1"/>
  <c r="H35" i="4"/>
  <c r="I35" i="4" s="1"/>
  <c r="H79" i="4"/>
  <c r="I79" i="4" s="1"/>
  <c r="H445" i="4"/>
  <c r="I445" i="4" s="1"/>
  <c r="H469" i="4"/>
  <c r="I469" i="4" s="1"/>
  <c r="H604" i="4"/>
  <c r="I604" i="4" s="1"/>
  <c r="H24" i="4"/>
  <c r="I24" i="4" s="1"/>
  <c r="H53" i="4"/>
  <c r="I53" i="4" s="1"/>
  <c r="H59" i="4"/>
  <c r="I59" i="4" s="1"/>
  <c r="H64" i="4"/>
  <c r="I64" i="4" s="1"/>
  <c r="H80" i="4"/>
  <c r="I80" i="4" s="1"/>
  <c r="H132" i="4"/>
  <c r="I132" i="4" s="1"/>
  <c r="H138" i="4"/>
  <c r="I138" i="4" s="1"/>
  <c r="H189" i="4"/>
  <c r="I189" i="4" s="1"/>
  <c r="H216" i="4"/>
  <c r="I216" i="4" s="1"/>
  <c r="H227" i="4"/>
  <c r="I227" i="4" s="1"/>
  <c r="H233" i="4"/>
  <c r="I233" i="4" s="1"/>
  <c r="H301" i="4"/>
  <c r="I301" i="4" s="1"/>
  <c r="H329" i="4"/>
  <c r="I329" i="4" s="1"/>
  <c r="H335" i="4"/>
  <c r="I335" i="4" s="1"/>
  <c r="H352" i="4"/>
  <c r="I352" i="4" s="1"/>
  <c r="H401" i="4"/>
  <c r="I401" i="4" s="1"/>
  <c r="H411" i="4"/>
  <c r="I411" i="4" s="1"/>
  <c r="H422" i="4"/>
  <c r="I422" i="4" s="1"/>
  <c r="H476" i="4"/>
  <c r="I476" i="4" s="1"/>
  <c r="H499" i="4"/>
  <c r="I499" i="4" s="1"/>
  <c r="H510" i="4"/>
  <c r="I510" i="4" s="1"/>
  <c r="H527" i="4"/>
  <c r="I527" i="4" s="1"/>
  <c r="H555" i="4"/>
  <c r="I555" i="4" s="1"/>
  <c r="H600" i="4"/>
  <c r="I600" i="4" s="1"/>
  <c r="H616" i="4"/>
  <c r="I616" i="4" s="1"/>
  <c r="H622" i="4"/>
  <c r="I622" i="4" s="1"/>
  <c r="H645" i="4"/>
  <c r="I645" i="4" s="1"/>
  <c r="H646" i="4"/>
  <c r="I646" i="4" s="1"/>
  <c r="H651" i="4"/>
  <c r="I651" i="4" s="1"/>
  <c r="H657" i="4"/>
  <c r="I657" i="4" s="1"/>
  <c r="H673" i="4"/>
  <c r="I673" i="4" s="1"/>
  <c r="H752" i="4"/>
  <c r="I752" i="4" s="1"/>
  <c r="H758" i="4"/>
  <c r="I758" i="4" s="1"/>
  <c r="H770" i="4"/>
  <c r="I770" i="4" s="1"/>
  <c r="H793" i="4"/>
  <c r="I793" i="4" s="1"/>
  <c r="H810" i="4"/>
  <c r="I810" i="4" s="1"/>
  <c r="H833" i="4"/>
  <c r="I833" i="4" s="1"/>
  <c r="H844" i="4"/>
  <c r="I844" i="4" s="1"/>
  <c r="H884" i="4"/>
  <c r="I884" i="4" s="1"/>
  <c r="H976" i="4"/>
  <c r="I976" i="4" s="1"/>
  <c r="H1021" i="4"/>
  <c r="I1021" i="4" s="1"/>
  <c r="H1032" i="4"/>
  <c r="I1032" i="4" s="1"/>
  <c r="H1077" i="4"/>
  <c r="I1077" i="4" s="1"/>
  <c r="H1082" i="4"/>
  <c r="I1082" i="4" s="1"/>
  <c r="H1107" i="4"/>
  <c r="I1107" i="4" s="1"/>
  <c r="H1113" i="4"/>
  <c r="I1113" i="4" s="1"/>
  <c r="H1129" i="4"/>
  <c r="I1129" i="4" s="1"/>
  <c r="H1169" i="4"/>
  <c r="I1169" i="4" s="1"/>
  <c r="H1195" i="4"/>
  <c r="I1195" i="4" s="1"/>
  <c r="H1272" i="4"/>
  <c r="I1272" i="4" s="1"/>
  <c r="H1334" i="4"/>
  <c r="I1334" i="4" s="1"/>
  <c r="H1396" i="4"/>
  <c r="I1396" i="4" s="1"/>
  <c r="H1407" i="4"/>
  <c r="I1407" i="4" s="1"/>
  <c r="H1425" i="4"/>
  <c r="I1425" i="4" s="1"/>
  <c r="H1431" i="4"/>
  <c r="I1431" i="4" s="1"/>
  <c r="H1479" i="4"/>
  <c r="I1479" i="4" s="1"/>
  <c r="H1545" i="4"/>
  <c r="I1545" i="4" s="1"/>
  <c r="H1607" i="4"/>
  <c r="I1607" i="4" s="1"/>
  <c r="H1613" i="4"/>
  <c r="I1613" i="4" s="1"/>
  <c r="H1663" i="4"/>
  <c r="I1663" i="4" s="1"/>
  <c r="H1682" i="4"/>
  <c r="I1682" i="4" s="1"/>
  <c r="H1704" i="4"/>
  <c r="I1704" i="4" s="1"/>
  <c r="H1777" i="4"/>
  <c r="I1777" i="4" s="1"/>
  <c r="H1795" i="4"/>
  <c r="I1795" i="4" s="1"/>
  <c r="H1801" i="4"/>
  <c r="I1801" i="4" s="1"/>
  <c r="H1807" i="4"/>
  <c r="I1807" i="4" s="1"/>
  <c r="H1870" i="4"/>
  <c r="I1870" i="4" s="1"/>
  <c r="H1893" i="4"/>
  <c r="I1893" i="4" s="1"/>
  <c r="H1993" i="4"/>
  <c r="I1993" i="4" s="1"/>
  <c r="H2023" i="4"/>
  <c r="I2023" i="4" s="1"/>
  <c r="H2035" i="4"/>
  <c r="I2035" i="4" s="1"/>
  <c r="H2059" i="4"/>
  <c r="I2059" i="4" s="1"/>
  <c r="H2170" i="4"/>
  <c r="I2170" i="4" s="1"/>
  <c r="H2181" i="4"/>
  <c r="I2181" i="4" s="1"/>
  <c r="H2211" i="4"/>
  <c r="I2211" i="4" s="1"/>
  <c r="H2228" i="4"/>
  <c r="I2228" i="4" s="1"/>
  <c r="H2234" i="4"/>
  <c r="I2234" i="4" s="1"/>
  <c r="H2245" i="4"/>
  <c r="I2245" i="4" s="1"/>
  <c r="H2307" i="4"/>
  <c r="I2307" i="4" s="1"/>
  <c r="H2318" i="4"/>
  <c r="I2318" i="4" s="1"/>
  <c r="H2324" i="4"/>
  <c r="I2324" i="4" s="1"/>
  <c r="H2330" i="4"/>
  <c r="I2330" i="4" s="1"/>
  <c r="H2351" i="4"/>
  <c r="I2351" i="4" s="1"/>
  <c r="H2374" i="4"/>
  <c r="I2374" i="4" s="1"/>
  <c r="H2380" i="4"/>
  <c r="I2380" i="4" s="1"/>
  <c r="H2385" i="4"/>
  <c r="I2385" i="4" s="1"/>
  <c r="H2421" i="4"/>
  <c r="I2421" i="4" s="1"/>
  <c r="H2542" i="4"/>
  <c r="I2542" i="4" s="1"/>
  <c r="H658" i="4"/>
  <c r="I658" i="4" s="1"/>
  <c r="H699" i="4"/>
  <c r="I699" i="4" s="1"/>
  <c r="H736" i="4"/>
  <c r="I736" i="4" s="1"/>
  <c r="H753" i="4"/>
  <c r="I753" i="4" s="1"/>
  <c r="H805" i="4"/>
  <c r="I805" i="4" s="1"/>
  <c r="H829" i="4"/>
  <c r="I829" i="4" s="1"/>
  <c r="H856" i="4"/>
  <c r="I856" i="4" s="1"/>
  <c r="H919" i="4"/>
  <c r="I919" i="4" s="1"/>
  <c r="H931" i="4"/>
  <c r="I931" i="4" s="1"/>
  <c r="H1006" i="4"/>
  <c r="I1006" i="4" s="1"/>
  <c r="H1016" i="4"/>
  <c r="I1016" i="4" s="1"/>
  <c r="H1078" i="4"/>
  <c r="I1078" i="4" s="1"/>
  <c r="H1108" i="4"/>
  <c r="I1108" i="4" s="1"/>
  <c r="H1196" i="4"/>
  <c r="I1196" i="4" s="1"/>
  <c r="H1236" i="4"/>
  <c r="I1236" i="4" s="1"/>
  <c r="H1253" i="4"/>
  <c r="I1253" i="4" s="1"/>
  <c r="H1278" i="4"/>
  <c r="I1278" i="4" s="1"/>
  <c r="H1284" i="4"/>
  <c r="I1284" i="4" s="1"/>
  <c r="H1302" i="4"/>
  <c r="I1302" i="4" s="1"/>
  <c r="H1312" i="4"/>
  <c r="I1312" i="4" s="1"/>
  <c r="H1458" i="4"/>
  <c r="I1458" i="4" s="1"/>
  <c r="H1490" i="4"/>
  <c r="I1490" i="4" s="1"/>
  <c r="H1512" i="4"/>
  <c r="I1512" i="4" s="1"/>
  <c r="H1529" i="4"/>
  <c r="I1529" i="4" s="1"/>
  <c r="H1540" i="4"/>
  <c r="I1540" i="4" s="1"/>
  <c r="H1585" i="4"/>
  <c r="I1585" i="4" s="1"/>
  <c r="H1591" i="4"/>
  <c r="I1591" i="4" s="1"/>
  <c r="H1608" i="4"/>
  <c r="I1608" i="4" s="1"/>
  <c r="H1614" i="4"/>
  <c r="I1614" i="4" s="1"/>
  <c r="H1619" i="4"/>
  <c r="I1619" i="4" s="1"/>
  <c r="H1653" i="4"/>
  <c r="I1653" i="4" s="1"/>
  <c r="H1674" i="4"/>
  <c r="I1674" i="4" s="1"/>
  <c r="H1678" i="4"/>
  <c r="I1678" i="4" s="1"/>
  <c r="H1705" i="4"/>
  <c r="I1705" i="4" s="1"/>
  <c r="H1711" i="4"/>
  <c r="I1711" i="4" s="1"/>
  <c r="H1754" i="4"/>
  <c r="I1754" i="4" s="1"/>
  <c r="H1790" i="4"/>
  <c r="I1790" i="4" s="1"/>
  <c r="H1802" i="4"/>
  <c r="I1802" i="4" s="1"/>
  <c r="H1899" i="4"/>
  <c r="I1899" i="4" s="1"/>
  <c r="H2142" i="4"/>
  <c r="I2142" i="4" s="1"/>
  <c r="H2182" i="4"/>
  <c r="I2182" i="4" s="1"/>
  <c r="H2246" i="4"/>
  <c r="I2246" i="4" s="1"/>
  <c r="H2325" i="4"/>
  <c r="I2325" i="4" s="1"/>
  <c r="H2398" i="4"/>
  <c r="I2398" i="4" s="1"/>
  <c r="H2484" i="4"/>
  <c r="I2484" i="4" s="1"/>
  <c r="H2496" i="4"/>
  <c r="I2496" i="4" s="1"/>
  <c r="H2519" i="4"/>
  <c r="I2519" i="4" s="1"/>
  <c r="H2531" i="4"/>
  <c r="I2531" i="4" s="1"/>
  <c r="H2566" i="4"/>
  <c r="I2566" i="4" s="1"/>
  <c r="H690" i="4"/>
  <c r="I690" i="4" s="1"/>
  <c r="H695" i="4"/>
  <c r="I695" i="4" s="1"/>
  <c r="H840" i="4"/>
  <c r="I840" i="4" s="1"/>
  <c r="H846" i="4"/>
  <c r="I846" i="4" s="1"/>
  <c r="H874" i="4"/>
  <c r="I874" i="4" s="1"/>
  <c r="H914" i="4"/>
  <c r="I914" i="4" s="1"/>
  <c r="H1083" i="4"/>
  <c r="I1083" i="4" s="1"/>
  <c r="H1109" i="4"/>
  <c r="I1109" i="4" s="1"/>
  <c r="H1114" i="4"/>
  <c r="I1114" i="4" s="1"/>
  <c r="H1197" i="4"/>
  <c r="I1197" i="4" s="1"/>
  <c r="H1268" i="4"/>
  <c r="I1268" i="4" s="1"/>
  <c r="H1465" i="4"/>
  <c r="I1465" i="4" s="1"/>
  <c r="H1475" i="4"/>
  <c r="I1475" i="4" s="1"/>
  <c r="H1496" i="4"/>
  <c r="I1496" i="4" s="1"/>
  <c r="H1502" i="4"/>
  <c r="I1502" i="4" s="1"/>
  <c r="H1524" i="4"/>
  <c r="I1524" i="4" s="1"/>
  <c r="H1574" i="4"/>
  <c r="I1574" i="4" s="1"/>
  <c r="H1603" i="4"/>
  <c r="I1603" i="4" s="1"/>
  <c r="H1683" i="4"/>
  <c r="I1683" i="4" s="1"/>
  <c r="H1700" i="4"/>
  <c r="I1700" i="4" s="1"/>
  <c r="H1749" i="4"/>
  <c r="I1749" i="4" s="1"/>
  <c r="H1773" i="4"/>
  <c r="I1773" i="4" s="1"/>
  <c r="H1832" i="4"/>
  <c r="I1832" i="4" s="1"/>
  <c r="H1838" i="4"/>
  <c r="I1838" i="4" s="1"/>
  <c r="H1849" i="4"/>
  <c r="I1849" i="4" s="1"/>
  <c r="H1860" i="4"/>
  <c r="I1860" i="4" s="1"/>
  <c r="H1877" i="4"/>
  <c r="I1877" i="4" s="1"/>
  <c r="H1988" i="4"/>
  <c r="I1988" i="4" s="1"/>
  <c r="H2012" i="4"/>
  <c r="I2012" i="4" s="1"/>
  <c r="H2048" i="4"/>
  <c r="I2048" i="4" s="1"/>
  <c r="H2060" i="4"/>
  <c r="I2060" i="4" s="1"/>
  <c r="H2066" i="4"/>
  <c r="I2066" i="4" s="1"/>
  <c r="H2084" i="4"/>
  <c r="I2084" i="4" s="1"/>
  <c r="H2090" i="4"/>
  <c r="I2090" i="4" s="1"/>
  <c r="H2102" i="4"/>
  <c r="I2102" i="4" s="1"/>
  <c r="H2120" i="4"/>
  <c r="I2120" i="4" s="1"/>
  <c r="H2148" i="4"/>
  <c r="I2148" i="4" s="1"/>
  <c r="H2160" i="4"/>
  <c r="I2160" i="4" s="1"/>
  <c r="H2177" i="4"/>
  <c r="I2177" i="4" s="1"/>
  <c r="H2194" i="4"/>
  <c r="I2194" i="4" s="1"/>
  <c r="H2218" i="4"/>
  <c r="I2218" i="4" s="1"/>
  <c r="H2236" i="4"/>
  <c r="I2236" i="4" s="1"/>
  <c r="H2280" i="4"/>
  <c r="I2280" i="4" s="1"/>
  <c r="H2314" i="4"/>
  <c r="I2314" i="4" s="1"/>
  <c r="H2342" i="4"/>
  <c r="I2342" i="4" s="1"/>
  <c r="H2347" i="4"/>
  <c r="I2347" i="4" s="1"/>
  <c r="H2353" i="4"/>
  <c r="I2353" i="4" s="1"/>
  <c r="H2358" i="4"/>
  <c r="I2358" i="4" s="1"/>
  <c r="H2364" i="4"/>
  <c r="I2364" i="4" s="1"/>
  <c r="H2399" i="4"/>
  <c r="I2399" i="4" s="1"/>
  <c r="H2416" i="4"/>
  <c r="I2416" i="4" s="1"/>
  <c r="H2446" i="4"/>
  <c r="I2446" i="4" s="1"/>
  <c r="H2462" i="4"/>
  <c r="I2462" i="4" s="1"/>
  <c r="H2508" i="4"/>
  <c r="I2508" i="4" s="1"/>
  <c r="H2543" i="4"/>
  <c r="I2543" i="4" s="1"/>
  <c r="H2549" i="4"/>
  <c r="I2549" i="4" s="1"/>
  <c r="H2555" i="4"/>
  <c r="I2555" i="4" s="1"/>
  <c r="H2572" i="4"/>
  <c r="H2577" i="4"/>
  <c r="I2577" i="4" s="1"/>
  <c r="H932" i="4"/>
  <c r="I932" i="4" s="1"/>
  <c r="H1023" i="4"/>
  <c r="I1023" i="4" s="1"/>
  <c r="H1254" i="4"/>
  <c r="I1254" i="4" s="1"/>
  <c r="H1285" i="4"/>
  <c r="I1285" i="4" s="1"/>
  <c r="H1303" i="4"/>
  <c r="I1303" i="4" s="1"/>
  <c r="H1369" i="4"/>
  <c r="I1369" i="4" s="1"/>
  <c r="H1459" i="4"/>
  <c r="I1459" i="4" s="1"/>
  <c r="H1503" i="4"/>
  <c r="I1503" i="4" s="1"/>
  <c r="H1557" i="4"/>
  <c r="I1557" i="4" s="1"/>
  <c r="H2602" i="4"/>
  <c r="I2602" i="4" s="1"/>
  <c r="H664" i="4"/>
  <c r="I664" i="4" s="1"/>
  <c r="H721" i="4"/>
  <c r="I721" i="4" s="1"/>
  <c r="H727" i="4"/>
  <c r="I727" i="4" s="1"/>
  <c r="H772" i="4"/>
  <c r="I772" i="4" s="1"/>
  <c r="H789" i="4"/>
  <c r="I789" i="4" s="1"/>
  <c r="H795" i="4"/>
  <c r="I795" i="4" s="1"/>
  <c r="H807" i="4"/>
  <c r="I807" i="4" s="1"/>
  <c r="H818" i="4"/>
  <c r="I818" i="4" s="1"/>
  <c r="H824" i="4"/>
  <c r="I824" i="4" s="1"/>
  <c r="H830" i="4"/>
  <c r="I830" i="4" s="1"/>
  <c r="H858" i="4"/>
  <c r="I858" i="4" s="1"/>
  <c r="H869" i="4"/>
  <c r="I869" i="4" s="1"/>
  <c r="H909" i="4"/>
  <c r="I909" i="4" s="1"/>
  <c r="H927" i="4"/>
  <c r="I927" i="4" s="1"/>
  <c r="H956" i="4"/>
  <c r="I956" i="4" s="1"/>
  <c r="H972" i="4"/>
  <c r="I972" i="4" s="1"/>
  <c r="H1051" i="4"/>
  <c r="I1051" i="4" s="1"/>
  <c r="H1057" i="4"/>
  <c r="I1057" i="4" s="1"/>
  <c r="H1068" i="4"/>
  <c r="I1068" i="4" s="1"/>
  <c r="H1084" i="4"/>
  <c r="I1084" i="4" s="1"/>
  <c r="H1089" i="4"/>
  <c r="I1089" i="4" s="1"/>
  <c r="H1100" i="4"/>
  <c r="I1100" i="4" s="1"/>
  <c r="H1137" i="4"/>
  <c r="I1137" i="4" s="1"/>
  <c r="H1149" i="4"/>
  <c r="I1149" i="4" s="1"/>
  <c r="H1187" i="4"/>
  <c r="I1187" i="4" s="1"/>
  <c r="H1237" i="4"/>
  <c r="I1237" i="4" s="1"/>
  <c r="H1410" i="4"/>
  <c r="I1410" i="4" s="1"/>
  <c r="H1427" i="4"/>
  <c r="I1427" i="4" s="1"/>
  <c r="H1486" i="4"/>
  <c r="I1486" i="4" s="1"/>
  <c r="H1575" i="4"/>
  <c r="I1575" i="4" s="1"/>
  <c r="H1598" i="4"/>
  <c r="I1598" i="4" s="1"/>
  <c r="H1649" i="4"/>
  <c r="I1649" i="4" s="1"/>
  <c r="H1654" i="4"/>
  <c r="I1654" i="4" s="1"/>
  <c r="H1684" i="4"/>
  <c r="I1684" i="4" s="1"/>
  <c r="H1701" i="4"/>
  <c r="I1701" i="4" s="1"/>
  <c r="H1728" i="4"/>
  <c r="I1728" i="4" s="1"/>
  <c r="H1815" i="4"/>
  <c r="I1815" i="4" s="1"/>
  <c r="H1878" i="4"/>
  <c r="I1878" i="4" s="1"/>
  <c r="H1935" i="4"/>
  <c r="I1935" i="4" s="1"/>
  <c r="H1953" i="4"/>
  <c r="I1953" i="4" s="1"/>
  <c r="H1965" i="4"/>
  <c r="I1965" i="4" s="1"/>
  <c r="H1971" i="4"/>
  <c r="I1971" i="4" s="1"/>
  <c r="H1995" i="4"/>
  <c r="I1995" i="4" s="1"/>
  <c r="H2001" i="4"/>
  <c r="I2001" i="4" s="1"/>
  <c r="H2025" i="4"/>
  <c r="I2025" i="4" s="1"/>
  <c r="H2031" i="4"/>
  <c r="I2031" i="4" s="1"/>
  <c r="H2037" i="4"/>
  <c r="I2037" i="4" s="1"/>
  <c r="H2049" i="4"/>
  <c r="I2049" i="4" s="1"/>
  <c r="H2055" i="4"/>
  <c r="I2055" i="4" s="1"/>
  <c r="H2061" i="4"/>
  <c r="I2061" i="4" s="1"/>
  <c r="H2073" i="4"/>
  <c r="I2073" i="4" s="1"/>
  <c r="H2097" i="4"/>
  <c r="I2097" i="4" s="1"/>
  <c r="H2109" i="4"/>
  <c r="I2109" i="4" s="1"/>
  <c r="H2172" i="4"/>
  <c r="I2172" i="4" s="1"/>
  <c r="H2219" i="4"/>
  <c r="I2219" i="4" s="1"/>
  <c r="H2225" i="4"/>
  <c r="I2225" i="4" s="1"/>
  <c r="H2253" i="4"/>
  <c r="I2253" i="4" s="1"/>
  <c r="H2281" i="4"/>
  <c r="I2281" i="4" s="1"/>
  <c r="H2292" i="4"/>
  <c r="I2292" i="4" s="1"/>
  <c r="H2327" i="4"/>
  <c r="I2327" i="4" s="1"/>
  <c r="H2338" i="4"/>
  <c r="I2338" i="4" s="1"/>
  <c r="H2343" i="4"/>
  <c r="I2343" i="4" s="1"/>
  <c r="H2423" i="4"/>
  <c r="I2423" i="4" s="1"/>
  <c r="H2435" i="4"/>
  <c r="I2435" i="4" s="1"/>
  <c r="H2567" i="4"/>
  <c r="I2567" i="4" s="1"/>
  <c r="H2578" i="4"/>
  <c r="I2578" i="4" s="1"/>
  <c r="H1930" i="4"/>
  <c r="I1930" i="4" s="1"/>
  <c r="H2062" i="4"/>
  <c r="I2062" i="4" s="1"/>
  <c r="H2128" i="4"/>
  <c r="I2128" i="4" s="1"/>
  <c r="H2162" i="4"/>
  <c r="I2162" i="4" s="1"/>
  <c r="H2366" i="4"/>
  <c r="I2366" i="4" s="1"/>
  <c r="H2406" i="4"/>
  <c r="I2406" i="4" s="1"/>
  <c r="H2464" i="4"/>
  <c r="I2464" i="4" s="1"/>
  <c r="H2492" i="4"/>
  <c r="I2492" i="4" s="1"/>
  <c r="H2504" i="4"/>
  <c r="I2504" i="4" s="1"/>
  <c r="H2515" i="4"/>
  <c r="I2515" i="4" s="1"/>
  <c r="H2573" i="4"/>
  <c r="I2573" i="4" s="1"/>
  <c r="H773" i="4"/>
  <c r="I773" i="4" s="1"/>
  <c r="H779" i="4"/>
  <c r="I779" i="4" s="1"/>
  <c r="H790" i="4"/>
  <c r="I790" i="4" s="1"/>
  <c r="H825" i="4"/>
  <c r="I825" i="4" s="1"/>
  <c r="H836" i="4"/>
  <c r="I836" i="4" s="1"/>
  <c r="H853" i="4"/>
  <c r="I853" i="4" s="1"/>
  <c r="H870" i="4"/>
  <c r="I870" i="4" s="1"/>
  <c r="H876" i="4"/>
  <c r="I876" i="4" s="1"/>
  <c r="H881" i="4"/>
  <c r="I881" i="4" s="1"/>
  <c r="H887" i="4"/>
  <c r="I887" i="4" s="1"/>
  <c r="H957" i="4"/>
  <c r="I957" i="4" s="1"/>
  <c r="H968" i="4"/>
  <c r="I968" i="4" s="1"/>
  <c r="H973" i="4"/>
  <c r="I973" i="4" s="1"/>
  <c r="H996" i="4"/>
  <c r="I996" i="4" s="1"/>
  <c r="H1002" i="4"/>
  <c r="I1002" i="4" s="1"/>
  <c r="H1013" i="4"/>
  <c r="I1013" i="4" s="1"/>
  <c r="H1030" i="4"/>
  <c r="I1030" i="4" s="1"/>
  <c r="H1041" i="4"/>
  <c r="I1041" i="4" s="1"/>
  <c r="H1101" i="4"/>
  <c r="I1101" i="4" s="1"/>
  <c r="H1138" i="4"/>
  <c r="I1138" i="4" s="1"/>
  <c r="H1144" i="4"/>
  <c r="I1144" i="4" s="1"/>
  <c r="H1161" i="4"/>
  <c r="I1161" i="4" s="1"/>
  <c r="H1244" i="4"/>
  <c r="I1244" i="4" s="1"/>
  <c r="H1298" i="4"/>
  <c r="I1298" i="4" s="1"/>
  <c r="H1342" i="4"/>
  <c r="I1342" i="4" s="1"/>
  <c r="H1428" i="4"/>
  <c r="I1428" i="4" s="1"/>
  <c r="H1434" i="4"/>
  <c r="I1434" i="4" s="1"/>
  <c r="H1477" i="4"/>
  <c r="I1477" i="4" s="1"/>
  <c r="H1482" i="4"/>
  <c r="I1482" i="4" s="1"/>
  <c r="H1487" i="4"/>
  <c r="I1487" i="4" s="1"/>
  <c r="H1504" i="4"/>
  <c r="I1504" i="4" s="1"/>
  <c r="H1564" i="4"/>
  <c r="I1564" i="4" s="1"/>
  <c r="H1570" i="4"/>
  <c r="I1570" i="4" s="1"/>
  <c r="H1582" i="4"/>
  <c r="I1582" i="4" s="1"/>
  <c r="H1627" i="4"/>
  <c r="I1627" i="4" s="1"/>
  <c r="H1638" i="4"/>
  <c r="I1638" i="4" s="1"/>
  <c r="H1671" i="4"/>
  <c r="I1671" i="4" s="1"/>
  <c r="H1696" i="4"/>
  <c r="I1696" i="4" s="1"/>
  <c r="H1729" i="4"/>
  <c r="I1729" i="4" s="1"/>
  <c r="H1740" i="4"/>
  <c r="I1740" i="4" s="1"/>
  <c r="H1879" i="4"/>
  <c r="I1879" i="4" s="1"/>
  <c r="H1913" i="4"/>
  <c r="I1913" i="4" s="1"/>
  <c r="H2276" i="4"/>
  <c r="I2276" i="4" s="1"/>
  <c r="H2383" i="4"/>
  <c r="I2383" i="4" s="1"/>
  <c r="H2389" i="4"/>
  <c r="I2389" i="4" s="1"/>
  <c r="H2436" i="4"/>
  <c r="I2436" i="4" s="1"/>
  <c r="H1127" i="4"/>
  <c r="I1127" i="4" s="1"/>
  <c r="H1205" i="4"/>
  <c r="I1205" i="4" s="1"/>
  <c r="H1233" i="4"/>
  <c r="I1233" i="4" s="1"/>
  <c r="H1255" i="4"/>
  <c r="I1255" i="4" s="1"/>
  <c r="H1275" i="4"/>
  <c r="I1275" i="4" s="1"/>
  <c r="H1281" i="4"/>
  <c r="I1281" i="4" s="1"/>
  <c r="H1315" i="4"/>
  <c r="I1315" i="4" s="1"/>
  <c r="H1360" i="4"/>
  <c r="I1360" i="4" s="1"/>
  <c r="H1440" i="4"/>
  <c r="I1440" i="4" s="1"/>
  <c r="H1526" i="4"/>
  <c r="I1526" i="4" s="1"/>
  <c r="H1543" i="4"/>
  <c r="I1543" i="4" s="1"/>
  <c r="H1594" i="4"/>
  <c r="I1594" i="4" s="1"/>
  <c r="H1605" i="4"/>
  <c r="I1605" i="4" s="1"/>
  <c r="H1622" i="4"/>
  <c r="I1622" i="4" s="1"/>
  <c r="H1650" i="4"/>
  <c r="I1650" i="4" s="1"/>
  <c r="H1655" i="4"/>
  <c r="I1655" i="4" s="1"/>
  <c r="H1708" i="4"/>
  <c r="I1708" i="4" s="1"/>
  <c r="H1746" i="4"/>
  <c r="I1746" i="4" s="1"/>
  <c r="H1757" i="4"/>
  <c r="I1757" i="4" s="1"/>
  <c r="H1805" i="4"/>
  <c r="I1805" i="4" s="1"/>
  <c r="H1868" i="4"/>
  <c r="I1868" i="4" s="1"/>
  <c r="H1874" i="4"/>
  <c r="I1874" i="4" s="1"/>
  <c r="H1902" i="4"/>
  <c r="I1902" i="4" s="1"/>
  <c r="H1919" i="4"/>
  <c r="I1919" i="4" s="1"/>
  <c r="H2168" i="4"/>
  <c r="I2168" i="4" s="1"/>
  <c r="H2355" i="4"/>
  <c r="I2355" i="4" s="1"/>
  <c r="H650" i="4"/>
  <c r="I650" i="4" s="1"/>
  <c r="H671" i="4"/>
  <c r="I671" i="4" s="1"/>
  <c r="H677" i="4"/>
  <c r="I677" i="4" s="1"/>
  <c r="H683" i="4"/>
  <c r="I683" i="4" s="1"/>
  <c r="H697" i="4"/>
  <c r="I697" i="4" s="1"/>
  <c r="H717" i="4"/>
  <c r="I717" i="4" s="1"/>
  <c r="H854" i="4"/>
  <c r="I854" i="4" s="1"/>
  <c r="H865" i="4"/>
  <c r="I865" i="4" s="1"/>
  <c r="H888" i="4"/>
  <c r="I888" i="4" s="1"/>
  <c r="H911" i="4"/>
  <c r="I911" i="4" s="1"/>
  <c r="H952" i="4"/>
  <c r="I952" i="4" s="1"/>
  <c r="H958" i="4"/>
  <c r="I958" i="4" s="1"/>
  <c r="H963" i="4"/>
  <c r="I963" i="4" s="1"/>
  <c r="H980" i="4"/>
  <c r="I980" i="4" s="1"/>
  <c r="H991" i="4"/>
  <c r="I991" i="4" s="1"/>
  <c r="H997" i="4"/>
  <c r="I997" i="4" s="1"/>
  <c r="H1064" i="4"/>
  <c r="I1064" i="4" s="1"/>
  <c r="H1139" i="4"/>
  <c r="I1139" i="4" s="1"/>
  <c r="H1162" i="4"/>
  <c r="I1162" i="4" s="1"/>
  <c r="H1228" i="4"/>
  <c r="I1228" i="4" s="1"/>
  <c r="H1245" i="4"/>
  <c r="I1245" i="4" s="1"/>
  <c r="H1265" i="4"/>
  <c r="I1265" i="4" s="1"/>
  <c r="H1287" i="4"/>
  <c r="I1287" i="4" s="1"/>
  <c r="I1286" i="4" s="1"/>
  <c r="H1310" i="4"/>
  <c r="I1310" i="4" s="1"/>
  <c r="H1322" i="4"/>
  <c r="I1322" i="4" s="1"/>
  <c r="H1355" i="4"/>
  <c r="I1355" i="4" s="1"/>
  <c r="H1394" i="4"/>
  <c r="I1394" i="4" s="1"/>
  <c r="H1429" i="4"/>
  <c r="I1429" i="4" s="1"/>
  <c r="H1450" i="4"/>
  <c r="I1450" i="4" s="1"/>
  <c r="H1472" i="4"/>
  <c r="I1472" i="4" s="1"/>
  <c r="H1488" i="4"/>
  <c r="I1488" i="4" s="1"/>
  <c r="H1559" i="4"/>
  <c r="I1559" i="4" s="1"/>
  <c r="H1565" i="4"/>
  <c r="I1565" i="4" s="1"/>
  <c r="H1633" i="4"/>
  <c r="I1633" i="4" s="1"/>
  <c r="H1651" i="4"/>
  <c r="I1651" i="4" s="1"/>
  <c r="H1672" i="4"/>
  <c r="I1672" i="4" s="1"/>
  <c r="H1697" i="4"/>
  <c r="I1697" i="4" s="1"/>
  <c r="H1730" i="4"/>
  <c r="I1730" i="4" s="1"/>
  <c r="H1752" i="4"/>
  <c r="I1752" i="4" s="1"/>
  <c r="H1817" i="4"/>
  <c r="I1817" i="4" s="1"/>
  <c r="H1823" i="4"/>
  <c r="I1823" i="4" s="1"/>
  <c r="H1829" i="4"/>
  <c r="I1829" i="4" s="1"/>
  <c r="H1863" i="4"/>
  <c r="I1863" i="4" s="1"/>
  <c r="H1880" i="4"/>
  <c r="I1880" i="4" s="1"/>
  <c r="H1925" i="4"/>
  <c r="I1925" i="4" s="1"/>
  <c r="H1931" i="4"/>
  <c r="I1931" i="4" s="1"/>
  <c r="H1979" i="4"/>
  <c r="I1979" i="4" s="1"/>
  <c r="H1997" i="4"/>
  <c r="I1997" i="4" s="1"/>
  <c r="H2021" i="4"/>
  <c r="I2021" i="4" s="1"/>
  <c r="H2027" i="4"/>
  <c r="I2027" i="4" s="1"/>
  <c r="H2033" i="4"/>
  <c r="I2033" i="4" s="1"/>
  <c r="H2039" i="4"/>
  <c r="I2039" i="4" s="1"/>
  <c r="H2045" i="4"/>
  <c r="I2045" i="4" s="1"/>
  <c r="H2057" i="4"/>
  <c r="I2057" i="4" s="1"/>
  <c r="H2069" i="4"/>
  <c r="I2069" i="4" s="1"/>
  <c r="H2093" i="4"/>
  <c r="I2093" i="4" s="1"/>
  <c r="H2117" i="4"/>
  <c r="I2117" i="4" s="1"/>
  <c r="H2174" i="4"/>
  <c r="I2174" i="4" s="1"/>
  <c r="H2197" i="4"/>
  <c r="I2197" i="4" s="1"/>
  <c r="H2203" i="4"/>
  <c r="I2203" i="4" s="1"/>
  <c r="H2249" i="4"/>
  <c r="I2249" i="4" s="1"/>
  <c r="H2255" i="4"/>
  <c r="I2255" i="4" s="1"/>
  <c r="H2277" i="4"/>
  <c r="I2277" i="4" s="1"/>
  <c r="H2367" i="4"/>
  <c r="I2367" i="4" s="1"/>
  <c r="H2378" i="4"/>
  <c r="I2378" i="4" s="1"/>
  <c r="H2425" i="4"/>
  <c r="I2425" i="4" s="1"/>
  <c r="H2443" i="4"/>
  <c r="I2443" i="4" s="1"/>
  <c r="H2465" i="4"/>
  <c r="I2465" i="4" s="1"/>
  <c r="H2540" i="4"/>
  <c r="I2540" i="4" s="1"/>
  <c r="H2569" i="4"/>
  <c r="I2569" i="4" s="1"/>
  <c r="H815" i="4"/>
  <c r="I815" i="4" s="1"/>
  <c r="H821" i="4"/>
  <c r="I821" i="4" s="1"/>
  <c r="H827" i="4"/>
  <c r="I827" i="4" s="1"/>
  <c r="H832" i="4"/>
  <c r="I832" i="4" s="1"/>
  <c r="H883" i="4"/>
  <c r="I883" i="4" s="1"/>
  <c r="H935" i="4"/>
  <c r="I935" i="4" s="1"/>
  <c r="H941" i="4"/>
  <c r="I941" i="4" s="1"/>
  <c r="H947" i="4"/>
  <c r="I947" i="4" s="1"/>
  <c r="H1020" i="4"/>
  <c r="I1020" i="4" s="1"/>
  <c r="H1042" i="4"/>
  <c r="I1042" i="4" s="1"/>
  <c r="H1070" i="4"/>
  <c r="I1070" i="4" s="1"/>
  <c r="H1086" i="4"/>
  <c r="I1086" i="4" s="1"/>
  <c r="H1091" i="4"/>
  <c r="I1091" i="4" s="1"/>
  <c r="H1122" i="4"/>
  <c r="I1122" i="4" s="1"/>
  <c r="H1256" i="4"/>
  <c r="I1256" i="4" s="1"/>
  <c r="H1266" i="4"/>
  <c r="I1266" i="4" s="1"/>
  <c r="H1276" i="4"/>
  <c r="I1276" i="4" s="1"/>
  <c r="H1383" i="4"/>
  <c r="I1383" i="4" s="1"/>
  <c r="H1418" i="4"/>
  <c r="I1418" i="4" s="1"/>
  <c r="H1510" i="4"/>
  <c r="I1510" i="4" s="1"/>
  <c r="H1521" i="4"/>
  <c r="I1521" i="4" s="1"/>
  <c r="H1560" i="4"/>
  <c r="I1560" i="4" s="1"/>
  <c r="H1634" i="4"/>
  <c r="I1634" i="4" s="1"/>
  <c r="H1656" i="4"/>
  <c r="I1656" i="4" s="1"/>
  <c r="H1687" i="4"/>
  <c r="I1687" i="4" s="1"/>
  <c r="H1736" i="4"/>
  <c r="I1736" i="4" s="1"/>
  <c r="H1758" i="4"/>
  <c r="I1758" i="4" s="1"/>
  <c r="H1764" i="4"/>
  <c r="I1764" i="4" s="1"/>
  <c r="H1794" i="4"/>
  <c r="I1794" i="4" s="1"/>
  <c r="H1824" i="4"/>
  <c r="I1824" i="4" s="1"/>
  <c r="H1869" i="4"/>
  <c r="I1869" i="4" s="1"/>
  <c r="H1980" i="4"/>
  <c r="I1980" i="4" s="1"/>
  <c r="H2040" i="4"/>
  <c r="I2040" i="4" s="1"/>
  <c r="H2070" i="4"/>
  <c r="I2070" i="4" s="1"/>
  <c r="H2135" i="4"/>
  <c r="I2135" i="4" s="1"/>
  <c r="H2198" i="4"/>
  <c r="I2198" i="4" s="1"/>
  <c r="H2210" i="4"/>
  <c r="I2210" i="4" s="1"/>
  <c r="H2272" i="4"/>
  <c r="I2272" i="4" s="1"/>
  <c r="H2283" i="4"/>
  <c r="I2283" i="4" s="1"/>
  <c r="H2300" i="4"/>
  <c r="I2300" i="4" s="1"/>
  <c r="H2408" i="4"/>
  <c r="I2408" i="4" s="1"/>
  <c r="H2500" i="4"/>
  <c r="I2500" i="4" s="1"/>
  <c r="H2506" i="4"/>
  <c r="I2506" i="4" s="1"/>
  <c r="H2535" i="4"/>
  <c r="I2535" i="4" s="1"/>
  <c r="H1311" i="4"/>
  <c r="I1311" i="4" s="1"/>
  <c r="H1328" i="4"/>
  <c r="I1328" i="4" s="1"/>
  <c r="H1350" i="4"/>
  <c r="I1350" i="4" s="1"/>
  <c r="H1384" i="4"/>
  <c r="I1384" i="4" s="1"/>
  <c r="H1446" i="4"/>
  <c r="I1446" i="4" s="1"/>
  <c r="H1451" i="4"/>
  <c r="I1451" i="4" s="1"/>
  <c r="H1457" i="4"/>
  <c r="I1457" i="4" s="1"/>
  <c r="H1500" i="4"/>
  <c r="I1500" i="4" s="1"/>
  <c r="H29" i="4"/>
  <c r="I29" i="4" s="1"/>
  <c r="H101" i="4"/>
  <c r="I101" i="4" s="1"/>
  <c r="H127" i="4"/>
  <c r="I127" i="4" s="1"/>
  <c r="H141" i="4"/>
  <c r="I141" i="4" s="1"/>
  <c r="H157" i="4"/>
  <c r="I157" i="4" s="1"/>
  <c r="H171" i="4"/>
  <c r="I171" i="4" s="1"/>
  <c r="H194" i="4"/>
  <c r="I194" i="4" s="1"/>
  <c r="H199" i="4"/>
  <c r="I199" i="4" s="1"/>
  <c r="H226" i="4"/>
  <c r="I226" i="4" s="1"/>
  <c r="H232" i="4"/>
  <c r="I232" i="4" s="1"/>
  <c r="H289" i="4"/>
  <c r="I289" i="4" s="1"/>
  <c r="H305" i="4"/>
  <c r="I305" i="4" s="1"/>
  <c r="H311" i="4"/>
  <c r="I311" i="4" s="1"/>
  <c r="H326" i="4"/>
  <c r="I326" i="4" s="1"/>
  <c r="H379" i="4"/>
  <c r="I379" i="4" s="1"/>
  <c r="H30" i="4"/>
  <c r="I30" i="4" s="1"/>
  <c r="H152" i="4"/>
  <c r="I152" i="4" s="1"/>
  <c r="H172" i="4"/>
  <c r="I172" i="4" s="1"/>
  <c r="H14" i="4"/>
  <c r="I14" i="4" s="1"/>
  <c r="H41" i="4"/>
  <c r="I41" i="4" s="1"/>
  <c r="H52" i="4"/>
  <c r="I52" i="4" s="1"/>
  <c r="H58" i="4"/>
  <c r="I58" i="4" s="1"/>
  <c r="H68" i="4"/>
  <c r="I68" i="4" s="1"/>
  <c r="H91" i="4"/>
  <c r="I91" i="4" s="1"/>
  <c r="H96" i="4"/>
  <c r="I96" i="4" s="1"/>
  <c r="H102" i="4"/>
  <c r="I102" i="4" s="1"/>
  <c r="H113" i="4"/>
  <c r="I113" i="4" s="1"/>
  <c r="H206" i="4"/>
  <c r="I206" i="4" s="1"/>
  <c r="H249" i="4"/>
  <c r="I249" i="4" s="1"/>
  <c r="H264" i="4"/>
  <c r="I264" i="4" s="1"/>
  <c r="H312" i="4"/>
  <c r="I312" i="4" s="1"/>
  <c r="H428" i="4"/>
  <c r="I428" i="4" s="1"/>
  <c r="H434" i="4"/>
  <c r="I434" i="4" s="1"/>
  <c r="H36" i="4"/>
  <c r="I36" i="4" s="1"/>
  <c r="H153" i="4"/>
  <c r="I153" i="4" s="1"/>
  <c r="H177" i="4"/>
  <c r="I177" i="4" s="1"/>
  <c r="H182" i="4"/>
  <c r="I182" i="4" s="1"/>
  <c r="H187" i="4"/>
  <c r="I187" i="4" s="1"/>
  <c r="H196" i="4"/>
  <c r="I196" i="4" s="1"/>
  <c r="H207" i="4"/>
  <c r="I207" i="4" s="1"/>
  <c r="H222" i="4"/>
  <c r="I222" i="4" s="1"/>
  <c r="H270" i="4"/>
  <c r="I270" i="4" s="1"/>
  <c r="H328" i="4"/>
  <c r="I328" i="4" s="1"/>
  <c r="H292" i="4"/>
  <c r="I292" i="4" s="1"/>
  <c r="H26" i="4"/>
  <c r="I26" i="4" s="1"/>
  <c r="H32" i="4"/>
  <c r="I32" i="4" s="1"/>
  <c r="H73" i="4"/>
  <c r="I73" i="4" s="1"/>
  <c r="H98" i="4"/>
  <c r="I98" i="4" s="1"/>
  <c r="H104" i="4"/>
  <c r="I104" i="4" s="1"/>
  <c r="H164" i="4"/>
  <c r="I164" i="4" s="1"/>
  <c r="H178" i="4"/>
  <c r="I178" i="4" s="1"/>
  <c r="H188" i="4"/>
  <c r="I188" i="4" s="1"/>
  <c r="H134" i="4"/>
  <c r="I134" i="4" s="1"/>
  <c r="H281" i="4"/>
  <c r="I281" i="4" s="1"/>
  <c r="H424" i="4"/>
  <c r="I424" i="4" s="1"/>
  <c r="H22" i="4"/>
  <c r="I22" i="4" s="1"/>
  <c r="H628" i="4"/>
  <c r="I628" i="4" s="1"/>
  <c r="H356" i="4"/>
  <c r="I356" i="4" s="1"/>
  <c r="H23" i="4"/>
  <c r="I23" i="4" s="1"/>
  <c r="H28" i="4"/>
  <c r="I28" i="4" s="1"/>
  <c r="H45" i="4"/>
  <c r="I45" i="4" s="1"/>
  <c r="H75" i="4"/>
  <c r="I75" i="4" s="1"/>
  <c r="H126" i="4"/>
  <c r="I126" i="4" s="1"/>
  <c r="H140" i="4"/>
  <c r="I140" i="4" s="1"/>
  <c r="H175" i="4"/>
  <c r="I175" i="4" s="1"/>
  <c r="H236" i="4"/>
  <c r="I236" i="4" s="1"/>
  <c r="H257" i="4"/>
  <c r="I257" i="4" s="1"/>
  <c r="H273" i="4"/>
  <c r="I273" i="4" s="1"/>
  <c r="H288" i="4"/>
  <c r="I288" i="4" s="1"/>
  <c r="H294" i="4"/>
  <c r="I294" i="4" s="1"/>
  <c r="H589" i="4"/>
  <c r="I589" i="4" s="1"/>
  <c r="H94" i="4"/>
  <c r="I94" i="4" s="1"/>
  <c r="H100" i="4"/>
  <c r="I100" i="4" s="1"/>
  <c r="H106" i="4"/>
  <c r="I106" i="4" s="1"/>
  <c r="H111" i="4"/>
  <c r="I111" i="4" s="1"/>
  <c r="H121" i="4"/>
  <c r="I121" i="4" s="1"/>
  <c r="H156" i="4"/>
  <c r="I156" i="4" s="1"/>
  <c r="H161" i="4"/>
  <c r="I161" i="4" s="1"/>
  <c r="H215" i="4"/>
  <c r="I215" i="4" s="1"/>
  <c r="H498" i="4"/>
  <c r="I498" i="4" s="1"/>
  <c r="H532" i="4"/>
  <c r="I532" i="4" s="1"/>
  <c r="H630" i="4"/>
  <c r="I630" i="4" s="1"/>
  <c r="H649" i="4"/>
  <c r="I649" i="4" s="1"/>
  <c r="H687" i="4"/>
  <c r="I687" i="4" s="1"/>
  <c r="H706" i="4"/>
  <c r="I706" i="4" s="1"/>
  <c r="H764" i="4"/>
  <c r="I764" i="4" s="1"/>
  <c r="H769" i="4"/>
  <c r="I769" i="4" s="1"/>
  <c r="H782" i="4"/>
  <c r="I782" i="4" s="1"/>
  <c r="H787" i="4"/>
  <c r="I787" i="4" s="1"/>
  <c r="H801" i="4"/>
  <c r="I801" i="4" s="1"/>
  <c r="H806" i="4"/>
  <c r="I806" i="4" s="1"/>
  <c r="H837" i="4"/>
  <c r="I837" i="4" s="1"/>
  <c r="H842" i="4"/>
  <c r="I842" i="4" s="1"/>
  <c r="H847" i="4"/>
  <c r="I847" i="4" s="1"/>
  <c r="H852" i="4"/>
  <c r="I852" i="4" s="1"/>
  <c r="H862" i="4"/>
  <c r="I862" i="4" s="1"/>
  <c r="H890" i="4"/>
  <c r="I890" i="4" s="1"/>
  <c r="H905" i="4"/>
  <c r="I905" i="4" s="1"/>
  <c r="H915" i="4"/>
  <c r="I915" i="4" s="1"/>
  <c r="H925" i="4"/>
  <c r="I925" i="4" s="1"/>
  <c r="H977" i="4"/>
  <c r="I977" i="4" s="1"/>
  <c r="H988" i="4"/>
  <c r="I988" i="4" s="1"/>
  <c r="H993" i="4"/>
  <c r="I993" i="4" s="1"/>
  <c r="H1007" i="4"/>
  <c r="I1007" i="4" s="1"/>
  <c r="H1062" i="4"/>
  <c r="I1062" i="4" s="1"/>
  <c r="H1075" i="4"/>
  <c r="I1075" i="4" s="1"/>
  <c r="H1088" i="4"/>
  <c r="I1088" i="4" s="1"/>
  <c r="H1092" i="4"/>
  <c r="I1092" i="4" s="1"/>
  <c r="H1110" i="4"/>
  <c r="I1110" i="4" s="1"/>
  <c r="H1115" i="4"/>
  <c r="I1115" i="4" s="1"/>
  <c r="H1156" i="4"/>
  <c r="I1156" i="4" s="1"/>
  <c r="H1180" i="4"/>
  <c r="I1180" i="4" s="1"/>
  <c r="H1184" i="4"/>
  <c r="I1184" i="4" s="1"/>
  <c r="H1243" i="4"/>
  <c r="I1243" i="4" s="1"/>
  <c r="H1269" i="4"/>
  <c r="I1269" i="4" s="1"/>
  <c r="H1282" i="4"/>
  <c r="I1282" i="4" s="1"/>
  <c r="H1292" i="4"/>
  <c r="I1292" i="4" s="1"/>
  <c r="H1330" i="4"/>
  <c r="I1330" i="4" s="1"/>
  <c r="H1349" i="4"/>
  <c r="I1349" i="4" s="1"/>
  <c r="H1391" i="4"/>
  <c r="I1391" i="4" s="1"/>
  <c r="H1402" i="4"/>
  <c r="I1402" i="4" s="1"/>
  <c r="H1604" i="4"/>
  <c r="I1604" i="4" s="1"/>
  <c r="H2415" i="4"/>
  <c r="I2415" i="4" s="1"/>
  <c r="H363" i="4"/>
  <c r="I363" i="4" s="1"/>
  <c r="H397" i="4"/>
  <c r="I397" i="4" s="1"/>
  <c r="H407" i="4"/>
  <c r="I407" i="4" s="1"/>
  <c r="H417" i="4"/>
  <c r="I417" i="4" s="1"/>
  <c r="H442" i="4"/>
  <c r="I442" i="4" s="1"/>
  <c r="H447" i="4"/>
  <c r="I447" i="4" s="1"/>
  <c r="H458" i="4"/>
  <c r="I458" i="4" s="1"/>
  <c r="H468" i="4"/>
  <c r="I468" i="4" s="1"/>
  <c r="H559" i="4"/>
  <c r="I559" i="4" s="1"/>
  <c r="H563" i="4"/>
  <c r="I563" i="4" s="1"/>
  <c r="H587" i="4"/>
  <c r="I587" i="4" s="1"/>
  <c r="H592" i="4"/>
  <c r="I592" i="4" s="1"/>
  <c r="H621" i="4"/>
  <c r="I621" i="4" s="1"/>
  <c r="H626" i="4"/>
  <c r="I626" i="4" s="1"/>
  <c r="H641" i="4"/>
  <c r="I641" i="4" s="1"/>
  <c r="H701" i="4"/>
  <c r="I701" i="4" s="1"/>
  <c r="H715" i="4"/>
  <c r="I715" i="4" s="1"/>
  <c r="H742" i="4"/>
  <c r="I742" i="4" s="1"/>
  <c r="H774" i="4"/>
  <c r="I774" i="4" s="1"/>
  <c r="H792" i="4"/>
  <c r="I792" i="4" s="1"/>
  <c r="H812" i="4"/>
  <c r="I812" i="4" s="1"/>
  <c r="H843" i="4"/>
  <c r="I843" i="4" s="1"/>
  <c r="H857" i="4"/>
  <c r="I857" i="4" s="1"/>
  <c r="H867" i="4"/>
  <c r="I867" i="4" s="1"/>
  <c r="H872" i="4"/>
  <c r="I872" i="4" s="1"/>
  <c r="H896" i="4"/>
  <c r="I896" i="4" s="1"/>
  <c r="H901" i="4"/>
  <c r="I901" i="4" s="1"/>
  <c r="H937" i="4"/>
  <c r="I937" i="4" s="1"/>
  <c r="H942" i="4"/>
  <c r="I942" i="4" s="1"/>
  <c r="H978" i="4"/>
  <c r="I978" i="4" s="1"/>
  <c r="H998" i="4"/>
  <c r="I998" i="4" s="1"/>
  <c r="H1049" i="4"/>
  <c r="I1049" i="4" s="1"/>
  <c r="H1063" i="4"/>
  <c r="I1063" i="4" s="1"/>
  <c r="H1071" i="4"/>
  <c r="I1071" i="4" s="1"/>
  <c r="H1102" i="4"/>
  <c r="I1102" i="4" s="1"/>
  <c r="H1111" i="4"/>
  <c r="I1111" i="4" s="1"/>
  <c r="H1116" i="4"/>
  <c r="I1116" i="4" s="1"/>
  <c r="H1167" i="4"/>
  <c r="I1167" i="4" s="1"/>
  <c r="H1171" i="4"/>
  <c r="I1171" i="4" s="1"/>
  <c r="H1190" i="4"/>
  <c r="I1190" i="4" s="1"/>
  <c r="H1215" i="4"/>
  <c r="I1215" i="4" s="1"/>
  <c r="H1239" i="4"/>
  <c r="I1239" i="4" s="1"/>
  <c r="H1317" i="4"/>
  <c r="I1317" i="4" s="1"/>
  <c r="H1326" i="4"/>
  <c r="I1326" i="4" s="1"/>
  <c r="H1331" i="4"/>
  <c r="I1331" i="4" s="1"/>
  <c r="H1345" i="4"/>
  <c r="I1345" i="4" s="1"/>
  <c r="H1373" i="4"/>
  <c r="I1373" i="4" s="1"/>
  <c r="H1387" i="4"/>
  <c r="I1387" i="4" s="1"/>
  <c r="H2502" i="4"/>
  <c r="I2502" i="4" s="1"/>
  <c r="H1959" i="4"/>
  <c r="I1959" i="4" s="1"/>
  <c r="H2007" i="4"/>
  <c r="I2007" i="4" s="1"/>
  <c r="H237" i="4"/>
  <c r="I237" i="4" s="1"/>
  <c r="H253" i="4"/>
  <c r="I253" i="4" s="1"/>
  <c r="H321" i="4"/>
  <c r="I321" i="4" s="1"/>
  <c r="H369" i="4"/>
  <c r="I369" i="4" s="1"/>
  <c r="H383" i="4"/>
  <c r="I383" i="4" s="1"/>
  <c r="H433" i="4"/>
  <c r="I433" i="4" s="1"/>
  <c r="H443" i="4"/>
  <c r="I443" i="4" s="1"/>
  <c r="H453" i="4"/>
  <c r="I453" i="4" s="1"/>
  <c r="H474" i="4"/>
  <c r="I474" i="4" s="1"/>
  <c r="H484" i="4"/>
  <c r="I484" i="4" s="1"/>
  <c r="H504" i="4"/>
  <c r="I504" i="4" s="1"/>
  <c r="H564" i="4"/>
  <c r="I564" i="4" s="1"/>
  <c r="H702" i="4"/>
  <c r="I702" i="4" s="1"/>
  <c r="H761" i="4"/>
  <c r="I761" i="4" s="1"/>
  <c r="H834" i="4"/>
  <c r="I834" i="4" s="1"/>
  <c r="H849" i="4"/>
  <c r="I849" i="4" s="1"/>
  <c r="H868" i="4"/>
  <c r="I868" i="4" s="1"/>
  <c r="H917" i="4"/>
  <c r="I917" i="4" s="1"/>
  <c r="H948" i="4"/>
  <c r="I948" i="4" s="1"/>
  <c r="H953" i="4"/>
  <c r="I953" i="4" s="1"/>
  <c r="H979" i="4"/>
  <c r="I979" i="4" s="1"/>
  <c r="H984" i="4"/>
  <c r="I984" i="4" s="1"/>
  <c r="H1017" i="4"/>
  <c r="I1017" i="4" s="1"/>
  <c r="H1022" i="4"/>
  <c r="I1022" i="4" s="1"/>
  <c r="H1037" i="4"/>
  <c r="I1037" i="4" s="1"/>
  <c r="H1081" i="4"/>
  <c r="I1081" i="4" s="1"/>
  <c r="H1112" i="4"/>
  <c r="I1112" i="4" s="1"/>
  <c r="H1121" i="4"/>
  <c r="I1121" i="4" s="1"/>
  <c r="H1126" i="4"/>
  <c r="I1126" i="4" s="1"/>
  <c r="H1216" i="4"/>
  <c r="I1216" i="4" s="1"/>
  <c r="H1226" i="4"/>
  <c r="I1226" i="4" s="1"/>
  <c r="H1271" i="4"/>
  <c r="I1271" i="4" s="1"/>
  <c r="H1346" i="4"/>
  <c r="I1346" i="4" s="1"/>
  <c r="H1388" i="4"/>
  <c r="I1388" i="4" s="1"/>
  <c r="H1393" i="4"/>
  <c r="I1393" i="4" s="1"/>
  <c r="H1398" i="4"/>
  <c r="I1398" i="4" s="1"/>
  <c r="H1822" i="4"/>
  <c r="I1822" i="4" s="1"/>
  <c r="H1845" i="4"/>
  <c r="I1845" i="4" s="1"/>
  <c r="H2237" i="4"/>
  <c r="I2237" i="4" s="1"/>
  <c r="H242" i="4"/>
  <c r="I242" i="4" s="1"/>
  <c r="H263" i="4"/>
  <c r="I263" i="4" s="1"/>
  <c r="H274" i="4"/>
  <c r="I274" i="4" s="1"/>
  <c r="H283" i="4"/>
  <c r="I283" i="4" s="1"/>
  <c r="H355" i="4"/>
  <c r="I355" i="4" s="1"/>
  <c r="H365" i="4"/>
  <c r="I365" i="4" s="1"/>
  <c r="H375" i="4"/>
  <c r="I375" i="4" s="1"/>
  <c r="H475" i="4"/>
  <c r="I475" i="4" s="1"/>
  <c r="H784" i="4"/>
  <c r="I784" i="4" s="1"/>
  <c r="H882" i="4"/>
  <c r="I882" i="4" s="1"/>
  <c r="H907" i="4"/>
  <c r="I907" i="4" s="1"/>
  <c r="H985" i="4"/>
  <c r="I985" i="4" s="1"/>
  <c r="H1000" i="4"/>
  <c r="I1000" i="4" s="1"/>
  <c r="H1201" i="4"/>
  <c r="I1201" i="4" s="1"/>
  <c r="H1299" i="4"/>
  <c r="I1299" i="4" s="1"/>
  <c r="H1399" i="4"/>
  <c r="I1399" i="4" s="1"/>
  <c r="H675" i="4"/>
  <c r="I675" i="4" s="1"/>
  <c r="H757" i="4"/>
  <c r="I757" i="4" s="1"/>
  <c r="H804" i="4"/>
  <c r="I804" i="4" s="1"/>
  <c r="H845" i="4"/>
  <c r="I845" i="4" s="1"/>
  <c r="H878" i="4"/>
  <c r="I878" i="4" s="1"/>
  <c r="H949" i="4"/>
  <c r="I949" i="4" s="1"/>
  <c r="H1182" i="4"/>
  <c r="I1182" i="4" s="1"/>
  <c r="H1319" i="4"/>
  <c r="I1319" i="4" s="1"/>
  <c r="H1324" i="4"/>
  <c r="I1324" i="4" s="1"/>
  <c r="H1375" i="4"/>
  <c r="I1375" i="4" s="1"/>
  <c r="H346" i="4"/>
  <c r="I346" i="4" s="1"/>
  <c r="H351" i="4"/>
  <c r="I351" i="4" s="1"/>
  <c r="H380" i="4"/>
  <c r="I380" i="4" s="1"/>
  <c r="H385" i="4"/>
  <c r="I385" i="4" s="1"/>
  <c r="H414" i="4"/>
  <c r="I414" i="4" s="1"/>
  <c r="H423" i="4"/>
  <c r="I423" i="4" s="1"/>
  <c r="H455" i="4"/>
  <c r="I455" i="4" s="1"/>
  <c r="H501" i="4"/>
  <c r="I501" i="4" s="1"/>
  <c r="H511" i="4"/>
  <c r="I511" i="4" s="1"/>
  <c r="H530" i="4"/>
  <c r="I530" i="4" s="1"/>
  <c r="H540" i="4"/>
  <c r="I540" i="4" s="1"/>
  <c r="H545" i="4"/>
  <c r="I545" i="4" s="1"/>
  <c r="H551" i="4"/>
  <c r="I551" i="4" s="1"/>
  <c r="H556" i="4"/>
  <c r="I556" i="4" s="1"/>
  <c r="H581" i="4"/>
  <c r="I581" i="4" s="1"/>
  <c r="H595" i="4"/>
  <c r="I595" i="4" s="1"/>
  <c r="H614" i="4"/>
  <c r="I614" i="4" s="1"/>
  <c r="H634" i="4"/>
  <c r="I634" i="4" s="1"/>
  <c r="H652" i="4"/>
  <c r="I652" i="4" s="1"/>
  <c r="H661" i="4"/>
  <c r="I661" i="4" s="1"/>
  <c r="H676" i="4"/>
  <c r="I676" i="4" s="1"/>
  <c r="H708" i="4"/>
  <c r="I708" i="4" s="1"/>
  <c r="H726" i="4"/>
  <c r="I726" i="4" s="1"/>
  <c r="H776" i="4"/>
  <c r="I776" i="4" s="1"/>
  <c r="H785" i="4"/>
  <c r="I785" i="4" s="1"/>
  <c r="H799" i="4"/>
  <c r="I799" i="4" s="1"/>
  <c r="H831" i="4"/>
  <c r="I831" i="4" s="1"/>
  <c r="H855" i="4"/>
  <c r="I855" i="4" s="1"/>
  <c r="H893" i="4"/>
  <c r="I893" i="4" s="1"/>
  <c r="H908" i="4"/>
  <c r="I908" i="4" s="1"/>
  <c r="H913" i="4"/>
  <c r="I913" i="4" s="1"/>
  <c r="H923" i="4"/>
  <c r="I923" i="4" s="1"/>
  <c r="H940" i="4"/>
  <c r="I940" i="4" s="1"/>
  <c r="H950" i="4"/>
  <c r="I950" i="4" s="1"/>
  <c r="H955" i="4"/>
  <c r="I955" i="4" s="1"/>
  <c r="H965" i="4"/>
  <c r="I965" i="4" s="1"/>
  <c r="H981" i="4"/>
  <c r="I981" i="4" s="1"/>
  <c r="H986" i="4"/>
  <c r="I986" i="4" s="1"/>
  <c r="H1001" i="4"/>
  <c r="I1001" i="4" s="1"/>
  <c r="H1014" i="4"/>
  <c r="I1014" i="4" s="1"/>
  <c r="H1028" i="4"/>
  <c r="I1028" i="4" s="1"/>
  <c r="H1104" i="4"/>
  <c r="I1104" i="4" s="1"/>
  <c r="H1154" i="4"/>
  <c r="I1154" i="4" s="1"/>
  <c r="H1159" i="4"/>
  <c r="I1159" i="4" s="1"/>
  <c r="H1164" i="4"/>
  <c r="I1164" i="4" s="1"/>
  <c r="H1202" i="4"/>
  <c r="I1202" i="4" s="1"/>
  <c r="H1212" i="4"/>
  <c r="I1212" i="4" s="1"/>
  <c r="H1251" i="4"/>
  <c r="I1251" i="4" s="1"/>
  <c r="H1296" i="4"/>
  <c r="I1296" i="4" s="1"/>
  <c r="H1305" i="4"/>
  <c r="I1305" i="4" s="1"/>
  <c r="H1333" i="4"/>
  <c r="I1333" i="4" s="1"/>
  <c r="H1371" i="4"/>
  <c r="I1371" i="4" s="1"/>
  <c r="H1460" i="4"/>
  <c r="I1460" i="4" s="1"/>
  <c r="H1753" i="4"/>
  <c r="I1753" i="4" s="1"/>
  <c r="H2431" i="4"/>
  <c r="I2431" i="4" s="1"/>
  <c r="H2511" i="4"/>
  <c r="I2511" i="4" s="1"/>
  <c r="H347" i="4"/>
  <c r="I347" i="4" s="1"/>
  <c r="H381" i="4"/>
  <c r="I381" i="4" s="1"/>
  <c r="H386" i="4"/>
  <c r="I386" i="4" s="1"/>
  <c r="H450" i="4"/>
  <c r="I450" i="4" s="1"/>
  <c r="H481" i="4"/>
  <c r="I481" i="4" s="1"/>
  <c r="H502" i="4"/>
  <c r="I502" i="4" s="1"/>
  <c r="H521" i="4"/>
  <c r="I521" i="4" s="1"/>
  <c r="H541" i="4"/>
  <c r="I541" i="4" s="1"/>
  <c r="H557" i="4"/>
  <c r="I557" i="4" s="1"/>
  <c r="H639" i="4"/>
  <c r="I639" i="4" s="1"/>
  <c r="H653" i="4"/>
  <c r="I653" i="4" s="1"/>
  <c r="H686" i="4"/>
  <c r="I686" i="4" s="1"/>
  <c r="H705" i="4"/>
  <c r="I705" i="4" s="1"/>
  <c r="H709" i="4"/>
  <c r="I709" i="4" s="1"/>
  <c r="H879" i="4"/>
  <c r="I879" i="4" s="1"/>
  <c r="H924" i="4"/>
  <c r="I924" i="4" s="1"/>
  <c r="H961" i="4"/>
  <c r="I961" i="4" s="1"/>
  <c r="H987" i="4"/>
  <c r="I987" i="4" s="1"/>
  <c r="H1015" i="4"/>
  <c r="I1015" i="4" s="1"/>
  <c r="H1029" i="4"/>
  <c r="I1029" i="4" s="1"/>
  <c r="H1052" i="4"/>
  <c r="I1052" i="4" s="1"/>
  <c r="H1074" i="4"/>
  <c r="I1074" i="4" s="1"/>
  <c r="H1079" i="4"/>
  <c r="I1079" i="4" s="1"/>
  <c r="H1155" i="4"/>
  <c r="I1155" i="4" s="1"/>
  <c r="H1174" i="4"/>
  <c r="I1174" i="4" s="1"/>
  <c r="H1193" i="4"/>
  <c r="I1193" i="4" s="1"/>
  <c r="H1208" i="4"/>
  <c r="I1208" i="4" s="1"/>
  <c r="H1242" i="4"/>
  <c r="I1242" i="4" s="1"/>
  <c r="H1273" i="4"/>
  <c r="I1273" i="4" s="1"/>
  <c r="H1301" i="4"/>
  <c r="I1301" i="4" s="1"/>
  <c r="H1348" i="4"/>
  <c r="I1348" i="4" s="1"/>
  <c r="H1367" i="4"/>
  <c r="I1367" i="4" s="1"/>
  <c r="H1385" i="4"/>
  <c r="I1385" i="4" s="1"/>
  <c r="H1658" i="4"/>
  <c r="I1658" i="4" s="1"/>
  <c r="H1689" i="4"/>
  <c r="I1689" i="4" s="1"/>
  <c r="H1882" i="4"/>
  <c r="I1882" i="4" s="1"/>
  <c r="H2426" i="4"/>
  <c r="I2426" i="4" s="1"/>
  <c r="H225" i="4"/>
  <c r="I225" i="4" s="1"/>
  <c r="H324" i="4"/>
  <c r="I324" i="4" s="1"/>
  <c r="H372" i="4"/>
  <c r="I372" i="4" s="1"/>
  <c r="H405" i="4"/>
  <c r="I405" i="4" s="1"/>
  <c r="H420" i="4"/>
  <c r="I420" i="4" s="1"/>
  <c r="H492" i="4"/>
  <c r="I492" i="4" s="1"/>
  <c r="H531" i="4"/>
  <c r="I531" i="4" s="1"/>
  <c r="H577" i="4"/>
  <c r="I577" i="4" s="1"/>
  <c r="H667" i="4"/>
  <c r="I667" i="4" s="1"/>
  <c r="H682" i="4"/>
  <c r="I682" i="4" s="1"/>
  <c r="H745" i="4"/>
  <c r="I745" i="4" s="1"/>
  <c r="H791" i="4"/>
  <c r="I791" i="4" s="1"/>
  <c r="H800" i="4"/>
  <c r="I800" i="4" s="1"/>
  <c r="H861" i="4"/>
  <c r="I861" i="4" s="1"/>
  <c r="H875" i="4"/>
  <c r="I875" i="4" s="1"/>
  <c r="H889" i="4"/>
  <c r="I889" i="4" s="1"/>
  <c r="H930" i="4"/>
  <c r="I930" i="4" s="1"/>
  <c r="H951" i="4"/>
  <c r="I951" i="4" s="1"/>
  <c r="H971" i="4"/>
  <c r="I971" i="4" s="1"/>
  <c r="H1105" i="4"/>
  <c r="I1105" i="4" s="1"/>
  <c r="H1145" i="4"/>
  <c r="I1145" i="4" s="1"/>
  <c r="H1160" i="4"/>
  <c r="I1160" i="4" s="1"/>
  <c r="H1165" i="4"/>
  <c r="I1165" i="4" s="1"/>
  <c r="H1224" i="4"/>
  <c r="I1224" i="4" s="1"/>
  <c r="H1306" i="4"/>
  <c r="I1306" i="4" s="1"/>
  <c r="H1321" i="4"/>
  <c r="I1321" i="4" s="1"/>
  <c r="H1325" i="4"/>
  <c r="I1325" i="4" s="1"/>
  <c r="H1329" i="4"/>
  <c r="I1329" i="4" s="1"/>
  <c r="H1358" i="4"/>
  <c r="I1358" i="4" s="1"/>
  <c r="H1406" i="4"/>
  <c r="I1406" i="4" s="1"/>
  <c r="H1498" i="4"/>
  <c r="I1498" i="4" s="1"/>
  <c r="H1531" i="4"/>
  <c r="I1531" i="4" s="1"/>
  <c r="H1544" i="4"/>
  <c r="I1544" i="4" s="1"/>
  <c r="H1637" i="4"/>
  <c r="I1637" i="4" s="1"/>
  <c r="H1652" i="4"/>
  <c r="I1652" i="4" s="1"/>
  <c r="H1688" i="4"/>
  <c r="I1688" i="4" s="1"/>
  <c r="H1724" i="4"/>
  <c r="I1724" i="4" s="1"/>
  <c r="H1732" i="4"/>
  <c r="I1732" i="4" s="1"/>
  <c r="H1741" i="4"/>
  <c r="I1741" i="4" s="1"/>
  <c r="H1750" i="4"/>
  <c r="I1750" i="4" s="1"/>
  <c r="H1770" i="4"/>
  <c r="I1770" i="4" s="1"/>
  <c r="H1806" i="4"/>
  <c r="I1806" i="4" s="1"/>
  <c r="H1816" i="4"/>
  <c r="I1816" i="4" s="1"/>
  <c r="H1861" i="4"/>
  <c r="I1861" i="4" s="1"/>
  <c r="H1884" i="4"/>
  <c r="I1884" i="4" s="1"/>
  <c r="H1941" i="4"/>
  <c r="I1941" i="4" s="1"/>
  <c r="H1958" i="4"/>
  <c r="I1958" i="4" s="1"/>
  <c r="H1974" i="4"/>
  <c r="I1974" i="4" s="1"/>
  <c r="H1985" i="4"/>
  <c r="I1985" i="4" s="1"/>
  <c r="H2011" i="4"/>
  <c r="I2011" i="4" s="1"/>
  <c r="H2047" i="4"/>
  <c r="I2047" i="4" s="1"/>
  <c r="H2077" i="4"/>
  <c r="I2077" i="4" s="1"/>
  <c r="H2098" i="4"/>
  <c r="I2098" i="4" s="1"/>
  <c r="H2184" i="4"/>
  <c r="I2184" i="4" s="1"/>
  <c r="H2200" i="4"/>
  <c r="I2200" i="4" s="1"/>
  <c r="H2205" i="4"/>
  <c r="I2205" i="4" s="1"/>
  <c r="H2231" i="4"/>
  <c r="I2231" i="4" s="1"/>
  <c r="H2337" i="4"/>
  <c r="I2337" i="4" s="1"/>
  <c r="H2341" i="4"/>
  <c r="I2341" i="4" s="1"/>
  <c r="H2379" i="4"/>
  <c r="I2379" i="4" s="1"/>
  <c r="H2404" i="4"/>
  <c r="I2404" i="4" s="1"/>
  <c r="H2483" i="4"/>
  <c r="I2483" i="4" s="1"/>
  <c r="H2529" i="4"/>
  <c r="I2529" i="4" s="1"/>
  <c r="H2600" i="4"/>
  <c r="I2600" i="4" s="1"/>
  <c r="H2606" i="4"/>
  <c r="I2606" i="4" s="1"/>
  <c r="H1416" i="4"/>
  <c r="I1416" i="4" s="1"/>
  <c r="H1463" i="4"/>
  <c r="I1463" i="4" s="1"/>
  <c r="H1476" i="4"/>
  <c r="I1476" i="4" s="1"/>
  <c r="H1480" i="4"/>
  <c r="I1480" i="4" s="1"/>
  <c r="H1518" i="4"/>
  <c r="I1518" i="4" s="1"/>
  <c r="H1522" i="4"/>
  <c r="I1522" i="4" s="1"/>
  <c r="H1549" i="4"/>
  <c r="I1549" i="4" s="1"/>
  <c r="H1562" i="4"/>
  <c r="I1562" i="4" s="1"/>
  <c r="H1602" i="4"/>
  <c r="I1602" i="4" s="1"/>
  <c r="H1611" i="4"/>
  <c r="I1611" i="4" s="1"/>
  <c r="H1698" i="4"/>
  <c r="I1698" i="4" s="1"/>
  <c r="H1712" i="4"/>
  <c r="I1712" i="4" s="1"/>
  <c r="H1733" i="4"/>
  <c r="I1733" i="4" s="1"/>
  <c r="H1760" i="4"/>
  <c r="I1760" i="4" s="1"/>
  <c r="H1776" i="4"/>
  <c r="I1776" i="4" s="1"/>
  <c r="H1781" i="4"/>
  <c r="I1781" i="4" s="1"/>
  <c r="H1857" i="4"/>
  <c r="I1857" i="4" s="1"/>
  <c r="H1905" i="4"/>
  <c r="I1905" i="4" s="1"/>
  <c r="H1937" i="4"/>
  <c r="I1937" i="4" s="1"/>
  <c r="H1942" i="4"/>
  <c r="I1942" i="4" s="1"/>
  <c r="H1969" i="4"/>
  <c r="I1969" i="4" s="1"/>
  <c r="H1991" i="4"/>
  <c r="I1991" i="4" s="1"/>
  <c r="H2016" i="4"/>
  <c r="I2016" i="4" s="1"/>
  <c r="H2032" i="4"/>
  <c r="I2032" i="4" s="1"/>
  <c r="H2067" i="4"/>
  <c r="I2067" i="4" s="1"/>
  <c r="H2072" i="4"/>
  <c r="I2072" i="4" s="1"/>
  <c r="H2206" i="4"/>
  <c r="I2206" i="4" s="1"/>
  <c r="H2212" i="4"/>
  <c r="I2212" i="4" s="1"/>
  <c r="H2217" i="4"/>
  <c r="I2217" i="4" s="1"/>
  <c r="H2223" i="4"/>
  <c r="I2223" i="4" s="1"/>
  <c r="H2285" i="4"/>
  <c r="I2285" i="4" s="1"/>
  <c r="H2384" i="4"/>
  <c r="I2384" i="4" s="1"/>
  <c r="H2409" i="4"/>
  <c r="I2409" i="4" s="1"/>
  <c r="H2458" i="4"/>
  <c r="I2458" i="4" s="1"/>
  <c r="H2463" i="4"/>
  <c r="I2463" i="4" s="1"/>
  <c r="H2497" i="4"/>
  <c r="I2497" i="4" s="1"/>
  <c r="H2530" i="4"/>
  <c r="I2530" i="4" s="1"/>
  <c r="H1580" i="4"/>
  <c r="I1580" i="4" s="1"/>
  <c r="H1584" i="4"/>
  <c r="I1584" i="4" s="1"/>
  <c r="H1620" i="4"/>
  <c r="I1620" i="4" s="1"/>
  <c r="H1629" i="4"/>
  <c r="I1629" i="4" s="1"/>
  <c r="H1643" i="4"/>
  <c r="I1643" i="4" s="1"/>
  <c r="H1666" i="4"/>
  <c r="I1666" i="4" s="1"/>
  <c r="H1737" i="4"/>
  <c r="I1737" i="4" s="1"/>
  <c r="H1766" i="4"/>
  <c r="I1766" i="4" s="1"/>
  <c r="H1771" i="4"/>
  <c r="I1771" i="4" s="1"/>
  <c r="H1848" i="4"/>
  <c r="I1848" i="4" s="1"/>
  <c r="H1890" i="4"/>
  <c r="I1890" i="4" s="1"/>
  <c r="H1943" i="4"/>
  <c r="I1943" i="4" s="1"/>
  <c r="H2110" i="4"/>
  <c r="I2110" i="4" s="1"/>
  <c r="H2126" i="4"/>
  <c r="I2126" i="4" s="1"/>
  <c r="H2153" i="4"/>
  <c r="I2153" i="4" s="1"/>
  <c r="H2164" i="4"/>
  <c r="I2164" i="4" s="1"/>
  <c r="H2169" i="4"/>
  <c r="I2169" i="4" s="1"/>
  <c r="H2185" i="4"/>
  <c r="I2185" i="4" s="1"/>
  <c r="H2190" i="4"/>
  <c r="I2190" i="4" s="1"/>
  <c r="H2207" i="4"/>
  <c r="I2207" i="4" s="1"/>
  <c r="H2233" i="4"/>
  <c r="I2233" i="4" s="1"/>
  <c r="H2266" i="4"/>
  <c r="I2266" i="4" s="1"/>
  <c r="H2346" i="4"/>
  <c r="I2346" i="4" s="1"/>
  <c r="H2356" i="4"/>
  <c r="I2356" i="4" s="1"/>
  <c r="H2371" i="4"/>
  <c r="I2371" i="4" s="1"/>
  <c r="H2376" i="4"/>
  <c r="I2376" i="4" s="1"/>
  <c r="H2440" i="4"/>
  <c r="I2440" i="4" s="1"/>
  <c r="H2474" i="4"/>
  <c r="I2474" i="4" s="1"/>
  <c r="H2488" i="4"/>
  <c r="I2488" i="4" s="1"/>
  <c r="H2498" i="4"/>
  <c r="I2498" i="4" s="1"/>
  <c r="H1426" i="4"/>
  <c r="I1426" i="4" s="1"/>
  <c r="H1756" i="4"/>
  <c r="I1756" i="4" s="1"/>
  <c r="H2105" i="4"/>
  <c r="I2105" i="4" s="1"/>
  <c r="H2180" i="4"/>
  <c r="I2180" i="4" s="1"/>
  <c r="H2296" i="4"/>
  <c r="I2296" i="4" s="1"/>
  <c r="H2317" i="4"/>
  <c r="I2317" i="4" s="1"/>
  <c r="H2333" i="4"/>
  <c r="I2333" i="4" s="1"/>
  <c r="H2390" i="4"/>
  <c r="I2390" i="4" s="1"/>
  <c r="H2422" i="4"/>
  <c r="I2422" i="4" s="1"/>
  <c r="H2449" i="4"/>
  <c r="I2449" i="4" s="1"/>
  <c r="H2459" i="4"/>
  <c r="I2459" i="4" s="1"/>
  <c r="H1408" i="4"/>
  <c r="I1408" i="4" s="1"/>
  <c r="H1417" i="4"/>
  <c r="I1417" i="4" s="1"/>
  <c r="H1422" i="4"/>
  <c r="I1422" i="4" s="1"/>
  <c r="H1464" i="4"/>
  <c r="I1464" i="4" s="1"/>
  <c r="H1469" i="4"/>
  <c r="I1469" i="4" s="1"/>
  <c r="H1505" i="4"/>
  <c r="I1505" i="4" s="1"/>
  <c r="H1523" i="4"/>
  <c r="I1523" i="4" s="1"/>
  <c r="H1528" i="4"/>
  <c r="I1528" i="4" s="1"/>
  <c r="H1572" i="4"/>
  <c r="I1572" i="4" s="1"/>
  <c r="H1576" i="4"/>
  <c r="I1576" i="4" s="1"/>
  <c r="H1581" i="4"/>
  <c r="I1581" i="4" s="1"/>
  <c r="H1612" i="4"/>
  <c r="I1612" i="4" s="1"/>
  <c r="H1639" i="4"/>
  <c r="I1639" i="4" s="1"/>
  <c r="H1657" i="4"/>
  <c r="I1657" i="4" s="1"/>
  <c r="H1690" i="4"/>
  <c r="I1690" i="4" s="1"/>
  <c r="H1743" i="4"/>
  <c r="I1743" i="4" s="1"/>
  <c r="H1872" i="4"/>
  <c r="I1872" i="4" s="1"/>
  <c r="H1881" i="4"/>
  <c r="I1881" i="4" s="1"/>
  <c r="H1891" i="4"/>
  <c r="I1891" i="4" s="1"/>
  <c r="H1917" i="4"/>
  <c r="I1917" i="4" s="1"/>
  <c r="H1923" i="4"/>
  <c r="I1923" i="4" s="1"/>
  <c r="H1933" i="4"/>
  <c r="I1933" i="4" s="1"/>
  <c r="H1938" i="4"/>
  <c r="I1938" i="4" s="1"/>
  <c r="H1955" i="4"/>
  <c r="I1955" i="4" s="1"/>
  <c r="H1976" i="4"/>
  <c r="I1976" i="4" s="1"/>
  <c r="H1987" i="4"/>
  <c r="I1987" i="4" s="1"/>
  <c r="H2008" i="4"/>
  <c r="I2008" i="4" s="1"/>
  <c r="H2013" i="4"/>
  <c r="I2013" i="4" s="1"/>
  <c r="H2044" i="4"/>
  <c r="I2044" i="4" s="1"/>
  <c r="H2100" i="4"/>
  <c r="I2100" i="4" s="1"/>
  <c r="H2116" i="4"/>
  <c r="I2116" i="4" s="1"/>
  <c r="H2132" i="4"/>
  <c r="I2132" i="4" s="1"/>
  <c r="H2238" i="4"/>
  <c r="I2238" i="4" s="1"/>
  <c r="H2520" i="4"/>
  <c r="I2520" i="4" s="1"/>
  <c r="H2545" i="4"/>
  <c r="I2545" i="4" s="1"/>
  <c r="H2591" i="4"/>
  <c r="I2591" i="4" s="1"/>
  <c r="I2588" i="4" s="1"/>
  <c r="H2597" i="4"/>
  <c r="I2597" i="4" s="1"/>
  <c r="H1409" i="4"/>
  <c r="I1409" i="4" s="1"/>
  <c r="H1432" i="4"/>
  <c r="I1432" i="4" s="1"/>
  <c r="H1514" i="4"/>
  <c r="I1514" i="4" s="1"/>
  <c r="H1555" i="4"/>
  <c r="I1555" i="4" s="1"/>
  <c r="H1577" i="4"/>
  <c r="I1577" i="4" s="1"/>
  <c r="H1595" i="4"/>
  <c r="I1595" i="4" s="1"/>
  <c r="H1640" i="4"/>
  <c r="I1640" i="4" s="1"/>
  <c r="H1686" i="4"/>
  <c r="I1686" i="4" s="1"/>
  <c r="H1714" i="4"/>
  <c r="I1714" i="4" s="1"/>
  <c r="H1719" i="4"/>
  <c r="I1719" i="4" s="1"/>
  <c r="H1762" i="4"/>
  <c r="I1762" i="4" s="1"/>
  <c r="H1778" i="4"/>
  <c r="I1778" i="4" s="1"/>
  <c r="H1798" i="4"/>
  <c r="I1798" i="4" s="1"/>
  <c r="H1809" i="4"/>
  <c r="I1809" i="4" s="1"/>
  <c r="H1819" i="4"/>
  <c r="I1819" i="4" s="1"/>
  <c r="H1835" i="4"/>
  <c r="I1835" i="4" s="1"/>
  <c r="H1886" i="4"/>
  <c r="I1886" i="4" s="1"/>
  <c r="H1918" i="4"/>
  <c r="I1918" i="4" s="1"/>
  <c r="H1950" i="4"/>
  <c r="I1950" i="4" s="1"/>
  <c r="H1966" i="4"/>
  <c r="I1966" i="4" s="1"/>
  <c r="H2074" i="4"/>
  <c r="I2074" i="4" s="1"/>
  <c r="H2080" i="4"/>
  <c r="I2080" i="4" s="1"/>
  <c r="H2122" i="4"/>
  <c r="I2122" i="4" s="1"/>
  <c r="H2133" i="4"/>
  <c r="I2133" i="4" s="1"/>
  <c r="H2192" i="4"/>
  <c r="I2192" i="4" s="1"/>
  <c r="H2229" i="4"/>
  <c r="I2229" i="4" s="1"/>
  <c r="H2268" i="4"/>
  <c r="I2268" i="4" s="1"/>
  <c r="H2298" i="4"/>
  <c r="I2298" i="4" s="1"/>
  <c r="H2437" i="4"/>
  <c r="I2437" i="4" s="1"/>
  <c r="H2455" i="4"/>
  <c r="I2455" i="4" s="1"/>
  <c r="H2471" i="4"/>
  <c r="I2471" i="4" s="1"/>
  <c r="H2494" i="4"/>
  <c r="I2494" i="4" s="1"/>
  <c r="H2527" i="4"/>
  <c r="I2527" i="4" s="1"/>
  <c r="H2546" i="4"/>
  <c r="I2546" i="4" s="1"/>
  <c r="H1433" i="4"/>
  <c r="I1433" i="4" s="1"/>
  <c r="H1437" i="4"/>
  <c r="I1437" i="4" s="1"/>
  <c r="H1573" i="4"/>
  <c r="I1573" i="4" s="1"/>
  <c r="H1586" i="4"/>
  <c r="I1586" i="4" s="1"/>
  <c r="H1748" i="4"/>
  <c r="I1748" i="4" s="1"/>
  <c r="H1768" i="4"/>
  <c r="I1768" i="4" s="1"/>
  <c r="H1784" i="4"/>
  <c r="I1784" i="4" s="1"/>
  <c r="H1850" i="4"/>
  <c r="I1850" i="4" s="1"/>
  <c r="H1897" i="4"/>
  <c r="I1897" i="4" s="1"/>
  <c r="H1929" i="4"/>
  <c r="I1929" i="4" s="1"/>
  <c r="H1945" i="4"/>
  <c r="I1945" i="4" s="1"/>
  <c r="H1951" i="4"/>
  <c r="I1951" i="4" s="1"/>
  <c r="H1999" i="4"/>
  <c r="I1999" i="4" s="1"/>
  <c r="H2004" i="4"/>
  <c r="I2004" i="4" s="1"/>
  <c r="H2009" i="4"/>
  <c r="I2009" i="4" s="1"/>
  <c r="H2019" i="4"/>
  <c r="I2019" i="4" s="1"/>
  <c r="H2096" i="4"/>
  <c r="I2096" i="4" s="1"/>
  <c r="H2134" i="4"/>
  <c r="I2134" i="4" s="1"/>
  <c r="H2139" i="4"/>
  <c r="I2139" i="4" s="1"/>
  <c r="H2144" i="4"/>
  <c r="I2144" i="4" s="1"/>
  <c r="H2150" i="4"/>
  <c r="I2150" i="4" s="1"/>
  <c r="H2193" i="4"/>
  <c r="I2193" i="4" s="1"/>
  <c r="H2209" i="4"/>
  <c r="I2209" i="4" s="1"/>
  <c r="H2243" i="4"/>
  <c r="I2243" i="4" s="1"/>
  <c r="H2309" i="4"/>
  <c r="I2309" i="4" s="1"/>
  <c r="H2349" i="4"/>
  <c r="I2349" i="4" s="1"/>
  <c r="H2387" i="4"/>
  <c r="I2387" i="4" s="1"/>
  <c r="H2392" i="4"/>
  <c r="I2392" i="4" s="1"/>
  <c r="H2397" i="4"/>
  <c r="I2397" i="4" s="1"/>
  <c r="H2407" i="4"/>
  <c r="I2407" i="4" s="1"/>
  <c r="H2412" i="4"/>
  <c r="I2412" i="4" s="1"/>
  <c r="H2428" i="4"/>
  <c r="I2428" i="4" s="1"/>
  <c r="H2433" i="4"/>
  <c r="I2433" i="4" s="1"/>
  <c r="H2456" i="4"/>
  <c r="I2456" i="4" s="1"/>
  <c r="H2513" i="4"/>
  <c r="I2513" i="4" s="1"/>
  <c r="H2541" i="4"/>
  <c r="I2541" i="4" s="1"/>
  <c r="H2604" i="4"/>
  <c r="I2604" i="4" s="1"/>
  <c r="H1419" i="4"/>
  <c r="I1419" i="4" s="1"/>
  <c r="H1497" i="4"/>
  <c r="I1497" i="4" s="1"/>
  <c r="H1530" i="4"/>
  <c r="I1530" i="4" s="1"/>
  <c r="H1556" i="4"/>
  <c r="I1556" i="4" s="1"/>
  <c r="H1596" i="4"/>
  <c r="I1596" i="4" s="1"/>
  <c r="H1609" i="4"/>
  <c r="I1609" i="4" s="1"/>
  <c r="H1710" i="4"/>
  <c r="I1710" i="4" s="1"/>
  <c r="H1731" i="4"/>
  <c r="I1731" i="4" s="1"/>
  <c r="H1735" i="4"/>
  <c r="I1735" i="4" s="1"/>
  <c r="H1763" i="4"/>
  <c r="I1763" i="4" s="1"/>
  <c r="H1799" i="4"/>
  <c r="I1799" i="4" s="1"/>
  <c r="H1676" i="4"/>
  <c r="I1676" i="4" s="1"/>
  <c r="H1702" i="4"/>
  <c r="I1702" i="4" s="1"/>
  <c r="H1706" i="4"/>
  <c r="I1706" i="4" s="1"/>
  <c r="H1774" i="4"/>
  <c r="I1774" i="4" s="1"/>
  <c r="H1800" i="4"/>
  <c r="I1800" i="4" s="1"/>
  <c r="H1898" i="4"/>
  <c r="I1898" i="4" s="1"/>
  <c r="H1903" i="4"/>
  <c r="I1903" i="4" s="1"/>
  <c r="H1909" i="4"/>
  <c r="I1909" i="4" s="1"/>
  <c r="H1914" i="4"/>
  <c r="I1914" i="4" s="1"/>
  <c r="H1989" i="4"/>
  <c r="I1989" i="4" s="1"/>
  <c r="H2000" i="4"/>
  <c r="I2000" i="4" s="1"/>
  <c r="H2005" i="4"/>
  <c r="I2005" i="4" s="1"/>
  <c r="H2020" i="4"/>
  <c r="I2020" i="4" s="1"/>
  <c r="H2056" i="4"/>
  <c r="I2056" i="4" s="1"/>
  <c r="H2113" i="4"/>
  <c r="I2113" i="4" s="1"/>
  <c r="H2118" i="4"/>
  <c r="I2118" i="4" s="1"/>
  <c r="H2129" i="4"/>
  <c r="I2129" i="4" s="1"/>
  <c r="H2188" i="4"/>
  <c r="I2188" i="4" s="1"/>
  <c r="H2274" i="4"/>
  <c r="I2274" i="4" s="1"/>
  <c r="H2288" i="4"/>
  <c r="I2288" i="4" s="1"/>
  <c r="H2299" i="4"/>
  <c r="I2299" i="4" s="1"/>
  <c r="H2315" i="4"/>
  <c r="I2315" i="4" s="1"/>
  <c r="H2413" i="4"/>
  <c r="I2413" i="4" s="1"/>
  <c r="H2424" i="4"/>
  <c r="I2424" i="4" s="1"/>
  <c r="H2447" i="4"/>
  <c r="I2447" i="4" s="1"/>
  <c r="H2461" i="4"/>
  <c r="I2461" i="4" s="1"/>
  <c r="H2509" i="4"/>
  <c r="I2509" i="4" s="1"/>
  <c r="H2552" i="4"/>
  <c r="I2552" i="4" s="1"/>
  <c r="H2556" i="4"/>
  <c r="I2556" i="4" s="1"/>
  <c r="H2562" i="4"/>
  <c r="I2562" i="4" s="1"/>
  <c r="H2581" i="4"/>
  <c r="I2581" i="4" s="1"/>
  <c r="H2593" i="4"/>
  <c r="I2593" i="4" s="1"/>
  <c r="H1438" i="4"/>
  <c r="I1438" i="4" s="1"/>
  <c r="H2264" i="4"/>
  <c r="I2264" i="4" s="1"/>
  <c r="H2336" i="4"/>
  <c r="I2336" i="4" s="1"/>
  <c r="H2340" i="4"/>
  <c r="I2340" i="4" s="1"/>
  <c r="H2359" i="4"/>
  <c r="I2359" i="4" s="1"/>
  <c r="H2430" i="4"/>
  <c r="I2430" i="4" s="1"/>
  <c r="H2477" i="4"/>
  <c r="I2477" i="4" s="1"/>
  <c r="H2482" i="4"/>
  <c r="I2482" i="4" s="1"/>
  <c r="H2505" i="4"/>
  <c r="I2505" i="4" s="1"/>
  <c r="H2557" i="4"/>
  <c r="I2557" i="4" s="1"/>
  <c r="H2563" i="4"/>
  <c r="I2563" i="4" s="1"/>
  <c r="H2594" i="4"/>
  <c r="I2594" i="4" s="1"/>
  <c r="H37" i="3"/>
  <c r="I37" i="3" s="1"/>
  <c r="H180" i="3"/>
  <c r="I180" i="3" s="1"/>
  <c r="H198" i="3"/>
  <c r="I198" i="3" s="1"/>
  <c r="H275" i="3"/>
  <c r="I275" i="3" s="1"/>
  <c r="H790" i="3"/>
  <c r="I790" i="3" s="1"/>
  <c r="H1412" i="3"/>
  <c r="I1412" i="3" s="1"/>
  <c r="H1598" i="3"/>
  <c r="I1598" i="3" s="1"/>
  <c r="H1983" i="3"/>
  <c r="I1983" i="3" s="1"/>
  <c r="H1995" i="3"/>
  <c r="I1995" i="3" s="1"/>
  <c r="H2145" i="3"/>
  <c r="I2145" i="3" s="1"/>
  <c r="H2295" i="3"/>
  <c r="I2295" i="3" s="1"/>
  <c r="H2331" i="3"/>
  <c r="I2331" i="3" s="1"/>
  <c r="H2349" i="3"/>
  <c r="I2349" i="3" s="1"/>
  <c r="H348" i="3"/>
  <c r="I348" i="3" s="1"/>
  <c r="H360" i="3"/>
  <c r="I360" i="3" s="1"/>
  <c r="H378" i="3"/>
  <c r="I378" i="3" s="1"/>
  <c r="H396" i="3"/>
  <c r="I396" i="3" s="1"/>
  <c r="H402" i="3"/>
  <c r="I402" i="3" s="1"/>
  <c r="H432" i="3"/>
  <c r="I432" i="3" s="1"/>
  <c r="H438" i="3"/>
  <c r="I438" i="3" s="1"/>
  <c r="H707" i="3"/>
  <c r="I707" i="3" s="1"/>
  <c r="H743" i="3"/>
  <c r="I743" i="3" s="1"/>
  <c r="H749" i="3"/>
  <c r="I749" i="3" s="1"/>
  <c r="H755" i="3"/>
  <c r="I755" i="3" s="1"/>
  <c r="H785" i="3"/>
  <c r="I785" i="3" s="1"/>
  <c r="H791" i="3"/>
  <c r="I791" i="3" s="1"/>
  <c r="H827" i="3"/>
  <c r="I827" i="3" s="1"/>
  <c r="H851" i="3"/>
  <c r="I851" i="3" s="1"/>
  <c r="H856" i="3"/>
  <c r="I856" i="3" s="1"/>
  <c r="H929" i="3"/>
  <c r="I929" i="3" s="1"/>
  <c r="H941" i="3"/>
  <c r="I941" i="3" s="1"/>
  <c r="H1001" i="3"/>
  <c r="I1001" i="3" s="1"/>
  <c r="H1025" i="3"/>
  <c r="I1025" i="3" s="1"/>
  <c r="H1031" i="3"/>
  <c r="I1031" i="3" s="1"/>
  <c r="H1043" i="3"/>
  <c r="I1043" i="3" s="1"/>
  <c r="H1448" i="3"/>
  <c r="I1448" i="3" s="1"/>
  <c r="H1616" i="3"/>
  <c r="I1616" i="3" s="1"/>
  <c r="H1768" i="3"/>
  <c r="I1768" i="3" s="1"/>
  <c r="H2505" i="3"/>
  <c r="I2505" i="3" s="1"/>
  <c r="H313" i="3"/>
  <c r="I313" i="3" s="1"/>
  <c r="H648" i="3"/>
  <c r="I648" i="3" s="1"/>
  <c r="H1721" i="3"/>
  <c r="I1721" i="3" s="1"/>
  <c r="H1733" i="3"/>
  <c r="I1733" i="3" s="1"/>
  <c r="H1876" i="3"/>
  <c r="I1876" i="3" s="1"/>
  <c r="H1894" i="3"/>
  <c r="I1894" i="3" s="1"/>
  <c r="H1924" i="3"/>
  <c r="I1924" i="3" s="1"/>
  <c r="H1954" i="3"/>
  <c r="I1954" i="3" s="1"/>
  <c r="H2296" i="3"/>
  <c r="I2296" i="3" s="1"/>
  <c r="H2308" i="3"/>
  <c r="I2308" i="3" s="1"/>
  <c r="H2314" i="3"/>
  <c r="I2314" i="3" s="1"/>
  <c r="H2398" i="3"/>
  <c r="I2398" i="3" s="1"/>
  <c r="H2529" i="3"/>
  <c r="I2529" i="3" s="1"/>
  <c r="H86" i="3"/>
  <c r="I86" i="3" s="1"/>
  <c r="H92" i="3"/>
  <c r="I92" i="3" s="1"/>
  <c r="H451" i="3"/>
  <c r="I451" i="3" s="1"/>
  <c r="H45" i="3"/>
  <c r="I45" i="3" s="1"/>
  <c r="H362" i="3"/>
  <c r="I362" i="3" s="1"/>
  <c r="H434" i="3"/>
  <c r="I434" i="3" s="1"/>
  <c r="H571" i="3"/>
  <c r="I571" i="3" s="1"/>
  <c r="H655" i="3"/>
  <c r="I655" i="3" s="1"/>
  <c r="H769" i="3"/>
  <c r="I769" i="3" s="1"/>
  <c r="H775" i="3"/>
  <c r="I775" i="3" s="1"/>
  <c r="H867" i="3"/>
  <c r="I867" i="3" s="1"/>
  <c r="H878" i="3"/>
  <c r="I878" i="3" s="1"/>
  <c r="H895" i="3"/>
  <c r="I895" i="3" s="1"/>
  <c r="H1050" i="3"/>
  <c r="I1050" i="3" s="1"/>
  <c r="H1062" i="3"/>
  <c r="I1062" i="3" s="1"/>
  <c r="H1074" i="3"/>
  <c r="I1074" i="3" s="1"/>
  <c r="H1092" i="3"/>
  <c r="I1092" i="3" s="1"/>
  <c r="H1104" i="3"/>
  <c r="I1104" i="3" s="1"/>
  <c r="H1110" i="3"/>
  <c r="I1110" i="3" s="1"/>
  <c r="H1351" i="3"/>
  <c r="I1351" i="3" s="1"/>
  <c r="H1387" i="3"/>
  <c r="I1387" i="3" s="1"/>
  <c r="H1392" i="3"/>
  <c r="I1392" i="3" s="1"/>
  <c r="H1408" i="3"/>
  <c r="H1606" i="3"/>
  <c r="I1606" i="3" s="1"/>
  <c r="H1623" i="3"/>
  <c r="I1623" i="3" s="1"/>
  <c r="H1704" i="3"/>
  <c r="I1704" i="3" s="1"/>
  <c r="H1716" i="3"/>
  <c r="I1716" i="3" s="1"/>
  <c r="H1722" i="3"/>
  <c r="I1722" i="3" s="1"/>
  <c r="H2045" i="3"/>
  <c r="I2045" i="3" s="1"/>
  <c r="H2057" i="3"/>
  <c r="I2057" i="3" s="1"/>
  <c r="H2069" i="3"/>
  <c r="I2069" i="3" s="1"/>
  <c r="H2075" i="3"/>
  <c r="I2075" i="3" s="1"/>
  <c r="H2141" i="3"/>
  <c r="I2141" i="3" s="1"/>
  <c r="H2153" i="3"/>
  <c r="I2153" i="3" s="1"/>
  <c r="H2171" i="3"/>
  <c r="I2171" i="3" s="1"/>
  <c r="H2195" i="3"/>
  <c r="I2195" i="3" s="1"/>
  <c r="H2315" i="3"/>
  <c r="I2315" i="3" s="1"/>
  <c r="H2524" i="3"/>
  <c r="I2524" i="3" s="1"/>
  <c r="H2566" i="3"/>
  <c r="I2566" i="3" s="1"/>
  <c r="H28" i="3"/>
  <c r="I28" i="3" s="1"/>
  <c r="H52" i="3"/>
  <c r="I52" i="3" s="1"/>
  <c r="H58" i="3"/>
  <c r="I58" i="3" s="1"/>
  <c r="H64" i="3"/>
  <c r="I64" i="3" s="1"/>
  <c r="H458" i="3"/>
  <c r="I458" i="3" s="1"/>
  <c r="H536" i="3"/>
  <c r="I536" i="3" s="1"/>
  <c r="H548" i="3"/>
  <c r="I548" i="3" s="1"/>
  <c r="H554" i="3"/>
  <c r="I554" i="3" s="1"/>
  <c r="H560" i="3"/>
  <c r="I560" i="3" s="1"/>
  <c r="H566" i="3"/>
  <c r="I566" i="3" s="1"/>
  <c r="H650" i="3"/>
  <c r="I650" i="3" s="1"/>
  <c r="H656" i="3"/>
  <c r="I656" i="3" s="1"/>
  <c r="H896" i="3"/>
  <c r="I896" i="3" s="1"/>
  <c r="H938" i="3"/>
  <c r="I938" i="3" s="1"/>
  <c r="H1358" i="3"/>
  <c r="I1358" i="3" s="1"/>
  <c r="H1517" i="3"/>
  <c r="I1517" i="3" s="1"/>
  <c r="H1523" i="3"/>
  <c r="I1523" i="3" s="1"/>
  <c r="H1636" i="3"/>
  <c r="I1636" i="3" s="1"/>
  <c r="H1693" i="3"/>
  <c r="I1693" i="3" s="1"/>
  <c r="H1717" i="3"/>
  <c r="I1717" i="3" s="1"/>
  <c r="H2082" i="3"/>
  <c r="I2082" i="3" s="1"/>
  <c r="H2088" i="3"/>
  <c r="I2088" i="3" s="1"/>
  <c r="H2202" i="3"/>
  <c r="I2202" i="3" s="1"/>
  <c r="H2214" i="3"/>
  <c r="I2214" i="3" s="1"/>
  <c r="H2220" i="3"/>
  <c r="I2220" i="3" s="1"/>
  <c r="H2226" i="3"/>
  <c r="I2226" i="3" s="1"/>
  <c r="H2238" i="3"/>
  <c r="I2238" i="3" s="1"/>
  <c r="H2256" i="3"/>
  <c r="I2256" i="3" s="1"/>
  <c r="H2358" i="3"/>
  <c r="I2358" i="3" s="1"/>
  <c r="H2436" i="3"/>
  <c r="I2436" i="3" s="1"/>
  <c r="H2543" i="3"/>
  <c r="I2543" i="3" s="1"/>
  <c r="H2585" i="3"/>
  <c r="I2585" i="3" s="1"/>
  <c r="H76" i="3"/>
  <c r="I76" i="3" s="1"/>
  <c r="H668" i="3"/>
  <c r="I668" i="3" s="1"/>
  <c r="H680" i="3"/>
  <c r="I680" i="3" s="1"/>
  <c r="H716" i="3"/>
  <c r="I716" i="3" s="1"/>
  <c r="H794" i="3"/>
  <c r="I794" i="3" s="1"/>
  <c r="H1741" i="3"/>
  <c r="I1741" i="3" s="1"/>
  <c r="H1759" i="3"/>
  <c r="I1759" i="3" s="1"/>
  <c r="H1783" i="3"/>
  <c r="I1783" i="3" s="1"/>
  <c r="H1855" i="3"/>
  <c r="I1855" i="3" s="1"/>
  <c r="H2496" i="3"/>
  <c r="I2496" i="3" s="1"/>
  <c r="H35" i="3"/>
  <c r="I35" i="3" s="1"/>
  <c r="H41" i="3"/>
  <c r="I41" i="3" s="1"/>
  <c r="H675" i="3"/>
  <c r="I675" i="3" s="1"/>
  <c r="H1676" i="3"/>
  <c r="I1676" i="3" s="1"/>
  <c r="H1694" i="3"/>
  <c r="I1694" i="3" s="1"/>
  <c r="H1718" i="3"/>
  <c r="I1718" i="3" s="1"/>
  <c r="H1724" i="3"/>
  <c r="I1724" i="3" s="1"/>
  <c r="H1730" i="3"/>
  <c r="I1730" i="3" s="1"/>
  <c r="H2053" i="3"/>
  <c r="I2053" i="3" s="1"/>
  <c r="H2071" i="3"/>
  <c r="I2071" i="3" s="1"/>
  <c r="H2443" i="3"/>
  <c r="I2443" i="3" s="1"/>
  <c r="H2042" i="3"/>
  <c r="I2042" i="3" s="1"/>
  <c r="H2282" i="3"/>
  <c r="I2282" i="3" s="1"/>
  <c r="H2396" i="3"/>
  <c r="I2396" i="3" s="1"/>
  <c r="H2515" i="3"/>
  <c r="I2515" i="3" s="1"/>
  <c r="H30" i="3"/>
  <c r="I30" i="3" s="1"/>
  <c r="H36" i="3"/>
  <c r="I36" i="3" s="1"/>
  <c r="H42" i="3"/>
  <c r="I42" i="3" s="1"/>
  <c r="H48" i="3"/>
  <c r="I48" i="3" s="1"/>
  <c r="H54" i="3"/>
  <c r="I54" i="3" s="1"/>
  <c r="H131" i="3"/>
  <c r="I131" i="3" s="1"/>
  <c r="H137" i="3"/>
  <c r="I137" i="3" s="1"/>
  <c r="H143" i="3"/>
  <c r="I143" i="3" s="1"/>
  <c r="H149" i="3"/>
  <c r="I149" i="3" s="1"/>
  <c r="H155" i="3"/>
  <c r="I155" i="3" s="1"/>
  <c r="H167" i="3"/>
  <c r="I167" i="3" s="1"/>
  <c r="H179" i="3"/>
  <c r="I179" i="3" s="1"/>
  <c r="H598" i="3"/>
  <c r="I598" i="3" s="1"/>
  <c r="H640" i="3"/>
  <c r="I640" i="3" s="1"/>
  <c r="H658" i="3"/>
  <c r="I658" i="3" s="1"/>
  <c r="H1672" i="3"/>
  <c r="I1672" i="3" s="1"/>
  <c r="H1689" i="3"/>
  <c r="I1689" i="3" s="1"/>
  <c r="H2168" i="3"/>
  <c r="I2168" i="3" s="1"/>
  <c r="H2366" i="3"/>
  <c r="I2366" i="3" s="1"/>
  <c r="H2372" i="3"/>
  <c r="I2372" i="3" s="1"/>
  <c r="H2450" i="3"/>
  <c r="I2450" i="3" s="1"/>
  <c r="H1485" i="3"/>
  <c r="I1485" i="3" s="1"/>
  <c r="H1527" i="3"/>
  <c r="I1527" i="3" s="1"/>
  <c r="H1605" i="3"/>
  <c r="I1605" i="3" s="1"/>
  <c r="H1487" i="3"/>
  <c r="I1487" i="3" s="1"/>
  <c r="H1493" i="3"/>
  <c r="I1493" i="3" s="1"/>
  <c r="H1505" i="3"/>
  <c r="I1505" i="3" s="1"/>
  <c r="H1682" i="3"/>
  <c r="I1682" i="3" s="1"/>
  <c r="H19" i="3"/>
  <c r="I19" i="3" s="1"/>
  <c r="H25" i="3"/>
  <c r="I25" i="3" s="1"/>
  <c r="H55" i="3"/>
  <c r="I55" i="3" s="1"/>
  <c r="H185" i="3"/>
  <c r="I185" i="3" s="1"/>
  <c r="H197" i="3"/>
  <c r="I197" i="3" s="1"/>
  <c r="H268" i="3"/>
  <c r="I268" i="3" s="1"/>
  <c r="H344" i="3"/>
  <c r="I344" i="3" s="1"/>
  <c r="H380" i="3"/>
  <c r="I380" i="3" s="1"/>
  <c r="H386" i="3"/>
  <c r="I386" i="3" s="1"/>
  <c r="H404" i="3"/>
  <c r="I404" i="3" s="1"/>
  <c r="H422" i="3"/>
  <c r="I422" i="3" s="1"/>
  <c r="H440" i="3"/>
  <c r="I440" i="3" s="1"/>
  <c r="H613" i="3"/>
  <c r="I613" i="3" s="1"/>
  <c r="H619" i="3"/>
  <c r="I619" i="3" s="1"/>
  <c r="H631" i="3"/>
  <c r="I631" i="3" s="1"/>
  <c r="H666" i="3"/>
  <c r="I666" i="3" s="1"/>
  <c r="H672" i="3"/>
  <c r="I672" i="3" s="1"/>
  <c r="H678" i="3"/>
  <c r="I678" i="3" s="1"/>
  <c r="H690" i="3"/>
  <c r="I690" i="3" s="1"/>
  <c r="H696" i="3"/>
  <c r="I696" i="3" s="1"/>
  <c r="H762" i="3"/>
  <c r="I762" i="3" s="1"/>
  <c r="H774" i="3"/>
  <c r="I774" i="3" s="1"/>
  <c r="H798" i="3"/>
  <c r="I798" i="3" s="1"/>
  <c r="H883" i="3"/>
  <c r="I883" i="3" s="1"/>
  <c r="H907" i="3"/>
  <c r="I907" i="3" s="1"/>
  <c r="H925" i="3"/>
  <c r="I925" i="3" s="1"/>
  <c r="H965" i="3"/>
  <c r="I965" i="3" s="1"/>
  <c r="H983" i="3"/>
  <c r="I983" i="3" s="1"/>
  <c r="H1047" i="3"/>
  <c r="I1047" i="3" s="1"/>
  <c r="H1071" i="3"/>
  <c r="I1071" i="3" s="1"/>
  <c r="H1370" i="3"/>
  <c r="I1370" i="3" s="1"/>
  <c r="H1444" i="3"/>
  <c r="I1444" i="3" s="1"/>
  <c r="H1450" i="3"/>
  <c r="I1450" i="3" s="1"/>
  <c r="H1456" i="3"/>
  <c r="I1456" i="3" s="1"/>
  <c r="H1474" i="3"/>
  <c r="I1474" i="3" s="1"/>
  <c r="H1498" i="3"/>
  <c r="I1498" i="3" s="1"/>
  <c r="H1510" i="3"/>
  <c r="I1510" i="3" s="1"/>
  <c r="H1522" i="3"/>
  <c r="I1522" i="3" s="1"/>
  <c r="H1533" i="3"/>
  <c r="I1533" i="3" s="1"/>
  <c r="H1539" i="3"/>
  <c r="I1539" i="3" s="1"/>
  <c r="H1557" i="3"/>
  <c r="I1557" i="3" s="1"/>
  <c r="H1569" i="3"/>
  <c r="I1569" i="3" s="1"/>
  <c r="H1713" i="3"/>
  <c r="I1713" i="3" s="1"/>
  <c r="H1725" i="3"/>
  <c r="I1725" i="3" s="1"/>
  <c r="H1873" i="3"/>
  <c r="I1873" i="3" s="1"/>
  <c r="H1891" i="3"/>
  <c r="I1891" i="3" s="1"/>
  <c r="H1921" i="3"/>
  <c r="I1921" i="3" s="1"/>
  <c r="H1927" i="3"/>
  <c r="I1927" i="3" s="1"/>
  <c r="H1981" i="3"/>
  <c r="I1981" i="3" s="1"/>
  <c r="H2400" i="3"/>
  <c r="I2400" i="3" s="1"/>
  <c r="H2442" i="3"/>
  <c r="I2442" i="3" s="1"/>
  <c r="H2459" i="3"/>
  <c r="I2459" i="3" s="1"/>
  <c r="H2558" i="3"/>
  <c r="I2558" i="3" s="1"/>
  <c r="H20" i="3"/>
  <c r="I20" i="3" s="1"/>
  <c r="H56" i="3"/>
  <c r="I56" i="3" s="1"/>
  <c r="H73" i="3"/>
  <c r="I73" i="3" s="1"/>
  <c r="H97" i="3"/>
  <c r="I97" i="3" s="1"/>
  <c r="H345" i="3"/>
  <c r="I345" i="3" s="1"/>
  <c r="H351" i="3"/>
  <c r="I351" i="3" s="1"/>
  <c r="H405" i="3"/>
  <c r="I405" i="3" s="1"/>
  <c r="H429" i="3"/>
  <c r="I429" i="3" s="1"/>
  <c r="H435" i="3"/>
  <c r="I435" i="3" s="1"/>
  <c r="H447" i="3"/>
  <c r="I447" i="3" s="1"/>
  <c r="H459" i="3"/>
  <c r="I459" i="3" s="1"/>
  <c r="H513" i="3"/>
  <c r="I513" i="3" s="1"/>
  <c r="H596" i="3"/>
  <c r="I596" i="3" s="1"/>
  <c r="H661" i="3"/>
  <c r="I661" i="3" s="1"/>
  <c r="H709" i="3"/>
  <c r="I709" i="3" s="1"/>
  <c r="H733" i="3"/>
  <c r="I733" i="3" s="1"/>
  <c r="H787" i="3"/>
  <c r="I787" i="3" s="1"/>
  <c r="H799" i="3"/>
  <c r="I799" i="3" s="1"/>
  <c r="H823" i="3"/>
  <c r="I823" i="3" s="1"/>
  <c r="H835" i="3"/>
  <c r="I835" i="3" s="1"/>
  <c r="H847" i="3"/>
  <c r="I847" i="3" s="1"/>
  <c r="H931" i="3"/>
  <c r="I931" i="3" s="1"/>
  <c r="H966" i="3"/>
  <c r="I966" i="3" s="1"/>
  <c r="H990" i="3"/>
  <c r="I990" i="3" s="1"/>
  <c r="H996" i="3"/>
  <c r="I996" i="3" s="1"/>
  <c r="H1019" i="3"/>
  <c r="I1019" i="3" s="1"/>
  <c r="H1036" i="3"/>
  <c r="I1036" i="3" s="1"/>
  <c r="H1042" i="3"/>
  <c r="I1042" i="3" s="1"/>
  <c r="H1078" i="3"/>
  <c r="I1078" i="3" s="1"/>
  <c r="H1090" i="3"/>
  <c r="I1090" i="3" s="1"/>
  <c r="H1347" i="3"/>
  <c r="I1347" i="3" s="1"/>
  <c r="H1388" i="3"/>
  <c r="I1388" i="3" s="1"/>
  <c r="H1399" i="3"/>
  <c r="I1399" i="3" s="1"/>
  <c r="H1445" i="3"/>
  <c r="I1445" i="3" s="1"/>
  <c r="H1451" i="3"/>
  <c r="I1451" i="3" s="1"/>
  <c r="H1457" i="3"/>
  <c r="I1457" i="3" s="1"/>
  <c r="H1463" i="3"/>
  <c r="I1463" i="3" s="1"/>
  <c r="H1481" i="3"/>
  <c r="I1481" i="3" s="1"/>
  <c r="H1540" i="3"/>
  <c r="I1540" i="3" s="1"/>
  <c r="H1546" i="3"/>
  <c r="I1546" i="3" s="1"/>
  <c r="H1552" i="3"/>
  <c r="I1552" i="3" s="1"/>
  <c r="H1558" i="3"/>
  <c r="I1558" i="3" s="1"/>
  <c r="H1570" i="3"/>
  <c r="I1570" i="3" s="1"/>
  <c r="H1576" i="3"/>
  <c r="I1576" i="3" s="1"/>
  <c r="H1679" i="3"/>
  <c r="I1679" i="3" s="1"/>
  <c r="H1691" i="3"/>
  <c r="I1691" i="3" s="1"/>
  <c r="H1857" i="3"/>
  <c r="I1857" i="3" s="1"/>
  <c r="H1916" i="3"/>
  <c r="I1916" i="3" s="1"/>
  <c r="H1940" i="3"/>
  <c r="I1940" i="3" s="1"/>
  <c r="H1946" i="3"/>
  <c r="I1946" i="3" s="1"/>
  <c r="H1952" i="3"/>
  <c r="I1952" i="3" s="1"/>
  <c r="H1958" i="3"/>
  <c r="I1958" i="3" s="1"/>
  <c r="H1970" i="3"/>
  <c r="I1970" i="3" s="1"/>
  <c r="H1994" i="3"/>
  <c r="I1994" i="3" s="1"/>
  <c r="H2018" i="3"/>
  <c r="I2018" i="3" s="1"/>
  <c r="H2024" i="3"/>
  <c r="I2024" i="3" s="1"/>
  <c r="H2030" i="3"/>
  <c r="I2030" i="3" s="1"/>
  <c r="H2036" i="3"/>
  <c r="I2036" i="3" s="1"/>
  <c r="H2101" i="3"/>
  <c r="I2101" i="3" s="1"/>
  <c r="H2107" i="3"/>
  <c r="I2107" i="3" s="1"/>
  <c r="H2279" i="3"/>
  <c r="I2279" i="3" s="1"/>
  <c r="H2291" i="3"/>
  <c r="I2291" i="3" s="1"/>
  <c r="H2332" i="3"/>
  <c r="I2332" i="3" s="1"/>
  <c r="H2390" i="3"/>
  <c r="I2390" i="3" s="1"/>
  <c r="H2460" i="3"/>
  <c r="I2460" i="3" s="1"/>
  <c r="H2472" i="3"/>
  <c r="I2472" i="3" s="1"/>
  <c r="H2484" i="3"/>
  <c r="I2484" i="3" s="1"/>
  <c r="H2513" i="3"/>
  <c r="I2513" i="3" s="1"/>
  <c r="H74" i="3"/>
  <c r="I74" i="3" s="1"/>
  <c r="H127" i="3"/>
  <c r="I127" i="3" s="1"/>
  <c r="H776" i="3"/>
  <c r="I776" i="3" s="1"/>
  <c r="H1020" i="3"/>
  <c r="I1020" i="3" s="1"/>
  <c r="H1377" i="3"/>
  <c r="I1377" i="3" s="1"/>
  <c r="H1464" i="3"/>
  <c r="I1464" i="3" s="1"/>
  <c r="H1535" i="3"/>
  <c r="I1535" i="3" s="1"/>
  <c r="H1680" i="3"/>
  <c r="I1680" i="3" s="1"/>
  <c r="H1697" i="3"/>
  <c r="I1697" i="3" s="1"/>
  <c r="H1881" i="3"/>
  <c r="I1881" i="3" s="1"/>
  <c r="H1911" i="3"/>
  <c r="I1911" i="3" s="1"/>
  <c r="H2262" i="3"/>
  <c r="I2262" i="3" s="1"/>
  <c r="H2125" i="3"/>
  <c r="I2125" i="3" s="1"/>
  <c r="H2131" i="3"/>
  <c r="I2131" i="3" s="1"/>
  <c r="H2137" i="3"/>
  <c r="I2137" i="3" s="1"/>
  <c r="H2197" i="3"/>
  <c r="I2197" i="3" s="1"/>
  <c r="H2274" i="3"/>
  <c r="I2274" i="3" s="1"/>
  <c r="H2379" i="3"/>
  <c r="I2379" i="3" s="1"/>
  <c r="H2402" i="3"/>
  <c r="I2402" i="3" s="1"/>
  <c r="H99" i="3"/>
  <c r="I99" i="3" s="1"/>
  <c r="H116" i="3"/>
  <c r="I116" i="3" s="1"/>
  <c r="H134" i="3"/>
  <c r="I134" i="3" s="1"/>
  <c r="H146" i="3"/>
  <c r="I146" i="3" s="1"/>
  <c r="H270" i="3"/>
  <c r="I270" i="3" s="1"/>
  <c r="H294" i="3"/>
  <c r="I294" i="3" s="1"/>
  <c r="H306" i="3"/>
  <c r="I306" i="3" s="1"/>
  <c r="H347" i="3"/>
  <c r="I347" i="3" s="1"/>
  <c r="H377" i="3"/>
  <c r="I377" i="3" s="1"/>
  <c r="H466" i="3"/>
  <c r="I466" i="3" s="1"/>
  <c r="H472" i="3"/>
  <c r="I472" i="3" s="1"/>
  <c r="H478" i="3"/>
  <c r="I478" i="3" s="1"/>
  <c r="H484" i="3"/>
  <c r="I484" i="3" s="1"/>
  <c r="H496" i="3"/>
  <c r="I496" i="3" s="1"/>
  <c r="H520" i="3"/>
  <c r="I520" i="3" s="1"/>
  <c r="H592" i="3"/>
  <c r="I592" i="3" s="1"/>
  <c r="H657" i="3"/>
  <c r="I657" i="3" s="1"/>
  <c r="H729" i="3"/>
  <c r="I729" i="3" s="1"/>
  <c r="H783" i="3"/>
  <c r="I783" i="3" s="1"/>
  <c r="H880" i="3"/>
  <c r="I880" i="3" s="1"/>
  <c r="H1009" i="3"/>
  <c r="I1009" i="3" s="1"/>
  <c r="H1015" i="3"/>
  <c r="I1015" i="3" s="1"/>
  <c r="H1067" i="3"/>
  <c r="I1067" i="3" s="1"/>
  <c r="H1079" i="3"/>
  <c r="I1079" i="3" s="1"/>
  <c r="H1348" i="3"/>
  <c r="I1348" i="3" s="1"/>
  <c r="H1372" i="3"/>
  <c r="I1372" i="3" s="1"/>
  <c r="H1378" i="3"/>
  <c r="I1378" i="3" s="1"/>
  <c r="H1417" i="3"/>
  <c r="I1417" i="3" s="1"/>
  <c r="H1441" i="3"/>
  <c r="I1441" i="3" s="1"/>
  <c r="H1488" i="3"/>
  <c r="I1488" i="3" s="1"/>
  <c r="H1512" i="3"/>
  <c r="I1512" i="3" s="1"/>
  <c r="H1524" i="3"/>
  <c r="I1524" i="3" s="1"/>
  <c r="H1745" i="3"/>
  <c r="I1745" i="3" s="1"/>
  <c r="H1751" i="3"/>
  <c r="I1751" i="3" s="1"/>
  <c r="H1757" i="3"/>
  <c r="I1757" i="3" s="1"/>
  <c r="H1769" i="3"/>
  <c r="I1769" i="3" s="1"/>
  <c r="H1804" i="3"/>
  <c r="I1804" i="3" s="1"/>
  <c r="H1810" i="3"/>
  <c r="I1810" i="3" s="1"/>
  <c r="H1846" i="3"/>
  <c r="I1846" i="3" s="1"/>
  <c r="H1882" i="3"/>
  <c r="I1882" i="3" s="1"/>
  <c r="H1912" i="3"/>
  <c r="I1912" i="3" s="1"/>
  <c r="H1990" i="3"/>
  <c r="I1990" i="3" s="1"/>
  <c r="H2008" i="3"/>
  <c r="I2008" i="3" s="1"/>
  <c r="H2014" i="3"/>
  <c r="I2014" i="3" s="1"/>
  <c r="H2032" i="3"/>
  <c r="I2032" i="3" s="1"/>
  <c r="H2150" i="3"/>
  <c r="I2150" i="3" s="1"/>
  <c r="H2239" i="3"/>
  <c r="I2239" i="3" s="1"/>
  <c r="H2374" i="3"/>
  <c r="I2374" i="3" s="1"/>
  <c r="H485" i="3"/>
  <c r="I485" i="3" s="1"/>
  <c r="H497" i="3"/>
  <c r="I497" i="3" s="1"/>
  <c r="H604" i="3"/>
  <c r="I604" i="3" s="1"/>
  <c r="H759" i="3"/>
  <c r="I759" i="3" s="1"/>
  <c r="H1489" i="3"/>
  <c r="I1489" i="3" s="1"/>
  <c r="H1495" i="3"/>
  <c r="I1495" i="3" s="1"/>
  <c r="H1507" i="3"/>
  <c r="I1507" i="3" s="1"/>
  <c r="H1519" i="3"/>
  <c r="I1519" i="3" s="1"/>
  <c r="H2044" i="3"/>
  <c r="I2044" i="3" s="1"/>
  <c r="H2079" i="3"/>
  <c r="I2079" i="3" s="1"/>
  <c r="H2192" i="3"/>
  <c r="I2192" i="3" s="1"/>
  <c r="H2198" i="3"/>
  <c r="I2198" i="3" s="1"/>
  <c r="H2386" i="3"/>
  <c r="I2386" i="3" s="1"/>
  <c r="H2561" i="3"/>
  <c r="I2561" i="3" s="1"/>
  <c r="H47" i="3"/>
  <c r="I47" i="3" s="1"/>
  <c r="H165" i="3"/>
  <c r="I165" i="3" s="1"/>
  <c r="H200" i="3"/>
  <c r="I200" i="3" s="1"/>
  <c r="H408" i="3"/>
  <c r="I408" i="3" s="1"/>
  <c r="H587" i="3"/>
  <c r="I587" i="3" s="1"/>
  <c r="H682" i="3"/>
  <c r="I682" i="3" s="1"/>
  <c r="H736" i="3"/>
  <c r="I736" i="3" s="1"/>
  <c r="H784" i="3"/>
  <c r="I784" i="3" s="1"/>
  <c r="H887" i="3"/>
  <c r="I887" i="3" s="1"/>
  <c r="H951" i="3"/>
  <c r="I951" i="3" s="1"/>
  <c r="H1402" i="3"/>
  <c r="I1402" i="3" s="1"/>
  <c r="H1625" i="3"/>
  <c r="I1625" i="3" s="1"/>
  <c r="H1631" i="3"/>
  <c r="I1631" i="3" s="1"/>
  <c r="H1711" i="3"/>
  <c r="I1711" i="3" s="1"/>
  <c r="H1729" i="3"/>
  <c r="I1729" i="3" s="1"/>
  <c r="H1782" i="3"/>
  <c r="I1782" i="3" s="1"/>
  <c r="H1854" i="3"/>
  <c r="I1854" i="3" s="1"/>
  <c r="H1877" i="3"/>
  <c r="I1877" i="3" s="1"/>
  <c r="H1889" i="3"/>
  <c r="I1889" i="3" s="1"/>
  <c r="H1895" i="3"/>
  <c r="I1895" i="3" s="1"/>
  <c r="H2086" i="3"/>
  <c r="I2086" i="3" s="1"/>
  <c r="H2133" i="3"/>
  <c r="I2133" i="3" s="1"/>
  <c r="H2205" i="3"/>
  <c r="I2205" i="3" s="1"/>
  <c r="H2317" i="3"/>
  <c r="I2317" i="3" s="1"/>
  <c r="H2323" i="3"/>
  <c r="I2323" i="3" s="1"/>
  <c r="H2335" i="3"/>
  <c r="I2335" i="3" s="1"/>
  <c r="H2341" i="3"/>
  <c r="I2341" i="3" s="1"/>
  <c r="H2381" i="3"/>
  <c r="I2381" i="3" s="1"/>
  <c r="H2387" i="3"/>
  <c r="I2387" i="3" s="1"/>
  <c r="H2493" i="3"/>
  <c r="I2493" i="3" s="1"/>
  <c r="H2527" i="3"/>
  <c r="I2527" i="3" s="1"/>
  <c r="H2545" i="3"/>
  <c r="I2545" i="3" s="1"/>
  <c r="H107" i="3"/>
  <c r="I107" i="3" s="1"/>
  <c r="H154" i="3"/>
  <c r="I154" i="3" s="1"/>
  <c r="H254" i="3"/>
  <c r="I254" i="3" s="1"/>
  <c r="H266" i="3"/>
  <c r="I266" i="3" s="1"/>
  <c r="H314" i="3"/>
  <c r="I314" i="3" s="1"/>
  <c r="H331" i="3"/>
  <c r="I331" i="3" s="1"/>
  <c r="H534" i="3"/>
  <c r="I534" i="3" s="1"/>
  <c r="H540" i="3"/>
  <c r="I540" i="3" s="1"/>
  <c r="H552" i="3"/>
  <c r="I552" i="3" s="1"/>
  <c r="H606" i="3"/>
  <c r="I606" i="3" s="1"/>
  <c r="H647" i="3"/>
  <c r="I647" i="3" s="1"/>
  <c r="H683" i="3"/>
  <c r="I683" i="3" s="1"/>
  <c r="H865" i="3"/>
  <c r="I865" i="3" s="1"/>
  <c r="H871" i="3"/>
  <c r="I871" i="3" s="1"/>
  <c r="H911" i="3"/>
  <c r="I911" i="3" s="1"/>
  <c r="H976" i="3"/>
  <c r="I976" i="3" s="1"/>
  <c r="H993" i="3"/>
  <c r="I993" i="3" s="1"/>
  <c r="H1028" i="3"/>
  <c r="I1028" i="3" s="1"/>
  <c r="H1034" i="3"/>
  <c r="I1034" i="3" s="1"/>
  <c r="H1057" i="3"/>
  <c r="I1057" i="3" s="1"/>
  <c r="H1087" i="3"/>
  <c r="I1087" i="3" s="1"/>
  <c r="H1093" i="3"/>
  <c r="I1093" i="3" s="1"/>
  <c r="H1099" i="3"/>
  <c r="I1099" i="3" s="1"/>
  <c r="H1105" i="3"/>
  <c r="I1105" i="3" s="1"/>
  <c r="H1397" i="3"/>
  <c r="I1397" i="3" s="1"/>
  <c r="H1431" i="3"/>
  <c r="I1431" i="3" s="1"/>
  <c r="H1443" i="3"/>
  <c r="I1443" i="3" s="1"/>
  <c r="H1449" i="3"/>
  <c r="I1449" i="3" s="1"/>
  <c r="H1467" i="3"/>
  <c r="I1467" i="3" s="1"/>
  <c r="H1544" i="3"/>
  <c r="I1544" i="3" s="1"/>
  <c r="H1550" i="3"/>
  <c r="I1550" i="3" s="1"/>
  <c r="H1556" i="3"/>
  <c r="I1556" i="3" s="1"/>
  <c r="H1688" i="3"/>
  <c r="I1688" i="3" s="1"/>
  <c r="H2306" i="3"/>
  <c r="I2306" i="3" s="1"/>
  <c r="H13" i="3"/>
  <c r="I13" i="3" s="1"/>
  <c r="H125" i="3"/>
  <c r="I125" i="3" s="1"/>
  <c r="H173" i="3"/>
  <c r="I173" i="3" s="1"/>
  <c r="H547" i="3"/>
  <c r="I547" i="3" s="1"/>
  <c r="H577" i="3"/>
  <c r="I577" i="3" s="1"/>
  <c r="H642" i="3"/>
  <c r="I642" i="3" s="1"/>
  <c r="H1088" i="3"/>
  <c r="I1088" i="3" s="1"/>
  <c r="H1100" i="3"/>
  <c r="I1100" i="3" s="1"/>
  <c r="H1106" i="3"/>
  <c r="I1106" i="3" s="1"/>
  <c r="H1861" i="3"/>
  <c r="I1861" i="3" s="1"/>
  <c r="H1896" i="3"/>
  <c r="I1896" i="3" s="1"/>
  <c r="H1902" i="3"/>
  <c r="I1902" i="3" s="1"/>
  <c r="H1914" i="3"/>
  <c r="I1914" i="3" s="1"/>
  <c r="H1926" i="3"/>
  <c r="I1926" i="3" s="1"/>
  <c r="H1932" i="3"/>
  <c r="I1932" i="3" s="1"/>
  <c r="H1938" i="3"/>
  <c r="I1938" i="3" s="1"/>
  <c r="H1974" i="3"/>
  <c r="I1974" i="3" s="1"/>
  <c r="H2128" i="3"/>
  <c r="I2128" i="3" s="1"/>
  <c r="H2134" i="3"/>
  <c r="I2134" i="3" s="1"/>
  <c r="H2140" i="3"/>
  <c r="I2140" i="3" s="1"/>
  <c r="H2146" i="3"/>
  <c r="I2146" i="3" s="1"/>
  <c r="H2152" i="3"/>
  <c r="I2152" i="3" s="1"/>
  <c r="H2324" i="3"/>
  <c r="I2324" i="3" s="1"/>
  <c r="H2342" i="3"/>
  <c r="I2342" i="3" s="1"/>
  <c r="H2458" i="3"/>
  <c r="I2458" i="3" s="1"/>
  <c r="H1414" i="3"/>
  <c r="I1414" i="3" s="1"/>
  <c r="H1426" i="3"/>
  <c r="I1426" i="3" s="1"/>
  <c r="H1491" i="3"/>
  <c r="I1491" i="3" s="1"/>
  <c r="H1497" i="3"/>
  <c r="I1497" i="3" s="1"/>
  <c r="H1503" i="3"/>
  <c r="I1503" i="3" s="1"/>
  <c r="H1515" i="3"/>
  <c r="I1515" i="3" s="1"/>
  <c r="H1521" i="3"/>
  <c r="I1521" i="3" s="1"/>
  <c r="H1795" i="3"/>
  <c r="I1795" i="3" s="1"/>
  <c r="H1813" i="3"/>
  <c r="I1813" i="3" s="1"/>
  <c r="H1819" i="3"/>
  <c r="I1819" i="3" s="1"/>
  <c r="H2005" i="3"/>
  <c r="I2005" i="3" s="1"/>
  <c r="H2064" i="3"/>
  <c r="I2064" i="3" s="1"/>
  <c r="H2158" i="3"/>
  <c r="I2158" i="3" s="1"/>
  <c r="H2212" i="3"/>
  <c r="I2212" i="3" s="1"/>
  <c r="H2218" i="3"/>
  <c r="I2218" i="3" s="1"/>
  <c r="H2224" i="3"/>
  <c r="I2224" i="3" s="1"/>
  <c r="H2236" i="3"/>
  <c r="I2236" i="3" s="1"/>
  <c r="H2242" i="3"/>
  <c r="I2242" i="3" s="1"/>
  <c r="H2266" i="3"/>
  <c r="I2266" i="3" s="1"/>
  <c r="H2313" i="3"/>
  <c r="I2313" i="3" s="1"/>
  <c r="H2441" i="3"/>
  <c r="I2441" i="3" s="1"/>
  <c r="H2453" i="3"/>
  <c r="I2453" i="3" s="1"/>
  <c r="H2488" i="3"/>
  <c r="I2488" i="3" s="1"/>
  <c r="H2540" i="3"/>
  <c r="I2540" i="3" s="1"/>
  <c r="H2581" i="3"/>
  <c r="I2581" i="3" s="1"/>
  <c r="H1144" i="3"/>
  <c r="I1144" i="3" s="1"/>
  <c r="H1167" i="3"/>
  <c r="I1167" i="3" s="1"/>
  <c r="H1173" i="3"/>
  <c r="I1173" i="3" s="1"/>
  <c r="H1269" i="3"/>
  <c r="I1269" i="3" s="1"/>
  <c r="H1199" i="3"/>
  <c r="I1199" i="3" s="1"/>
  <c r="H1188" i="3"/>
  <c r="I1188" i="3" s="1"/>
  <c r="H1170" i="3"/>
  <c r="I1170" i="3" s="1"/>
  <c r="H1282" i="3"/>
  <c r="I1282" i="3" s="1"/>
  <c r="H1160" i="3"/>
  <c r="I1160" i="3" s="1"/>
  <c r="H1184" i="3"/>
  <c r="I1184" i="3" s="1"/>
  <c r="H1201" i="3"/>
  <c r="I1201" i="3" s="1"/>
  <c r="H1255" i="3"/>
  <c r="I1255" i="3" s="1"/>
  <c r="H1277" i="3"/>
  <c r="I1277" i="3" s="1"/>
  <c r="H1272" i="3"/>
  <c r="I1272" i="3" s="1"/>
  <c r="H17" i="3"/>
  <c r="I17" i="3" s="1"/>
  <c r="H168" i="3"/>
  <c r="I168" i="3" s="1"/>
  <c r="H225" i="3"/>
  <c r="I225" i="3" s="1"/>
  <c r="H242" i="3"/>
  <c r="I242" i="3" s="1"/>
  <c r="H367" i="3"/>
  <c r="I367" i="3" s="1"/>
  <c r="H419" i="3"/>
  <c r="I419" i="3" s="1"/>
  <c r="H441" i="3"/>
  <c r="I441" i="3" s="1"/>
  <c r="H509" i="3"/>
  <c r="I509" i="3" s="1"/>
  <c r="H531" i="3"/>
  <c r="I531" i="3" s="1"/>
  <c r="H616" i="3"/>
  <c r="I616" i="3" s="1"/>
  <c r="H18" i="3"/>
  <c r="I18" i="3" s="1"/>
  <c r="H24" i="3"/>
  <c r="I24" i="3" s="1"/>
  <c r="H98" i="3"/>
  <c r="I98" i="3" s="1"/>
  <c r="H136" i="3"/>
  <c r="I136" i="3" s="1"/>
  <c r="H289" i="3"/>
  <c r="I289" i="3" s="1"/>
  <c r="H295" i="3"/>
  <c r="I295" i="3" s="1"/>
  <c r="H301" i="3"/>
  <c r="I301" i="3" s="1"/>
  <c r="H329" i="3"/>
  <c r="I329" i="3" s="1"/>
  <c r="H335" i="3"/>
  <c r="I335" i="3" s="1"/>
  <c r="H436" i="3"/>
  <c r="I436" i="3" s="1"/>
  <c r="H464" i="3"/>
  <c r="I464" i="3" s="1"/>
  <c r="H476" i="3"/>
  <c r="I476" i="3" s="1"/>
  <c r="H2356" i="3"/>
  <c r="I2356" i="3" s="1"/>
  <c r="H2456" i="3"/>
  <c r="I2456" i="3" s="1"/>
  <c r="H87" i="3"/>
  <c r="I87" i="3" s="1"/>
  <c r="H104" i="3"/>
  <c r="I104" i="3" s="1"/>
  <c r="H109" i="3"/>
  <c r="I109" i="3" s="1"/>
  <c r="H126" i="3"/>
  <c r="I126" i="3" s="1"/>
  <c r="H142" i="3"/>
  <c r="I142" i="3" s="1"/>
  <c r="H153" i="3"/>
  <c r="I153" i="3" s="1"/>
  <c r="H164" i="3"/>
  <c r="I164" i="3" s="1"/>
  <c r="H192" i="3"/>
  <c r="I192" i="3" s="1"/>
  <c r="H203" i="3"/>
  <c r="I203" i="3" s="1"/>
  <c r="H214" i="3"/>
  <c r="I214" i="3" s="1"/>
  <c r="H232" i="3"/>
  <c r="I232" i="3" s="1"/>
  <c r="H237" i="3"/>
  <c r="I237" i="3" s="1"/>
  <c r="H249" i="3"/>
  <c r="I249" i="3" s="1"/>
  <c r="H267" i="3"/>
  <c r="I267" i="3" s="1"/>
  <c r="H346" i="3"/>
  <c r="I346" i="3" s="1"/>
  <c r="H368" i="3"/>
  <c r="I368" i="3" s="1"/>
  <c r="H391" i="3"/>
  <c r="I391" i="3" s="1"/>
  <c r="H397" i="3"/>
  <c r="I397" i="3" s="1"/>
  <c r="H420" i="3"/>
  <c r="I420" i="3" s="1"/>
  <c r="H465" i="3"/>
  <c r="I465" i="3" s="1"/>
  <c r="H471" i="3"/>
  <c r="I471" i="3" s="1"/>
  <c r="H494" i="3"/>
  <c r="I494" i="3" s="1"/>
  <c r="H516" i="3"/>
  <c r="I516" i="3" s="1"/>
  <c r="H573" i="3"/>
  <c r="I573" i="3" s="1"/>
  <c r="H1367" i="3"/>
  <c r="I1367" i="3" s="1"/>
  <c r="H2328" i="3"/>
  <c r="I2328" i="3" s="1"/>
  <c r="H2567" i="3"/>
  <c r="I2567" i="3" s="1"/>
  <c r="H26" i="3"/>
  <c r="I26" i="3" s="1"/>
  <c r="H61" i="3"/>
  <c r="I61" i="3" s="1"/>
  <c r="H66" i="3"/>
  <c r="I66" i="3" s="1"/>
  <c r="H77" i="3"/>
  <c r="I77" i="3" s="1"/>
  <c r="H82" i="3"/>
  <c r="I82" i="3" s="1"/>
  <c r="H105" i="3"/>
  <c r="I105" i="3" s="1"/>
  <c r="H110" i="3"/>
  <c r="I110" i="3" s="1"/>
  <c r="H138" i="3"/>
  <c r="I138" i="3" s="1"/>
  <c r="H181" i="3"/>
  <c r="I181" i="3" s="1"/>
  <c r="H193" i="3"/>
  <c r="I193" i="3" s="1"/>
  <c r="H215" i="3"/>
  <c r="I215" i="3" s="1"/>
  <c r="H256" i="3"/>
  <c r="I256" i="3" s="1"/>
  <c r="H315" i="3"/>
  <c r="I315" i="3" s="1"/>
  <c r="H357" i="3"/>
  <c r="I357" i="3" s="1"/>
  <c r="H363" i="3"/>
  <c r="I363" i="3" s="1"/>
  <c r="H369" i="3"/>
  <c r="I369" i="3" s="1"/>
  <c r="H392" i="3"/>
  <c r="I392" i="3" s="1"/>
  <c r="H409" i="3"/>
  <c r="I409" i="3" s="1"/>
  <c r="H415" i="3"/>
  <c r="I415" i="3" s="1"/>
  <c r="H443" i="3"/>
  <c r="I443" i="3" s="1"/>
  <c r="H454" i="3"/>
  <c r="I454" i="3" s="1"/>
  <c r="H460" i="3"/>
  <c r="I460" i="3" s="1"/>
  <c r="H490" i="3"/>
  <c r="I490" i="3" s="1"/>
  <c r="H500" i="3"/>
  <c r="I500" i="3" s="1"/>
  <c r="H511" i="3"/>
  <c r="I511" i="3" s="1"/>
  <c r="H539" i="3"/>
  <c r="I539" i="3" s="1"/>
  <c r="H590" i="3"/>
  <c r="I590" i="3" s="1"/>
  <c r="H595" i="3"/>
  <c r="I595" i="3" s="1"/>
  <c r="H607" i="3"/>
  <c r="I607" i="3" s="1"/>
  <c r="H21" i="3"/>
  <c r="I21" i="3" s="1"/>
  <c r="H32" i="3"/>
  <c r="I32" i="3" s="1"/>
  <c r="H44" i="3"/>
  <c r="I44" i="3" s="1"/>
  <c r="H89" i="3"/>
  <c r="I89" i="3" s="1"/>
  <c r="H94" i="3"/>
  <c r="I94" i="3" s="1"/>
  <c r="H216" i="3"/>
  <c r="I216" i="3" s="1"/>
  <c r="H234" i="3"/>
  <c r="I234" i="3" s="1"/>
  <c r="H245" i="3"/>
  <c r="I245" i="3" s="1"/>
  <c r="H251" i="3"/>
  <c r="I251" i="3" s="1"/>
  <c r="H257" i="3"/>
  <c r="I257" i="3" s="1"/>
  <c r="H281" i="3"/>
  <c r="I281" i="3" s="1"/>
  <c r="H364" i="3"/>
  <c r="I364" i="3" s="1"/>
  <c r="H370" i="3"/>
  <c r="I370" i="3" s="1"/>
  <c r="H387" i="3"/>
  <c r="I387" i="3" s="1"/>
  <c r="H393" i="3"/>
  <c r="I393" i="3" s="1"/>
  <c r="H399" i="3"/>
  <c r="I399" i="3" s="1"/>
  <c r="H416" i="3"/>
  <c r="I416" i="3" s="1"/>
  <c r="H444" i="3"/>
  <c r="I444" i="3" s="1"/>
  <c r="H455" i="3"/>
  <c r="I455" i="3" s="1"/>
  <c r="H461" i="3"/>
  <c r="I461" i="3" s="1"/>
  <c r="H506" i="3"/>
  <c r="I506" i="3" s="1"/>
  <c r="H512" i="3"/>
  <c r="I512" i="3" s="1"/>
  <c r="H310" i="3"/>
  <c r="I310" i="3" s="1"/>
  <c r="H343" i="3"/>
  <c r="I343" i="3" s="1"/>
  <c r="H382" i="3"/>
  <c r="I382" i="3" s="1"/>
  <c r="H433" i="3"/>
  <c r="I433" i="3" s="1"/>
  <c r="H473" i="3"/>
  <c r="I473" i="3" s="1"/>
  <c r="H524" i="3"/>
  <c r="I524" i="3" s="1"/>
  <c r="H529" i="3"/>
  <c r="I529" i="3" s="1"/>
  <c r="H535" i="3"/>
  <c r="I535" i="3" s="1"/>
  <c r="H570" i="3"/>
  <c r="I570" i="3" s="1"/>
  <c r="H575" i="3"/>
  <c r="I575" i="3" s="1"/>
  <c r="H581" i="3"/>
  <c r="I581" i="3" s="1"/>
  <c r="H614" i="3"/>
  <c r="I614" i="3" s="1"/>
  <c r="H39" i="3"/>
  <c r="I39" i="3" s="1"/>
  <c r="H79" i="3"/>
  <c r="I79" i="3" s="1"/>
  <c r="H123" i="3"/>
  <c r="I123" i="3" s="1"/>
  <c r="H128" i="3"/>
  <c r="I128" i="3" s="1"/>
  <c r="H183" i="3"/>
  <c r="I183" i="3" s="1"/>
  <c r="H206" i="3"/>
  <c r="I206" i="3" s="1"/>
  <c r="H258" i="3"/>
  <c r="I258" i="3" s="1"/>
  <c r="H371" i="3"/>
  <c r="I371" i="3" s="1"/>
  <c r="H417" i="3"/>
  <c r="I417" i="3" s="1"/>
  <c r="H439" i="3"/>
  <c r="I439" i="3" s="1"/>
  <c r="H507" i="3"/>
  <c r="I507" i="3" s="1"/>
  <c r="H2278" i="3"/>
  <c r="I2278" i="3" s="1"/>
  <c r="H16" i="3"/>
  <c r="I16" i="3" s="1"/>
  <c r="H101" i="3"/>
  <c r="I101" i="3" s="1"/>
  <c r="H235" i="3"/>
  <c r="I235" i="3" s="1"/>
  <c r="H299" i="3"/>
  <c r="I299" i="3" s="1"/>
  <c r="H311" i="3"/>
  <c r="I311" i="3" s="1"/>
  <c r="H327" i="3"/>
  <c r="I327" i="3" s="1"/>
  <c r="H333" i="3"/>
  <c r="I333" i="3" s="1"/>
  <c r="H354" i="3"/>
  <c r="I354" i="3" s="1"/>
  <c r="H428" i="3"/>
  <c r="I428" i="3" s="1"/>
  <c r="H480" i="3"/>
  <c r="I480" i="3" s="1"/>
  <c r="H486" i="3"/>
  <c r="I486" i="3" s="1"/>
  <c r="H525" i="3"/>
  <c r="I525" i="3" s="1"/>
  <c r="H530" i="3"/>
  <c r="I530" i="3" s="1"/>
  <c r="H553" i="3"/>
  <c r="I553" i="3" s="1"/>
  <c r="H615" i="3"/>
  <c r="I615" i="3" s="1"/>
  <c r="H34" i="3"/>
  <c r="I34" i="3" s="1"/>
  <c r="H85" i="3"/>
  <c r="I85" i="3" s="1"/>
  <c r="H113" i="3"/>
  <c r="I113" i="3" s="1"/>
  <c r="H190" i="3"/>
  <c r="I190" i="3" s="1"/>
  <c r="H196" i="3"/>
  <c r="I196" i="3" s="1"/>
  <c r="H207" i="3"/>
  <c r="I207" i="3" s="1"/>
  <c r="H230" i="3"/>
  <c r="I230" i="3" s="1"/>
  <c r="H271" i="3"/>
  <c r="I271" i="3" s="1"/>
  <c r="H288" i="3"/>
  <c r="I288" i="3" s="1"/>
  <c r="H366" i="3"/>
  <c r="I366" i="3" s="1"/>
  <c r="H463" i="3"/>
  <c r="I463" i="3" s="1"/>
  <c r="H508" i="3"/>
  <c r="I508" i="3" s="1"/>
  <c r="H703" i="3"/>
  <c r="I703" i="3" s="1"/>
  <c r="H744" i="3"/>
  <c r="I744" i="3" s="1"/>
  <c r="H750" i="3"/>
  <c r="I750" i="3" s="1"/>
  <c r="H756" i="3"/>
  <c r="I756" i="3" s="1"/>
  <c r="H779" i="3"/>
  <c r="I779" i="3" s="1"/>
  <c r="H795" i="3"/>
  <c r="I795" i="3" s="1"/>
  <c r="H801" i="3"/>
  <c r="I801" i="3" s="1"/>
  <c r="H807" i="3"/>
  <c r="I807" i="3" s="1"/>
  <c r="H819" i="3"/>
  <c r="I819" i="3" s="1"/>
  <c r="H824" i="3"/>
  <c r="I824" i="3" s="1"/>
  <c r="H836" i="3"/>
  <c r="I836" i="3" s="1"/>
  <c r="H842" i="3"/>
  <c r="I842" i="3" s="1"/>
  <c r="H868" i="3"/>
  <c r="I868" i="3" s="1"/>
  <c r="H901" i="3"/>
  <c r="I901" i="3" s="1"/>
  <c r="H913" i="3"/>
  <c r="I913" i="3" s="1"/>
  <c r="H942" i="3"/>
  <c r="I942" i="3" s="1"/>
  <c r="H948" i="3"/>
  <c r="I948" i="3" s="1"/>
  <c r="H954" i="3"/>
  <c r="I954" i="3" s="1"/>
  <c r="H959" i="3"/>
  <c r="I959" i="3" s="1"/>
  <c r="H1053" i="3"/>
  <c r="I1053" i="3" s="1"/>
  <c r="H1064" i="3"/>
  <c r="I1064" i="3" s="1"/>
  <c r="H1075" i="3"/>
  <c r="I1075" i="3" s="1"/>
  <c r="H1081" i="3"/>
  <c r="I1081" i="3" s="1"/>
  <c r="H1116" i="3"/>
  <c r="I1116" i="3" s="1"/>
  <c r="H1179" i="3"/>
  <c r="I1179" i="3" s="1"/>
  <c r="H1260" i="3"/>
  <c r="I1260" i="3" s="1"/>
  <c r="H1275" i="3"/>
  <c r="I1275" i="3" s="1"/>
  <c r="H1286" i="3"/>
  <c r="I1286" i="3" s="1"/>
  <c r="H1310" i="3"/>
  <c r="I1310" i="3" s="1"/>
  <c r="H1325" i="3"/>
  <c r="I1325" i="3" s="1"/>
  <c r="H1354" i="3"/>
  <c r="I1354" i="3" s="1"/>
  <c r="H1366" i="3"/>
  <c r="I1366" i="3" s="1"/>
  <c r="H1442" i="3"/>
  <c r="I1442" i="3" s="1"/>
  <c r="H1531" i="3"/>
  <c r="I1531" i="3" s="1"/>
  <c r="H1601" i="3"/>
  <c r="I1601" i="3" s="1"/>
  <c r="H1607" i="3"/>
  <c r="I1607" i="3" s="1"/>
  <c r="H1646" i="3"/>
  <c r="I1646" i="3" s="1"/>
  <c r="H1669" i="3"/>
  <c r="I1669" i="3" s="1"/>
  <c r="H1708" i="3"/>
  <c r="I1708" i="3" s="1"/>
  <c r="H1731" i="3"/>
  <c r="I1731" i="3" s="1"/>
  <c r="H1801" i="3"/>
  <c r="I1801" i="3" s="1"/>
  <c r="H1836" i="3"/>
  <c r="I1836" i="3" s="1"/>
  <c r="H1842" i="3"/>
  <c r="I1842" i="3" s="1"/>
  <c r="H1858" i="3"/>
  <c r="I1858" i="3" s="1"/>
  <c r="H1933" i="3"/>
  <c r="I1933" i="3" s="1"/>
  <c r="H1945" i="3"/>
  <c r="I1945" i="3" s="1"/>
  <c r="H1969" i="3"/>
  <c r="I1969" i="3" s="1"/>
  <c r="H2010" i="3"/>
  <c r="I2010" i="3" s="1"/>
  <c r="H2080" i="3"/>
  <c r="I2080" i="3" s="1"/>
  <c r="H2098" i="3"/>
  <c r="I2098" i="3" s="1"/>
  <c r="H2122" i="3"/>
  <c r="I2122" i="3" s="1"/>
  <c r="H2144" i="3"/>
  <c r="I2144" i="3" s="1"/>
  <c r="H2166" i="3"/>
  <c r="I2166" i="3" s="1"/>
  <c r="H2288" i="3"/>
  <c r="I2288" i="3" s="1"/>
  <c r="H2438" i="3"/>
  <c r="I2438" i="3" s="1"/>
  <c r="H629" i="3"/>
  <c r="I629" i="3" s="1"/>
  <c r="H652" i="3"/>
  <c r="I652" i="3" s="1"/>
  <c r="H663" i="3"/>
  <c r="I663" i="3" s="1"/>
  <c r="H669" i="3"/>
  <c r="I669" i="3" s="1"/>
  <c r="H681" i="3"/>
  <c r="I681" i="3" s="1"/>
  <c r="H698" i="3"/>
  <c r="I698" i="3" s="1"/>
  <c r="H734" i="3"/>
  <c r="I734" i="3" s="1"/>
  <c r="H739" i="3"/>
  <c r="I739" i="3" s="1"/>
  <c r="H751" i="3"/>
  <c r="I751" i="3" s="1"/>
  <c r="H780" i="3"/>
  <c r="I780" i="3" s="1"/>
  <c r="H825" i="3"/>
  <c r="I825" i="3" s="1"/>
  <c r="H831" i="3"/>
  <c r="I831" i="3" s="1"/>
  <c r="H859" i="3"/>
  <c r="I859" i="3" s="1"/>
  <c r="H885" i="3"/>
  <c r="I885" i="3" s="1"/>
  <c r="H897" i="3"/>
  <c r="I897" i="3" s="1"/>
  <c r="H908" i="3"/>
  <c r="I908" i="3" s="1"/>
  <c r="H920" i="3"/>
  <c r="I920" i="3" s="1"/>
  <c r="H937" i="3"/>
  <c r="I937" i="3" s="1"/>
  <c r="H960" i="3"/>
  <c r="I960" i="3" s="1"/>
  <c r="H1141" i="3"/>
  <c r="I1141" i="3" s="1"/>
  <c r="H1157" i="3"/>
  <c r="I1157" i="3" s="1"/>
  <c r="H1185" i="3"/>
  <c r="I1185" i="3" s="1"/>
  <c r="H1202" i="3"/>
  <c r="I1202" i="3" s="1"/>
  <c r="H1261" i="3"/>
  <c r="I1261" i="3" s="1"/>
  <c r="H1276" i="3"/>
  <c r="I1276" i="3" s="1"/>
  <c r="H1321" i="3"/>
  <c r="I1321" i="3" s="1"/>
  <c r="H1332" i="3"/>
  <c r="I1332" i="3" s="1"/>
  <c r="H1355" i="3"/>
  <c r="I1355" i="3" s="1"/>
  <c r="H1361" i="3"/>
  <c r="I1361" i="3" s="1"/>
  <c r="H1384" i="3"/>
  <c r="I1384" i="3" s="1"/>
  <c r="H1420" i="3"/>
  <c r="I1420" i="3" s="1"/>
  <c r="H1496" i="3"/>
  <c r="I1496" i="3" s="1"/>
  <c r="H1502" i="3"/>
  <c r="I1502" i="3" s="1"/>
  <c r="H1514" i="3"/>
  <c r="I1514" i="3" s="1"/>
  <c r="H1526" i="3"/>
  <c r="I1526" i="3" s="1"/>
  <c r="H1585" i="3"/>
  <c r="I1585" i="3" s="1"/>
  <c r="H1602" i="3"/>
  <c r="I1602" i="3" s="1"/>
  <c r="H1642" i="3"/>
  <c r="I1642" i="3" s="1"/>
  <c r="H1647" i="3"/>
  <c r="I1647" i="3" s="1"/>
  <c r="H1653" i="3"/>
  <c r="I1653" i="3" s="1"/>
  <c r="H1692" i="3"/>
  <c r="I1692" i="3" s="1"/>
  <c r="H1709" i="3"/>
  <c r="I1709" i="3" s="1"/>
  <c r="H1778" i="3"/>
  <c r="I1778" i="3" s="1"/>
  <c r="H1831" i="3"/>
  <c r="I1831" i="3" s="1"/>
  <c r="H1898" i="3"/>
  <c r="I1898" i="3" s="1"/>
  <c r="H1922" i="3"/>
  <c r="I1922" i="3" s="1"/>
  <c r="H1934" i="3"/>
  <c r="I1934" i="3" s="1"/>
  <c r="H2017" i="3"/>
  <c r="I2017" i="3" s="1"/>
  <c r="H2035" i="3"/>
  <c r="I2035" i="3" s="1"/>
  <c r="H2087" i="3"/>
  <c r="I2087" i="3" s="1"/>
  <c r="H2111" i="3"/>
  <c r="I2111" i="3" s="1"/>
  <c r="H2184" i="3"/>
  <c r="I2184" i="3" s="1"/>
  <c r="H2190" i="3"/>
  <c r="I2190" i="3" s="1"/>
  <c r="H2201" i="3"/>
  <c r="I2201" i="3" s="1"/>
  <c r="H2207" i="3"/>
  <c r="I2207" i="3" s="1"/>
  <c r="H2272" i="3"/>
  <c r="I2272" i="3" s="1"/>
  <c r="H2316" i="3"/>
  <c r="I2316" i="3" s="1"/>
  <c r="H2383" i="3"/>
  <c r="I2383" i="3" s="1"/>
  <c r="H2405" i="3"/>
  <c r="I2405" i="3" s="1"/>
  <c r="H2410" i="3"/>
  <c r="I2410" i="3" s="1"/>
  <c r="H2416" i="3"/>
  <c r="I2416" i="3" s="1"/>
  <c r="H2466" i="3"/>
  <c r="I2466" i="3" s="1"/>
  <c r="H2489" i="3"/>
  <c r="I2489" i="3" s="1"/>
  <c r="H2500" i="3"/>
  <c r="I2500" i="3" s="1"/>
  <c r="H2506" i="3"/>
  <c r="I2506" i="3" s="1"/>
  <c r="H2511" i="3"/>
  <c r="I2511" i="3" s="1"/>
  <c r="H2528" i="3"/>
  <c r="I2528" i="3" s="1"/>
  <c r="H653" i="3"/>
  <c r="I653" i="3" s="1"/>
  <c r="H1038" i="3"/>
  <c r="I1038" i="3" s="1"/>
  <c r="H1082" i="3"/>
  <c r="I1082" i="3" s="1"/>
  <c r="H1112" i="3"/>
  <c r="I1112" i="3" s="1"/>
  <c r="H1152" i="3"/>
  <c r="I1152" i="3" s="1"/>
  <c r="H1163" i="3"/>
  <c r="I1163" i="3" s="1"/>
  <c r="H1169" i="3"/>
  <c r="I1169" i="3" s="1"/>
  <c r="H1256" i="3"/>
  <c r="I1256" i="3" s="1"/>
  <c r="H1267" i="3"/>
  <c r="I1267" i="3" s="1"/>
  <c r="H1305" i="3"/>
  <c r="I1305" i="3" s="1"/>
  <c r="H1356" i="3"/>
  <c r="I1356" i="3" s="1"/>
  <c r="H1409" i="3"/>
  <c r="I1409" i="3" s="1"/>
  <c r="H1432" i="3"/>
  <c r="I1432" i="3" s="1"/>
  <c r="H1438" i="3"/>
  <c r="I1438" i="3" s="1"/>
  <c r="H1509" i="3"/>
  <c r="I1509" i="3" s="1"/>
  <c r="H1574" i="3"/>
  <c r="I1574" i="3" s="1"/>
  <c r="H1614" i="3"/>
  <c r="I1614" i="3" s="1"/>
  <c r="H1844" i="3"/>
  <c r="I1844" i="3" s="1"/>
  <c r="H1976" i="3"/>
  <c r="I1976" i="3" s="1"/>
  <c r="H1988" i="3"/>
  <c r="I1988" i="3" s="1"/>
  <c r="H2006" i="3"/>
  <c r="I2006" i="3" s="1"/>
  <c r="H2059" i="3"/>
  <c r="I2059" i="3" s="1"/>
  <c r="H2065" i="3"/>
  <c r="I2065" i="3" s="1"/>
  <c r="H2100" i="3"/>
  <c r="I2100" i="3" s="1"/>
  <c r="H2106" i="3"/>
  <c r="I2106" i="3" s="1"/>
  <c r="H2123" i="3"/>
  <c r="I2123" i="3" s="1"/>
  <c r="H2129" i="3"/>
  <c r="I2129" i="3" s="1"/>
  <c r="H2185" i="3"/>
  <c r="I2185" i="3" s="1"/>
  <c r="H2213" i="3"/>
  <c r="I2213" i="3" s="1"/>
  <c r="H2225" i="3"/>
  <c r="I2225" i="3" s="1"/>
  <c r="H2243" i="3"/>
  <c r="I2243" i="3" s="1"/>
  <c r="H2249" i="3"/>
  <c r="I2249" i="3" s="1"/>
  <c r="H2301" i="3"/>
  <c r="I2301" i="3" s="1"/>
  <c r="H2373" i="3"/>
  <c r="I2373" i="3" s="1"/>
  <c r="H2384" i="3"/>
  <c r="I2384" i="3" s="1"/>
  <c r="H2395" i="3"/>
  <c r="I2395" i="3" s="1"/>
  <c r="H2478" i="3"/>
  <c r="I2478" i="3" s="1"/>
  <c r="H2523" i="3"/>
  <c r="I2523" i="3" s="1"/>
  <c r="H693" i="3"/>
  <c r="I693" i="3" s="1"/>
  <c r="H705" i="3"/>
  <c r="I705" i="3" s="1"/>
  <c r="H740" i="3"/>
  <c r="I740" i="3" s="1"/>
  <c r="H752" i="3"/>
  <c r="I752" i="3" s="1"/>
  <c r="H758" i="3"/>
  <c r="I758" i="3" s="1"/>
  <c r="H786" i="3"/>
  <c r="I786" i="3" s="1"/>
  <c r="H797" i="3"/>
  <c r="I797" i="3" s="1"/>
  <c r="H820" i="3"/>
  <c r="I820" i="3" s="1"/>
  <c r="H826" i="3"/>
  <c r="I826" i="3" s="1"/>
  <c r="H838" i="3"/>
  <c r="I838" i="3" s="1"/>
  <c r="H870" i="3"/>
  <c r="I870" i="3" s="1"/>
  <c r="H875" i="3"/>
  <c r="I875" i="3" s="1"/>
  <c r="H886" i="3"/>
  <c r="I886" i="3" s="1"/>
  <c r="H903" i="3"/>
  <c r="I903" i="3" s="1"/>
  <c r="H921" i="3"/>
  <c r="I921" i="3" s="1"/>
  <c r="H972" i="3"/>
  <c r="I972" i="3" s="1"/>
  <c r="H988" i="3"/>
  <c r="I988" i="3" s="1"/>
  <c r="H1322" i="3"/>
  <c r="I1322" i="3" s="1"/>
  <c r="H1368" i="3"/>
  <c r="I1368" i="3" s="1"/>
  <c r="H1433" i="3"/>
  <c r="I1433" i="3" s="1"/>
  <c r="H1738" i="3"/>
  <c r="I1738" i="3" s="1"/>
  <c r="H1866" i="3"/>
  <c r="I1866" i="3" s="1"/>
  <c r="H1872" i="3"/>
  <c r="I1872" i="3" s="1"/>
  <c r="H1905" i="3"/>
  <c r="I1905" i="3" s="1"/>
  <c r="H1935" i="3"/>
  <c r="I1935" i="3" s="1"/>
  <c r="H2244" i="3"/>
  <c r="I2244" i="3" s="1"/>
  <c r="H2268" i="3"/>
  <c r="I2268" i="3" s="1"/>
  <c r="H711" i="3"/>
  <c r="I711" i="3" s="1"/>
  <c r="H717" i="3"/>
  <c r="I717" i="3" s="1"/>
  <c r="H753" i="3"/>
  <c r="I753" i="3" s="1"/>
  <c r="H810" i="3"/>
  <c r="I810" i="3" s="1"/>
  <c r="H815" i="3"/>
  <c r="I815" i="3" s="1"/>
  <c r="H2401" i="3"/>
  <c r="I2401" i="3" s="1"/>
  <c r="H2429" i="3"/>
  <c r="I2429" i="3" s="1"/>
  <c r="H881" i="3"/>
  <c r="I881" i="3" s="1"/>
  <c r="H933" i="3"/>
  <c r="I933" i="3" s="1"/>
  <c r="H967" i="3"/>
  <c r="I967" i="3" s="1"/>
  <c r="H973" i="3"/>
  <c r="I973" i="3" s="1"/>
  <c r="H989" i="3"/>
  <c r="I989" i="3" s="1"/>
  <c r="H1000" i="3"/>
  <c r="I1000" i="3" s="1"/>
  <c r="H1143" i="3"/>
  <c r="I1143" i="3" s="1"/>
  <c r="H1181" i="3"/>
  <c r="I1181" i="3" s="1"/>
  <c r="H1216" i="3"/>
  <c r="I1216" i="3" s="1"/>
  <c r="H1268" i="3"/>
  <c r="I1268" i="3" s="1"/>
  <c r="H1273" i="3"/>
  <c r="I1273" i="3" s="1"/>
  <c r="H1289" i="3"/>
  <c r="I1289" i="3" s="1"/>
  <c r="H1312" i="3"/>
  <c r="I1312" i="3" s="1"/>
  <c r="H1357" i="3"/>
  <c r="I1357" i="3" s="1"/>
  <c r="H1363" i="3"/>
  <c r="I1363" i="3" s="1"/>
  <c r="H1504" i="3"/>
  <c r="I1504" i="3" s="1"/>
  <c r="H1516" i="3"/>
  <c r="I1516" i="3" s="1"/>
  <c r="H1575" i="3"/>
  <c r="I1575" i="3" s="1"/>
  <c r="H1581" i="3"/>
  <c r="I1581" i="3" s="1"/>
  <c r="H1649" i="3"/>
  <c r="I1649" i="3" s="1"/>
  <c r="H1661" i="3"/>
  <c r="I1661" i="3" s="1"/>
  <c r="H1666" i="3"/>
  <c r="I1666" i="3" s="1"/>
  <c r="H1683" i="3"/>
  <c r="I1683" i="3" s="1"/>
  <c r="H1699" i="3"/>
  <c r="I1699" i="3" s="1"/>
  <c r="H1705" i="3"/>
  <c r="I1705" i="3" s="1"/>
  <c r="H1763" i="3"/>
  <c r="I1763" i="3" s="1"/>
  <c r="H1774" i="3"/>
  <c r="I1774" i="3" s="1"/>
  <c r="H1786" i="3"/>
  <c r="I1786" i="3" s="1"/>
  <c r="H1833" i="3"/>
  <c r="I1833" i="3" s="1"/>
  <c r="H1878" i="3"/>
  <c r="I1878" i="3" s="1"/>
  <c r="H1918" i="3"/>
  <c r="I1918" i="3" s="1"/>
  <c r="H1942" i="3"/>
  <c r="I1942" i="3" s="1"/>
  <c r="H1972" i="3"/>
  <c r="I1972" i="3" s="1"/>
  <c r="H2001" i="3"/>
  <c r="I2001" i="3" s="1"/>
  <c r="H2019" i="3"/>
  <c r="I2019" i="3" s="1"/>
  <c r="H2031" i="3"/>
  <c r="I2031" i="3" s="1"/>
  <c r="H2089" i="3"/>
  <c r="I2089" i="3" s="1"/>
  <c r="H2095" i="3"/>
  <c r="I2095" i="3" s="1"/>
  <c r="H2113" i="3"/>
  <c r="I2113" i="3" s="1"/>
  <c r="H2174" i="3"/>
  <c r="I2174" i="3" s="1"/>
  <c r="H2180" i="3"/>
  <c r="I2180" i="3" s="1"/>
  <c r="H2186" i="3"/>
  <c r="I2186" i="3" s="1"/>
  <c r="H2203" i="3"/>
  <c r="I2203" i="3" s="1"/>
  <c r="H2209" i="3"/>
  <c r="I2209" i="3" s="1"/>
  <c r="H2536" i="3"/>
  <c r="I2536" i="3" s="1"/>
  <c r="H2541" i="3"/>
  <c r="I2541" i="3" s="1"/>
  <c r="H2586" i="3"/>
  <c r="I2586" i="3" s="1"/>
  <c r="H712" i="3"/>
  <c r="I712" i="3" s="1"/>
  <c r="H724" i="3"/>
  <c r="I724" i="3" s="1"/>
  <c r="H793" i="3"/>
  <c r="I793" i="3" s="1"/>
  <c r="H834" i="3"/>
  <c r="I834" i="3" s="1"/>
  <c r="H940" i="3"/>
  <c r="I940" i="3" s="1"/>
  <c r="H984" i="3"/>
  <c r="I984" i="3" s="1"/>
  <c r="H1012" i="3"/>
  <c r="I1012" i="3" s="1"/>
  <c r="H1023" i="3"/>
  <c r="I1023" i="3" s="1"/>
  <c r="H1040" i="3"/>
  <c r="I1040" i="3" s="1"/>
  <c r="H1096" i="3"/>
  <c r="I1096" i="3" s="1"/>
  <c r="H1258" i="3"/>
  <c r="I1258" i="3" s="1"/>
  <c r="H1313" i="3"/>
  <c r="I1313" i="3" s="1"/>
  <c r="H1639" i="3"/>
  <c r="I1639" i="3" s="1"/>
  <c r="H1656" i="3"/>
  <c r="I1656" i="3" s="1"/>
  <c r="H2245" i="3"/>
  <c r="I2245" i="3" s="1"/>
  <c r="H2285" i="3"/>
  <c r="I2285" i="3" s="1"/>
  <c r="H2391" i="3"/>
  <c r="I2391" i="3" s="1"/>
  <c r="H2424" i="3"/>
  <c r="I2424" i="3" s="1"/>
  <c r="H2463" i="3"/>
  <c r="I2463" i="3" s="1"/>
  <c r="H2474" i="3"/>
  <c r="I2474" i="3" s="1"/>
  <c r="H2480" i="3"/>
  <c r="I2480" i="3" s="1"/>
  <c r="H2547" i="3"/>
  <c r="I2547" i="3" s="1"/>
  <c r="H2553" i="3"/>
  <c r="I2553" i="3" s="1"/>
  <c r="H2564" i="3"/>
  <c r="I2564" i="3" s="1"/>
  <c r="H1150" i="3"/>
  <c r="I1150" i="3" s="1"/>
  <c r="H1182" i="3"/>
  <c r="I1182" i="3" s="1"/>
  <c r="H1200" i="3"/>
  <c r="I1200" i="3" s="1"/>
  <c r="H1381" i="3"/>
  <c r="I1381" i="3" s="1"/>
  <c r="H1678" i="3"/>
  <c r="I1678" i="3" s="1"/>
  <c r="H1700" i="3"/>
  <c r="I1700" i="3" s="1"/>
  <c r="H1712" i="3"/>
  <c r="I1712" i="3" s="1"/>
  <c r="H1734" i="3"/>
  <c r="I1734" i="3" s="1"/>
  <c r="H1840" i="3"/>
  <c r="I1840" i="3" s="1"/>
  <c r="H1890" i="3"/>
  <c r="I1890" i="3" s="1"/>
  <c r="H1907" i="3"/>
  <c r="I1907" i="3" s="1"/>
  <c r="H1996" i="3"/>
  <c r="I1996" i="3" s="1"/>
  <c r="H2026" i="3"/>
  <c r="I2026" i="3" s="1"/>
  <c r="H2073" i="3"/>
  <c r="I2073" i="3" s="1"/>
  <c r="H2084" i="3"/>
  <c r="I2084" i="3" s="1"/>
  <c r="H2114" i="3"/>
  <c r="I2114" i="3" s="1"/>
  <c r="H2148" i="3"/>
  <c r="I2148" i="3" s="1"/>
  <c r="H2181" i="3"/>
  <c r="I2181" i="3" s="1"/>
  <c r="H2210" i="3"/>
  <c r="I2210" i="3" s="1"/>
  <c r="H2275" i="3"/>
  <c r="I2275" i="3" s="1"/>
  <c r="H2353" i="3"/>
  <c r="I2353" i="3" s="1"/>
  <c r="H2525" i="3"/>
  <c r="I2525" i="3" s="1"/>
  <c r="H644" i="3"/>
  <c r="I644" i="3" s="1"/>
  <c r="H713" i="3"/>
  <c r="I713" i="3" s="1"/>
  <c r="H725" i="3"/>
  <c r="I725" i="3" s="1"/>
  <c r="H731" i="3"/>
  <c r="I731" i="3" s="1"/>
  <c r="H760" i="3"/>
  <c r="I760" i="3" s="1"/>
  <c r="H777" i="3"/>
  <c r="I777" i="3" s="1"/>
  <c r="H788" i="3"/>
  <c r="I788" i="3" s="1"/>
  <c r="H862" i="3"/>
  <c r="I862" i="3" s="1"/>
  <c r="H872" i="3"/>
  <c r="I872" i="3" s="1"/>
  <c r="H877" i="3"/>
  <c r="I877" i="3" s="1"/>
  <c r="H889" i="3"/>
  <c r="I889" i="3" s="1"/>
  <c r="H980" i="3"/>
  <c r="I980" i="3" s="1"/>
  <c r="H985" i="3"/>
  <c r="I985" i="3" s="1"/>
  <c r="H1007" i="3"/>
  <c r="I1007" i="3" s="1"/>
  <c r="H1013" i="3"/>
  <c r="I1013" i="3" s="1"/>
  <c r="H1024" i="3"/>
  <c r="I1024" i="3" s="1"/>
  <c r="H1035" i="3"/>
  <c r="I1035" i="3" s="1"/>
  <c r="H1068" i="3"/>
  <c r="I1068" i="3" s="1"/>
  <c r="H1097" i="3"/>
  <c r="I1097" i="3" s="1"/>
  <c r="H1109" i="3"/>
  <c r="I1109" i="3" s="1"/>
  <c r="H1259" i="3"/>
  <c r="I1259" i="3" s="1"/>
  <c r="H1279" i="3"/>
  <c r="I1279" i="3" s="1"/>
  <c r="H1308" i="3"/>
  <c r="I1308" i="3" s="1"/>
  <c r="H1429" i="3"/>
  <c r="I1429" i="3" s="1"/>
  <c r="H1435" i="3"/>
  <c r="I1435" i="3" s="1"/>
  <c r="H1476" i="3"/>
  <c r="I1476" i="3" s="1"/>
  <c r="H1541" i="3"/>
  <c r="I1541" i="3" s="1"/>
  <c r="H1559" i="3"/>
  <c r="I1559" i="3" s="1"/>
  <c r="H1577" i="3"/>
  <c r="I1577" i="3" s="1"/>
  <c r="H1583" i="3"/>
  <c r="I1583" i="3" s="1"/>
  <c r="H1589" i="3"/>
  <c r="I1589" i="3" s="1"/>
  <c r="H1594" i="3"/>
  <c r="I1594" i="3" s="1"/>
  <c r="H1611" i="3"/>
  <c r="I1611" i="3" s="1"/>
  <c r="H1707" i="3"/>
  <c r="I1707" i="3" s="1"/>
  <c r="H1758" i="3"/>
  <c r="I1758" i="3" s="1"/>
  <c r="H1770" i="3"/>
  <c r="I1770" i="3" s="1"/>
  <c r="H1787" i="3"/>
  <c r="I1787" i="3" s="1"/>
  <c r="H1805" i="3"/>
  <c r="I1805" i="3" s="1"/>
  <c r="H1835" i="3"/>
  <c r="I1835" i="3" s="1"/>
  <c r="H1868" i="3"/>
  <c r="I1868" i="3" s="1"/>
  <c r="H1913" i="3"/>
  <c r="I1913" i="3" s="1"/>
  <c r="H1949" i="3"/>
  <c r="I1949" i="3" s="1"/>
  <c r="H1979" i="3"/>
  <c r="I1979" i="3" s="1"/>
  <c r="H2062" i="3"/>
  <c r="I2062" i="3" s="1"/>
  <c r="H2068" i="3"/>
  <c r="I2068" i="3" s="1"/>
  <c r="H2120" i="3"/>
  <c r="I2120" i="3" s="1"/>
  <c r="H2132" i="3"/>
  <c r="I2132" i="3" s="1"/>
  <c r="H2159" i="3"/>
  <c r="I2159" i="3" s="1"/>
  <c r="H2170" i="3"/>
  <c r="I2170" i="3" s="1"/>
  <c r="H2193" i="3"/>
  <c r="I2193" i="3" s="1"/>
  <c r="H2246" i="3"/>
  <c r="I2246" i="3" s="1"/>
  <c r="H2252" i="3"/>
  <c r="I2252" i="3" s="1"/>
  <c r="H2258" i="3"/>
  <c r="I2258" i="3" s="1"/>
  <c r="H2298" i="3"/>
  <c r="I2298" i="3" s="1"/>
  <c r="H2343" i="3"/>
  <c r="I2343" i="3" s="1"/>
  <c r="H2359" i="3"/>
  <c r="I2359" i="3" s="1"/>
  <c r="H2370" i="3"/>
  <c r="I2370" i="3" s="1"/>
  <c r="H2376" i="3"/>
  <c r="I2376" i="3" s="1"/>
  <c r="H2397" i="3"/>
  <c r="I2397" i="3" s="1"/>
  <c r="H2425" i="3"/>
  <c r="I2425" i="3" s="1"/>
  <c r="H2448" i="3"/>
  <c r="I2448" i="3" s="1"/>
  <c r="H2469" i="3"/>
  <c r="I2469" i="3" s="1"/>
  <c r="H2492" i="3"/>
  <c r="I2492" i="3" s="1"/>
  <c r="H2559" i="3"/>
  <c r="I2559" i="3" s="1"/>
  <c r="H858" i="3"/>
  <c r="I858" i="3" s="1"/>
  <c r="H873" i="3"/>
  <c r="I873" i="3" s="1"/>
  <c r="H953" i="3"/>
  <c r="I953" i="3" s="1"/>
  <c r="H1058" i="3"/>
  <c r="I1058" i="3" s="1"/>
  <c r="H1086" i="3"/>
  <c r="I1086" i="3" s="1"/>
  <c r="H1161" i="3"/>
  <c r="I1161" i="3" s="1"/>
  <c r="H1183" i="3"/>
  <c r="I1183" i="3" s="1"/>
  <c r="H1189" i="3"/>
  <c r="I1189" i="3" s="1"/>
  <c r="H1265" i="3"/>
  <c r="I1265" i="3" s="1"/>
  <c r="H1280" i="3"/>
  <c r="I1280" i="3" s="1"/>
  <c r="H1320" i="3"/>
  <c r="I1320" i="3" s="1"/>
  <c r="H1365" i="3"/>
  <c r="I1365" i="3" s="1"/>
  <c r="H1371" i="3"/>
  <c r="I1371" i="3" s="1"/>
  <c r="H1391" i="3"/>
  <c r="H1483" i="3"/>
  <c r="I1483" i="3" s="1"/>
  <c r="H1595" i="3"/>
  <c r="I1595" i="3" s="1"/>
  <c r="H1765" i="3"/>
  <c r="I1765" i="3" s="1"/>
  <c r="H1886" i="3"/>
  <c r="I1886" i="3" s="1"/>
  <c r="H1968" i="3"/>
  <c r="I1968" i="3" s="1"/>
  <c r="H1985" i="3"/>
  <c r="I1985" i="3" s="1"/>
  <c r="H2015" i="3"/>
  <c r="I2015" i="3" s="1"/>
  <c r="H2021" i="3"/>
  <c r="I2021" i="3" s="1"/>
  <c r="H2033" i="3"/>
  <c r="I2033" i="3" s="1"/>
  <c r="H2051" i="3"/>
  <c r="I2051" i="3" s="1"/>
  <c r="H2091" i="3"/>
  <c r="I2091" i="3" s="1"/>
  <c r="H2097" i="3"/>
  <c r="I2097" i="3" s="1"/>
  <c r="H2109" i="3"/>
  <c r="I2109" i="3" s="1"/>
  <c r="H2127" i="3"/>
  <c r="I2127" i="3" s="1"/>
  <c r="H2149" i="3"/>
  <c r="I2149" i="3" s="1"/>
  <c r="H2155" i="3"/>
  <c r="I2155" i="3" s="1"/>
  <c r="H2176" i="3"/>
  <c r="I2176" i="3" s="1"/>
  <c r="H2188" i="3"/>
  <c r="I2188" i="3" s="1"/>
  <c r="H2199" i="3"/>
  <c r="I2199" i="3" s="1"/>
  <c r="H2276" i="3"/>
  <c r="I2276" i="3" s="1"/>
  <c r="H2320" i="3"/>
  <c r="I2320" i="3" s="1"/>
  <c r="H2326" i="3"/>
  <c r="I2326" i="3" s="1"/>
  <c r="H645" i="3"/>
  <c r="I645" i="3" s="1"/>
  <c r="H726" i="3"/>
  <c r="I726" i="3" s="1"/>
  <c r="H2327" i="3"/>
  <c r="I2327" i="3" s="1"/>
  <c r="H2470" i="3"/>
  <c r="I2470" i="3" s="1"/>
  <c r="H2499" i="3"/>
  <c r="I2499" i="3" s="1"/>
  <c r="H2577" i="3"/>
  <c r="I2577" i="3" s="1"/>
  <c r="H38" i="3"/>
  <c r="I38" i="3" s="1"/>
  <c r="H43" i="3"/>
  <c r="I43" i="3" s="1"/>
  <c r="H65" i="3"/>
  <c r="I65" i="3" s="1"/>
  <c r="H91" i="3"/>
  <c r="I91" i="3" s="1"/>
  <c r="H122" i="3"/>
  <c r="I122" i="3" s="1"/>
  <c r="H133" i="3"/>
  <c r="I133" i="3" s="1"/>
  <c r="H148" i="3"/>
  <c r="I148" i="3" s="1"/>
  <c r="H158" i="3"/>
  <c r="I158" i="3" s="1"/>
  <c r="H178" i="3"/>
  <c r="I178" i="3" s="1"/>
  <c r="H184" i="3"/>
  <c r="I184" i="3" s="1"/>
  <c r="H189" i="3"/>
  <c r="I189" i="3" s="1"/>
  <c r="H204" i="3"/>
  <c r="I204" i="3" s="1"/>
  <c r="H219" i="3"/>
  <c r="I219" i="3" s="1"/>
  <c r="H246" i="3"/>
  <c r="I246" i="3" s="1"/>
  <c r="H263" i="3"/>
  <c r="I263" i="3" s="1"/>
  <c r="H273" i="3"/>
  <c r="I273" i="3" s="1"/>
  <c r="H279" i="3"/>
  <c r="I279" i="3" s="1"/>
  <c r="H290" i="3"/>
  <c r="I290" i="3" s="1"/>
  <c r="H300" i="3"/>
  <c r="I300" i="3" s="1"/>
  <c r="H305" i="3"/>
  <c r="I305" i="3" s="1"/>
  <c r="H320" i="3"/>
  <c r="I320" i="3" s="1"/>
  <c r="H325" i="3"/>
  <c r="I325" i="3" s="1"/>
  <c r="H379" i="3"/>
  <c r="I379" i="3" s="1"/>
  <c r="H411" i="3"/>
  <c r="I411" i="3" s="1"/>
  <c r="H446" i="3"/>
  <c r="I446" i="3" s="1"/>
  <c r="H457" i="3"/>
  <c r="I457" i="3" s="1"/>
  <c r="H467" i="3"/>
  <c r="I467" i="3" s="1"/>
  <c r="H49" i="3"/>
  <c r="I49" i="3" s="1"/>
  <c r="H102" i="3"/>
  <c r="I102" i="3" s="1"/>
  <c r="H195" i="3"/>
  <c r="I195" i="3" s="1"/>
  <c r="H220" i="3"/>
  <c r="I220" i="3" s="1"/>
  <c r="H274" i="3"/>
  <c r="I274" i="3" s="1"/>
  <c r="H316" i="3"/>
  <c r="I316" i="3" s="1"/>
  <c r="H359" i="3"/>
  <c r="I359" i="3" s="1"/>
  <c r="H431" i="3"/>
  <c r="I431" i="3" s="1"/>
  <c r="H532" i="3"/>
  <c r="I532" i="3" s="1"/>
  <c r="H159" i="3"/>
  <c r="I159" i="3" s="1"/>
  <c r="H226" i="3"/>
  <c r="I226" i="3" s="1"/>
  <c r="H241" i="3"/>
  <c r="I241" i="3" s="1"/>
  <c r="H247" i="3"/>
  <c r="I247" i="3" s="1"/>
  <c r="H264" i="3"/>
  <c r="I264" i="3" s="1"/>
  <c r="H269" i="3"/>
  <c r="I269" i="3" s="1"/>
  <c r="H350" i="3"/>
  <c r="I350" i="3" s="1"/>
  <c r="H124" i="3"/>
  <c r="I124" i="3" s="1"/>
  <c r="H221" i="3"/>
  <c r="I221" i="3" s="1"/>
  <c r="H427" i="3"/>
  <c r="I427" i="3" s="1"/>
  <c r="H453" i="3"/>
  <c r="I453" i="3" s="1"/>
  <c r="H67" i="3"/>
  <c r="I67" i="3" s="1"/>
  <c r="H72" i="3"/>
  <c r="I72" i="3" s="1"/>
  <c r="H93" i="3"/>
  <c r="I93" i="3" s="1"/>
  <c r="H103" i="3"/>
  <c r="I103" i="3" s="1"/>
  <c r="H135" i="3"/>
  <c r="I135" i="3" s="1"/>
  <c r="H296" i="3"/>
  <c r="I296" i="3" s="1"/>
  <c r="H51" i="3"/>
  <c r="I51" i="3" s="1"/>
  <c r="H145" i="3"/>
  <c r="I145" i="3" s="1"/>
  <c r="H160" i="3"/>
  <c r="I160" i="3" s="1"/>
  <c r="H186" i="3"/>
  <c r="I186" i="3" s="1"/>
  <c r="H211" i="3"/>
  <c r="I211" i="3" s="1"/>
  <c r="H227" i="3"/>
  <c r="I227" i="3" s="1"/>
  <c r="H248" i="3"/>
  <c r="I248" i="3" s="1"/>
  <c r="H253" i="3"/>
  <c r="I253" i="3" s="1"/>
  <c r="H259" i="3"/>
  <c r="I259" i="3" s="1"/>
  <c r="H302" i="3"/>
  <c r="I302" i="3" s="1"/>
  <c r="H307" i="3"/>
  <c r="I307" i="3" s="1"/>
  <c r="H322" i="3"/>
  <c r="I322" i="3" s="1"/>
  <c r="H332" i="3"/>
  <c r="I332" i="3" s="1"/>
  <c r="H342" i="3"/>
  <c r="I342" i="3" s="1"/>
  <c r="H356" i="3"/>
  <c r="I356" i="3" s="1"/>
  <c r="H376" i="3"/>
  <c r="I376" i="3" s="1"/>
  <c r="H398" i="3"/>
  <c r="I398" i="3" s="1"/>
  <c r="H449" i="3"/>
  <c r="I449" i="3" s="1"/>
  <c r="H555" i="3"/>
  <c r="I555" i="3" s="1"/>
  <c r="H68" i="3"/>
  <c r="I68" i="3" s="1"/>
  <c r="H83" i="3"/>
  <c r="I83" i="3" s="1"/>
  <c r="H88" i="3"/>
  <c r="I88" i="3" s="1"/>
  <c r="H115" i="3"/>
  <c r="I115" i="3" s="1"/>
  <c r="H119" i="3"/>
  <c r="I119" i="3" s="1"/>
  <c r="H176" i="3"/>
  <c r="I176" i="3" s="1"/>
  <c r="H243" i="3"/>
  <c r="I243" i="3" s="1"/>
  <c r="H260" i="3"/>
  <c r="I260" i="3" s="1"/>
  <c r="H282" i="3"/>
  <c r="I282" i="3" s="1"/>
  <c r="H287" i="3"/>
  <c r="I287" i="3" s="1"/>
  <c r="H423" i="3"/>
  <c r="I423" i="3" s="1"/>
  <c r="H470" i="3"/>
  <c r="I470" i="3" s="1"/>
  <c r="H487" i="3"/>
  <c r="I487" i="3" s="1"/>
  <c r="H502" i="3"/>
  <c r="I502" i="3" s="1"/>
  <c r="H57" i="3"/>
  <c r="I57" i="3" s="1"/>
  <c r="H63" i="3"/>
  <c r="I63" i="3" s="1"/>
  <c r="H151" i="3"/>
  <c r="I151" i="3" s="1"/>
  <c r="H156" i="3"/>
  <c r="I156" i="3" s="1"/>
  <c r="H161" i="3"/>
  <c r="I161" i="3" s="1"/>
  <c r="H166" i="3"/>
  <c r="I166" i="3" s="1"/>
  <c r="H171" i="3"/>
  <c r="I171" i="3" s="1"/>
  <c r="H212" i="3"/>
  <c r="I212" i="3" s="1"/>
  <c r="H223" i="3"/>
  <c r="I223" i="3" s="1"/>
  <c r="H238" i="3"/>
  <c r="I238" i="3" s="1"/>
  <c r="H298" i="3"/>
  <c r="I298" i="3" s="1"/>
  <c r="H328" i="3"/>
  <c r="I328" i="3" s="1"/>
  <c r="H388" i="3"/>
  <c r="I388" i="3" s="1"/>
  <c r="H394" i="3"/>
  <c r="I394" i="3" s="1"/>
  <c r="H518" i="3"/>
  <c r="I518" i="3" s="1"/>
  <c r="H546" i="3"/>
  <c r="I546" i="3" s="1"/>
  <c r="H31" i="3"/>
  <c r="I31" i="3" s="1"/>
  <c r="H95" i="3"/>
  <c r="I95" i="3" s="1"/>
  <c r="H100" i="3"/>
  <c r="I100" i="3" s="1"/>
  <c r="H106" i="3"/>
  <c r="I106" i="3" s="1"/>
  <c r="H111" i="3"/>
  <c r="I111" i="3" s="1"/>
  <c r="H121" i="3"/>
  <c r="I121" i="3" s="1"/>
  <c r="H147" i="3"/>
  <c r="I147" i="3" s="1"/>
  <c r="H172" i="3"/>
  <c r="I172" i="3" s="1"/>
  <c r="H208" i="3"/>
  <c r="I208" i="3" s="1"/>
  <c r="H218" i="3"/>
  <c r="I218" i="3" s="1"/>
  <c r="H224" i="3"/>
  <c r="I224" i="3" s="1"/>
  <c r="H229" i="3"/>
  <c r="I229" i="3" s="1"/>
  <c r="H272" i="3"/>
  <c r="I272" i="3" s="1"/>
  <c r="H293" i="3"/>
  <c r="I293" i="3" s="1"/>
  <c r="H309" i="3"/>
  <c r="I309" i="3" s="1"/>
  <c r="H334" i="3"/>
  <c r="I334" i="3" s="1"/>
  <c r="H353" i="3"/>
  <c r="I353" i="3" s="1"/>
  <c r="H383" i="3"/>
  <c r="I383" i="3" s="1"/>
  <c r="H414" i="3"/>
  <c r="I414" i="3" s="1"/>
  <c r="H456" i="3"/>
  <c r="I456" i="3" s="1"/>
  <c r="H498" i="3"/>
  <c r="I498" i="3" s="1"/>
  <c r="H585" i="3"/>
  <c r="I585" i="3" s="1"/>
  <c r="H53" i="3"/>
  <c r="I53" i="3" s="1"/>
  <c r="H70" i="3"/>
  <c r="I70" i="3" s="1"/>
  <c r="H80" i="3"/>
  <c r="I80" i="3" s="1"/>
  <c r="H132" i="3"/>
  <c r="I132" i="3" s="1"/>
  <c r="H262" i="3"/>
  <c r="I262" i="3" s="1"/>
  <c r="H278" i="3"/>
  <c r="I278" i="3" s="1"/>
  <c r="H284" i="3"/>
  <c r="I284" i="3" s="1"/>
  <c r="H542" i="3"/>
  <c r="I542" i="3" s="1"/>
  <c r="H489" i="3"/>
  <c r="I489" i="3" s="1"/>
  <c r="H544" i="3"/>
  <c r="I544" i="3" s="1"/>
  <c r="H558" i="3"/>
  <c r="I558" i="3" s="1"/>
  <c r="H563" i="3"/>
  <c r="I563" i="3" s="1"/>
  <c r="H603" i="3"/>
  <c r="I603" i="3" s="1"/>
  <c r="H617" i="3"/>
  <c r="I617" i="3" s="1"/>
  <c r="H622" i="3"/>
  <c r="I622" i="3" s="1"/>
  <c r="H686" i="3"/>
  <c r="I686" i="3" s="1"/>
  <c r="H691" i="3"/>
  <c r="I691" i="3" s="1"/>
  <c r="H695" i="3"/>
  <c r="I695" i="3" s="1"/>
  <c r="H700" i="3"/>
  <c r="I700" i="3" s="1"/>
  <c r="H714" i="3"/>
  <c r="I714" i="3" s="1"/>
  <c r="H719" i="3"/>
  <c r="I719" i="3" s="1"/>
  <c r="H738" i="3"/>
  <c r="I738" i="3" s="1"/>
  <c r="H804" i="3"/>
  <c r="I804" i="3" s="1"/>
  <c r="H809" i="3"/>
  <c r="I809" i="3" s="1"/>
  <c r="H829" i="3"/>
  <c r="I829" i="3" s="1"/>
  <c r="H839" i="3"/>
  <c r="I839" i="3" s="1"/>
  <c r="H844" i="3"/>
  <c r="I844" i="3" s="1"/>
  <c r="H876" i="3"/>
  <c r="I876" i="3" s="1"/>
  <c r="H906" i="3"/>
  <c r="I906" i="3" s="1"/>
  <c r="H917" i="3"/>
  <c r="I917" i="3" s="1"/>
  <c r="H922" i="3"/>
  <c r="I922" i="3" s="1"/>
  <c r="H947" i="3"/>
  <c r="I947" i="3" s="1"/>
  <c r="H958" i="3"/>
  <c r="I958" i="3" s="1"/>
  <c r="H994" i="3"/>
  <c r="I994" i="3" s="1"/>
  <c r="H999" i="3"/>
  <c r="I999" i="3" s="1"/>
  <c r="H1004" i="3"/>
  <c r="I1004" i="3" s="1"/>
  <c r="H1070" i="3"/>
  <c r="I1070" i="3" s="1"/>
  <c r="H1085" i="3"/>
  <c r="I1085" i="3" s="1"/>
  <c r="H1149" i="3"/>
  <c r="I1149" i="3" s="1"/>
  <c r="H1153" i="3"/>
  <c r="I1153" i="3" s="1"/>
  <c r="H1178" i="3"/>
  <c r="I1178" i="3" s="1"/>
  <c r="H1262" i="3"/>
  <c r="I1262" i="3" s="1"/>
  <c r="H1284" i="3"/>
  <c r="I1284" i="3" s="1"/>
  <c r="H1317" i="3"/>
  <c r="I1317" i="3" s="1"/>
  <c r="H1326" i="3"/>
  <c r="I1326" i="3" s="1"/>
  <c r="H1360" i="3"/>
  <c r="I1360" i="3" s="1"/>
  <c r="H1374" i="3"/>
  <c r="I1374" i="3" s="1"/>
  <c r="H1407" i="3"/>
  <c r="I1407" i="3" s="1"/>
  <c r="H1469" i="3"/>
  <c r="I1469" i="3" s="1"/>
  <c r="H1475" i="3"/>
  <c r="I1475" i="3" s="1"/>
  <c r="H2157" i="3"/>
  <c r="I2157" i="3" s="1"/>
  <c r="H495" i="3"/>
  <c r="I495" i="3" s="1"/>
  <c r="H505" i="3"/>
  <c r="I505" i="3" s="1"/>
  <c r="H549" i="3"/>
  <c r="I549" i="3" s="1"/>
  <c r="H564" i="3"/>
  <c r="I564" i="3" s="1"/>
  <c r="H569" i="3"/>
  <c r="I569" i="3" s="1"/>
  <c r="H639" i="3"/>
  <c r="I639" i="3" s="1"/>
  <c r="H687" i="3"/>
  <c r="I687" i="3" s="1"/>
  <c r="H706" i="3"/>
  <c r="I706" i="3" s="1"/>
  <c r="H771" i="3"/>
  <c r="I771" i="3" s="1"/>
  <c r="H830" i="3"/>
  <c r="I830" i="3" s="1"/>
  <c r="H845" i="3"/>
  <c r="I845" i="3" s="1"/>
  <c r="H855" i="3"/>
  <c r="I855" i="3" s="1"/>
  <c r="H891" i="3"/>
  <c r="I891" i="3" s="1"/>
  <c r="H912" i="3"/>
  <c r="I912" i="3" s="1"/>
  <c r="H964" i="3"/>
  <c r="I964" i="3" s="1"/>
  <c r="H1005" i="3"/>
  <c r="I1005" i="3" s="1"/>
  <c r="H1016" i="3"/>
  <c r="I1016" i="3" s="1"/>
  <c r="H1021" i="3"/>
  <c r="I1021" i="3" s="1"/>
  <c r="H1111" i="3"/>
  <c r="I1111" i="3" s="1"/>
  <c r="H1154" i="3"/>
  <c r="I1154" i="3" s="1"/>
  <c r="H1285" i="3"/>
  <c r="I1285" i="3" s="1"/>
  <c r="H1331" i="3"/>
  <c r="I1331" i="3" s="1"/>
  <c r="H1341" i="3"/>
  <c r="I1341" i="3" s="1"/>
  <c r="I1340" i="3" s="1"/>
  <c r="H1389" i="3"/>
  <c r="I1389" i="3" s="1"/>
  <c r="H1398" i="3"/>
  <c r="I1398" i="3" s="1"/>
  <c r="H1424" i="3"/>
  <c r="I1424" i="3" s="1"/>
  <c r="H1739" i="3"/>
  <c r="I1739" i="3" s="1"/>
  <c r="H479" i="3"/>
  <c r="I479" i="3" s="1"/>
  <c r="H574" i="3"/>
  <c r="I574" i="3" s="1"/>
  <c r="H628" i="3"/>
  <c r="I628" i="3" s="1"/>
  <c r="H662" i="3"/>
  <c r="I662" i="3" s="1"/>
  <c r="H667" i="3"/>
  <c r="I667" i="3" s="1"/>
  <c r="H692" i="3"/>
  <c r="I692" i="3" s="1"/>
  <c r="H701" i="3"/>
  <c r="I701" i="3" s="1"/>
  <c r="H720" i="3"/>
  <c r="I720" i="3" s="1"/>
  <c r="H730" i="3"/>
  <c r="I730" i="3" s="1"/>
  <c r="H757" i="3"/>
  <c r="I757" i="3" s="1"/>
  <c r="H800" i="3"/>
  <c r="I800" i="3" s="1"/>
  <c r="H882" i="3"/>
  <c r="I882" i="3" s="1"/>
  <c r="H902" i="3"/>
  <c r="I902" i="3" s="1"/>
  <c r="H923" i="3"/>
  <c r="I923" i="3" s="1"/>
  <c r="H932" i="3"/>
  <c r="I932" i="3" s="1"/>
  <c r="H943" i="3"/>
  <c r="I943" i="3" s="1"/>
  <c r="H970" i="3"/>
  <c r="I970" i="3" s="1"/>
  <c r="H986" i="3"/>
  <c r="I986" i="3" s="1"/>
  <c r="H995" i="3"/>
  <c r="I995" i="3" s="1"/>
  <c r="H1027" i="3"/>
  <c r="I1027" i="3" s="1"/>
  <c r="H1032" i="3"/>
  <c r="I1032" i="3" s="1"/>
  <c r="H1056" i="3"/>
  <c r="I1056" i="3" s="1"/>
  <c r="H1061" i="3"/>
  <c r="I1061" i="3" s="1"/>
  <c r="H1091" i="3"/>
  <c r="I1091" i="3" s="1"/>
  <c r="H1101" i="3"/>
  <c r="I1101" i="3" s="1"/>
  <c r="H1145" i="3"/>
  <c r="I1145" i="3" s="1"/>
  <c r="H1337" i="3"/>
  <c r="I1337" i="3" s="1"/>
  <c r="H1352" i="3"/>
  <c r="I1352" i="3" s="1"/>
  <c r="H1375" i="3"/>
  <c r="I1375" i="3" s="1"/>
  <c r="H1380" i="3"/>
  <c r="I1380" i="3" s="1"/>
  <c r="H1385" i="3"/>
  <c r="I1385" i="3" s="1"/>
  <c r="H1439" i="3"/>
  <c r="I1439" i="3" s="1"/>
  <c r="H2369" i="3"/>
  <c r="I2369" i="3" s="1"/>
  <c r="H2535" i="3"/>
  <c r="I2535" i="3" s="1"/>
  <c r="H565" i="3"/>
  <c r="I565" i="3" s="1"/>
  <c r="H584" i="3"/>
  <c r="I584" i="3" s="1"/>
  <c r="H634" i="3"/>
  <c r="I634" i="3" s="1"/>
  <c r="H745" i="3"/>
  <c r="I745" i="3" s="1"/>
  <c r="H754" i="3"/>
  <c r="I754" i="3" s="1"/>
  <c r="H761" i="3"/>
  <c r="I761" i="3" s="1"/>
  <c r="H811" i="3"/>
  <c r="I811" i="3" s="1"/>
  <c r="H816" i="3"/>
  <c r="I816" i="3" s="1"/>
  <c r="H841" i="3"/>
  <c r="I841" i="3" s="1"/>
  <c r="H846" i="3"/>
  <c r="I846" i="3" s="1"/>
  <c r="H860" i="3"/>
  <c r="I860" i="3" s="1"/>
  <c r="H892" i="3"/>
  <c r="I892" i="3" s="1"/>
  <c r="H1146" i="3"/>
  <c r="I1146" i="3" s="1"/>
  <c r="H1175" i="3"/>
  <c r="I1175" i="3" s="1"/>
  <c r="H1376" i="3"/>
  <c r="I1376" i="3" s="1"/>
  <c r="H1430" i="3"/>
  <c r="I1430" i="3" s="1"/>
  <c r="H1455" i="3"/>
  <c r="I1455" i="3" s="1"/>
  <c r="H939" i="3"/>
  <c r="I939" i="3" s="1"/>
  <c r="H977" i="3"/>
  <c r="I977" i="3" s="1"/>
  <c r="H1165" i="3"/>
  <c r="I1165" i="3" s="1"/>
  <c r="H1309" i="3"/>
  <c r="I1309" i="3" s="1"/>
  <c r="H1333" i="3"/>
  <c r="I1333" i="3" s="1"/>
  <c r="H1394" i="3"/>
  <c r="I1394" i="3" s="1"/>
  <c r="H1404" i="3"/>
  <c r="I1404" i="3" s="1"/>
  <c r="H1415" i="3"/>
  <c r="I1415" i="3" s="1"/>
  <c r="H605" i="3"/>
  <c r="I605" i="3" s="1"/>
  <c r="H630" i="3"/>
  <c r="I630" i="3" s="1"/>
  <c r="H673" i="3"/>
  <c r="I673" i="3" s="1"/>
  <c r="H679" i="3"/>
  <c r="I679" i="3" s="1"/>
  <c r="H708" i="3"/>
  <c r="I708" i="3" s="1"/>
  <c r="H732" i="3"/>
  <c r="I732" i="3" s="1"/>
  <c r="H767" i="3"/>
  <c r="I767" i="3" s="1"/>
  <c r="H773" i="3"/>
  <c r="I773" i="3" s="1"/>
  <c r="H792" i="3"/>
  <c r="I792" i="3" s="1"/>
  <c r="H817" i="3"/>
  <c r="I817" i="3" s="1"/>
  <c r="H822" i="3"/>
  <c r="I822" i="3" s="1"/>
  <c r="H852" i="3"/>
  <c r="I852" i="3" s="1"/>
  <c r="H861" i="3"/>
  <c r="I861" i="3" s="1"/>
  <c r="H888" i="3"/>
  <c r="I888" i="3" s="1"/>
  <c r="H893" i="3"/>
  <c r="I893" i="3" s="1"/>
  <c r="H909" i="3"/>
  <c r="I909" i="3" s="1"/>
  <c r="H914" i="3"/>
  <c r="I914" i="3" s="1"/>
  <c r="H1044" i="3"/>
  <c r="I1044" i="3" s="1"/>
  <c r="H1098" i="3"/>
  <c r="I1098" i="3" s="1"/>
  <c r="H1108" i="3"/>
  <c r="I1108" i="3" s="1"/>
  <c r="H1147" i="3"/>
  <c r="I1147" i="3" s="1"/>
  <c r="H1156" i="3"/>
  <c r="I1156" i="3" s="1"/>
  <c r="H1304" i="3"/>
  <c r="I1304" i="3" s="1"/>
  <c r="H1461" i="3"/>
  <c r="I1461" i="3" s="1"/>
  <c r="H2360" i="3"/>
  <c r="I2360" i="3" s="1"/>
  <c r="H576" i="3"/>
  <c r="I576" i="3" s="1"/>
  <c r="H586" i="3"/>
  <c r="I586" i="3" s="1"/>
  <c r="H591" i="3"/>
  <c r="I591" i="3" s="1"/>
  <c r="H620" i="3"/>
  <c r="I620" i="3" s="1"/>
  <c r="H636" i="3"/>
  <c r="I636" i="3" s="1"/>
  <c r="H641" i="3"/>
  <c r="I641" i="3" s="1"/>
  <c r="H674" i="3"/>
  <c r="I674" i="3" s="1"/>
  <c r="H704" i="3"/>
  <c r="I704" i="3" s="1"/>
  <c r="H723" i="3"/>
  <c r="I723" i="3" s="1"/>
  <c r="H768" i="3"/>
  <c r="I768" i="3" s="1"/>
  <c r="H802" i="3"/>
  <c r="I802" i="3" s="1"/>
  <c r="H818" i="3"/>
  <c r="I818" i="3" s="1"/>
  <c r="H832" i="3"/>
  <c r="I832" i="3" s="1"/>
  <c r="H848" i="3"/>
  <c r="I848" i="3" s="1"/>
  <c r="H853" i="3"/>
  <c r="I853" i="3" s="1"/>
  <c r="H857" i="3"/>
  <c r="I857" i="3" s="1"/>
  <c r="H884" i="3"/>
  <c r="I884" i="3" s="1"/>
  <c r="H894" i="3"/>
  <c r="I894" i="3" s="1"/>
  <c r="H904" i="3"/>
  <c r="I904" i="3" s="1"/>
  <c r="H910" i="3"/>
  <c r="I910" i="3" s="1"/>
  <c r="H945" i="3"/>
  <c r="I945" i="3" s="1"/>
  <c r="H956" i="3"/>
  <c r="I956" i="3" s="1"/>
  <c r="H961" i="3"/>
  <c r="I961" i="3" s="1"/>
  <c r="H997" i="3"/>
  <c r="I997" i="3" s="1"/>
  <c r="H1049" i="3"/>
  <c r="I1049" i="3" s="1"/>
  <c r="H1103" i="3"/>
  <c r="I1103" i="3" s="1"/>
  <c r="H1125" i="3"/>
  <c r="I1125" i="3" s="1"/>
  <c r="H1166" i="3"/>
  <c r="I1166" i="3" s="1"/>
  <c r="H1191" i="3"/>
  <c r="I1191" i="3" s="1"/>
  <c r="H1278" i="3"/>
  <c r="I1278" i="3" s="1"/>
  <c r="H1315" i="3"/>
  <c r="I1315" i="3" s="1"/>
  <c r="H1405" i="3"/>
  <c r="I1405" i="3" s="1"/>
  <c r="H1416" i="3"/>
  <c r="I1416" i="3" s="1"/>
  <c r="H1579" i="3"/>
  <c r="I1579" i="3" s="1"/>
  <c r="H1364" i="3"/>
  <c r="I1364" i="3" s="1"/>
  <c r="H1382" i="3"/>
  <c r="I1382" i="3" s="1"/>
  <c r="H1437" i="3"/>
  <c r="I1437" i="3" s="1"/>
  <c r="H1462" i="3"/>
  <c r="I1462" i="3" s="1"/>
  <c r="H1760" i="3"/>
  <c r="I1760" i="3" s="1"/>
  <c r="H2498" i="3"/>
  <c r="I2498" i="3" s="1"/>
  <c r="H468" i="3"/>
  <c r="I468" i="3" s="1"/>
  <c r="H503" i="3"/>
  <c r="I503" i="3" s="1"/>
  <c r="H519" i="3"/>
  <c r="I519" i="3" s="1"/>
  <c r="H562" i="3"/>
  <c r="I562" i="3" s="1"/>
  <c r="H611" i="3"/>
  <c r="I611" i="3" s="1"/>
  <c r="H621" i="3"/>
  <c r="I621" i="3" s="1"/>
  <c r="H637" i="3"/>
  <c r="I637" i="3" s="1"/>
  <c r="H670" i="3"/>
  <c r="I670" i="3" s="1"/>
  <c r="H685" i="3"/>
  <c r="I685" i="3" s="1"/>
  <c r="H748" i="3"/>
  <c r="I748" i="3" s="1"/>
  <c r="H764" i="3"/>
  <c r="I764" i="3" s="1"/>
  <c r="H803" i="3"/>
  <c r="I803" i="3" s="1"/>
  <c r="H808" i="3"/>
  <c r="I808" i="3" s="1"/>
  <c r="H833" i="3"/>
  <c r="I833" i="3" s="1"/>
  <c r="H843" i="3"/>
  <c r="I843" i="3" s="1"/>
  <c r="H854" i="3"/>
  <c r="I854" i="3" s="1"/>
  <c r="H890" i="3"/>
  <c r="I890" i="3" s="1"/>
  <c r="H905" i="3"/>
  <c r="I905" i="3" s="1"/>
  <c r="H916" i="3"/>
  <c r="I916" i="3" s="1"/>
  <c r="H926" i="3"/>
  <c r="I926" i="3" s="1"/>
  <c r="H936" i="3"/>
  <c r="I936" i="3" s="1"/>
  <c r="H946" i="3"/>
  <c r="I946" i="3" s="1"/>
  <c r="H952" i="3"/>
  <c r="I952" i="3" s="1"/>
  <c r="H957" i="3"/>
  <c r="I957" i="3" s="1"/>
  <c r="H974" i="3"/>
  <c r="I974" i="3" s="1"/>
  <c r="H998" i="3"/>
  <c r="I998" i="3" s="1"/>
  <c r="H1003" i="3"/>
  <c r="I1003" i="3" s="1"/>
  <c r="H1054" i="3"/>
  <c r="I1054" i="3" s="1"/>
  <c r="H1069" i="3"/>
  <c r="I1069" i="3" s="1"/>
  <c r="H1084" i="3"/>
  <c r="I1084" i="3" s="1"/>
  <c r="H1089" i="3"/>
  <c r="I1089" i="3" s="1"/>
  <c r="H1094" i="3"/>
  <c r="I1094" i="3" s="1"/>
  <c r="H1126" i="3"/>
  <c r="I1126" i="3" s="1"/>
  <c r="H1187" i="3"/>
  <c r="I1187" i="3" s="1"/>
  <c r="H1203" i="3"/>
  <c r="I1203" i="3" s="1"/>
  <c r="H1266" i="3"/>
  <c r="I1266" i="3" s="1"/>
  <c r="H1283" i="3"/>
  <c r="I1283" i="3" s="1"/>
  <c r="H1316" i="3"/>
  <c r="I1316" i="3" s="1"/>
  <c r="H1369" i="3"/>
  <c r="I1369" i="3" s="1"/>
  <c r="H1396" i="3"/>
  <c r="I1396" i="3" s="1"/>
  <c r="H1406" i="3"/>
  <c r="I1406" i="3" s="1"/>
  <c r="H1422" i="3"/>
  <c r="I1422" i="3" s="1"/>
  <c r="H1427" i="3"/>
  <c r="I1427" i="3" s="1"/>
  <c r="H1452" i="3"/>
  <c r="I1452" i="3" s="1"/>
  <c r="H1468" i="3"/>
  <c r="I1468" i="3" s="1"/>
  <c r="H1732" i="3"/>
  <c r="I1732" i="3" s="1"/>
  <c r="H2350" i="3"/>
  <c r="I2350" i="3" s="1"/>
  <c r="H1478" i="3"/>
  <c r="I1478" i="3" s="1"/>
  <c r="H1494" i="3"/>
  <c r="I1494" i="3" s="1"/>
  <c r="H1499" i="3"/>
  <c r="I1499" i="3" s="1"/>
  <c r="H1549" i="3"/>
  <c r="I1549" i="3" s="1"/>
  <c r="H1554" i="3"/>
  <c r="I1554" i="3" s="1"/>
  <c r="H1571" i="3"/>
  <c r="I1571" i="3" s="1"/>
  <c r="H1637" i="3"/>
  <c r="I1637" i="3" s="1"/>
  <c r="H1652" i="3"/>
  <c r="I1652" i="3" s="1"/>
  <c r="H1663" i="3"/>
  <c r="I1663" i="3" s="1"/>
  <c r="H1698" i="3"/>
  <c r="I1698" i="3" s="1"/>
  <c r="H1726" i="3"/>
  <c r="I1726" i="3" s="1"/>
  <c r="H1811" i="3"/>
  <c r="I1811" i="3" s="1"/>
  <c r="H1817" i="3"/>
  <c r="I1817" i="3" s="1"/>
  <c r="H1828" i="3"/>
  <c r="I1828" i="3" s="1"/>
  <c r="H1869" i="3"/>
  <c r="I1869" i="3" s="1"/>
  <c r="H1880" i="3"/>
  <c r="I1880" i="3" s="1"/>
  <c r="H1900" i="3"/>
  <c r="I1900" i="3" s="1"/>
  <c r="H1929" i="3"/>
  <c r="I1929" i="3" s="1"/>
  <c r="H1963" i="3"/>
  <c r="I1963" i="3" s="1"/>
  <c r="H2054" i="3"/>
  <c r="I2054" i="3" s="1"/>
  <c r="H2092" i="3"/>
  <c r="I2092" i="3" s="1"/>
  <c r="H2118" i="3"/>
  <c r="I2118" i="3" s="1"/>
  <c r="H2147" i="3"/>
  <c r="I2147" i="3" s="1"/>
  <c r="H2191" i="3"/>
  <c r="I2191" i="3" s="1"/>
  <c r="H2305" i="3"/>
  <c r="I2305" i="3" s="1"/>
  <c r="H2411" i="3"/>
  <c r="I2411" i="3" s="1"/>
  <c r="H2439" i="3"/>
  <c r="I2439" i="3" s="1"/>
  <c r="H1479" i="3"/>
  <c r="I1479" i="3" s="1"/>
  <c r="H1490" i="3"/>
  <c r="I1490" i="3" s="1"/>
  <c r="H1500" i="3"/>
  <c r="I1500" i="3" s="1"/>
  <c r="H1511" i="3"/>
  <c r="I1511" i="3" s="1"/>
  <c r="H1545" i="3"/>
  <c r="I1545" i="3" s="1"/>
  <c r="H1555" i="3"/>
  <c r="I1555" i="3" s="1"/>
  <c r="H1560" i="3"/>
  <c r="I1560" i="3" s="1"/>
  <c r="H1566" i="3"/>
  <c r="I1566" i="3" s="1"/>
  <c r="H1592" i="3"/>
  <c r="I1592" i="3" s="1"/>
  <c r="H1603" i="3"/>
  <c r="I1603" i="3" s="1"/>
  <c r="H1627" i="3"/>
  <c r="I1627" i="3" s="1"/>
  <c r="H1633" i="3"/>
  <c r="I1633" i="3" s="1"/>
  <c r="H1638" i="3"/>
  <c r="I1638" i="3" s="1"/>
  <c r="H1643" i="3"/>
  <c r="I1643" i="3" s="1"/>
  <c r="H1659" i="3"/>
  <c r="I1659" i="3" s="1"/>
  <c r="H1664" i="3"/>
  <c r="I1664" i="3" s="1"/>
  <c r="H1727" i="3"/>
  <c r="I1727" i="3" s="1"/>
  <c r="H1747" i="3"/>
  <c r="I1747" i="3" s="1"/>
  <c r="H1753" i="3"/>
  <c r="I1753" i="3" s="1"/>
  <c r="H1779" i="3"/>
  <c r="I1779" i="3" s="1"/>
  <c r="H1829" i="3"/>
  <c r="I1829" i="3" s="1"/>
  <c r="H1845" i="3"/>
  <c r="I1845" i="3" s="1"/>
  <c r="H1849" i="3"/>
  <c r="I1849" i="3" s="1"/>
  <c r="H1859" i="3"/>
  <c r="I1859" i="3" s="1"/>
  <c r="H1870" i="3"/>
  <c r="I1870" i="3" s="1"/>
  <c r="H1920" i="3"/>
  <c r="I1920" i="3" s="1"/>
  <c r="H1925" i="3"/>
  <c r="I1925" i="3" s="1"/>
  <c r="H1930" i="3"/>
  <c r="I1930" i="3" s="1"/>
  <c r="H1999" i="3"/>
  <c r="I1999" i="3" s="1"/>
  <c r="H2055" i="3"/>
  <c r="I2055" i="3" s="1"/>
  <c r="H2070" i="3"/>
  <c r="I2070" i="3" s="1"/>
  <c r="H2102" i="3"/>
  <c r="I2102" i="3" s="1"/>
  <c r="H2162" i="3"/>
  <c r="I2162" i="3" s="1"/>
  <c r="H2187" i="3"/>
  <c r="I2187" i="3" s="1"/>
  <c r="H2206" i="3"/>
  <c r="I2206" i="3" s="1"/>
  <c r="H2219" i="3"/>
  <c r="I2219" i="3" s="1"/>
  <c r="H2230" i="3"/>
  <c r="I2230" i="3" s="1"/>
  <c r="H2235" i="3"/>
  <c r="I2235" i="3" s="1"/>
  <c r="H2263" i="3"/>
  <c r="I2263" i="3" s="1"/>
  <c r="H2319" i="3"/>
  <c r="I2319" i="3" s="1"/>
  <c r="H2334" i="3"/>
  <c r="I2334" i="3" s="1"/>
  <c r="H2340" i="3"/>
  <c r="I2340" i="3" s="1"/>
  <c r="H2412" i="3"/>
  <c r="I2412" i="3" s="1"/>
  <c r="H2449" i="3"/>
  <c r="I2449" i="3" s="1"/>
  <c r="H2462" i="3"/>
  <c r="I2462" i="3" s="1"/>
  <c r="H2521" i="3"/>
  <c r="I2521" i="3" s="1"/>
  <c r="H2548" i="3"/>
  <c r="I2548" i="3" s="1"/>
  <c r="H1480" i="3"/>
  <c r="I1480" i="3" s="1"/>
  <c r="H1501" i="3"/>
  <c r="I1501" i="3" s="1"/>
  <c r="H1506" i="3"/>
  <c r="I1506" i="3" s="1"/>
  <c r="H1528" i="3"/>
  <c r="I1528" i="3" s="1"/>
  <c r="H1534" i="3"/>
  <c r="I1534" i="3" s="1"/>
  <c r="H1572" i="3"/>
  <c r="I1572" i="3" s="1"/>
  <c r="H1582" i="3"/>
  <c r="I1582" i="3" s="1"/>
  <c r="H1587" i="3"/>
  <c r="I1587" i="3" s="1"/>
  <c r="H1723" i="3"/>
  <c r="I1723" i="3" s="1"/>
  <c r="H1737" i="3"/>
  <c r="I1737" i="3" s="1"/>
  <c r="H1802" i="3"/>
  <c r="I1802" i="3" s="1"/>
  <c r="H1950" i="3"/>
  <c r="I1950" i="3" s="1"/>
  <c r="H1955" i="3"/>
  <c r="I1955" i="3" s="1"/>
  <c r="H2329" i="3"/>
  <c r="I2329" i="3" s="1"/>
  <c r="H2393" i="3"/>
  <c r="I2393" i="3" s="1"/>
  <c r="H2494" i="3"/>
  <c r="I2494" i="3" s="1"/>
  <c r="H2530" i="3"/>
  <c r="I2530" i="3" s="1"/>
  <c r="H1551" i="3"/>
  <c r="I1551" i="3" s="1"/>
  <c r="H1561" i="3"/>
  <c r="I1561" i="3" s="1"/>
  <c r="H1593" i="3"/>
  <c r="I1593" i="3" s="1"/>
  <c r="H1628" i="3"/>
  <c r="I1628" i="3" s="1"/>
  <c r="H1644" i="3"/>
  <c r="I1644" i="3" s="1"/>
  <c r="H1685" i="3"/>
  <c r="I1685" i="3" s="1"/>
  <c r="H1754" i="3"/>
  <c r="I1754" i="3" s="1"/>
  <c r="H1824" i="3"/>
  <c r="I1824" i="3" s="1"/>
  <c r="H1850" i="3"/>
  <c r="I1850" i="3" s="1"/>
  <c r="H1887" i="3"/>
  <c r="I1887" i="3" s="1"/>
  <c r="H1986" i="3"/>
  <c r="I1986" i="3" s="1"/>
  <c r="H1991" i="3"/>
  <c r="I1991" i="3" s="1"/>
  <c r="H2000" i="3"/>
  <c r="I2000" i="3" s="1"/>
  <c r="H2060" i="3"/>
  <c r="I2060" i="3" s="1"/>
  <c r="H2124" i="3"/>
  <c r="I2124" i="3" s="1"/>
  <c r="H2154" i="3"/>
  <c r="I2154" i="3" s="1"/>
  <c r="H1486" i="3"/>
  <c r="I1486" i="3" s="1"/>
  <c r="H1513" i="3"/>
  <c r="I1513" i="3" s="1"/>
  <c r="H1518" i="3"/>
  <c r="I1518" i="3" s="1"/>
  <c r="H1529" i="3"/>
  <c r="I1529" i="3" s="1"/>
  <c r="H1578" i="3"/>
  <c r="I1578" i="3" s="1"/>
  <c r="H1588" i="3"/>
  <c r="I1588" i="3" s="1"/>
  <c r="H1599" i="3"/>
  <c r="I1599" i="3" s="1"/>
  <c r="H1629" i="3"/>
  <c r="I1629" i="3" s="1"/>
  <c r="H1654" i="3"/>
  <c r="I1654" i="3" s="1"/>
  <c r="H1665" i="3"/>
  <c r="I1665" i="3" s="1"/>
  <c r="H1714" i="3"/>
  <c r="I1714" i="3" s="1"/>
  <c r="H1719" i="3"/>
  <c r="I1719" i="3" s="1"/>
  <c r="H1728" i="3"/>
  <c r="I1728" i="3" s="1"/>
  <c r="H1743" i="3"/>
  <c r="I1743" i="3" s="1"/>
  <c r="H1808" i="3"/>
  <c r="I1808" i="3" s="1"/>
  <c r="H1851" i="3"/>
  <c r="I1851" i="3" s="1"/>
  <c r="H1865" i="3"/>
  <c r="I1865" i="3" s="1"/>
  <c r="H1871" i="3"/>
  <c r="I1871" i="3" s="1"/>
  <c r="H1936" i="3"/>
  <c r="I1936" i="3" s="1"/>
  <c r="H1951" i="3"/>
  <c r="I1951" i="3" s="1"/>
  <c r="H1960" i="3"/>
  <c r="I1960" i="3" s="1"/>
  <c r="H2041" i="3"/>
  <c r="I2041" i="3" s="1"/>
  <c r="H2056" i="3"/>
  <c r="I2056" i="3" s="1"/>
  <c r="H2066" i="3"/>
  <c r="I2066" i="3" s="1"/>
  <c r="H2104" i="3"/>
  <c r="I2104" i="3" s="1"/>
  <c r="H2173" i="3"/>
  <c r="I2173" i="3" s="1"/>
  <c r="H2178" i="3"/>
  <c r="I2178" i="3" s="1"/>
  <c r="H2231" i="3"/>
  <c r="I2231" i="3" s="1"/>
  <c r="H2241" i="3"/>
  <c r="I2241" i="3" s="1"/>
  <c r="H2250" i="3"/>
  <c r="I2250" i="3" s="1"/>
  <c r="H2264" i="3"/>
  <c r="I2264" i="3" s="1"/>
  <c r="H2297" i="3"/>
  <c r="I2297" i="3" s="1"/>
  <c r="H2330" i="3"/>
  <c r="I2330" i="3" s="1"/>
  <c r="H2351" i="3"/>
  <c r="I2351" i="3" s="1"/>
  <c r="H2404" i="3"/>
  <c r="I2404" i="3" s="1"/>
  <c r="H2418" i="3"/>
  <c r="I2418" i="3" s="1"/>
  <c r="H2437" i="3"/>
  <c r="I2437" i="3" s="1"/>
  <c r="H2454" i="3"/>
  <c r="I2454" i="3" s="1"/>
  <c r="H2531" i="3"/>
  <c r="I2531" i="3" s="1"/>
  <c r="H1492" i="3"/>
  <c r="I1492" i="3" s="1"/>
  <c r="H1508" i="3"/>
  <c r="I1508" i="3" s="1"/>
  <c r="H1525" i="3"/>
  <c r="I1525" i="3" s="1"/>
  <c r="H1530" i="3"/>
  <c r="I1530" i="3" s="1"/>
  <c r="H1547" i="3"/>
  <c r="I1547" i="3" s="1"/>
  <c r="H1568" i="3"/>
  <c r="I1568" i="3" s="1"/>
  <c r="H1584" i="3"/>
  <c r="I1584" i="3" s="1"/>
  <c r="H1600" i="3"/>
  <c r="I1600" i="3" s="1"/>
  <c r="H1618" i="3"/>
  <c r="I1618" i="3" s="1"/>
  <c r="H1635" i="3"/>
  <c r="I1635" i="3" s="1"/>
  <c r="H1640" i="3"/>
  <c r="I1640" i="3" s="1"/>
  <c r="H1655" i="3"/>
  <c r="I1655" i="3" s="1"/>
  <c r="H1671" i="3"/>
  <c r="I1671" i="3" s="1"/>
  <c r="H1687" i="3"/>
  <c r="I1687" i="3" s="1"/>
  <c r="H1710" i="3"/>
  <c r="I1710" i="3" s="1"/>
  <c r="H1720" i="3"/>
  <c r="I1720" i="3" s="1"/>
  <c r="H1775" i="3"/>
  <c r="I1775" i="3" s="1"/>
  <c r="H1781" i="3"/>
  <c r="I1781" i="3" s="1"/>
  <c r="H1792" i="3"/>
  <c r="I1792" i="3" s="1"/>
  <c r="H1809" i="3"/>
  <c r="I1809" i="3" s="1"/>
  <c r="H1815" i="3"/>
  <c r="I1815" i="3" s="1"/>
  <c r="H1893" i="3"/>
  <c r="I1893" i="3" s="1"/>
  <c r="H1908" i="3"/>
  <c r="I1908" i="3" s="1"/>
  <c r="H1937" i="3"/>
  <c r="I1937" i="3" s="1"/>
  <c r="H1967" i="3"/>
  <c r="I1967" i="3" s="1"/>
  <c r="H1978" i="3"/>
  <c r="I1978" i="3" s="1"/>
  <c r="H1982" i="3"/>
  <c r="I1982" i="3" s="1"/>
  <c r="H2012" i="3"/>
  <c r="I2012" i="3" s="1"/>
  <c r="H2046" i="3"/>
  <c r="I2046" i="3" s="1"/>
  <c r="H2110" i="3"/>
  <c r="I2110" i="3" s="1"/>
  <c r="H2169" i="3"/>
  <c r="I2169" i="3" s="1"/>
  <c r="H2265" i="3"/>
  <c r="I2265" i="3" s="1"/>
  <c r="H2270" i="3"/>
  <c r="I2270" i="3" s="1"/>
  <c r="H2289" i="3"/>
  <c r="I2289" i="3" s="1"/>
  <c r="H2302" i="3"/>
  <c r="I2302" i="3" s="1"/>
  <c r="H2307" i="3"/>
  <c r="I2307" i="3" s="1"/>
  <c r="H2347" i="3"/>
  <c r="I2347" i="3" s="1"/>
  <c r="H2352" i="3"/>
  <c r="I2352" i="3" s="1"/>
  <c r="H2357" i="3"/>
  <c r="I2357" i="3" s="1"/>
  <c r="H2464" i="3"/>
  <c r="I2464" i="3" s="1"/>
  <c r="H2508" i="3"/>
  <c r="I2508" i="3" s="1"/>
  <c r="H2579" i="3"/>
  <c r="I2579" i="3" s="1"/>
  <c r="I2578" i="3" s="1"/>
  <c r="H1563" i="3"/>
  <c r="I1563" i="3" s="1"/>
  <c r="H1610" i="3"/>
  <c r="I1610" i="3" s="1"/>
  <c r="H1630" i="3"/>
  <c r="I1630" i="3" s="1"/>
  <c r="H1641" i="3"/>
  <c r="I1641" i="3" s="1"/>
  <c r="H1701" i="3"/>
  <c r="I1701" i="3" s="1"/>
  <c r="H1750" i="3"/>
  <c r="I1750" i="3" s="1"/>
  <c r="H1766" i="3"/>
  <c r="I1766" i="3" s="1"/>
  <c r="H1838" i="3"/>
  <c r="I1838" i="3" s="1"/>
  <c r="H1867" i="3"/>
  <c r="I1867" i="3" s="1"/>
  <c r="H2047" i="3"/>
  <c r="I2047" i="3" s="1"/>
  <c r="H2052" i="3"/>
  <c r="I2052" i="3" s="1"/>
  <c r="H2105" i="3"/>
  <c r="I2105" i="3" s="1"/>
  <c r="H2116" i="3"/>
  <c r="I2116" i="3" s="1"/>
  <c r="H2164" i="3"/>
  <c r="I2164" i="3" s="1"/>
  <c r="H2179" i="3"/>
  <c r="I2179" i="3" s="1"/>
  <c r="H2284" i="3"/>
  <c r="I2284" i="3" s="1"/>
  <c r="H2322" i="3"/>
  <c r="I2322" i="3" s="1"/>
  <c r="H2348" i="3"/>
  <c r="I2348" i="3" s="1"/>
  <c r="H2546" i="3"/>
  <c r="I2546" i="3" s="1"/>
  <c r="H1477" i="3"/>
  <c r="I1477" i="3" s="1"/>
  <c r="H1520" i="3"/>
  <c r="I1520" i="3" s="1"/>
  <c r="H1537" i="3"/>
  <c r="I1537" i="3" s="1"/>
  <c r="H1553" i="3"/>
  <c r="I1553" i="3" s="1"/>
  <c r="H1590" i="3"/>
  <c r="I1590" i="3" s="1"/>
  <c r="H1662" i="3"/>
  <c r="I1662" i="3" s="1"/>
  <c r="H1706" i="3"/>
  <c r="I1706" i="3" s="1"/>
  <c r="H1793" i="3"/>
  <c r="I1793" i="3" s="1"/>
  <c r="H1799" i="3"/>
  <c r="I1799" i="3" s="1"/>
  <c r="H1923" i="3"/>
  <c r="I1923" i="3" s="1"/>
  <c r="H1943" i="3"/>
  <c r="I1943" i="3" s="1"/>
  <c r="H2003" i="3"/>
  <c r="I2003" i="3" s="1"/>
  <c r="H2290" i="3"/>
  <c r="I2290" i="3" s="1"/>
  <c r="H2367" i="3"/>
  <c r="I2367" i="3" s="1"/>
  <c r="H2420" i="3"/>
  <c r="I2420" i="3" s="1"/>
  <c r="H2430" i="3"/>
  <c r="I2430" i="3" s="1"/>
  <c r="H2434" i="3"/>
  <c r="I2434" i="3" s="1"/>
  <c r="H2447" i="3"/>
  <c r="I2447" i="3" s="1"/>
  <c r="H1538" i="3"/>
  <c r="I1538" i="3" s="1"/>
  <c r="H1543" i="3"/>
  <c r="I1543" i="3" s="1"/>
  <c r="H1548" i="3"/>
  <c r="I1548" i="3" s="1"/>
  <c r="H1564" i="3"/>
  <c r="I1564" i="3" s="1"/>
  <c r="H1580" i="3"/>
  <c r="I1580" i="3" s="1"/>
  <c r="H1596" i="3"/>
  <c r="I1596" i="3" s="1"/>
  <c r="H1667" i="3"/>
  <c r="I1667" i="3" s="1"/>
  <c r="H1772" i="3"/>
  <c r="I1772" i="3" s="1"/>
  <c r="H1827" i="3"/>
  <c r="I1827" i="3" s="1"/>
  <c r="H1853" i="3"/>
  <c r="I1853" i="3" s="1"/>
  <c r="H1862" i="3"/>
  <c r="I1862" i="3" s="1"/>
  <c r="H1884" i="3"/>
  <c r="I1884" i="3" s="1"/>
  <c r="H1899" i="3"/>
  <c r="I1899" i="3" s="1"/>
  <c r="H1928" i="3"/>
  <c r="I1928" i="3" s="1"/>
  <c r="H2023" i="3"/>
  <c r="I2023" i="3" s="1"/>
  <c r="H2037" i="3"/>
  <c r="I2037" i="3" s="1"/>
  <c r="H2077" i="3"/>
  <c r="I2077" i="3" s="1"/>
  <c r="H2096" i="3"/>
  <c r="I2096" i="3" s="1"/>
  <c r="H2165" i="3"/>
  <c r="I2165" i="3" s="1"/>
  <c r="H2194" i="3"/>
  <c r="I2194" i="3" s="1"/>
  <c r="H1473" i="3"/>
  <c r="I1473" i="3" s="1"/>
  <c r="H1565" i="3"/>
  <c r="I1565" i="3" s="1"/>
  <c r="H1586" i="3"/>
  <c r="I1586" i="3" s="1"/>
  <c r="H1620" i="3"/>
  <c r="I1620" i="3" s="1"/>
  <c r="H1677" i="3"/>
  <c r="I1677" i="3" s="1"/>
  <c r="H1740" i="3"/>
  <c r="I1740" i="3" s="1"/>
  <c r="H1761" i="3"/>
  <c r="I1761" i="3" s="1"/>
  <c r="H1777" i="3"/>
  <c r="I1777" i="3" s="1"/>
  <c r="H1788" i="3"/>
  <c r="I1788" i="3" s="1"/>
  <c r="H1904" i="3"/>
  <c r="I1904" i="3" s="1"/>
  <c r="H2142" i="3"/>
  <c r="I2142" i="3" s="1"/>
  <c r="H2228" i="3"/>
  <c r="I2228" i="3" s="1"/>
  <c r="H2304" i="3"/>
  <c r="I2304" i="3" s="1"/>
  <c r="H2354" i="3"/>
  <c r="I2354" i="3" s="1"/>
  <c r="H2368" i="3"/>
  <c r="I2368" i="3" s="1"/>
  <c r="H2421" i="3"/>
  <c r="I2421" i="3" s="1"/>
  <c r="H2435" i="3"/>
  <c r="I2435" i="3" s="1"/>
  <c r="H2452" i="3"/>
  <c r="I2452" i="3" s="1"/>
  <c r="H2479" i="3"/>
  <c r="I2479" i="3" s="1"/>
  <c r="H2510" i="3"/>
  <c r="I2510" i="3" s="1"/>
  <c r="H2534" i="3"/>
  <c r="I2534" i="3" s="1"/>
  <c r="H2575" i="3"/>
  <c r="I2575" i="3" s="1"/>
  <c r="H174" i="4"/>
  <c r="I174" i="4" s="1"/>
  <c r="H202" i="4"/>
  <c r="I202" i="4" s="1"/>
  <c r="H261" i="4"/>
  <c r="I261" i="4" s="1"/>
  <c r="H271" i="4"/>
  <c r="I271" i="4" s="1"/>
  <c r="H290" i="4"/>
  <c r="I290" i="4" s="1"/>
  <c r="H399" i="4"/>
  <c r="I399" i="4" s="1"/>
  <c r="H123" i="4"/>
  <c r="I123" i="4" s="1"/>
  <c r="H223" i="4"/>
  <c r="I223" i="4" s="1"/>
  <c r="H357" i="4"/>
  <c r="I357" i="4" s="1"/>
  <c r="H415" i="4"/>
  <c r="I415" i="4" s="1"/>
  <c r="B15" i="4"/>
  <c r="B16" i="4" s="1"/>
  <c r="H117" i="4"/>
  <c r="I117" i="4" s="1"/>
  <c r="H145" i="4"/>
  <c r="I145" i="4" s="1"/>
  <c r="H268" i="4"/>
  <c r="I268" i="4" s="1"/>
  <c r="H373" i="4"/>
  <c r="I373" i="4" s="1"/>
  <c r="H114" i="4"/>
  <c r="I114" i="4" s="1"/>
  <c r="H287" i="4"/>
  <c r="I287" i="4" s="1"/>
  <c r="H431" i="4"/>
  <c r="I431" i="4" s="1"/>
  <c r="H437" i="4"/>
  <c r="I437" i="4" s="1"/>
  <c r="H108" i="4"/>
  <c r="I108" i="4" s="1"/>
  <c r="H142" i="4"/>
  <c r="I142" i="4" s="1"/>
  <c r="H154" i="4"/>
  <c r="I154" i="4" s="1"/>
  <c r="H229" i="4"/>
  <c r="I229" i="4" s="1"/>
  <c r="H278" i="4"/>
  <c r="I278" i="4" s="1"/>
  <c r="H139" i="4"/>
  <c r="I139" i="4" s="1"/>
  <c r="H151" i="4"/>
  <c r="I151" i="4" s="1"/>
  <c r="H193" i="4"/>
  <c r="I193" i="4" s="1"/>
  <c r="H252" i="4"/>
  <c r="I252" i="4" s="1"/>
  <c r="H284" i="4"/>
  <c r="I284" i="4" s="1"/>
  <c r="H341" i="4"/>
  <c r="I341" i="4" s="1"/>
  <c r="H460" i="4"/>
  <c r="I460" i="4" s="1"/>
  <c r="H470" i="4"/>
  <c r="I470" i="4" s="1"/>
  <c r="H525" i="4"/>
  <c r="I525" i="4" s="1"/>
  <c r="H533" i="4"/>
  <c r="I533" i="4" s="1"/>
  <c r="H610" i="4"/>
  <c r="I610" i="4" s="1"/>
  <c r="H691" i="4"/>
  <c r="I691" i="4" s="1"/>
  <c r="H771" i="4"/>
  <c r="I771" i="4" s="1"/>
  <c r="H495" i="4"/>
  <c r="I495" i="4" s="1"/>
  <c r="H623" i="4"/>
  <c r="I623" i="4" s="1"/>
  <c r="H632" i="4"/>
  <c r="I632" i="4" s="1"/>
  <c r="H703" i="4"/>
  <c r="I703" i="4" s="1"/>
  <c r="H741" i="4"/>
  <c r="I741" i="4" s="1"/>
  <c r="H514" i="4"/>
  <c r="I514" i="4" s="1"/>
  <c r="H549" i="4"/>
  <c r="I549" i="4" s="1"/>
  <c r="H644" i="4"/>
  <c r="I644" i="4" s="1"/>
  <c r="H674" i="4"/>
  <c r="I674" i="4" s="1"/>
  <c r="H550" i="4"/>
  <c r="I550" i="4" s="1"/>
  <c r="H566" i="4"/>
  <c r="I566" i="4" s="1"/>
  <c r="H629" i="4"/>
  <c r="I629" i="4" s="1"/>
  <c r="H722" i="4"/>
  <c r="I722" i="4" s="1"/>
  <c r="H738" i="4"/>
  <c r="I738" i="4" s="1"/>
  <c r="H575" i="4"/>
  <c r="I575" i="4" s="1"/>
  <c r="H579" i="4"/>
  <c r="I579" i="4" s="1"/>
  <c r="H656" i="4"/>
  <c r="I656" i="4" s="1"/>
  <c r="H735" i="4"/>
  <c r="I735" i="4" s="1"/>
  <c r="H486" i="4"/>
  <c r="I486" i="4" s="1"/>
  <c r="H512" i="4"/>
  <c r="I512" i="4" s="1"/>
  <c r="H684" i="4"/>
  <c r="I684" i="4" s="1"/>
  <c r="H817" i="4"/>
  <c r="I817" i="4" s="1"/>
  <c r="H841" i="4"/>
  <c r="I841" i="4" s="1"/>
  <c r="H871" i="4"/>
  <c r="I871" i="4" s="1"/>
  <c r="H1106" i="4"/>
  <c r="I1106" i="4" s="1"/>
  <c r="H768" i="4"/>
  <c r="I768" i="4" s="1"/>
  <c r="H803" i="4"/>
  <c r="I803" i="4" s="1"/>
  <c r="H814" i="4"/>
  <c r="I814" i="4" s="1"/>
  <c r="H811" i="4"/>
  <c r="I811" i="4" s="1"/>
  <c r="H1188" i="4"/>
  <c r="I1188" i="4" s="1"/>
  <c r="H1219" i="4"/>
  <c r="I1219" i="4" s="1"/>
  <c r="H760" i="4"/>
  <c r="I760" i="4" s="1"/>
  <c r="H866" i="4"/>
  <c r="I866" i="4" s="1"/>
  <c r="H904" i="4"/>
  <c r="I904" i="4" s="1"/>
  <c r="H1185" i="4"/>
  <c r="I1185" i="4" s="1"/>
  <c r="H989" i="4"/>
  <c r="I989" i="4" s="1"/>
  <c r="H992" i="4"/>
  <c r="I992" i="4" s="1"/>
  <c r="H1033" i="4"/>
  <c r="I1033" i="4" s="1"/>
  <c r="H1044" i="4"/>
  <c r="I1044" i="4" s="1"/>
  <c r="H1050" i="4"/>
  <c r="I1050" i="4" s="1"/>
  <c r="H1103" i="4"/>
  <c r="I1103" i="4" s="1"/>
  <c r="H1118" i="4"/>
  <c r="I1118" i="4" s="1"/>
  <c r="H1199" i="4"/>
  <c r="I1199" i="4" s="1"/>
  <c r="H1223" i="4"/>
  <c r="I1223" i="4" s="1"/>
  <c r="H1172" i="4"/>
  <c r="I1172" i="4" s="1"/>
  <c r="H921" i="4"/>
  <c r="I921" i="4" s="1"/>
  <c r="H966" i="4"/>
  <c r="I966" i="4" s="1"/>
  <c r="H1141" i="4"/>
  <c r="I1141" i="4" s="1"/>
  <c r="H999" i="4"/>
  <c r="I999" i="4" s="1"/>
  <c r="H1035" i="4"/>
  <c r="I1035" i="4" s="1"/>
  <c r="H1045" i="4"/>
  <c r="I1045" i="4" s="1"/>
  <c r="H1055" i="4"/>
  <c r="I1055" i="4" s="1"/>
  <c r="H1061" i="4"/>
  <c r="I1061" i="4" s="1"/>
  <c r="H1186" i="4"/>
  <c r="I1186" i="4" s="1"/>
  <c r="H1246" i="4"/>
  <c r="I1246" i="4" s="1"/>
  <c r="H1153" i="4"/>
  <c r="I1153" i="4" s="1"/>
  <c r="H1183" i="4"/>
  <c r="I1183" i="4" s="1"/>
  <c r="H936" i="4"/>
  <c r="I936" i="4" s="1"/>
  <c r="H1026" i="4"/>
  <c r="I1026" i="4" s="1"/>
  <c r="H933" i="4"/>
  <c r="I933" i="4" s="1"/>
  <c r="H939" i="4"/>
  <c r="I939" i="4" s="1"/>
  <c r="H1056" i="4"/>
  <c r="I1056" i="4" s="1"/>
  <c r="H1099" i="4"/>
  <c r="I1099" i="4" s="1"/>
  <c r="H1134" i="4"/>
  <c r="I1134" i="4" s="1"/>
  <c r="H1143" i="4"/>
  <c r="I1143" i="4" s="1"/>
  <c r="H1270" i="4"/>
  <c r="I1270" i="4" s="1"/>
  <c r="H995" i="4"/>
  <c r="I995" i="4" s="1"/>
  <c r="H1053" i="4"/>
  <c r="I1053" i="4" s="1"/>
  <c r="H1067" i="4"/>
  <c r="I1067" i="4" s="1"/>
  <c r="H1308" i="4"/>
  <c r="I1308" i="4" s="1"/>
  <c r="H1207" i="4"/>
  <c r="I1207" i="4" s="1"/>
  <c r="H1085" i="4"/>
  <c r="I1085" i="4" s="1"/>
  <c r="H1267" i="4"/>
  <c r="I1267" i="4" s="1"/>
  <c r="H1148" i="4"/>
  <c r="I1148" i="4" s="1"/>
  <c r="H1191" i="4"/>
  <c r="I1191" i="4" s="1"/>
  <c r="H1214" i="4"/>
  <c r="I1214" i="4" s="1"/>
  <c r="H1238" i="4"/>
  <c r="I1238" i="4" s="1"/>
  <c r="H1280" i="4"/>
  <c r="I1280" i="4" s="1"/>
  <c r="H1374" i="4"/>
  <c r="I1374" i="4" s="1"/>
  <c r="H1517" i="4"/>
  <c r="I1517" i="4" s="1"/>
  <c r="H1744" i="4"/>
  <c r="I1744" i="4" s="1"/>
  <c r="H1561" i="4"/>
  <c r="I1561" i="4" s="1"/>
  <c r="H1261" i="4"/>
  <c r="I1261" i="4" s="1"/>
  <c r="H1318" i="4"/>
  <c r="I1318" i="4" s="1"/>
  <c r="H1335" i="4"/>
  <c r="I1335" i="4" s="1"/>
  <c r="H1392" i="4"/>
  <c r="I1392" i="4" s="1"/>
  <c r="H1444" i="4"/>
  <c r="I1444" i="4" s="1"/>
  <c r="H1344" i="4"/>
  <c r="I1344" i="4" s="1"/>
  <c r="H1468" i="4"/>
  <c r="I1468" i="4" s="1"/>
  <c r="H1610" i="4"/>
  <c r="I1610" i="4" s="1"/>
  <c r="H1645" i="4"/>
  <c r="I1645" i="4" s="1"/>
  <c r="H1641" i="4"/>
  <c r="I1641" i="4" s="1"/>
  <c r="H1300" i="4"/>
  <c r="I1300" i="4" s="1"/>
  <c r="H1492" i="4"/>
  <c r="I1492" i="4" s="1"/>
  <c r="H1534" i="4"/>
  <c r="I1534" i="4" s="1"/>
  <c r="H1626" i="4"/>
  <c r="I1626" i="4" s="1"/>
  <c r="H1648" i="4"/>
  <c r="I1648" i="4" s="1"/>
  <c r="H1600" i="4"/>
  <c r="I1600" i="4" s="1"/>
  <c r="H1630" i="4"/>
  <c r="I1630" i="4" s="1"/>
  <c r="H1713" i="4"/>
  <c r="I1713" i="4" s="1"/>
  <c r="H1615" i="4"/>
  <c r="I1615" i="4" s="1"/>
  <c r="H1739" i="4"/>
  <c r="I1739" i="4" s="1"/>
  <c r="H1828" i="4"/>
  <c r="I1828" i="4" s="1"/>
  <c r="H1841" i="4"/>
  <c r="I1841" i="4" s="1"/>
  <c r="H1873" i="4"/>
  <c r="I1873" i="4" s="1"/>
  <c r="H1911" i="4"/>
  <c r="I1911" i="4" s="1"/>
  <c r="H2036" i="4"/>
  <c r="I2036" i="4" s="1"/>
  <c r="H2081" i="4"/>
  <c r="I2081" i="4" s="1"/>
  <c r="H2166" i="4"/>
  <c r="I2166" i="4" s="1"/>
  <c r="H2176" i="4"/>
  <c r="I2176" i="4" s="1"/>
  <c r="H1782" i="4"/>
  <c r="I1782" i="4" s="1"/>
  <c r="H1812" i="4"/>
  <c r="I1812" i="4" s="1"/>
  <c r="H1854" i="4"/>
  <c r="I1854" i="4" s="1"/>
  <c r="H1961" i="4"/>
  <c r="I1961" i="4" s="1"/>
  <c r="H1996" i="4"/>
  <c r="I1996" i="4" s="1"/>
  <c r="H2068" i="4"/>
  <c r="I2068" i="4" s="1"/>
  <c r="H2114" i="4"/>
  <c r="I2114" i="4" s="1"/>
  <c r="H2186" i="4"/>
  <c r="I2186" i="4" s="1"/>
  <c r="H1767" i="4"/>
  <c r="I1767" i="4" s="1"/>
  <c r="H1791" i="4"/>
  <c r="I1791" i="4" s="1"/>
  <c r="H1820" i="4"/>
  <c r="I1820" i="4" s="1"/>
  <c r="H1833" i="4"/>
  <c r="I1833" i="4" s="1"/>
  <c r="H1862" i="4"/>
  <c r="I1862" i="4" s="1"/>
  <c r="H1921" i="4"/>
  <c r="I1921" i="4" s="1"/>
  <c r="H1934" i="4"/>
  <c r="I1934" i="4" s="1"/>
  <c r="H1947" i="4"/>
  <c r="I1947" i="4" s="1"/>
  <c r="H1970" i="4"/>
  <c r="I1970" i="4" s="1"/>
  <c r="H1975" i="4"/>
  <c r="I1975" i="4" s="1"/>
  <c r="H1983" i="4"/>
  <c r="I1983" i="4" s="1"/>
  <c r="H2024" i="4"/>
  <c r="I2024" i="4" s="1"/>
  <c r="H2124" i="4"/>
  <c r="I2124" i="4" s="1"/>
  <c r="H1759" i="4"/>
  <c r="I1759" i="4" s="1"/>
  <c r="H1792" i="4"/>
  <c r="I1792" i="4" s="1"/>
  <c r="H1834" i="4"/>
  <c r="I1834" i="4" s="1"/>
  <c r="H2101" i="4"/>
  <c r="I2101" i="4" s="1"/>
  <c r="H1788" i="4"/>
  <c r="I1788" i="4" s="1"/>
  <c r="H1830" i="4"/>
  <c r="I1830" i="4" s="1"/>
  <c r="H1843" i="4"/>
  <c r="I1843" i="4" s="1"/>
  <c r="H1949" i="4"/>
  <c r="I1949" i="4" s="1"/>
  <c r="H1967" i="4"/>
  <c r="I1967" i="4" s="1"/>
  <c r="H2003" i="4"/>
  <c r="I2003" i="4" s="1"/>
  <c r="H2029" i="4"/>
  <c r="I2029" i="4" s="1"/>
  <c r="H2088" i="4"/>
  <c r="I2088" i="4" s="1"/>
  <c r="H2140" i="4"/>
  <c r="I2140" i="4" s="1"/>
  <c r="H1789" i="4"/>
  <c r="I1789" i="4" s="1"/>
  <c r="H1831" i="4"/>
  <c r="I1831" i="4" s="1"/>
  <c r="H1844" i="4"/>
  <c r="I1844" i="4" s="1"/>
  <c r="H1954" i="4"/>
  <c r="I1954" i="4" s="1"/>
  <c r="H2108" i="4"/>
  <c r="I2108" i="4" s="1"/>
  <c r="H2121" i="4"/>
  <c r="I2121" i="4" s="1"/>
  <c r="H1827" i="4"/>
  <c r="I1827" i="4" s="1"/>
  <c r="H1888" i="4"/>
  <c r="I1888" i="4" s="1"/>
  <c r="H1901" i="4"/>
  <c r="I1901" i="4" s="1"/>
  <c r="H1906" i="4"/>
  <c r="I1906" i="4" s="1"/>
  <c r="H2094" i="4"/>
  <c r="I2094" i="4" s="1"/>
  <c r="H2137" i="4"/>
  <c r="I2137" i="4" s="1"/>
  <c r="H2146" i="4"/>
  <c r="I2146" i="4" s="1"/>
  <c r="H2267" i="4"/>
  <c r="I2267" i="4" s="1"/>
  <c r="H2308" i="4"/>
  <c r="I2308" i="4" s="1"/>
  <c r="H2322" i="4"/>
  <c r="I2322" i="4" s="1"/>
  <c r="H2326" i="4"/>
  <c r="I2326" i="4" s="1"/>
  <c r="H2348" i="4"/>
  <c r="I2348" i="4" s="1"/>
  <c r="H2352" i="4"/>
  <c r="I2352" i="4" s="1"/>
  <c r="H2365" i="4"/>
  <c r="I2365" i="4" s="1"/>
  <c r="H2517" i="4"/>
  <c r="I2517" i="4" s="1"/>
  <c r="H2553" i="4"/>
  <c r="I2553" i="4" s="1"/>
  <c r="H2196" i="4"/>
  <c r="I2196" i="4" s="1"/>
  <c r="I2572" i="4"/>
  <c r="H2269" i="4"/>
  <c r="I2269" i="4" s="1"/>
  <c r="H2441" i="4"/>
  <c r="I2441" i="4" s="1"/>
  <c r="H2510" i="4"/>
  <c r="I2510" i="4" s="1"/>
  <c r="H2564" i="4"/>
  <c r="I2564" i="4" s="1"/>
  <c r="H2301" i="4"/>
  <c r="I2301" i="4" s="1"/>
  <c r="H2305" i="4"/>
  <c r="I2305" i="4" s="1"/>
  <c r="H2419" i="4"/>
  <c r="I2419" i="4" s="1"/>
  <c r="H2270" i="4"/>
  <c r="I2270" i="4" s="1"/>
  <c r="H2319" i="4"/>
  <c r="I2319" i="4" s="1"/>
  <c r="H2221" i="4"/>
  <c r="I2221" i="4" s="1"/>
  <c r="H2260" i="4"/>
  <c r="I2260" i="4" s="1"/>
  <c r="H2311" i="4"/>
  <c r="I2311" i="4" s="1"/>
  <c r="H2429" i="4"/>
  <c r="I2429" i="4" s="1"/>
  <c r="H2490" i="4"/>
  <c r="I2490" i="4" s="1"/>
  <c r="H2582" i="4"/>
  <c r="I2582" i="4" s="1"/>
  <c r="H2605" i="4"/>
  <c r="I2605" i="4" s="1"/>
  <c r="H2216" i="4"/>
  <c r="I2216" i="4" s="1"/>
  <c r="H2222" i="4"/>
  <c r="I2222" i="4" s="1"/>
  <c r="H2451" i="4"/>
  <c r="I2451" i="4" s="1"/>
  <c r="H2534" i="4"/>
  <c r="I2534" i="4" s="1"/>
  <c r="H352" i="3"/>
  <c r="I352" i="3" s="1"/>
  <c r="H361" i="3"/>
  <c r="I361" i="3" s="1"/>
  <c r="H374" i="3"/>
  <c r="I374" i="3" s="1"/>
  <c r="H410" i="3"/>
  <c r="I410" i="3" s="1"/>
  <c r="H191" i="3"/>
  <c r="I191" i="3" s="1"/>
  <c r="H283" i="3"/>
  <c r="I283" i="3" s="1"/>
  <c r="H384" i="3"/>
  <c r="I384" i="3" s="1"/>
  <c r="B15" i="3"/>
  <c r="H150" i="3"/>
  <c r="I150" i="3" s="1"/>
  <c r="H252" i="3"/>
  <c r="I252" i="3" s="1"/>
  <c r="H358" i="3"/>
  <c r="I358" i="3" s="1"/>
  <c r="H407" i="3"/>
  <c r="I407" i="3" s="1"/>
  <c r="H46" i="3"/>
  <c r="I46" i="3" s="1"/>
  <c r="H188" i="3"/>
  <c r="I188" i="3" s="1"/>
  <c r="H426" i="3"/>
  <c r="I426" i="3" s="1"/>
  <c r="H445" i="3"/>
  <c r="I445" i="3" s="1"/>
  <c r="H144" i="3"/>
  <c r="I144" i="3" s="1"/>
  <c r="H355" i="3"/>
  <c r="I355" i="3" s="1"/>
  <c r="H50" i="3"/>
  <c r="I50" i="3" s="1"/>
  <c r="H141" i="3"/>
  <c r="I141" i="3" s="1"/>
  <c r="H400" i="3"/>
  <c r="I400" i="3" s="1"/>
  <c r="H277" i="3"/>
  <c r="I277" i="3" s="1"/>
  <c r="H286" i="3"/>
  <c r="I286" i="3" s="1"/>
  <c r="H308" i="3"/>
  <c r="I308" i="3" s="1"/>
  <c r="H324" i="3"/>
  <c r="I324" i="3" s="1"/>
  <c r="H336" i="3"/>
  <c r="I336" i="3" s="1"/>
  <c r="H448" i="3"/>
  <c r="I448" i="3" s="1"/>
  <c r="H635" i="3"/>
  <c r="I635" i="3" s="1"/>
  <c r="H746" i="3"/>
  <c r="I746" i="3" s="1"/>
  <c r="H608" i="3"/>
  <c r="I608" i="3" s="1"/>
  <c r="H646" i="3"/>
  <c r="I646" i="3" s="1"/>
  <c r="H821" i="3"/>
  <c r="I821" i="3" s="1"/>
  <c r="H840" i="3"/>
  <c r="I840" i="3" s="1"/>
  <c r="H863" i="3"/>
  <c r="I863" i="3" s="1"/>
  <c r="H557" i="3"/>
  <c r="I557" i="3" s="1"/>
  <c r="H602" i="3"/>
  <c r="I602" i="3" s="1"/>
  <c r="H728" i="3"/>
  <c r="I728" i="3" s="1"/>
  <c r="H765" i="3"/>
  <c r="I765" i="3" s="1"/>
  <c r="H781" i="3"/>
  <c r="I781" i="3" s="1"/>
  <c r="H651" i="3"/>
  <c r="I651" i="3" s="1"/>
  <c r="H677" i="3"/>
  <c r="I677" i="3" s="1"/>
  <c r="H721" i="3"/>
  <c r="I721" i="3" s="1"/>
  <c r="H541" i="3"/>
  <c r="I541" i="3" s="1"/>
  <c r="H699" i="3"/>
  <c r="I699" i="3" s="1"/>
  <c r="H737" i="3"/>
  <c r="I737" i="3" s="1"/>
  <c r="H718" i="3"/>
  <c r="I718" i="3" s="1"/>
  <c r="H1026" i="3"/>
  <c r="I1026" i="3" s="1"/>
  <c r="H1048" i="3"/>
  <c r="I1048" i="3" s="1"/>
  <c r="H1142" i="3"/>
  <c r="I1142" i="3" s="1"/>
  <c r="H981" i="3"/>
  <c r="I981" i="3" s="1"/>
  <c r="H1115" i="3"/>
  <c r="I1115" i="3" s="1"/>
  <c r="H978" i="3"/>
  <c r="I978" i="3" s="1"/>
  <c r="H1080" i="3"/>
  <c r="I1080" i="3" s="1"/>
  <c r="H1011" i="3"/>
  <c r="I1011" i="3" s="1"/>
  <c r="H1102" i="3"/>
  <c r="I1102" i="3" s="1"/>
  <c r="H1017" i="3"/>
  <c r="I1017" i="3" s="1"/>
  <c r="H1029" i="3"/>
  <c r="I1029" i="3" s="1"/>
  <c r="H1065" i="3"/>
  <c r="I1065" i="3" s="1"/>
  <c r="I1393" i="3"/>
  <c r="H1400" i="3"/>
  <c r="I1400" i="3" s="1"/>
  <c r="H1418" i="3"/>
  <c r="I1418" i="3" s="1"/>
  <c r="I1391" i="3"/>
  <c r="H1350" i="3"/>
  <c r="I1350" i="3" s="1"/>
  <c r="H1362" i="3"/>
  <c r="I1362" i="3" s="1"/>
  <c r="H1419" i="3"/>
  <c r="I1419" i="3" s="1"/>
  <c r="H1434" i="3"/>
  <c r="I1434" i="3" s="1"/>
  <c r="H1465" i="3"/>
  <c r="I1465" i="3" s="1"/>
  <c r="I1408" i="3"/>
  <c r="H1428" i="3"/>
  <c r="I1428" i="3" s="1"/>
  <c r="H1395" i="3"/>
  <c r="I1395" i="3" s="1"/>
  <c r="H1413" i="3"/>
  <c r="I1413" i="3" s="1"/>
  <c r="H1454" i="3"/>
  <c r="I1454" i="3" s="1"/>
  <c r="H1403" i="3"/>
  <c r="I1403" i="3" s="1"/>
  <c r="H1447" i="3"/>
  <c r="I1447" i="3" s="1"/>
  <c r="H1823" i="3"/>
  <c r="I1823" i="3" s="1"/>
  <c r="H1608" i="3"/>
  <c r="I1608" i="3" s="1"/>
  <c r="H1675" i="3"/>
  <c r="I1675" i="3" s="1"/>
  <c r="H1703" i="3"/>
  <c r="I1703" i="3" s="1"/>
  <c r="H1764" i="3"/>
  <c r="I1764" i="3" s="1"/>
  <c r="H1696" i="3"/>
  <c r="I1696" i="3" s="1"/>
  <c r="H1715" i="3"/>
  <c r="I1715" i="3" s="1"/>
  <c r="H1604" i="3"/>
  <c r="I1604" i="3" s="1"/>
  <c r="H1746" i="3"/>
  <c r="I1746" i="3" s="1"/>
  <c r="H1752" i="3"/>
  <c r="I1752" i="3" s="1"/>
  <c r="H1800" i="3"/>
  <c r="I1800" i="3" s="1"/>
  <c r="H1621" i="3"/>
  <c r="I1621" i="3" s="1"/>
  <c r="H1632" i="3"/>
  <c r="I1632" i="3" s="1"/>
  <c r="H1651" i="3"/>
  <c r="I1651" i="3" s="1"/>
  <c r="H1648" i="3"/>
  <c r="I1648" i="3" s="1"/>
  <c r="H1742" i="3"/>
  <c r="I1742" i="3" s="1"/>
  <c r="H2237" i="3"/>
  <c r="I2237" i="3" s="1"/>
  <c r="H2283" i="3"/>
  <c r="I2283" i="3" s="1"/>
  <c r="H2234" i="3"/>
  <c r="I2234" i="3" s="1"/>
  <c r="H2254" i="3"/>
  <c r="I2254" i="3" s="1"/>
  <c r="H1909" i="3"/>
  <c r="I1909" i="3" s="1"/>
  <c r="H2183" i="3"/>
  <c r="I2183" i="3" s="1"/>
  <c r="H1941" i="3"/>
  <c r="I1941" i="3" s="1"/>
  <c r="H1977" i="3"/>
  <c r="I1977" i="3" s="1"/>
  <c r="H2013" i="3"/>
  <c r="I2013" i="3" s="1"/>
  <c r="H2083" i="3"/>
  <c r="I2083" i="3" s="1"/>
  <c r="H2251" i="3"/>
  <c r="I2251" i="3" s="1"/>
  <c r="H2259" i="3"/>
  <c r="I2259" i="3" s="1"/>
  <c r="H1956" i="3"/>
  <c r="I1956" i="3" s="1"/>
  <c r="H1992" i="3"/>
  <c r="I1992" i="3" s="1"/>
  <c r="H2028" i="3"/>
  <c r="I2028" i="3" s="1"/>
  <c r="H2119" i="3"/>
  <c r="I2119" i="3" s="1"/>
  <c r="H2177" i="3"/>
  <c r="I2177" i="3" s="1"/>
  <c r="H1964" i="3"/>
  <c r="I1964" i="3" s="1"/>
  <c r="H2216" i="3"/>
  <c r="I2216" i="3" s="1"/>
  <c r="H2232" i="3"/>
  <c r="I2232" i="3" s="1"/>
  <c r="H2248" i="3"/>
  <c r="I2248" i="3" s="1"/>
  <c r="H2136" i="3"/>
  <c r="I2136" i="3" s="1"/>
  <c r="H2161" i="3"/>
  <c r="I2161" i="3" s="1"/>
  <c r="H2172" i="3"/>
  <c r="I2172" i="3" s="1"/>
  <c r="H2261" i="3"/>
  <c r="I2261" i="3" s="1"/>
  <c r="H2269" i="3"/>
  <c r="I2269" i="3" s="1"/>
  <c r="H2277" i="3"/>
  <c r="I2277" i="3" s="1"/>
  <c r="H2345" i="3"/>
  <c r="I2345" i="3" s="1"/>
  <c r="H2419" i="3"/>
  <c r="I2419" i="3" s="1"/>
  <c r="H2475" i="3"/>
  <c r="I2475" i="3" s="1"/>
  <c r="H2482" i="3"/>
  <c r="I2482" i="3" s="1"/>
  <c r="H2503" i="3"/>
  <c r="I2503" i="3" s="1"/>
  <c r="H2312" i="3"/>
  <c r="I2312" i="3" s="1"/>
  <c r="H2318" i="3"/>
  <c r="I2318" i="3" s="1"/>
  <c r="H2428" i="3"/>
  <c r="I2428" i="3" s="1"/>
  <c r="H2455" i="3"/>
  <c r="I2455" i="3" s="1"/>
  <c r="H2476" i="3"/>
  <c r="I2476" i="3" s="1"/>
  <c r="H2346" i="3"/>
  <c r="I2346" i="3" s="1"/>
  <c r="H2392" i="3"/>
  <c r="I2392" i="3" s="1"/>
  <c r="H2514" i="3"/>
  <c r="I2514" i="3" s="1"/>
  <c r="H2542" i="3"/>
  <c r="I2542" i="3" s="1"/>
  <c r="H2560" i="3"/>
  <c r="I2560" i="3" s="1"/>
  <c r="H2587" i="3"/>
  <c r="I2587" i="3" s="1"/>
  <c r="H2227" i="3"/>
  <c r="I2227" i="3" s="1"/>
  <c r="H2286" i="3"/>
  <c r="I2286" i="3" s="1"/>
  <c r="H2445" i="3"/>
  <c r="I2445" i="3" s="1"/>
  <c r="H2497" i="3"/>
  <c r="I2497" i="3" s="1"/>
  <c r="H2568" i="3"/>
  <c r="I2568" i="3" s="1"/>
  <c r="H2337" i="3"/>
  <c r="I2337" i="3" s="1"/>
  <c r="I2336" i="3" s="1"/>
  <c r="H2446" i="3"/>
  <c r="I2446" i="3" s="1"/>
  <c r="H2487" i="3"/>
  <c r="I2487" i="3" s="1"/>
  <c r="H2584" i="3"/>
  <c r="I2584" i="3" s="1"/>
  <c r="H2554" i="3"/>
  <c r="I2554" i="3" s="1"/>
  <c r="H2363" i="3"/>
  <c r="I2363" i="3" s="1"/>
  <c r="H2382" i="3"/>
  <c r="I2382" i="3" s="1"/>
  <c r="H2414" i="3"/>
  <c r="I2414" i="3" s="1"/>
  <c r="H2422" i="3"/>
  <c r="I2422" i="3" s="1"/>
  <c r="H2433" i="3"/>
  <c r="I2433" i="3" s="1"/>
  <c r="H2481" i="3"/>
  <c r="I2481" i="3" s="1"/>
  <c r="H2509" i="3"/>
  <c r="I2509" i="3" s="1"/>
  <c r="H2537" i="3"/>
  <c r="I2537" i="3" s="1"/>
  <c r="H2551" i="3"/>
  <c r="I2551" i="3" s="1"/>
  <c r="H2555" i="3"/>
  <c r="I2555" i="3" s="1"/>
  <c r="H2576" i="3"/>
  <c r="I2576" i="3" s="1"/>
  <c r="H2440" i="3"/>
  <c r="I2440" i="3" s="1"/>
  <c r="H2461" i="3"/>
  <c r="I2461" i="3" s="1"/>
  <c r="H2502" i="3"/>
  <c r="I2502" i="3" s="1"/>
  <c r="I2596" i="4" l="1"/>
  <c r="I43" i="4"/>
  <c r="I63" i="4"/>
  <c r="I2525" i="4"/>
  <c r="I12" i="3"/>
  <c r="I2601" i="4"/>
  <c r="I12" i="4"/>
  <c r="I1289" i="4"/>
  <c r="I1011" i="4"/>
  <c r="I1179" i="4"/>
  <c r="I2537" i="4"/>
  <c r="I637" i="4"/>
  <c r="I2335" i="4"/>
  <c r="I895" i="4"/>
  <c r="I2361" i="4"/>
  <c r="I2294" i="4"/>
  <c r="I678" i="4"/>
  <c r="I1716" i="4"/>
  <c r="I877" i="4"/>
  <c r="I1132" i="4"/>
  <c r="I1054" i="4"/>
  <c r="I797" i="4"/>
  <c r="I1411" i="4"/>
  <c r="I1097" i="4"/>
  <c r="I2592" i="4"/>
  <c r="I2587" i="4" s="1"/>
  <c r="I1249" i="4"/>
  <c r="I2573" i="3"/>
  <c r="I2583" i="3"/>
  <c r="I1172" i="3"/>
  <c r="I1107" i="3"/>
  <c r="I22" i="3"/>
  <c r="I40" i="3"/>
  <c r="I2339" i="3"/>
  <c r="I899" i="3"/>
  <c r="I849" i="3"/>
  <c r="I1287" i="3"/>
  <c r="I1197" i="3"/>
  <c r="I2532" i="3"/>
  <c r="I1095" i="3"/>
  <c r="I2519" i="3"/>
  <c r="I934" i="3"/>
  <c r="I2309" i="3"/>
  <c r="I1345" i="3"/>
  <c r="I963" i="3"/>
  <c r="I805" i="3"/>
  <c r="I60" i="3"/>
  <c r="I59" i="3" s="1"/>
  <c r="I1123" i="3"/>
  <c r="I1470" i="3"/>
  <c r="I1037" i="3"/>
  <c r="I2364" i="3"/>
  <c r="I1055" i="3"/>
  <c r="I1186" i="3"/>
  <c r="I723" i="4"/>
  <c r="I83" i="4"/>
  <c r="I1066" i="4"/>
  <c r="I766" i="4"/>
  <c r="I1198" i="4"/>
  <c r="B17" i="4"/>
  <c r="B16" i="3"/>
  <c r="I1702" i="3"/>
  <c r="I82" i="4" l="1"/>
  <c r="I2518" i="3"/>
  <c r="I11" i="4"/>
  <c r="I2334" i="4"/>
  <c r="I11" i="3"/>
  <c r="I2570" i="3"/>
  <c r="I962" i="3"/>
  <c r="I1196" i="3"/>
  <c r="I2338" i="3"/>
  <c r="I2524" i="4"/>
  <c r="I2584" i="4"/>
  <c r="I1096" i="4"/>
  <c r="I1288" i="4"/>
  <c r="I796" i="4"/>
  <c r="I10" i="4" s="1"/>
  <c r="I1178" i="4"/>
  <c r="I1344" i="3"/>
  <c r="I1122" i="3"/>
  <c r="B18" i="4"/>
  <c r="B19" i="4" s="1"/>
  <c r="B17" i="3"/>
  <c r="I10" i="3" l="1"/>
  <c r="I1095" i="4"/>
  <c r="K1095" i="4" s="1"/>
  <c r="I1121" i="3"/>
  <c r="K1121" i="3" s="1"/>
  <c r="I9" i="4"/>
  <c r="I2608" i="4" s="1"/>
  <c r="I9" i="3"/>
  <c r="I2590" i="3" s="1"/>
  <c r="I2609" i="4" s="1"/>
  <c r="B18" i="3"/>
  <c r="B19" i="3" s="1"/>
  <c r="B20" i="4"/>
  <c r="I2610" i="4" l="1"/>
  <c r="I2592" i="3"/>
  <c r="I2593" i="3" s="1"/>
  <c r="K2608" i="4"/>
  <c r="B20" i="3"/>
  <c r="B21" i="3"/>
  <c r="B24" i="3" s="1"/>
  <c r="B21" i="4"/>
  <c r="B25" i="3" l="1"/>
  <c r="B22" i="4"/>
  <c r="B23" i="4"/>
  <c r="B26" i="3" l="1"/>
  <c r="B27" i="3" s="1"/>
  <c r="B24" i="4"/>
  <c r="B25" i="4"/>
  <c r="B26" i="4" s="1"/>
  <c r="B27" i="4" s="1"/>
  <c r="B28" i="4" l="1"/>
  <c r="B29" i="4" s="1"/>
  <c r="B28" i="3"/>
  <c r="B30" i="4" l="1"/>
  <c r="B31" i="4" s="1"/>
  <c r="B29" i="3"/>
  <c r="B32" i="4" l="1"/>
  <c r="B33" i="4" s="1"/>
  <c r="B34" i="4" s="1"/>
  <c r="B35" i="4" s="1"/>
  <c r="B36" i="4" s="1"/>
  <c r="B37" i="4" s="1"/>
  <c r="B38" i="4" s="1"/>
  <c r="B39" i="4" s="1"/>
  <c r="B40" i="4" s="1"/>
  <c r="B41" i="4" s="1"/>
  <c r="B42" i="4" s="1"/>
  <c r="B45" i="4" s="1"/>
  <c r="B46" i="4" s="1"/>
  <c r="B47" i="4" s="1"/>
  <c r="B48" i="4" s="1"/>
  <c r="B49" i="4" s="1"/>
  <c r="B50" i="4" s="1"/>
  <c r="B51" i="4" s="1"/>
  <c r="B52" i="4" s="1"/>
  <c r="B53" i="4" s="1"/>
  <c r="B54" i="4" s="1"/>
  <c r="B55" i="4" s="1"/>
  <c r="B57" i="4" s="1"/>
  <c r="B58" i="4" s="1"/>
  <c r="B59" i="4" s="1"/>
  <c r="B60" i="4" s="1"/>
  <c r="B61" i="4" s="1"/>
  <c r="B62" i="4" s="1"/>
  <c r="B64" i="4" s="1"/>
  <c r="B65" i="4" s="1"/>
  <c r="B66" i="4" s="1"/>
  <c r="B67" i="4" s="1"/>
  <c r="B68" i="4" s="1"/>
  <c r="B69" i="4" s="1"/>
  <c r="B70" i="4" s="1"/>
  <c r="B71" i="4" s="1"/>
  <c r="B72" i="4" s="1"/>
  <c r="B73" i="4" s="1"/>
  <c r="B74" i="4" s="1"/>
  <c r="B75" i="4" s="1"/>
  <c r="B76" i="4" s="1"/>
  <c r="B77" i="4" s="1"/>
  <c r="B78" i="4" s="1"/>
  <c r="B79" i="4" s="1"/>
  <c r="B80" i="4" s="1"/>
  <c r="B84" i="4" s="1"/>
  <c r="B157" i="4" s="1"/>
  <c r="B179" i="4" s="1"/>
  <c r="B190" i="4" s="1"/>
  <c r="B199" i="4" s="1"/>
  <c r="B209" i="4" s="1"/>
  <c r="B219" i="4" s="1"/>
  <c r="B229" i="4" s="1"/>
  <c r="B239" i="4" s="1"/>
  <c r="B250" i="4" s="1"/>
  <c r="B261" i="4" s="1"/>
  <c r="B271" i="4" s="1"/>
  <c r="B281" i="4" s="1"/>
  <c r="B299" i="4" s="1"/>
  <c r="B309" i="4" s="1"/>
  <c r="B333" i="4" s="1"/>
  <c r="B343" i="4" s="1"/>
  <c r="B353" i="4" s="1"/>
  <c r="B363" i="4" s="1"/>
  <c r="B373" i="4" s="1"/>
  <c r="B383" i="4" s="1"/>
  <c r="B395" i="4" s="1"/>
  <c r="B405" i="4" s="1"/>
  <c r="B415" i="4" s="1"/>
  <c r="B439" i="4" s="1"/>
  <c r="B451" i="4" s="1"/>
  <c r="B462" i="4" s="1"/>
  <c r="B472" i="4" s="1"/>
  <c r="B482" i="4" s="1"/>
  <c r="B492" i="4" s="1"/>
  <c r="B504" i="4" s="1"/>
  <c r="B514" i="4" s="1"/>
  <c r="B537" i="4" s="1"/>
  <c r="B547" i="4" s="1"/>
  <c r="B557" i="4" s="1"/>
  <c r="B567" i="4" s="1"/>
  <c r="B577" i="4" s="1"/>
  <c r="B589" i="4" s="1"/>
  <c r="B600" i="4" s="1"/>
  <c r="B610" i="4" s="1"/>
  <c r="B635" i="4" s="1"/>
  <c r="B636" i="4" s="1"/>
  <c r="B639" i="4" s="1"/>
  <c r="B642" i="4" s="1"/>
  <c r="B643" i="4" s="1"/>
  <c r="B644" i="4" s="1"/>
  <c r="B645" i="4" s="1"/>
  <c r="B646" i="4" s="1"/>
  <c r="B647" i="4" s="1"/>
  <c r="B648" i="4" s="1"/>
  <c r="B649" i="4" s="1"/>
  <c r="B650" i="4" s="1"/>
  <c r="B651" i="4" s="1"/>
  <c r="B652" i="4" s="1"/>
  <c r="B653" i="4" s="1"/>
  <c r="B654" i="4" s="1"/>
  <c r="B655" i="4" s="1"/>
  <c r="B656" i="4" s="1"/>
  <c r="B657" i="4" s="1"/>
  <c r="B658" i="4" s="1"/>
  <c r="B659" i="4" s="1"/>
  <c r="B660" i="4" s="1"/>
  <c r="B661" i="4" s="1"/>
  <c r="B663" i="4" s="1"/>
  <c r="B664" i="4" s="1"/>
  <c r="B665" i="4" s="1"/>
  <c r="B666" i="4" s="1"/>
  <c r="B667" i="4" s="1"/>
  <c r="B668" i="4" s="1"/>
  <c r="B670" i="4" s="1"/>
  <c r="B671" i="4" s="1"/>
  <c r="B672" i="4" s="1"/>
  <c r="B673" i="4" s="1"/>
  <c r="B674" i="4" s="1"/>
  <c r="B675" i="4" s="1"/>
  <c r="B676" i="4" s="1"/>
  <c r="B677" i="4" s="1"/>
  <c r="B680" i="4" s="1"/>
  <c r="B681" i="4" s="1"/>
  <c r="B682" i="4" s="1"/>
  <c r="B683" i="4" s="1"/>
  <c r="B684" i="4" s="1"/>
  <c r="B685" i="4" s="1"/>
  <c r="B686" i="4" s="1"/>
  <c r="B687" i="4" s="1"/>
  <c r="B688" i="4" s="1"/>
  <c r="B689" i="4" s="1"/>
  <c r="B690" i="4" s="1"/>
  <c r="B691" i="4" s="1"/>
  <c r="B692" i="4" s="1"/>
  <c r="B693" i="4" s="1"/>
  <c r="B695" i="4" s="1"/>
  <c r="B696" i="4" s="1"/>
  <c r="B697" i="4" s="1"/>
  <c r="B698" i="4" s="1"/>
  <c r="B699" i="4" s="1"/>
  <c r="B700" i="4" s="1"/>
  <c r="B701" i="4" s="1"/>
  <c r="B702" i="4" s="1"/>
  <c r="B703" i="4" s="1"/>
  <c r="B705" i="4" s="1"/>
  <c r="B706" i="4" s="1"/>
  <c r="B707" i="4" s="1"/>
  <c r="B708" i="4" s="1"/>
  <c r="B709" i="4" s="1"/>
  <c r="B710" i="4" s="1"/>
  <c r="B711" i="4" s="1"/>
  <c r="B712" i="4" s="1"/>
  <c r="B713" i="4" s="1"/>
  <c r="B714" i="4" s="1"/>
  <c r="B715" i="4" s="1"/>
  <c r="B716" i="4" s="1"/>
  <c r="B717" i="4" s="1"/>
  <c r="B718" i="4" s="1"/>
  <c r="B719" i="4" s="1"/>
  <c r="B720" i="4" s="1"/>
  <c r="B721" i="4" s="1"/>
  <c r="B722" i="4" s="1"/>
  <c r="B725" i="4" s="1"/>
  <c r="B726" i="4" s="1"/>
  <c r="B727" i="4" s="1"/>
  <c r="B728" i="4" s="1"/>
  <c r="B729" i="4" s="1"/>
  <c r="B730" i="4" s="1"/>
  <c r="B731" i="4" s="1"/>
  <c r="B732" i="4" s="1"/>
  <c r="B733" i="4" s="1"/>
  <c r="B734" i="4" s="1"/>
  <c r="B735" i="4" s="1"/>
  <c r="B736" i="4" s="1"/>
  <c r="B737" i="4" s="1"/>
  <c r="B738" i="4" s="1"/>
  <c r="B740" i="4" s="1"/>
  <c r="B741" i="4" s="1"/>
  <c r="B742" i="4" s="1"/>
  <c r="B743" i="4" s="1"/>
  <c r="B744" i="4" s="1"/>
  <c r="B745" i="4" s="1"/>
  <c r="B747" i="4" s="1"/>
  <c r="B748" i="4" s="1"/>
  <c r="B749" i="4" s="1"/>
  <c r="B750" i="4" s="1"/>
  <c r="B751" i="4" s="1"/>
  <c r="B752" i="4" s="1"/>
  <c r="B753" i="4" s="1"/>
  <c r="B754" i="4" s="1"/>
  <c r="B755" i="4" s="1"/>
  <c r="B756" i="4" s="1"/>
  <c r="B757" i="4" s="1"/>
  <c r="B758" i="4" s="1"/>
  <c r="B760" i="4" s="1"/>
  <c r="B761" i="4" s="1"/>
  <c r="B762" i="4" s="1"/>
  <c r="B763" i="4" s="1"/>
  <c r="B764" i="4" s="1"/>
  <c r="B765" i="4" s="1"/>
  <c r="B768" i="4" s="1"/>
  <c r="B769" i="4" s="1"/>
  <c r="B770" i="4" s="1"/>
  <c r="B771" i="4" s="1"/>
  <c r="B772" i="4" s="1"/>
  <c r="B773" i="4" s="1"/>
  <c r="B774" i="4" s="1"/>
  <c r="B775" i="4" s="1"/>
  <c r="B776" i="4" s="1"/>
  <c r="B777" i="4" s="1"/>
  <c r="B778" i="4" s="1"/>
  <c r="B779" i="4" s="1"/>
  <c r="B780" i="4" s="1"/>
  <c r="B781" i="4" s="1"/>
  <c r="B783" i="4" s="1"/>
  <c r="B784" i="4" s="1"/>
  <c r="B785" i="4" s="1"/>
  <c r="B786" i="4" s="1"/>
  <c r="B787" i="4" s="1"/>
  <c r="B788" i="4" s="1"/>
  <c r="B789" i="4" s="1"/>
  <c r="B790" i="4" s="1"/>
  <c r="B791" i="4" s="1"/>
  <c r="B792" i="4" s="1"/>
  <c r="B793" i="4" s="1"/>
  <c r="B794" i="4" s="1"/>
  <c r="B795" i="4" s="1"/>
  <c r="B798" i="4" s="1"/>
  <c r="B807" i="4" s="1"/>
  <c r="B818" i="4" s="1"/>
  <c r="B828" i="4" s="1"/>
  <c r="B838" i="4" s="1"/>
  <c r="B848" i="4" s="1"/>
  <c r="B858" i="4" s="1"/>
  <c r="B859" i="4" s="1"/>
  <c r="B860" i="4" s="1"/>
  <c r="B861" i="4" s="1"/>
  <c r="B862" i="4" s="1"/>
  <c r="B863" i="4" s="1"/>
  <c r="B864" i="4" s="1"/>
  <c r="B865" i="4" s="1"/>
  <c r="B866" i="4" s="1"/>
  <c r="B867" i="4" s="1"/>
  <c r="B868" i="4" s="1"/>
  <c r="B869" i="4" s="1"/>
  <c r="B870" i="4" s="1"/>
  <c r="B871" i="4" s="1"/>
  <c r="B872" i="4" s="1"/>
  <c r="B873" i="4" s="1"/>
  <c r="B874" i="4" s="1"/>
  <c r="B875" i="4" s="1"/>
  <c r="B876" i="4" s="1"/>
  <c r="B878" i="4" s="1"/>
  <c r="B879" i="4" s="1"/>
  <c r="B880" i="4" s="1"/>
  <c r="B881" i="4" s="1"/>
  <c r="B882" i="4" s="1"/>
  <c r="B883" i="4" s="1"/>
  <c r="B884" i="4" s="1"/>
  <c r="B885" i="4" s="1"/>
  <c r="B886" i="4" s="1"/>
  <c r="B887" i="4" s="1"/>
  <c r="B888" i="4" s="1"/>
  <c r="B889" i="4" s="1"/>
  <c r="B890" i="4" s="1"/>
  <c r="B891" i="4" s="1"/>
  <c r="B892" i="4" s="1"/>
  <c r="B893" i="4" s="1"/>
  <c r="B894" i="4" s="1"/>
  <c r="B898" i="4" s="1"/>
  <c r="B899" i="4" s="1"/>
  <c r="B900" i="4" s="1"/>
  <c r="B901" i="4" s="1"/>
  <c r="B902" i="4" s="1"/>
  <c r="B903" i="4" s="1"/>
  <c r="B904" i="4" s="1"/>
  <c r="B905" i="4" s="1"/>
  <c r="B906" i="4" s="1"/>
  <c r="B907" i="4" s="1"/>
  <c r="B908" i="4" s="1"/>
  <c r="B909" i="4" s="1"/>
  <c r="B911" i="4" s="1"/>
  <c r="B912" i="4" s="1"/>
  <c r="B913" i="4" s="1"/>
  <c r="B914" i="4" s="1"/>
  <c r="B915" i="4" s="1"/>
  <c r="B916" i="4" s="1"/>
  <c r="B917" i="4" s="1"/>
  <c r="B918" i="4" s="1"/>
  <c r="B919" i="4" s="1"/>
  <c r="B920" i="4" s="1"/>
  <c r="B921" i="4" s="1"/>
  <c r="B922" i="4" s="1"/>
  <c r="B923" i="4" s="1"/>
  <c r="B924" i="4" s="1"/>
  <c r="B925" i="4" s="1"/>
  <c r="B926" i="4" s="1"/>
  <c r="B927" i="4" s="1"/>
  <c r="B928" i="4" s="1"/>
  <c r="B929" i="4" s="1"/>
  <c r="B930" i="4" s="1"/>
  <c r="B931" i="4" s="1"/>
  <c r="B932" i="4" s="1"/>
  <c r="B933" i="4" s="1"/>
  <c r="B935" i="4" s="1"/>
  <c r="B936" i="4" s="1"/>
  <c r="B937" i="4" s="1"/>
  <c r="B938" i="4" s="1"/>
  <c r="B939" i="4" s="1"/>
  <c r="B940" i="4" s="1"/>
  <c r="B941" i="4" s="1"/>
  <c r="B942" i="4" s="1"/>
  <c r="B943" i="4" s="1"/>
  <c r="B946" i="4" s="1"/>
  <c r="B947" i="4" s="1"/>
  <c r="B948" i="4" s="1"/>
  <c r="B949" i="4" s="1"/>
  <c r="B950" i="4" s="1"/>
  <c r="B951" i="4" s="1"/>
  <c r="B952" i="4" s="1"/>
  <c r="B953" i="4" s="1"/>
  <c r="B954" i="4" s="1"/>
  <c r="B955" i="4" s="1"/>
  <c r="B956" i="4" s="1"/>
  <c r="B957" i="4" s="1"/>
  <c r="B958" i="4" s="1"/>
  <c r="B959" i="4" s="1"/>
  <c r="B960" i="4" s="1"/>
  <c r="B961" i="4" s="1"/>
  <c r="B962" i="4" s="1"/>
  <c r="B963" i="4" s="1"/>
  <c r="B965" i="4" s="1"/>
  <c r="B966" i="4" s="1"/>
  <c r="B967" i="4" s="1"/>
  <c r="B968" i="4" s="1"/>
  <c r="B969" i="4" s="1"/>
  <c r="B970" i="4" s="1"/>
  <c r="B971" i="4" s="1"/>
  <c r="B972" i="4" s="1"/>
  <c r="B973" i="4" s="1"/>
  <c r="B976" i="4" s="1"/>
  <c r="B977" i="4" s="1"/>
  <c r="B978" i="4" s="1"/>
  <c r="B979" i="4" s="1"/>
  <c r="B980" i="4" s="1"/>
  <c r="B981" i="4" s="1"/>
  <c r="B982" i="4" s="1"/>
  <c r="B983" i="4" s="1"/>
  <c r="B30" i="3"/>
  <c r="B31" i="3" s="1"/>
  <c r="B32" i="3" s="1"/>
  <c r="B984" i="4" l="1"/>
  <c r="B985" i="4"/>
  <c r="B986" i="4" s="1"/>
  <c r="B987" i="4" s="1"/>
  <c r="B988" i="4" s="1"/>
  <c r="B989" i="4" s="1"/>
  <c r="B990" i="4" s="1"/>
  <c r="B991" i="4" s="1"/>
  <c r="B992" i="4" s="1"/>
  <c r="B993" i="4" s="1"/>
  <c r="B995" i="4" s="1"/>
  <c r="B996" i="4" s="1"/>
  <c r="B997" i="4" s="1"/>
  <c r="B998" i="4" s="1"/>
  <c r="B999" i="4" s="1"/>
  <c r="B1000" i="4" s="1"/>
  <c r="B1001" i="4" s="1"/>
  <c r="B1002" i="4" s="1"/>
  <c r="B1003" i="4" s="1"/>
  <c r="B1004" i="4" s="1"/>
  <c r="B1005" i="4" s="1"/>
  <c r="B1006" i="4" s="1"/>
  <c r="B1007" i="4" s="1"/>
  <c r="B1008" i="4" s="1"/>
  <c r="B1009" i="4" s="1"/>
  <c r="B1010" i="4" s="1"/>
  <c r="B1012" i="4" s="1"/>
  <c r="B1013" i="4" s="1"/>
  <c r="B1014" i="4" s="1"/>
  <c r="B1015" i="4" s="1"/>
  <c r="B1016" i="4" s="1"/>
  <c r="B1017" i="4" s="1"/>
  <c r="B1018" i="4" s="1"/>
  <c r="B1019" i="4" s="1"/>
  <c r="B1020" i="4" s="1"/>
  <c r="B1021" i="4" s="1"/>
  <c r="B1022" i="4" s="1"/>
  <c r="B1023" i="4" s="1"/>
  <c r="B1024" i="4" s="1"/>
  <c r="B1025" i="4" s="1"/>
  <c r="B1026" i="4" s="1"/>
  <c r="B1027" i="4" s="1"/>
  <c r="B1028" i="4" s="1"/>
  <c r="B1029" i="4" s="1"/>
  <c r="B1030" i="4" s="1"/>
  <c r="B1031" i="4" s="1"/>
  <c r="B1032" i="4" s="1"/>
  <c r="B1033" i="4" s="1"/>
  <c r="B1035" i="4" s="1"/>
  <c r="B1037" i="4" s="1"/>
  <c r="B1038" i="4" s="1"/>
  <c r="B1039" i="4" s="1"/>
  <c r="B1040" i="4" s="1"/>
  <c r="B1041" i="4" s="1"/>
  <c r="B1042" i="4" s="1"/>
  <c r="B1043" i="4" s="1"/>
  <c r="B1044" i="4" s="1"/>
  <c r="B1045" i="4" s="1"/>
  <c r="B1046" i="4" s="1"/>
  <c r="B1047" i="4" s="1"/>
  <c r="B1048" i="4" s="1"/>
  <c r="B1049" i="4" s="1"/>
  <c r="B1050" i="4" s="1"/>
  <c r="B1051" i="4" s="1"/>
  <c r="B1052" i="4" s="1"/>
  <c r="B1053" i="4" s="1"/>
  <c r="B1055" i="4" s="1"/>
  <c r="B1056" i="4" s="1"/>
  <c r="B1057" i="4" s="1"/>
  <c r="B1058" i="4" s="1"/>
  <c r="B1059" i="4" s="1"/>
  <c r="B1060" i="4" s="1"/>
  <c r="B1061" i="4" s="1"/>
  <c r="B1062" i="4" s="1"/>
  <c r="B1063" i="4" s="1"/>
  <c r="B1064" i="4" s="1"/>
  <c r="B1065" i="4" s="1"/>
  <c r="B1067" i="4" s="1"/>
  <c r="B1068" i="4" s="1"/>
  <c r="B1069" i="4" s="1"/>
  <c r="B1070" i="4" s="1"/>
  <c r="B1071" i="4" s="1"/>
  <c r="B1072" i="4" s="1"/>
  <c r="B1073" i="4" s="1"/>
  <c r="B1074" i="4" s="1"/>
  <c r="B1075" i="4" s="1"/>
  <c r="B1076" i="4" s="1"/>
  <c r="B1077" i="4" s="1"/>
  <c r="B1078" i="4" s="1"/>
  <c r="B1079" i="4" s="1"/>
  <c r="B1080" i="4" s="1"/>
  <c r="B1081" i="4" s="1"/>
  <c r="B1082" i="4" s="1"/>
  <c r="B1083" i="4" s="1"/>
  <c r="B1084" i="4" s="1"/>
  <c r="B1085" i="4" s="1"/>
  <c r="B1086" i="4" s="1"/>
  <c r="B1088" i="4" s="1"/>
  <c r="B1089" i="4" s="1"/>
  <c r="B1090" i="4" s="1"/>
  <c r="B1091" i="4" s="1"/>
  <c r="B1092" i="4" s="1"/>
  <c r="B1098" i="4" s="1"/>
  <c r="B1099" i="4" s="1"/>
  <c r="B1100" i="4" s="1"/>
  <c r="B1101" i="4" s="1"/>
  <c r="B1102" i="4" s="1"/>
  <c r="B1103" i="4" s="1"/>
  <c r="B1104" i="4" s="1"/>
  <c r="B1105" i="4" s="1"/>
  <c r="B1106" i="4" s="1"/>
  <c r="B1107" i="4" s="1"/>
  <c r="B1108" i="4" s="1"/>
  <c r="B1109" i="4" s="1"/>
  <c r="B1110" i="4" s="1"/>
  <c r="B1111" i="4" s="1"/>
  <c r="B1112" i="4" s="1"/>
  <c r="B1113" i="4" s="1"/>
  <c r="B1114" i="4" s="1"/>
  <c r="B1115" i="4" s="1"/>
  <c r="B1116" i="4" s="1"/>
  <c r="B1117" i="4" s="1"/>
  <c r="B1118" i="4" s="1"/>
  <c r="B1119" i="4" s="1"/>
  <c r="B1120" i="4" s="1"/>
  <c r="B1121" i="4" s="1"/>
  <c r="B1122" i="4" s="1"/>
  <c r="B1123" i="4" s="1"/>
  <c r="B1124" i="4" s="1"/>
  <c r="B1125" i="4" s="1"/>
  <c r="B1126" i="4" s="1"/>
  <c r="B1127" i="4" s="1"/>
  <c r="B1128" i="4" s="1"/>
  <c r="B1129" i="4" s="1"/>
  <c r="B1130" i="4" s="1"/>
  <c r="B1131" i="4" s="1"/>
  <c r="B1133" i="4" s="1"/>
  <c r="B1134" i="4" s="1"/>
  <c r="B1135" i="4" s="1"/>
  <c r="B1150" i="4" s="1"/>
  <c r="B1151" i="4" s="1"/>
  <c r="B1152" i="4" s="1"/>
  <c r="B1153" i="4" s="1"/>
  <c r="B1154" i="4" s="1"/>
  <c r="B1155" i="4" s="1"/>
  <c r="B1156" i="4" s="1"/>
  <c r="B1157" i="4" s="1"/>
  <c r="B1158" i="4" s="1"/>
  <c r="B1159" i="4" s="1"/>
  <c r="B1160" i="4" s="1"/>
  <c r="B1161" i="4" s="1"/>
  <c r="B1162" i="4" s="1"/>
  <c r="B1163" i="4" s="1"/>
  <c r="B1164" i="4" s="1"/>
  <c r="B1165" i="4" s="1"/>
  <c r="B1166" i="4" s="1"/>
  <c r="B1167" i="4" s="1"/>
  <c r="B1168" i="4" s="1"/>
  <c r="B1169" i="4" s="1"/>
  <c r="B1170" i="4" s="1"/>
  <c r="B1171" i="4" s="1"/>
  <c r="B1172" i="4" s="1"/>
  <c r="B1173" i="4" s="1"/>
  <c r="B1174" i="4" s="1"/>
  <c r="B1175" i="4" s="1"/>
  <c r="B1176" i="4" s="1"/>
  <c r="B1180" i="4" s="1"/>
  <c r="B1181" i="4" s="1"/>
  <c r="B1182" i="4" s="1"/>
  <c r="B1183" i="4" s="1"/>
  <c r="B1184" i="4" s="1"/>
  <c r="B1185" i="4" s="1"/>
  <c r="B1186" i="4" s="1"/>
  <c r="B1187" i="4" s="1"/>
  <c r="B1188" i="4" s="1"/>
  <c r="B1189" i="4" s="1"/>
  <c r="B1190" i="4" s="1"/>
  <c r="B1191" i="4" s="1"/>
  <c r="B1192" i="4" s="1"/>
  <c r="B1193" i="4" s="1"/>
  <c r="B1194" i="4" s="1"/>
  <c r="B1195" i="4" s="1"/>
  <c r="B1196" i="4" s="1"/>
  <c r="B1197" i="4" s="1"/>
  <c r="B1199" i="4" s="1"/>
  <c r="B1200" i="4" s="1"/>
  <c r="B1201" i="4" s="1"/>
  <c r="B1202" i="4" s="1"/>
  <c r="B1219" i="4" s="1"/>
  <c r="B1236" i="4" s="1"/>
  <c r="B1237" i="4" s="1"/>
  <c r="B1238" i="4" s="1"/>
  <c r="B1239" i="4" s="1"/>
  <c r="B1240" i="4" s="1"/>
  <c r="B1241" i="4" s="1"/>
  <c r="B1242" i="4" s="1"/>
  <c r="B1243" i="4" s="1"/>
  <c r="B1244" i="4" s="1"/>
  <c r="B1245" i="4" s="1"/>
  <c r="B1246" i="4" s="1"/>
  <c r="B1247" i="4" s="1"/>
  <c r="B1248" i="4" s="1"/>
  <c r="B1251" i="4" s="1"/>
  <c r="B1252" i="4" s="1"/>
  <c r="B1253" i="4" s="1"/>
  <c r="B1254" i="4" s="1"/>
  <c r="B1255" i="4" s="1"/>
  <c r="B1256" i="4" s="1"/>
  <c r="B1257" i="4" s="1"/>
  <c r="B1258" i="4" s="1"/>
  <c r="B1259" i="4" s="1"/>
  <c r="B1260" i="4" s="1"/>
  <c r="B1261" i="4" s="1"/>
  <c r="B1262" i="4" s="1"/>
  <c r="B1263" i="4" s="1"/>
  <c r="B1264" i="4" s="1"/>
  <c r="B1265" i="4" s="1"/>
  <c r="B1266" i="4" s="1"/>
  <c r="B1267" i="4" s="1"/>
  <c r="B1268" i="4" s="1"/>
  <c r="B1269" i="4" s="1"/>
  <c r="B1270" i="4" s="1"/>
  <c r="B1271" i="4" s="1"/>
  <c r="B1272" i="4" s="1"/>
  <c r="B1273" i="4" s="1"/>
  <c r="B1274" i="4" s="1"/>
  <c r="B1275" i="4" s="1"/>
  <c r="B1276" i="4" s="1"/>
  <c r="B1278" i="4" s="1"/>
  <c r="B1279" i="4" s="1"/>
  <c r="B1280" i="4" s="1"/>
  <c r="B1281" i="4" s="1"/>
  <c r="B1282" i="4" s="1"/>
  <c r="B1283" i="4" s="1"/>
  <c r="B1284" i="4" s="1"/>
  <c r="B1285" i="4" s="1"/>
  <c r="B1291" i="4" s="1"/>
  <c r="B1292" i="4" s="1"/>
  <c r="B1293" i="4" s="1"/>
  <c r="B1294" i="4" s="1"/>
  <c r="B1295" i="4" s="1"/>
  <c r="B1296" i="4" s="1"/>
  <c r="B1297" i="4" s="1"/>
  <c r="B1298" i="4" s="1"/>
  <c r="B1299" i="4" s="1"/>
  <c r="B1300" i="4" s="1"/>
  <c r="B1301" i="4" s="1"/>
  <c r="B1302" i="4" s="1"/>
  <c r="B1303" i="4" s="1"/>
  <c r="B1304" i="4" s="1"/>
  <c r="B1305" i="4" s="1"/>
  <c r="B1306" i="4" s="1"/>
  <c r="B1307" i="4" s="1"/>
  <c r="B1308" i="4" s="1"/>
  <c r="B1309" i="4" s="1"/>
  <c r="B1310" i="4" s="1"/>
  <c r="B1311" i="4" s="1"/>
  <c r="B1312" i="4" s="1"/>
  <c r="B1313" i="4" s="1"/>
  <c r="B1314" i="4" s="1"/>
  <c r="B1315" i="4" s="1"/>
  <c r="B1316" i="4" s="1"/>
  <c r="B1317" i="4" s="1"/>
  <c r="B1318" i="4" s="1"/>
  <c r="B1319" i="4" s="1"/>
  <c r="B1321" i="4" s="1"/>
  <c r="B1322" i="4" s="1"/>
  <c r="B1323" i="4" s="1"/>
  <c r="B1324" i="4" s="1"/>
  <c r="B1325" i="4" s="1"/>
  <c r="B1326" i="4" s="1"/>
  <c r="B1327" i="4" s="1"/>
  <c r="B1328" i="4" s="1"/>
  <c r="B1329" i="4" s="1"/>
  <c r="B1330" i="4" s="1"/>
  <c r="B1331" i="4" s="1"/>
  <c r="B1332" i="4" s="1"/>
  <c r="B1333" i="4" s="1"/>
  <c r="B1334" i="4" s="1"/>
  <c r="B1335" i="4" s="1"/>
  <c r="B1336" i="4" s="1"/>
  <c r="B1337" i="4" s="1"/>
  <c r="B1338" i="4" s="1"/>
  <c r="B1339" i="4" s="1"/>
  <c r="B1340" i="4" s="1"/>
  <c r="B1342" i="4" s="1"/>
  <c r="B1343" i="4" s="1"/>
  <c r="B1344" i="4" s="1"/>
  <c r="B1345" i="4" s="1"/>
  <c r="B1346" i="4" s="1"/>
  <c r="B1347" i="4" s="1"/>
  <c r="B1348" i="4" s="1"/>
  <c r="B1349" i="4" s="1"/>
  <c r="B1350" i="4" s="1"/>
  <c r="B1353" i="4" s="1"/>
  <c r="B1354" i="4" s="1"/>
  <c r="B1355" i="4" s="1"/>
  <c r="B1356" i="4" s="1"/>
  <c r="B1357" i="4" s="1"/>
  <c r="B1358" i="4" s="1"/>
  <c r="B1360" i="4" s="1"/>
  <c r="B1361" i="4" s="1"/>
  <c r="B1362" i="4" s="1"/>
  <c r="B1363" i="4" s="1"/>
  <c r="B1365" i="4" s="1"/>
  <c r="B1367" i="4" s="1"/>
  <c r="B1369" i="4" s="1"/>
  <c r="B1370" i="4" s="1"/>
  <c r="B1371" i="4" s="1"/>
  <c r="B1372" i="4" s="1"/>
  <c r="B1373" i="4" s="1"/>
  <c r="B1374" i="4" s="1"/>
  <c r="B1375" i="4" s="1"/>
  <c r="B1376" i="4" s="1"/>
  <c r="B1377" i="4" s="1"/>
  <c r="B1378" i="4" s="1"/>
  <c r="B1380" i="4" s="1"/>
  <c r="B1381" i="4" s="1"/>
  <c r="B1382" i="4" s="1"/>
  <c r="B1383" i="4" s="1"/>
  <c r="B1384" i="4" s="1"/>
  <c r="B1385" i="4" s="1"/>
  <c r="B1387" i="4" s="1"/>
  <c r="B1388" i="4" s="1"/>
  <c r="B1389" i="4" s="1"/>
  <c r="B1390" i="4" s="1"/>
  <c r="B1391" i="4" s="1"/>
  <c r="B1392" i="4" s="1"/>
  <c r="B1393" i="4" s="1"/>
  <c r="B1394" i="4" s="1"/>
  <c r="B1396" i="4" s="1"/>
  <c r="B1398" i="4" s="1"/>
  <c r="B1399" i="4" s="1"/>
  <c r="B1400" i="4" s="1"/>
  <c r="B1402" i="4" s="1"/>
  <c r="B1403" i="4" s="1"/>
  <c r="B1404" i="4" s="1"/>
  <c r="B1405" i="4" s="1"/>
  <c r="B1406" i="4" s="1"/>
  <c r="B1407" i="4" s="1"/>
  <c r="B1408" i="4" s="1"/>
  <c r="B1409" i="4" s="1"/>
  <c r="B1410" i="4" s="1"/>
  <c r="B1414" i="4" s="1"/>
  <c r="B1415" i="4" s="1"/>
  <c r="B1416" i="4" s="1"/>
  <c r="B1417" i="4" s="1"/>
  <c r="B1418" i="4" s="1"/>
  <c r="B1419" i="4" s="1"/>
  <c r="B1420" i="4" s="1"/>
  <c r="B1421" i="4" s="1"/>
  <c r="B1422" i="4" s="1"/>
  <c r="B1424" i="4" s="1"/>
  <c r="B1425" i="4" s="1"/>
  <c r="B1426" i="4" s="1"/>
  <c r="B1427" i="4" s="1"/>
  <c r="B1428" i="4" s="1"/>
  <c r="B1429" i="4" s="1"/>
  <c r="B1430" i="4" s="1"/>
  <c r="B1431" i="4" s="1"/>
  <c r="B1432" i="4" s="1"/>
  <c r="B1433" i="4" s="1"/>
  <c r="B1434" i="4" s="1"/>
  <c r="B1435" i="4" s="1"/>
  <c r="B1436" i="4" s="1"/>
  <c r="B1437" i="4" s="1"/>
  <c r="B1438" i="4" s="1"/>
  <c r="B1439" i="4" s="1"/>
  <c r="B1440" i="4" s="1"/>
  <c r="B1441" i="4" s="1"/>
  <c r="B1442" i="4" s="1"/>
  <c r="B1443" i="4" s="1"/>
  <c r="B1444" i="4" s="1"/>
  <c r="B1445" i="4" s="1"/>
  <c r="B1446" i="4" s="1"/>
  <c r="B1447" i="4" s="1"/>
  <c r="B1448" i="4" s="1"/>
  <c r="B1449" i="4" s="1"/>
  <c r="B1450" i="4" s="1"/>
  <c r="B1451" i="4" s="1"/>
  <c r="B1452" i="4" s="1"/>
  <c r="B1453" i="4" s="1"/>
  <c r="B1454" i="4" s="1"/>
  <c r="B1455" i="4" s="1"/>
  <c r="B1456" i="4" s="1"/>
  <c r="B1457" i="4" s="1"/>
  <c r="B1458" i="4" s="1"/>
  <c r="B1459" i="4" s="1"/>
  <c r="B1460" i="4" s="1"/>
  <c r="B1461" i="4" s="1"/>
  <c r="B1462" i="4" s="1"/>
  <c r="B1463" i="4" s="1"/>
  <c r="B1464" i="4" s="1"/>
  <c r="B1465" i="4" s="1"/>
  <c r="B1466" i="4" s="1"/>
  <c r="B1467" i="4" s="1"/>
  <c r="B1468" i="4" s="1"/>
  <c r="B1469" i="4" s="1"/>
  <c r="B1470" i="4" s="1"/>
  <c r="B1471" i="4" s="1"/>
  <c r="B1472" i="4" s="1"/>
  <c r="B1473" i="4" s="1"/>
  <c r="B1474" i="4" s="1"/>
  <c r="B1475" i="4" s="1"/>
  <c r="B1476" i="4" s="1"/>
  <c r="B1477" i="4" s="1"/>
  <c r="B1478" i="4" s="1"/>
  <c r="B1479" i="4" s="1"/>
  <c r="B1480" i="4" s="1"/>
  <c r="B1481" i="4" s="1"/>
  <c r="B1482" i="4" s="1"/>
  <c r="B1483" i="4" s="1"/>
  <c r="B1484" i="4" s="1"/>
  <c r="B1485" i="4" s="1"/>
  <c r="B1486" i="4" s="1"/>
  <c r="B1487" i="4" s="1"/>
  <c r="B1488" i="4" s="1"/>
  <c r="B1489" i="4" s="1"/>
  <c r="B1490" i="4" s="1"/>
  <c r="B1491" i="4" s="1"/>
  <c r="B1492" i="4" s="1"/>
  <c r="B1493" i="4" s="1"/>
  <c r="B1494" i="4" s="1"/>
  <c r="B1495" i="4" s="1"/>
  <c r="B1496" i="4" s="1"/>
  <c r="B1497" i="4" s="1"/>
  <c r="B1498" i="4" s="1"/>
  <c r="B1499" i="4" s="1"/>
  <c r="B1500" i="4" s="1"/>
  <c r="B1501" i="4" s="1"/>
  <c r="B1502" i="4" s="1"/>
  <c r="B1503" i="4" s="1"/>
  <c r="B1504" i="4" s="1"/>
  <c r="B1505" i="4" s="1"/>
  <c r="B1506" i="4" s="1"/>
  <c r="B1507" i="4" s="1"/>
  <c r="B1508" i="4" s="1"/>
  <c r="B1509" i="4" s="1"/>
  <c r="B1510" i="4" s="1"/>
  <c r="B1511" i="4" s="1"/>
  <c r="B1512" i="4" s="1"/>
  <c r="B1513" i="4" s="1"/>
  <c r="B1514" i="4" s="1"/>
  <c r="B1516" i="4" s="1"/>
  <c r="B1517" i="4" s="1"/>
  <c r="B1518" i="4" s="1"/>
  <c r="B1519" i="4" s="1"/>
  <c r="B1520" i="4" s="1"/>
  <c r="B1521" i="4" s="1"/>
  <c r="B1522" i="4" s="1"/>
  <c r="B1523" i="4" s="1"/>
  <c r="B1524" i="4" s="1"/>
  <c r="B1525" i="4" s="1"/>
  <c r="B1526" i="4" s="1"/>
  <c r="B1527" i="4" s="1"/>
  <c r="B1528" i="4" s="1"/>
  <c r="B1529" i="4" s="1"/>
  <c r="B1530" i="4" s="1"/>
  <c r="B1531" i="4" s="1"/>
  <c r="B1532" i="4" s="1"/>
  <c r="B1533" i="4" s="1"/>
  <c r="B1534" i="4" s="1"/>
  <c r="B1535" i="4" s="1"/>
  <c r="B1536" i="4" s="1"/>
  <c r="B1537" i="4" s="1"/>
  <c r="B1539" i="4" s="1"/>
  <c r="B1540" i="4" s="1"/>
  <c r="B1541" i="4" s="1"/>
  <c r="B1542" i="4" s="1"/>
  <c r="B1543" i="4" s="1"/>
  <c r="B1544" i="4" s="1"/>
  <c r="B1545" i="4" s="1"/>
  <c r="B1546" i="4" s="1"/>
  <c r="B1547" i="4" s="1"/>
  <c r="B1548" i="4" s="1"/>
  <c r="B1549" i="4" s="1"/>
  <c r="B1550" i="4" s="1"/>
  <c r="B1551" i="4" s="1"/>
  <c r="B1552" i="4" s="1"/>
  <c r="B1553" i="4" s="1"/>
  <c r="B1554" i="4" s="1"/>
  <c r="B1555" i="4" s="1"/>
  <c r="B1556" i="4" s="1"/>
  <c r="B1557" i="4" s="1"/>
  <c r="B1558" i="4" s="1"/>
  <c r="B1559" i="4" s="1"/>
  <c r="B1560" i="4" s="1"/>
  <c r="B1561" i="4" s="1"/>
  <c r="B1562" i="4" s="1"/>
  <c r="B1563" i="4" s="1"/>
  <c r="B1564" i="4" s="1"/>
  <c r="B1565" i="4" s="1"/>
  <c r="B1566" i="4" s="1"/>
  <c r="B1567" i="4" s="1"/>
  <c r="B1568" i="4" s="1"/>
  <c r="B1569" i="4" s="1"/>
  <c r="B1570" i="4" s="1"/>
  <c r="B1571" i="4" s="1"/>
  <c r="B1572" i="4" s="1"/>
  <c r="B1573" i="4" s="1"/>
  <c r="B1574" i="4" s="1"/>
  <c r="B1575" i="4" s="1"/>
  <c r="B1576" i="4" s="1"/>
  <c r="B1577" i="4" s="1"/>
  <c r="B1578" i="4" s="1"/>
  <c r="B1579" i="4" s="1"/>
  <c r="B1580" i="4" s="1"/>
  <c r="B1581" i="4" s="1"/>
  <c r="B1582" i="4" s="1"/>
  <c r="B1583" i="4" s="1"/>
  <c r="B1584" i="4" s="1"/>
  <c r="B1585" i="4" s="1"/>
  <c r="B1586" i="4" s="1"/>
  <c r="B1587" i="4" s="1"/>
  <c r="B1589" i="4" s="1"/>
  <c r="B1590" i="4" s="1"/>
  <c r="B1591" i="4" s="1"/>
  <c r="B1592" i="4" s="1"/>
  <c r="B1593" i="4" s="1"/>
  <c r="B1594" i="4" s="1"/>
  <c r="B1595" i="4" s="1"/>
  <c r="B1596" i="4" s="1"/>
  <c r="B1597" i="4" s="1"/>
  <c r="B1598" i="4" s="1"/>
  <c r="B1599" i="4" s="1"/>
  <c r="B1600" i="4" s="1"/>
  <c r="B1601" i="4" s="1"/>
  <c r="B1602" i="4" s="1"/>
  <c r="B1603" i="4" s="1"/>
  <c r="B1604" i="4" s="1"/>
  <c r="B1605" i="4" s="1"/>
  <c r="B1607" i="4" s="1"/>
  <c r="B1608" i="4" s="1"/>
  <c r="B1609" i="4" s="1"/>
  <c r="B1610" i="4" s="1"/>
  <c r="B1611" i="4" s="1"/>
  <c r="B1612" i="4" s="1"/>
  <c r="B1613" i="4" s="1"/>
  <c r="B1614" i="4" s="1"/>
  <c r="B1615" i="4" s="1"/>
  <c r="B1616" i="4" s="1"/>
  <c r="B1617" i="4" s="1"/>
  <c r="B1619" i="4" s="1"/>
  <c r="B1620" i="4" s="1"/>
  <c r="B1621" i="4" s="1"/>
  <c r="B1622" i="4" s="1"/>
  <c r="B1623" i="4" s="1"/>
  <c r="B1624" i="4" s="1"/>
  <c r="B1625" i="4" s="1"/>
  <c r="B1626" i="4" s="1"/>
  <c r="B1627" i="4" s="1"/>
  <c r="B1628" i="4" s="1"/>
  <c r="B1629" i="4" s="1"/>
  <c r="B1630" i="4" s="1"/>
  <c r="B1631" i="4" s="1"/>
  <c r="B1632" i="4" s="1"/>
  <c r="B1633" i="4" s="1"/>
  <c r="B1634" i="4" s="1"/>
  <c r="B1636" i="4" s="1"/>
  <c r="B1637" i="4" s="1"/>
  <c r="B1638" i="4" s="1"/>
  <c r="B1639" i="4" s="1"/>
  <c r="B1640" i="4" s="1"/>
  <c r="B1641" i="4" s="1"/>
  <c r="B1642" i="4" s="1"/>
  <c r="B1643" i="4" s="1"/>
  <c r="B1645" i="4" s="1"/>
  <c r="B1646" i="4" s="1"/>
  <c r="B1647" i="4" s="1"/>
  <c r="B1648" i="4" s="1"/>
  <c r="B1649" i="4" s="1"/>
  <c r="B1650" i="4" s="1"/>
  <c r="B1651" i="4" s="1"/>
  <c r="B1652" i="4" s="1"/>
  <c r="B1653" i="4" s="1"/>
  <c r="B1654" i="4" s="1"/>
  <c r="B1655" i="4" s="1"/>
  <c r="B1656" i="4" s="1"/>
  <c r="B1657" i="4" s="1"/>
  <c r="B1658" i="4" s="1"/>
  <c r="B1659" i="4" s="1"/>
  <c r="B1661" i="4" s="1"/>
  <c r="B1662" i="4" s="1"/>
  <c r="B1663" i="4" s="1"/>
  <c r="B1664" i="4" s="1"/>
  <c r="B1665" i="4" s="1"/>
  <c r="B1666" i="4" s="1"/>
  <c r="B1669" i="4" s="1"/>
  <c r="B1671" i="4" s="1"/>
  <c r="B1672" i="4" s="1"/>
  <c r="B1673" i="4" s="1"/>
  <c r="B1674" i="4" s="1"/>
  <c r="B34" i="3"/>
  <c r="B1675" i="4" l="1"/>
  <c r="B1676" i="4"/>
  <c r="B1677" i="4" s="1"/>
  <c r="B1678" i="4" s="1"/>
  <c r="B1679" i="4" s="1"/>
  <c r="B1681" i="4" s="1"/>
  <c r="B1682" i="4" s="1"/>
  <c r="B1683" i="4" s="1"/>
  <c r="B1684" i="4" s="1"/>
  <c r="B1686" i="4" s="1"/>
  <c r="B1687" i="4" s="1"/>
  <c r="B1688" i="4" s="1"/>
  <c r="B1689" i="4" s="1"/>
  <c r="B1690" i="4" s="1"/>
  <c r="B1691" i="4" s="1"/>
  <c r="B1693" i="4" s="1"/>
  <c r="B1694" i="4" s="1"/>
  <c r="B1695" i="4" s="1"/>
  <c r="B1696" i="4" s="1"/>
  <c r="B1697" i="4" s="1"/>
  <c r="B1698" i="4" s="1"/>
  <c r="B1700" i="4" s="1"/>
  <c r="B1701" i="4" s="1"/>
  <c r="B1702" i="4" s="1"/>
  <c r="B1703" i="4" s="1"/>
  <c r="B1704" i="4" s="1"/>
  <c r="B1705" i="4" s="1"/>
  <c r="B1706" i="4" s="1"/>
  <c r="B1707" i="4" s="1"/>
  <c r="B1708" i="4" s="1"/>
  <c r="B1709" i="4" s="1"/>
  <c r="B1710" i="4" s="1"/>
  <c r="B1711" i="4" s="1"/>
  <c r="B1712" i="4" s="1"/>
  <c r="B1713" i="4" s="1"/>
  <c r="B1714" i="4" s="1"/>
  <c r="B1715" i="4" s="1"/>
  <c r="B1717" i="4" s="1"/>
  <c r="B1718" i="4" s="1"/>
  <c r="B1719" i="4" s="1"/>
  <c r="B1720" i="4" s="1"/>
  <c r="B1721" i="4" s="1"/>
  <c r="B1722" i="4" s="1"/>
  <c r="B1723" i="4" s="1"/>
  <c r="B1724" i="4" s="1"/>
  <c r="B1725" i="4" s="1"/>
  <c r="B1726" i="4" s="1"/>
  <c r="B1727" i="4" s="1"/>
  <c r="B1728" i="4" s="1"/>
  <c r="B1729" i="4" s="1"/>
  <c r="B1730" i="4" s="1"/>
  <c r="B1731" i="4" s="1"/>
  <c r="B1732" i="4" s="1"/>
  <c r="B1733" i="4" s="1"/>
  <c r="B1734" i="4" s="1"/>
  <c r="B1735" i="4" s="1"/>
  <c r="B1736" i="4" s="1"/>
  <c r="B1737" i="4" s="1"/>
  <c r="B1738" i="4" s="1"/>
  <c r="B1739" i="4" s="1"/>
  <c r="B1740" i="4" s="1"/>
  <c r="B1741" i="4" s="1"/>
  <c r="B1742" i="4" s="1"/>
  <c r="B1743" i="4" s="1"/>
  <c r="B1744" i="4" s="1"/>
  <c r="B1745" i="4" s="1"/>
  <c r="B1746" i="4" s="1"/>
  <c r="B1747" i="4" s="1"/>
  <c r="B1748" i="4" s="1"/>
  <c r="B1749" i="4" s="1"/>
  <c r="B1750" i="4" s="1"/>
  <c r="B1752" i="4" s="1"/>
  <c r="B1753" i="4" s="1"/>
  <c r="B1754" i="4" s="1"/>
  <c r="B1755" i="4" s="1"/>
  <c r="B1756" i="4" s="1"/>
  <c r="B1757" i="4" s="1"/>
  <c r="B1758" i="4" s="1"/>
  <c r="B1759" i="4" s="1"/>
  <c r="B1760" i="4" s="1"/>
  <c r="B1782" i="4" s="1"/>
  <c r="B1803" i="4" s="1"/>
  <c r="B1820" i="4" s="1"/>
  <c r="B1846" i="4" s="1"/>
  <c r="B1870" i="4" s="1"/>
  <c r="B1882" i="4" s="1"/>
  <c r="B1891" i="4" s="1"/>
  <c r="B1899" i="4" s="1"/>
  <c r="B1907" i="4" s="1"/>
  <c r="B1915" i="4" s="1"/>
  <c r="B1923" i="4" s="1"/>
  <c r="B1931" i="4" s="1"/>
  <c r="B1939" i="4" s="1"/>
  <c r="B1947" i="4" s="1"/>
  <c r="B1955" i="4" s="1"/>
  <c r="B1963" i="4" s="1"/>
  <c r="B1981" i="4" s="1"/>
  <c r="B1989" i="4" s="1"/>
  <c r="B1997" i="4" s="1"/>
  <c r="B2005" i="4" s="1"/>
  <c r="B2013" i="4" s="1"/>
  <c r="B2021" i="4" s="1"/>
  <c r="B2029" i="4" s="1"/>
  <c r="B2037" i="4" s="1"/>
  <c r="B2045" i="4" s="1"/>
  <c r="B2053" i="4" s="1"/>
  <c r="B2070" i="4" s="1"/>
  <c r="B2078" i="4" s="1"/>
  <c r="B2086" i="4" s="1"/>
  <c r="B2094" i="4" s="1"/>
  <c r="B2102" i="4" s="1"/>
  <c r="B2110" i="4" s="1"/>
  <c r="B2118" i="4" s="1"/>
  <c r="B2126" i="4" s="1"/>
  <c r="B2142" i="4" s="1"/>
  <c r="B2150" i="4" s="1"/>
  <c r="B2158" i="4" s="1"/>
  <c r="B2166" i="4" s="1"/>
  <c r="B2174" i="4" s="1"/>
  <c r="B2182" i="4" s="1"/>
  <c r="B2190" i="4" s="1"/>
  <c r="B2198" i="4" s="1"/>
  <c r="B2214" i="4" s="1"/>
  <c r="B2231" i="4" s="1"/>
  <c r="B2260" i="4" s="1"/>
  <c r="B2277" i="4" s="1"/>
  <c r="B2296" i="4" s="1"/>
  <c r="B2297" i="4" s="1"/>
  <c r="B2298" i="4" s="1"/>
  <c r="B2299" i="4" s="1"/>
  <c r="B2300" i="4" s="1"/>
  <c r="B2301" i="4" s="1"/>
  <c r="B2302" i="4" s="1"/>
  <c r="B2303" i="4" s="1"/>
  <c r="B2304" i="4" s="1"/>
  <c r="B2305" i="4" s="1"/>
  <c r="B2307" i="4" s="1"/>
  <c r="B2308" i="4" s="1"/>
  <c r="B2309" i="4" s="1"/>
  <c r="B2311" i="4" s="1"/>
  <c r="B2312" i="4" s="1"/>
  <c r="B2313" i="4" s="1"/>
  <c r="B2314" i="4" s="1"/>
  <c r="B2315" i="4" s="1"/>
  <c r="B2316" i="4" s="1"/>
  <c r="B2317" i="4" s="1"/>
  <c r="B2318" i="4" s="1"/>
  <c r="B2319" i="4" s="1"/>
  <c r="B2321" i="4" s="1"/>
  <c r="B2322" i="4" s="1"/>
  <c r="B2323" i="4" s="1"/>
  <c r="B2324" i="4" s="1"/>
  <c r="B2325" i="4" s="1"/>
  <c r="B2326" i="4" s="1"/>
  <c r="B2327" i="4" s="1"/>
  <c r="B2328" i="4" s="1"/>
  <c r="B2330" i="4" s="1"/>
  <c r="B2331" i="4" s="1"/>
  <c r="B2333" i="4" s="1"/>
  <c r="B2336" i="4" s="1"/>
  <c r="B2337" i="4" s="1"/>
  <c r="B2338" i="4" s="1"/>
  <c r="B2339" i="4" s="1"/>
  <c r="B2340" i="4" s="1"/>
  <c r="B2341" i="4" s="1"/>
  <c r="B2342" i="4" s="1"/>
  <c r="B2343" i="4" s="1"/>
  <c r="B2344" i="4" s="1"/>
  <c r="B2345" i="4" s="1"/>
  <c r="B2346" i="4" s="1"/>
  <c r="B2347" i="4" s="1"/>
  <c r="B2348" i="4" s="1"/>
  <c r="B2349" i="4" s="1"/>
  <c r="B2350" i="4" s="1"/>
  <c r="B2351" i="4" s="1"/>
  <c r="B2352" i="4" s="1"/>
  <c r="B2353" i="4" s="1"/>
  <c r="B2354" i="4" s="1"/>
  <c r="B2355" i="4" s="1"/>
  <c r="B2356" i="4" s="1"/>
  <c r="B2357" i="4" s="1"/>
  <c r="B2358" i="4" s="1"/>
  <c r="B2359" i="4" s="1"/>
  <c r="B2360" i="4" s="1"/>
  <c r="B2363" i="4" s="1"/>
  <c r="B2364" i="4" s="1"/>
  <c r="B2365" i="4" s="1"/>
  <c r="B2366" i="4" s="1"/>
  <c r="B2408" i="4" s="1"/>
  <c r="B2422" i="4" s="1"/>
  <c r="B2423" i="4" s="1"/>
  <c r="B2424" i="4" s="1"/>
  <c r="B2425" i="4" s="1"/>
  <c r="B2426" i="4" s="1"/>
  <c r="B2427" i="4" s="1"/>
  <c r="B2428" i="4" s="1"/>
  <c r="B2429" i="4" s="1"/>
  <c r="B2430" i="4" s="1"/>
  <c r="B2431" i="4" s="1"/>
  <c r="B2432" i="4" s="1"/>
  <c r="B2433" i="4" s="1"/>
  <c r="B2434" i="4" s="1"/>
  <c r="B2435" i="4" s="1"/>
  <c r="B2436" i="4" s="1"/>
  <c r="B2437" i="4" s="1"/>
  <c r="B2438" i="4" s="1"/>
  <c r="B2439" i="4" s="1"/>
  <c r="B2440" i="4" s="1"/>
  <c r="B2441" i="4" s="1"/>
  <c r="B2442" i="4" s="1"/>
  <c r="B2443" i="4" s="1"/>
  <c r="B2444" i="4" s="1"/>
  <c r="B2446" i="4" s="1"/>
  <c r="B2447" i="4" s="1"/>
  <c r="B2448" i="4" s="1"/>
  <c r="B2449" i="4" s="1"/>
  <c r="B2450" i="4" s="1"/>
  <c r="B2451" i="4" s="1"/>
  <c r="B2452" i="4" s="1"/>
  <c r="B2453" i="4" s="1"/>
  <c r="B2454" i="4" s="1"/>
  <c r="B2455" i="4" s="1"/>
  <c r="B2456" i="4" s="1"/>
  <c r="B2457" i="4" s="1"/>
  <c r="B2458" i="4" s="1"/>
  <c r="B2459" i="4" s="1"/>
  <c r="B2460" i="4" s="1"/>
  <c r="B2461" i="4" s="1"/>
  <c r="B2462" i="4" s="1"/>
  <c r="B2463" i="4" s="1"/>
  <c r="B2464" i="4" s="1"/>
  <c r="B2465" i="4" s="1"/>
  <c r="B2466" i="4" s="1"/>
  <c r="B2467" i="4" s="1"/>
  <c r="B2468" i="4" s="1"/>
  <c r="B2470" i="4" s="1"/>
  <c r="B2471" i="4" s="1"/>
  <c r="B2472" i="4" s="1"/>
  <c r="B2473" i="4" s="1"/>
  <c r="B2474" i="4" s="1"/>
  <c r="B2475" i="4" s="1"/>
  <c r="B2476" i="4" s="1"/>
  <c r="B2477" i="4" s="1"/>
  <c r="B2478" i="4" s="1"/>
  <c r="B2479" i="4" s="1"/>
  <c r="B2480" i="4" s="1"/>
  <c r="B2481" i="4" s="1"/>
  <c r="B35" i="3"/>
  <c r="B2482" i="4" l="1"/>
  <c r="B2483" i="4"/>
  <c r="B2484" i="4" s="1"/>
  <c r="B2485" i="4" s="1"/>
  <c r="B2486" i="4" s="1"/>
  <c r="B2487" i="4" s="1"/>
  <c r="B2488" i="4" s="1"/>
  <c r="B2489" i="4" s="1"/>
  <c r="B2490" i="4" s="1"/>
  <c r="B2491" i="4" s="1"/>
  <c r="B2492" i="4" s="1"/>
  <c r="B2493" i="4" s="1"/>
  <c r="B2494" i="4" s="1"/>
  <c r="B2496" i="4" s="1"/>
  <c r="B2497" i="4" s="1"/>
  <c r="B2498" i="4" s="1"/>
  <c r="B2499" i="4" s="1"/>
  <c r="B2500" i="4" s="1"/>
  <c r="B2501" i="4" s="1"/>
  <c r="B2502" i="4" s="1"/>
  <c r="B2503" i="4" s="1"/>
  <c r="B2504" i="4" s="1"/>
  <c r="B2505" i="4" s="1"/>
  <c r="B2506" i="4" s="1"/>
  <c r="B2507" i="4" s="1"/>
  <c r="B2508" i="4" s="1"/>
  <c r="B2509" i="4" s="1"/>
  <c r="B2510" i="4" s="1"/>
  <c r="B2511" i="4" s="1"/>
  <c r="B2512" i="4" s="1"/>
  <c r="B2513" i="4" s="1"/>
  <c r="B2514" i="4" s="1"/>
  <c r="B2515" i="4" s="1"/>
  <c r="B2516" i="4" s="1"/>
  <c r="B2517" i="4" s="1"/>
  <c r="B2518" i="4" s="1"/>
  <c r="B2519" i="4" s="1"/>
  <c r="B2520" i="4" s="1"/>
  <c r="B2521" i="4" s="1"/>
  <c r="B2527" i="4" s="1"/>
  <c r="B2528" i="4" s="1"/>
  <c r="B2529" i="4" s="1"/>
  <c r="B2530" i="4" s="1"/>
  <c r="B2531" i="4" s="1"/>
  <c r="B2532" i="4" s="1"/>
  <c r="B2533" i="4" s="1"/>
  <c r="B2534" i="4" s="1"/>
  <c r="B2535" i="4" s="1"/>
  <c r="B2536" i="4" s="1"/>
  <c r="B2540" i="4" s="1"/>
  <c r="B2541" i="4" s="1"/>
  <c r="B2542" i="4" s="1"/>
  <c r="B2543" i="4" s="1"/>
  <c r="B2544" i="4" s="1"/>
  <c r="B2545" i="4" s="1"/>
  <c r="B2546" i="4" s="1"/>
  <c r="B2547" i="4" s="1"/>
  <c r="B2548" i="4" s="1"/>
  <c r="B2549" i="4" s="1"/>
  <c r="B2550" i="4" s="1"/>
  <c r="B2552" i="4" s="1"/>
  <c r="B2553" i="4" s="1"/>
  <c r="B2554" i="4" s="1"/>
  <c r="B2555" i="4" s="1"/>
  <c r="B2556" i="4" s="1"/>
  <c r="B2557" i="4" s="1"/>
  <c r="B2558" i="4" s="1"/>
  <c r="B2559" i="4" s="1"/>
  <c r="B2560" i="4" s="1"/>
  <c r="B2561" i="4" s="1"/>
  <c r="B2562" i="4" s="1"/>
  <c r="B2563" i="4" s="1"/>
  <c r="B2564" i="4" s="1"/>
  <c r="B2566" i="4" s="1"/>
  <c r="B2567" i="4" s="1"/>
  <c r="B2568" i="4" s="1"/>
  <c r="B2569" i="4" s="1"/>
  <c r="B2570" i="4" s="1"/>
  <c r="B2571" i="4" s="1"/>
  <c r="B2572" i="4" s="1"/>
  <c r="B2573" i="4" s="1"/>
  <c r="B2574" i="4" s="1"/>
  <c r="B2576" i="4" s="1"/>
  <c r="B2577" i="4" s="1"/>
  <c r="B2578" i="4" s="1"/>
  <c r="B2579" i="4" s="1"/>
  <c r="B2580" i="4" s="1"/>
  <c r="B2581" i="4" s="1"/>
  <c r="B2582" i="4" s="1"/>
  <c r="B2587" i="4" s="1"/>
  <c r="B2596" i="4" s="1"/>
  <c r="B2600" i="4" s="1"/>
  <c r="B2601" i="4" s="1"/>
  <c r="B36" i="3"/>
  <c r="B37" i="3" s="1"/>
  <c r="B38" i="3" s="1"/>
  <c r="B39" i="3" s="1"/>
  <c r="B41" i="3" s="1"/>
  <c r="B42" i="3" s="1"/>
  <c r="B43" i="3" s="1"/>
  <c r="B44" i="3" s="1"/>
  <c r="B45" i="3" s="1"/>
  <c r="B46" i="3" s="1"/>
  <c r="B47" i="3" s="1"/>
  <c r="B48" i="3" s="1"/>
  <c r="B49" i="3" s="1"/>
  <c r="B50" i="3" s="1"/>
  <c r="B51" i="3" s="1"/>
  <c r="B52" i="3" s="1"/>
  <c r="B53" i="3" s="1"/>
  <c r="B54" i="3" s="1"/>
  <c r="B55" i="3" s="1"/>
  <c r="B56" i="3" s="1"/>
  <c r="B57" i="3" s="1"/>
  <c r="B58" i="3" s="1"/>
  <c r="B61" i="3" s="1"/>
  <c r="B139" i="3" s="1"/>
  <c r="B169" i="3" s="1"/>
  <c r="B181" i="3" s="1"/>
  <c r="B193" i="3" s="1"/>
  <c r="B204" i="3" s="1"/>
  <c r="B216" i="3" s="1"/>
  <c r="B227" i="3" s="1"/>
  <c r="B238" i="3" s="1"/>
  <c r="B249" i="3" s="1"/>
  <c r="B260" i="3" s="1"/>
  <c r="B291" i="3" s="1"/>
  <c r="B311" i="3" s="1"/>
  <c r="B322" i="3" s="1"/>
  <c r="B336" i="3" s="1"/>
  <c r="B364" i="3" s="1"/>
  <c r="B400" i="3" s="1"/>
  <c r="B412" i="3" s="1"/>
  <c r="B424" i="3" s="1"/>
  <c r="B436" i="3" s="1"/>
  <c r="B449" i="3" s="1"/>
  <c r="B476" i="3" s="1"/>
  <c r="B487" i="3" s="1"/>
  <c r="B498" i="3" s="1"/>
  <c r="B509" i="3" s="1"/>
  <c r="B520" i="3" s="1"/>
  <c r="B532" i="3" s="1"/>
  <c r="B544" i="3" s="1"/>
  <c r="B555" i="3" s="1"/>
  <c r="B566" i="3" s="1"/>
  <c r="B577" i="3" s="1"/>
  <c r="B588" i="3" s="1"/>
  <c r="B599" i="3" s="1"/>
  <c r="B626" i="3" s="1"/>
  <c r="B637" i="3" s="1"/>
  <c r="B648" i="3" s="1"/>
  <c r="B659" i="3" s="1"/>
  <c r="B670" i="3" s="1"/>
  <c r="B683" i="3" s="1"/>
  <c r="B696" i="3" s="1"/>
  <c r="B709" i="3" s="1"/>
  <c r="B721" i="3" s="1"/>
  <c r="B734" i="3" s="1"/>
  <c r="B762" i="3" s="1"/>
  <c r="B788" i="3" s="1"/>
  <c r="B803" i="3" s="1"/>
  <c r="B804" i="3" s="1"/>
  <c r="B807" i="3" s="1"/>
  <c r="B810" i="3" s="1"/>
  <c r="B811" i="3" s="1"/>
  <c r="B812" i="3" s="1"/>
  <c r="B813" i="3" s="1"/>
  <c r="B814" i="3" s="1"/>
  <c r="B815" i="3" s="1"/>
  <c r="B816" i="3" s="1"/>
  <c r="B817" i="3" s="1"/>
  <c r="B818" i="3" s="1"/>
  <c r="B819" i="3" s="1"/>
  <c r="B820" i="3" s="1"/>
  <c r="B821" i="3" s="1"/>
  <c r="B822" i="3" s="1"/>
  <c r="B823" i="3" s="1"/>
  <c r="B824" i="3" s="1"/>
  <c r="B825" i="3" s="1"/>
  <c r="B826" i="3" s="1"/>
  <c r="B827" i="3" s="1"/>
  <c r="B829" i="3" s="1"/>
  <c r="B830" i="3" s="1"/>
  <c r="B831" i="3" s="1"/>
  <c r="B832" i="3" s="1"/>
  <c r="B833" i="3" s="1"/>
  <c r="B834" i="3" s="1"/>
  <c r="B835" i="3" s="1"/>
  <c r="B836" i="3" s="1"/>
  <c r="B838" i="3" s="1"/>
  <c r="B839" i="3" s="1"/>
  <c r="B840" i="3" s="1"/>
  <c r="B841" i="3" s="1"/>
  <c r="B842" i="3" s="1"/>
  <c r="B843" i="3" s="1"/>
  <c r="B844" i="3" s="1"/>
  <c r="B845" i="3" s="1"/>
  <c r="B846" i="3" s="1"/>
  <c r="B847" i="3" s="1"/>
  <c r="B848" i="3" s="1"/>
  <c r="B851" i="3" s="1"/>
  <c r="B852" i="3" s="1"/>
  <c r="B853" i="3" s="1"/>
  <c r="B854" i="3" s="1"/>
  <c r="B855" i="3" s="1"/>
  <c r="B856" i="3" s="1"/>
  <c r="B857" i="3" s="1"/>
  <c r="B858" i="3" s="1"/>
  <c r="B859" i="3" s="1"/>
  <c r="B860" i="3" s="1"/>
  <c r="B861" i="3" s="1"/>
  <c r="B862" i="3" s="1"/>
  <c r="B863" i="3" s="1"/>
  <c r="B864" i="3" s="1"/>
  <c r="B865" i="3" s="1"/>
  <c r="B866" i="3" s="1"/>
  <c r="B867" i="3" s="1"/>
  <c r="B868" i="3" s="1"/>
  <c r="B870" i="3" s="1"/>
  <c r="B871" i="3" s="1"/>
  <c r="B872" i="3" s="1"/>
  <c r="B873" i="3" s="1"/>
  <c r="B874" i="3" s="1"/>
  <c r="B875" i="3" s="1"/>
  <c r="B876" i="3" s="1"/>
  <c r="B877" i="3" s="1"/>
  <c r="B878" i="3" s="1"/>
  <c r="B880" i="3" s="1"/>
  <c r="B881" i="3" s="1"/>
  <c r="B882" i="3" s="1"/>
  <c r="B883" i="3" s="1"/>
  <c r="B884" i="3" s="1"/>
  <c r="B885" i="3" s="1"/>
  <c r="B886" i="3" s="1"/>
  <c r="B887" i="3" s="1"/>
  <c r="B888" i="3" s="1"/>
  <c r="B889" i="3" s="1"/>
  <c r="B890" i="3" s="1"/>
  <c r="B891" i="3" s="1"/>
  <c r="B892" i="3" s="1"/>
  <c r="B893" i="3" s="1"/>
  <c r="B894" i="3" s="1"/>
  <c r="B895" i="3" s="1"/>
  <c r="B896" i="3" s="1"/>
  <c r="B897" i="3" s="1"/>
  <c r="B898" i="3" s="1"/>
  <c r="B901" i="3" s="1"/>
  <c r="B902" i="3" s="1"/>
  <c r="B903" i="3" s="1"/>
  <c r="B904" i="3" s="1"/>
  <c r="B905" i="3" s="1"/>
  <c r="B906" i="3" s="1"/>
  <c r="B907" i="3" s="1"/>
  <c r="B908" i="3" s="1"/>
  <c r="B909" i="3" s="1"/>
  <c r="B910" i="3" s="1"/>
  <c r="B911" i="3" s="1"/>
  <c r="B912" i="3" s="1"/>
  <c r="B913" i="3" s="1"/>
  <c r="B914" i="3" s="1"/>
  <c r="B916" i="3" s="1"/>
  <c r="B917" i="3" s="1"/>
  <c r="B918" i="3" s="1"/>
  <c r="B920" i="3" s="1"/>
  <c r="B921" i="3" s="1"/>
  <c r="B922" i="3" s="1"/>
  <c r="B923" i="3" s="1"/>
  <c r="B924" i="3" s="1"/>
  <c r="B925" i="3" s="1"/>
  <c r="B926" i="3" s="1"/>
  <c r="B927" i="3" s="1"/>
  <c r="B928" i="3" s="1"/>
  <c r="B929" i="3" s="1"/>
  <c r="B931" i="3" s="1"/>
  <c r="B932" i="3" s="1"/>
  <c r="B933" i="3" s="1"/>
  <c r="B936" i="3" s="1"/>
  <c r="B937" i="3" s="1"/>
  <c r="B938" i="3" s="1"/>
  <c r="B939" i="3" s="1"/>
  <c r="B940" i="3" s="1"/>
  <c r="B941" i="3" s="1"/>
  <c r="B942" i="3" s="1"/>
  <c r="B943" i="3" s="1"/>
  <c r="B944" i="3" s="1"/>
  <c r="B945" i="3" s="1"/>
  <c r="B946" i="3" s="1"/>
  <c r="B947" i="3" s="1"/>
  <c r="B948" i="3" s="1"/>
  <c r="B949" i="3" s="1"/>
  <c r="B951" i="3" s="1"/>
  <c r="B952" i="3" s="1"/>
  <c r="B953" i="3" s="1"/>
  <c r="B954" i="3" s="1"/>
  <c r="B955" i="3" s="1"/>
  <c r="B956" i="3" s="1"/>
  <c r="B957" i="3" s="1"/>
  <c r="B958" i="3" s="1"/>
  <c r="B959" i="3" s="1"/>
  <c r="B960" i="3" s="1"/>
  <c r="B961" i="3" s="1"/>
  <c r="B964" i="3" s="1"/>
  <c r="B977" i="3" s="1"/>
  <c r="B987" i="3" s="1"/>
  <c r="B998" i="3" s="1"/>
  <c r="B1008" i="3" s="1"/>
  <c r="B1018" i="3" s="1"/>
  <c r="B1019" i="3" s="1"/>
  <c r="B1020" i="3" s="1"/>
  <c r="B1021" i="3" s="1"/>
  <c r="B1022" i="3" s="1"/>
  <c r="B1023" i="3" s="1"/>
  <c r="B1024" i="3" s="1"/>
  <c r="B1025" i="3" s="1"/>
  <c r="B1026" i="3" s="1"/>
  <c r="B1027" i="3" s="1"/>
  <c r="B1028" i="3" s="1"/>
  <c r="B1029" i="3" s="1"/>
  <c r="B1030" i="3" s="1"/>
  <c r="B1031" i="3" s="1"/>
  <c r="B1032" i="3" s="1"/>
  <c r="B1033" i="3" s="1"/>
  <c r="B1034" i="3" s="1"/>
  <c r="B1035" i="3" s="1"/>
  <c r="B1036" i="3" s="1"/>
  <c r="B1038" i="3" s="1"/>
  <c r="B1039" i="3" s="1"/>
  <c r="B1040" i="3" s="1"/>
  <c r="B1041" i="3" s="1"/>
  <c r="B1042" i="3" s="1"/>
  <c r="B1043" i="3" s="1"/>
  <c r="B1044" i="3" s="1"/>
  <c r="B1045" i="3" s="1"/>
  <c r="B1046" i="3" s="1"/>
  <c r="B1047" i="3" s="1"/>
  <c r="B1048" i="3" s="1"/>
  <c r="B1049" i="3" s="1"/>
  <c r="B1050" i="3" s="1"/>
  <c r="B1051" i="3" s="1"/>
  <c r="B1052" i="3" s="1"/>
  <c r="B1053" i="3" s="1"/>
  <c r="B1054" i="3" s="1"/>
  <c r="B1056" i="3" s="1"/>
  <c r="B1057" i="3" s="1"/>
  <c r="B1058" i="3" s="1"/>
  <c r="B1059" i="3" s="1"/>
  <c r="B1060" i="3" s="1"/>
  <c r="B1061" i="3" s="1"/>
  <c r="B1062" i="3" s="1"/>
  <c r="B1063" i="3" s="1"/>
  <c r="B1064" i="3" s="1"/>
  <c r="B1065" i="3" s="1"/>
  <c r="B1066" i="3" s="1"/>
  <c r="B1067" i="3" s="1"/>
  <c r="B1068" i="3" s="1"/>
  <c r="B1069" i="3" s="1"/>
  <c r="B1070" i="3" s="1"/>
  <c r="B1071" i="3" s="1"/>
  <c r="B1072" i="3" s="1"/>
  <c r="B1073" i="3" s="1"/>
  <c r="B1074" i="3" s="1"/>
  <c r="B1075" i="3" s="1"/>
  <c r="B1077" i="3" s="1"/>
  <c r="B1078" i="3" s="1"/>
  <c r="B1079" i="3" s="1"/>
  <c r="B1080" i="3" s="1"/>
  <c r="B1081" i="3" s="1"/>
  <c r="B1082" i="3" s="1"/>
  <c r="B1083" i="3" s="1"/>
  <c r="B1084" i="3" s="1"/>
  <c r="B1085" i="3" s="1"/>
  <c r="B1086" i="3" s="1"/>
  <c r="B1087" i="3" s="1"/>
  <c r="B1088" i="3" s="1"/>
  <c r="B1089" i="3" s="1"/>
  <c r="B1090" i="3" s="1"/>
  <c r="B1091" i="3" s="1"/>
  <c r="B1092" i="3" s="1"/>
  <c r="B1093" i="3" s="1"/>
  <c r="B1094" i="3" s="1"/>
  <c r="B1096" i="3" s="1"/>
  <c r="B1097" i="3" s="1"/>
  <c r="B1098" i="3" s="1"/>
  <c r="B1099" i="3" s="1"/>
  <c r="B1100" i="3" s="1"/>
  <c r="B1101" i="3" s="1"/>
  <c r="B1102" i="3" s="1"/>
  <c r="B1103" i="3" s="1"/>
  <c r="B1104" i="3" s="1"/>
  <c r="B1105" i="3" s="1"/>
  <c r="B1106" i="3" s="1"/>
  <c r="B1108" i="3" s="1"/>
  <c r="B1109" i="3" s="1"/>
  <c r="B1110" i="3" s="1"/>
  <c r="B1111" i="3" s="1"/>
  <c r="B1112" i="3" s="1"/>
  <c r="B1113" i="3" s="1"/>
  <c r="B1115" i="3" s="1"/>
  <c r="B1116" i="3" s="1"/>
  <c r="B1117" i="3" s="1"/>
  <c r="B1118" i="3" s="1"/>
  <c r="B1124" i="3" s="1"/>
  <c r="B1125" i="3" s="1"/>
  <c r="B1126" i="3" s="1"/>
  <c r="B1141" i="3" s="1"/>
  <c r="B1142" i="3" s="1"/>
  <c r="B1143" i="3" s="1"/>
  <c r="B1144" i="3" s="1"/>
  <c r="B1145" i="3" s="1"/>
  <c r="B1146" i="3" s="1"/>
  <c r="B1147" i="3" s="1"/>
  <c r="B1148" i="3" s="1"/>
  <c r="B1149" i="3" s="1"/>
  <c r="B1150" i="3" s="1"/>
  <c r="B1151" i="3" s="1"/>
  <c r="B1152" i="3" s="1"/>
  <c r="B1153" i="3" s="1"/>
  <c r="B1154" i="3" s="1"/>
  <c r="B1155" i="3" s="1"/>
  <c r="B1156" i="3" s="1"/>
  <c r="B1157" i="3" s="1"/>
  <c r="B1158" i="3" s="1"/>
  <c r="B1160" i="3" s="1"/>
  <c r="B1161" i="3" s="1"/>
  <c r="B1162" i="3" s="1"/>
  <c r="B1163" i="3" s="1"/>
  <c r="B1164" i="3" s="1"/>
  <c r="B1165" i="3" s="1"/>
  <c r="B1166" i="3" s="1"/>
  <c r="B1167" i="3" s="1"/>
  <c r="B1169" i="3" s="1"/>
  <c r="B1170" i="3" s="1"/>
  <c r="B1171" i="3" s="1"/>
  <c r="B1173" i="3" s="1"/>
  <c r="B1174" i="3" s="1"/>
  <c r="B1175" i="3" s="1"/>
  <c r="B1176" i="3" s="1"/>
  <c r="B1177" i="3" s="1"/>
  <c r="B1178" i="3" s="1"/>
  <c r="B1179" i="3" s="1"/>
  <c r="B1180" i="3" s="1"/>
  <c r="B1181" i="3" s="1"/>
  <c r="B1182" i="3" s="1"/>
  <c r="B1183" i="3" s="1"/>
  <c r="B1184" i="3" s="1"/>
  <c r="B1185" i="3" s="1"/>
  <c r="B1187" i="3" s="1"/>
  <c r="B1188" i="3" s="1"/>
  <c r="B1189" i="3" s="1"/>
  <c r="B1190" i="3" s="1"/>
  <c r="B1191" i="3" s="1"/>
  <c r="B1192" i="3" s="1"/>
  <c r="B1193" i="3" s="1"/>
  <c r="B1194" i="3" s="1"/>
  <c r="B1195" i="3" s="1"/>
  <c r="B1199" i="3" s="1"/>
  <c r="B1200" i="3" s="1"/>
  <c r="B1201" i="3" s="1"/>
  <c r="B1202" i="3" s="1"/>
  <c r="B1203" i="3" s="1"/>
  <c r="B1216" i="3" s="1"/>
  <c r="B1229" i="3" s="1"/>
  <c r="B1242" i="3" s="1"/>
  <c r="B1255" i="3" s="1"/>
  <c r="B1256" i="3" s="1"/>
  <c r="B1258" i="3" s="1"/>
  <c r="B1259" i="3" s="1"/>
  <c r="B1260" i="3" s="1"/>
  <c r="B1261" i="3" s="1"/>
  <c r="B1262" i="3" s="1"/>
  <c r="B1263" i="3" s="1"/>
  <c r="B1264" i="3" s="1"/>
  <c r="B1265" i="3" s="1"/>
  <c r="B1266" i="3" s="1"/>
  <c r="B1267" i="3" s="1"/>
  <c r="B1268" i="3" s="1"/>
  <c r="B1269" i="3" s="1"/>
  <c r="B1270" i="3" s="1"/>
  <c r="B1272" i="3" s="1"/>
  <c r="B1273" i="3" s="1"/>
  <c r="B1274" i="3" s="1"/>
  <c r="B1275" i="3" s="1"/>
  <c r="B1277" i="3" l="1"/>
  <c r="B1276" i="3"/>
  <c r="B1278" i="3" s="1"/>
  <c r="B1279" i="3" s="1"/>
  <c r="B1280" i="3" s="1"/>
  <c r="B1281" i="3" s="1"/>
  <c r="B1282" i="3" s="1"/>
  <c r="B1283" i="3" s="1"/>
  <c r="B1284" i="3" s="1"/>
  <c r="B1285" i="3" s="1"/>
  <c r="B1286" i="3" s="1"/>
  <c r="B1288" i="3" s="1"/>
  <c r="B1289" i="3" s="1"/>
  <c r="B1290" i="3" s="1"/>
  <c r="B1291" i="3" s="1"/>
  <c r="B1304" i="3" s="1"/>
  <c r="B1305" i="3" s="1"/>
  <c r="B1307" i="3" s="1"/>
  <c r="B1308" i="3" s="1"/>
  <c r="B1309" i="3" s="1"/>
  <c r="B1310" i="3" s="1"/>
  <c r="B1311" i="3" s="1"/>
  <c r="B1312" i="3" s="1"/>
  <c r="B1313" i="3" s="1"/>
  <c r="B1314" i="3" s="1"/>
  <c r="B1315" i="3" s="1"/>
  <c r="B1316" i="3" s="1"/>
  <c r="B1317" i="3" s="1"/>
  <c r="B1319" i="3" s="1"/>
  <c r="B1320" i="3" s="1"/>
  <c r="B1321" i="3" s="1"/>
  <c r="B1322" i="3" s="1"/>
  <c r="B1323" i="3" s="1"/>
  <c r="B1324" i="3" s="1"/>
  <c r="B1325" i="3" s="1"/>
  <c r="B1326" i="3" s="1"/>
  <c r="B1327" i="3" s="1"/>
  <c r="B1329" i="3" s="1"/>
  <c r="B1330" i="3" s="1"/>
  <c r="B1331" i="3" s="1"/>
  <c r="B1332" i="3" s="1"/>
  <c r="B1333" i="3" s="1"/>
  <c r="B1334" i="3" s="1"/>
  <c r="B1335" i="3" s="1"/>
  <c r="B1336" i="3" s="1"/>
  <c r="B1337" i="3" s="1"/>
  <c r="B1338" i="3" s="1"/>
  <c r="B1339" i="3" s="1"/>
  <c r="B1341" i="3" s="1"/>
  <c r="B1343" i="3" s="1"/>
  <c r="B1347" i="3" s="1"/>
  <c r="B1348" i="3" s="1"/>
  <c r="B1349" i="3" s="1"/>
  <c r="B1350" i="3" s="1"/>
  <c r="B1351" i="3" s="1"/>
  <c r="B1352" i="3" s="1"/>
  <c r="B1353" i="3" s="1"/>
  <c r="B1354" i="3" s="1"/>
  <c r="B1355" i="3" s="1"/>
  <c r="B1356" i="3" s="1"/>
  <c r="B1357" i="3" s="1"/>
  <c r="B1358" i="3" s="1"/>
  <c r="B1359" i="3" s="1"/>
  <c r="B1360" i="3" s="1"/>
  <c r="B1361" i="3" s="1"/>
  <c r="B1362" i="3" s="1"/>
  <c r="B1363" i="3" s="1"/>
  <c r="B1364" i="3" s="1"/>
  <c r="B1365" i="3" s="1"/>
  <c r="B1366" i="3" s="1"/>
  <c r="B1367" i="3" s="1"/>
  <c r="B1368" i="3" s="1"/>
  <c r="B1369" i="3" s="1"/>
  <c r="B1370" i="3" s="1"/>
  <c r="B1371" i="3" s="1"/>
  <c r="B1372" i="3" s="1"/>
  <c r="B1373" i="3" s="1"/>
  <c r="B1374" i="3" s="1"/>
  <c r="B1375" i="3" s="1"/>
  <c r="B1376" i="3" s="1"/>
  <c r="B1377" i="3" s="1"/>
  <c r="B1378" i="3" s="1"/>
  <c r="B1379" i="3" s="1"/>
  <c r="B1380" i="3" s="1"/>
  <c r="B1381" i="3" s="1"/>
  <c r="B1382" i="3" s="1"/>
  <c r="B1384" i="3" s="1"/>
  <c r="B1385" i="3" s="1"/>
  <c r="B1386" i="3" s="1"/>
  <c r="B1387" i="3" s="1"/>
  <c r="B1388" i="3" s="1"/>
  <c r="B1389" i="3" s="1"/>
  <c r="B1390" i="3" s="1"/>
  <c r="B1391" i="3" s="1"/>
  <c r="B1392" i="3" s="1"/>
  <c r="B1393" i="3" s="1"/>
  <c r="B1394" i="3" s="1"/>
  <c r="B1395" i="3" s="1"/>
  <c r="B1396" i="3" s="1"/>
  <c r="B1397" i="3" s="1"/>
  <c r="B1398" i="3" s="1"/>
  <c r="B1399" i="3" s="1"/>
  <c r="B1400" i="3" s="1"/>
  <c r="B1402" i="3" s="1"/>
  <c r="B1403" i="3" s="1"/>
  <c r="B1404" i="3" s="1"/>
  <c r="B1405" i="3" s="1"/>
  <c r="B1406" i="3" s="1"/>
  <c r="B1407" i="3" s="1"/>
  <c r="B1408" i="3" s="1"/>
  <c r="B1409" i="3" s="1"/>
  <c r="B1412" i="3" s="1"/>
  <c r="B1413" i="3" s="1"/>
  <c r="B1414" i="3" s="1"/>
  <c r="B1415" i="3" s="1"/>
  <c r="B1416" i="3" s="1"/>
  <c r="B1417" i="3" s="1"/>
  <c r="B1418" i="3" s="1"/>
  <c r="B1419" i="3" s="1"/>
  <c r="B1420" i="3" s="1"/>
  <c r="B1422" i="3" s="1"/>
  <c r="B1424" i="3" s="1"/>
  <c r="B1426" i="3" s="1"/>
  <c r="B1427" i="3" s="1"/>
  <c r="B1428" i="3" s="1"/>
  <c r="B1429" i="3" s="1"/>
  <c r="B1430" i="3" s="1"/>
  <c r="B1431" i="3" s="1"/>
  <c r="B1432" i="3" s="1"/>
  <c r="B1433" i="3" s="1"/>
  <c r="B1434" i="3" s="1"/>
  <c r="B1435" i="3" s="1"/>
  <c r="B1436" i="3" s="1"/>
  <c r="B1437" i="3" s="1"/>
  <c r="B1438" i="3" s="1"/>
  <c r="B1439" i="3" s="1"/>
  <c r="B1441" i="3" s="1"/>
  <c r="B1442" i="3" s="1"/>
  <c r="B1443" i="3" s="1"/>
  <c r="B1444" i="3" s="1"/>
  <c r="B1445" i="3" s="1"/>
  <c r="B1447" i="3" s="1"/>
  <c r="B1448" i="3" s="1"/>
  <c r="B1449" i="3" s="1"/>
  <c r="B1450" i="3" s="1"/>
  <c r="B1451" i="3" s="1"/>
  <c r="B1452" i="3" s="1"/>
  <c r="B1453" i="3" s="1"/>
  <c r="B1454" i="3" s="1"/>
  <c r="B1455" i="3" s="1"/>
  <c r="B1456" i="3" s="1"/>
  <c r="B1457" i="3" s="1"/>
  <c r="B1459" i="3" s="1"/>
  <c r="B1461" i="3" s="1"/>
  <c r="B1462" i="3" s="1"/>
  <c r="B1463" i="3" s="1"/>
  <c r="B1464" i="3" s="1"/>
  <c r="B1465" i="3" s="1"/>
  <c r="B1467" i="3" s="1"/>
  <c r="B1468" i="3" s="1"/>
  <c r="B1469" i="3" s="1"/>
  <c r="B1473" i="3" s="1"/>
  <c r="B1474" i="3" s="1"/>
  <c r="B1475" i="3" s="1"/>
  <c r="B1476" i="3" s="1"/>
  <c r="B1477" i="3" s="1"/>
  <c r="B1478" i="3" s="1"/>
  <c r="B1479" i="3" s="1"/>
  <c r="B1480" i="3" s="1"/>
  <c r="B1481" i="3" s="1"/>
  <c r="B1483" i="3" s="1"/>
  <c r="B1484" i="3" s="1"/>
  <c r="B1485" i="3" s="1"/>
  <c r="B1486" i="3" s="1"/>
  <c r="B1487" i="3" s="1"/>
  <c r="B1488" i="3" s="1"/>
  <c r="B1489" i="3" s="1"/>
  <c r="B1490" i="3" s="1"/>
  <c r="B1491" i="3" s="1"/>
  <c r="B1492" i="3" s="1"/>
  <c r="B1493" i="3" s="1"/>
  <c r="B1494" i="3" s="1"/>
  <c r="B1495" i="3" s="1"/>
  <c r="B1496" i="3" s="1"/>
  <c r="B1497" i="3" s="1"/>
  <c r="B1498" i="3" s="1"/>
  <c r="B1499" i="3" s="1"/>
  <c r="B1500" i="3" s="1"/>
  <c r="B1501" i="3" s="1"/>
  <c r="B1502" i="3" s="1"/>
  <c r="B1503" i="3" s="1"/>
  <c r="B1504" i="3" s="1"/>
  <c r="B1505" i="3" s="1"/>
  <c r="B1506" i="3" s="1"/>
  <c r="B1507" i="3" s="1"/>
  <c r="B1508" i="3" s="1"/>
  <c r="B1509" i="3" s="1"/>
  <c r="B1510" i="3" s="1"/>
  <c r="B1511" i="3" s="1"/>
  <c r="B1512" i="3" s="1"/>
  <c r="B1513" i="3" s="1"/>
  <c r="B1514" i="3" s="1"/>
  <c r="B1515" i="3" s="1"/>
  <c r="B1516" i="3" s="1"/>
  <c r="B1517" i="3" s="1"/>
  <c r="B1518" i="3" s="1"/>
  <c r="B1519" i="3" s="1"/>
  <c r="B1520" i="3" s="1"/>
  <c r="B1521" i="3" s="1"/>
  <c r="B1522" i="3" s="1"/>
  <c r="B1523" i="3" s="1"/>
  <c r="B1524" i="3" s="1"/>
  <c r="B1525" i="3" s="1"/>
  <c r="B1526" i="3" s="1"/>
  <c r="B1527" i="3" s="1"/>
  <c r="B1528" i="3" s="1"/>
  <c r="B1529" i="3" s="1"/>
  <c r="B1530" i="3" s="1"/>
  <c r="B1531" i="3" s="1"/>
  <c r="B1532" i="3" s="1"/>
  <c r="B1533" i="3" s="1"/>
  <c r="B1534" i="3" s="1"/>
  <c r="B1535" i="3" s="1"/>
  <c r="B1537" i="3" s="1"/>
  <c r="B1538" i="3" s="1"/>
  <c r="B1539" i="3" s="1"/>
  <c r="B1540" i="3" s="1"/>
  <c r="B1541" i="3" s="1"/>
  <c r="B1542" i="3" s="1"/>
  <c r="B1543" i="3" s="1"/>
  <c r="B1544" i="3" s="1"/>
  <c r="B1545" i="3" s="1"/>
  <c r="B1546" i="3" s="1"/>
  <c r="B1547" i="3" s="1"/>
  <c r="B1548" i="3" s="1"/>
  <c r="B1549" i="3" s="1"/>
  <c r="B1550" i="3" s="1"/>
  <c r="B1551" i="3" s="1"/>
  <c r="B1552" i="3" s="1"/>
  <c r="B1553" i="3" s="1"/>
  <c r="B1554" i="3" s="1"/>
  <c r="B1555" i="3" s="1"/>
  <c r="B1556" i="3" s="1"/>
  <c r="B1557" i="3" s="1"/>
  <c r="B1558" i="3" s="1"/>
  <c r="B1559" i="3" s="1"/>
  <c r="B1560" i="3" s="1"/>
  <c r="B1561" i="3" s="1"/>
  <c r="B1563" i="3" s="1"/>
  <c r="B1564" i="3" s="1"/>
  <c r="B1565" i="3" s="1"/>
  <c r="B1566" i="3" s="1"/>
  <c r="B1567" i="3" s="1"/>
  <c r="B1568" i="3" s="1"/>
  <c r="B1569" i="3" s="1"/>
  <c r="B1570" i="3" s="1"/>
  <c r="B1571" i="3" s="1"/>
  <c r="B1572" i="3" s="1"/>
  <c r="B1573" i="3" s="1"/>
  <c r="B1574" i="3" s="1"/>
  <c r="B1575" i="3" s="1"/>
  <c r="B1576" i="3" s="1"/>
  <c r="B1577" i="3" s="1"/>
  <c r="B1578" i="3" s="1"/>
  <c r="B1579" i="3" s="1"/>
  <c r="B1580" i="3" s="1"/>
  <c r="B1581" i="3" s="1"/>
  <c r="B1582" i="3" s="1"/>
  <c r="B1583" i="3" s="1"/>
  <c r="B1584" i="3" s="1"/>
  <c r="B1585" i="3" s="1"/>
  <c r="B1586" i="3" s="1"/>
  <c r="B1587" i="3" s="1"/>
  <c r="B1588" i="3" s="1"/>
  <c r="B1589" i="3" s="1"/>
  <c r="B1590" i="3" s="1"/>
  <c r="B1591" i="3" s="1"/>
  <c r="B1592" i="3" s="1"/>
  <c r="B1593" i="3" s="1"/>
  <c r="B1594" i="3" s="1"/>
  <c r="B1595" i="3" s="1"/>
  <c r="B1596" i="3" s="1"/>
  <c r="B1597" i="3" s="1"/>
  <c r="B1598" i="3" s="1"/>
  <c r="B1599" i="3" s="1"/>
  <c r="B1600" i="3" s="1"/>
  <c r="B1601" i="3" s="1"/>
  <c r="B1602" i="3" s="1"/>
  <c r="B1603" i="3" s="1"/>
  <c r="B1604" i="3" s="1"/>
  <c r="B1605" i="3" s="1"/>
  <c r="B1606" i="3" s="1"/>
  <c r="B1607" i="3" s="1"/>
  <c r="B1608" i="3" s="1"/>
  <c r="B1609" i="3" s="1"/>
  <c r="B1610" i="3" s="1"/>
  <c r="B1611" i="3" s="1"/>
  <c r="B1612" i="3" s="1"/>
  <c r="B1613" i="3" s="1"/>
  <c r="B1614" i="3" s="1"/>
  <c r="B1616" i="3" s="1"/>
  <c r="B1617" i="3" s="1"/>
  <c r="B1618" i="3" s="1"/>
  <c r="B1620" i="3" s="1"/>
  <c r="B1621" i="3" s="1"/>
  <c r="B1622" i="3" s="1"/>
  <c r="B1623" i="3" s="1"/>
  <c r="B1625" i="3" s="1"/>
  <c r="B1626" i="3" s="1"/>
  <c r="B1627" i="3" s="1"/>
  <c r="B1628" i="3" s="1"/>
  <c r="B1629" i="3" s="1"/>
  <c r="B1630" i="3" s="1"/>
  <c r="B1631" i="3" s="1"/>
  <c r="B1632" i="3" s="1"/>
  <c r="B1633" i="3" s="1"/>
  <c r="B1635" i="3" s="1"/>
  <c r="B1636" i="3" s="1"/>
  <c r="B1637" i="3" s="1"/>
  <c r="B1638" i="3" s="1"/>
  <c r="B1639" i="3" s="1"/>
  <c r="B1640" i="3" s="1"/>
  <c r="B1641" i="3" s="1"/>
  <c r="B1642" i="3" s="1"/>
  <c r="B1643" i="3" s="1"/>
  <c r="B1644" i="3" s="1"/>
  <c r="B1645" i="3" s="1"/>
  <c r="B1646" i="3" s="1"/>
  <c r="B1647" i="3" s="1"/>
  <c r="B1648" i="3" s="1"/>
  <c r="B1649" i="3" s="1"/>
  <c r="B1651" i="3" s="1"/>
  <c r="B1652" i="3" s="1"/>
  <c r="B1653" i="3" s="1"/>
  <c r="B1654" i="3" s="1"/>
  <c r="B1655" i="3" s="1"/>
  <c r="B1656" i="3" s="1"/>
  <c r="B1659" i="3" s="1"/>
  <c r="B1661" i="3" s="1"/>
  <c r="B1662" i="3" s="1"/>
  <c r="B1663" i="3" s="1"/>
  <c r="B1664" i="3" s="1"/>
  <c r="B1665" i="3" s="1"/>
  <c r="B1666" i="3" s="1"/>
  <c r="B1667" i="3" s="1"/>
  <c r="B1668" i="3" s="1"/>
  <c r="B1669" i="3" s="1"/>
  <c r="B1671" i="3" s="1"/>
  <c r="B1672" i="3" s="1"/>
  <c r="B1673" i="3" s="1"/>
  <c r="B1675" i="3" s="1"/>
  <c r="B1676" i="3" s="1"/>
  <c r="B1677" i="3" s="1"/>
  <c r="B1678" i="3" s="1"/>
  <c r="B1679" i="3" s="1"/>
  <c r="B1680" i="3" s="1"/>
  <c r="B1682" i="3" s="1"/>
  <c r="B1683" i="3" s="1"/>
  <c r="B1685" i="3" s="1"/>
  <c r="B1687" i="3" s="1"/>
  <c r="B1688" i="3" s="1"/>
  <c r="B1689" i="3" s="1"/>
  <c r="B1690" i="3" s="1"/>
  <c r="B1691" i="3" s="1"/>
  <c r="B1692" i="3" s="1"/>
  <c r="B1693" i="3" s="1"/>
  <c r="B1694" i="3" s="1"/>
  <c r="B1695" i="3" s="1"/>
  <c r="B1696" i="3" s="1"/>
  <c r="B1697" i="3" s="1"/>
  <c r="B1698" i="3" s="1"/>
  <c r="B1699" i="3" s="1"/>
  <c r="B1700" i="3" s="1"/>
  <c r="B1701" i="3" s="1"/>
  <c r="B1703" i="3" s="1"/>
  <c r="B1704" i="3" s="1"/>
  <c r="B1705" i="3" s="1"/>
  <c r="B1706" i="3" s="1"/>
  <c r="B1707" i="3" s="1"/>
  <c r="B1708" i="3" s="1"/>
  <c r="B1709" i="3" s="1"/>
  <c r="B1710" i="3" s="1"/>
  <c r="B1711" i="3" s="1"/>
  <c r="B1712" i="3" s="1"/>
  <c r="B1713" i="3" s="1"/>
  <c r="B1714" i="3" s="1"/>
  <c r="B1715" i="3" s="1"/>
  <c r="B1716" i="3" s="1"/>
  <c r="B1717" i="3" s="1"/>
  <c r="B1718" i="3" s="1"/>
  <c r="B1719" i="3" s="1"/>
  <c r="B1720" i="3" s="1"/>
  <c r="B1721" i="3" s="1"/>
  <c r="B1722" i="3" s="1"/>
  <c r="B1723" i="3" s="1"/>
  <c r="B1724" i="3" s="1"/>
  <c r="B1725" i="3" s="1"/>
  <c r="B1726" i="3" s="1"/>
  <c r="B1727" i="3" s="1"/>
  <c r="B1728" i="3" s="1"/>
  <c r="B1729" i="3" s="1"/>
  <c r="B1730" i="3" s="1"/>
  <c r="B1731" i="3" s="1"/>
  <c r="B1732" i="3" s="1"/>
  <c r="B1733" i="3" s="1"/>
  <c r="B1734" i="3" s="1"/>
  <c r="B1736" i="3" s="1"/>
  <c r="B1737" i="3" s="1"/>
  <c r="B1738" i="3" s="1"/>
  <c r="B1739" i="3" s="1"/>
  <c r="B1740" i="3" s="1"/>
  <c r="B1741" i="3" s="1"/>
  <c r="B1742" i="3" s="1"/>
  <c r="B1743" i="3" s="1"/>
  <c r="B1761" i="3" s="1"/>
  <c r="B1770" i="3" s="1"/>
  <c r="B1779" i="3" s="1"/>
  <c r="B1788" i="3" s="1"/>
  <c r="B1797" i="3" s="1"/>
  <c r="B1806" i="3" s="1"/>
  <c r="B1815" i="3" s="1"/>
  <c r="B1824" i="3" s="1"/>
  <c r="B1833" i="3" s="1"/>
  <c r="B1842" i="3" s="1"/>
  <c r="B1851" i="3" s="1"/>
  <c r="B1873" i="3" s="1"/>
  <c r="B1882" i="3" s="1"/>
  <c r="B1891" i="3" s="1"/>
  <c r="B1900" i="3" s="1"/>
  <c r="B1909" i="3" s="1"/>
  <c r="B1918" i="3" s="1"/>
  <c r="B1938" i="3" s="1"/>
  <c r="B1947" i="3" s="1"/>
  <c r="B1956" i="3" s="1"/>
  <c r="B1965" i="3" s="1"/>
  <c r="B1974" i="3" s="1"/>
  <c r="B1983" i="3" s="1"/>
  <c r="B1992" i="3" s="1"/>
  <c r="B2001" i="3" s="1"/>
  <c r="B2010" i="3" s="1"/>
  <c r="B2019" i="3" s="1"/>
  <c r="B2028" i="3" s="1"/>
  <c r="B2037" i="3" s="1"/>
  <c r="B2057" i="3" s="1"/>
  <c r="B2066" i="3" s="1"/>
  <c r="B2075" i="3" s="1"/>
  <c r="B2084" i="3" s="1"/>
  <c r="B2093" i="3" s="1"/>
  <c r="B2102" i="3" s="1"/>
  <c r="B2111" i="3" s="1"/>
  <c r="B2120" i="3" s="1"/>
  <c r="B2129" i="3" s="1"/>
  <c r="B2138" i="3" s="1"/>
  <c r="B2159" i="3" s="1"/>
  <c r="B2181" i="3" s="1"/>
  <c r="B2214" i="3" s="1"/>
  <c r="B2239" i="3" s="1"/>
  <c r="B2259" i="3" s="1"/>
  <c r="B2279" i="3" s="1"/>
  <c r="B2311" i="3" s="1"/>
  <c r="B2312" i="3" s="1"/>
  <c r="B2313" i="3" s="1"/>
  <c r="B2314" i="3" s="1"/>
  <c r="B2315" i="3" s="1"/>
  <c r="B2316" i="3" s="1"/>
  <c r="B2317" i="3" s="1"/>
  <c r="B2318" i="3" s="1"/>
  <c r="B2319" i="3" s="1"/>
  <c r="B2320" i="3" s="1"/>
  <c r="B2322" i="3" s="1"/>
  <c r="B2323" i="3" s="1"/>
  <c r="B2324" i="3" s="1"/>
  <c r="B2326" i="3" s="1"/>
  <c r="B2327" i="3" s="1"/>
  <c r="B2328" i="3" s="1"/>
  <c r="B2329" i="3" s="1"/>
  <c r="B2330" i="3" s="1"/>
  <c r="B2331" i="3" s="1"/>
  <c r="B2332" i="3" s="1"/>
  <c r="B2334" i="3" s="1"/>
  <c r="B2335" i="3" s="1"/>
  <c r="B2337" i="3" s="1"/>
  <c r="B2340" i="3" s="1"/>
  <c r="B2341" i="3" s="1"/>
  <c r="B2342" i="3" s="1"/>
  <c r="B2343" i="3" s="1"/>
  <c r="B2344" i="3" s="1"/>
  <c r="B2345" i="3" s="1"/>
  <c r="B2346" i="3" s="1"/>
  <c r="B2347" i="3" s="1"/>
  <c r="B2348" i="3" s="1"/>
  <c r="B2349" i="3" l="1"/>
  <c r="B2350" i="3" s="1"/>
  <c r="B2351" i="3" s="1"/>
  <c r="B2352" i="3" s="1"/>
  <c r="B2353" i="3" s="1"/>
  <c r="B2354" i="3" s="1"/>
  <c r="B2355" i="3" s="1"/>
  <c r="B2356" i="3" s="1"/>
  <c r="B2357" i="3" s="1"/>
  <c r="B2358" i="3" s="1"/>
  <c r="B2359" i="3" s="1"/>
  <c r="B2360" i="3" s="1"/>
  <c r="B2361" i="3" s="1"/>
  <c r="B2362" i="3" s="1"/>
  <c r="B2363" i="3" s="1"/>
  <c r="B2366" i="3" s="1"/>
  <c r="B2367" i="3" s="1"/>
  <c r="B2368" i="3" s="1"/>
  <c r="B2369" i="3" s="1"/>
  <c r="B2411" i="3" s="1"/>
  <c r="B2428" i="3" s="1"/>
  <c r="B2429" i="3" l="1"/>
  <c r="B2430" i="3" l="1"/>
  <c r="B2431" i="3" s="1"/>
  <c r="B2432" i="3" l="1"/>
  <c r="B2433" i="3" s="1"/>
  <c r="B2434" i="3" l="1"/>
  <c r="B2435" i="3" s="1"/>
  <c r="B2436" i="3" s="1"/>
  <c r="B2437" i="3" s="1"/>
  <c r="B2438" i="3" l="1"/>
  <c r="B2439" i="3" s="1"/>
  <c r="B2440" i="3" l="1"/>
  <c r="B2443" i="3" s="1"/>
  <c r="B2441" i="3" l="1"/>
  <c r="B2442" i="3" s="1"/>
  <c r="B2444" i="3" s="1"/>
  <c r="B2445" i="3" s="1"/>
  <c r="B2446" i="3" s="1"/>
  <c r="B2447" i="3" s="1"/>
  <c r="B2448" i="3" s="1"/>
  <c r="B2449" i="3" s="1"/>
  <c r="B2450" i="3" s="1"/>
  <c r="B2452" i="3" s="1"/>
  <c r="B2453" i="3" s="1"/>
  <c r="B2454" i="3" s="1"/>
  <c r="B2455" i="3" s="1"/>
  <c r="B2456" i="3" s="1"/>
  <c r="B2457" i="3" s="1"/>
  <c r="B2458" i="3" s="1"/>
  <c r="B2459" i="3" s="1"/>
  <c r="B2460" i="3" s="1"/>
  <c r="B2461" i="3" s="1"/>
  <c r="B2462" i="3" s="1"/>
  <c r="B2463" i="3" s="1"/>
  <c r="B2464" i="3" s="1"/>
  <c r="B2465" i="3" s="1"/>
  <c r="B2466" i="3" s="1"/>
  <c r="B2467" i="3" s="1"/>
  <c r="B2468" i="3" s="1"/>
  <c r="B2469" i="3" s="1"/>
  <c r="B2470" i="3" s="1"/>
  <c r="B2472" i="3" s="1"/>
  <c r="B2473" i="3" s="1"/>
  <c r="B2474" i="3" s="1"/>
  <c r="B2475" i="3" s="1"/>
  <c r="B2476" i="3" s="1"/>
  <c r="B2477" i="3" s="1"/>
  <c r="B2478" i="3" s="1"/>
  <c r="B2479" i="3" s="1"/>
  <c r="B2480" i="3" s="1"/>
  <c r="B2481" i="3" s="1"/>
  <c r="B2482" i="3" s="1"/>
  <c r="B2483" i="3" s="1"/>
  <c r="B2484" i="3" s="1"/>
  <c r="B2485" i="3" s="1"/>
  <c r="B2486" i="3" s="1"/>
  <c r="B2487" i="3" s="1"/>
  <c r="B2488" i="3" s="1"/>
  <c r="B2489" i="3" s="1"/>
  <c r="B2490" i="3" s="1"/>
  <c r="B2492" i="3" s="1"/>
  <c r="B2493" i="3" s="1"/>
  <c r="B2494" i="3" s="1"/>
  <c r="B2495" i="3" s="1"/>
  <c r="B2496" i="3" s="1"/>
  <c r="B2497" i="3" s="1"/>
  <c r="B2498" i="3" s="1"/>
  <c r="B2499" i="3" s="1"/>
  <c r="B2500" i="3" s="1"/>
  <c r="B2501" i="3" s="1"/>
  <c r="B2502" i="3" s="1"/>
  <c r="B2503" i="3" s="1"/>
  <c r="B2504" i="3" s="1"/>
  <c r="B2505" i="3" s="1"/>
  <c r="B2506" i="3" s="1"/>
  <c r="B2507" i="3" s="1"/>
  <c r="B2508" i="3" s="1"/>
  <c r="B2509" i="3" s="1"/>
  <c r="B2510" i="3" s="1"/>
  <c r="B2511" i="3" s="1"/>
  <c r="B2512" i="3" s="1"/>
  <c r="B2513" i="3" s="1"/>
  <c r="B2514" i="3" s="1"/>
  <c r="B2515" i="3" s="1"/>
  <c r="B2521" i="3" s="1"/>
  <c r="B2522" i="3" s="1"/>
  <c r="B2523" i="3" s="1"/>
  <c r="B2524" i="3" s="1"/>
  <c r="B2525" i="3" s="1"/>
  <c r="B2527" i="3" s="1"/>
  <c r="B2528" i="3" s="1"/>
  <c r="B2529" i="3" s="1"/>
  <c r="B2530" i="3" s="1"/>
  <c r="B2531" i="3" s="1"/>
  <c r="B2534" i="3" s="1"/>
  <c r="B2535" i="3" s="1"/>
  <c r="B2536" i="3" s="1"/>
  <c r="B2537" i="3" s="1"/>
  <c r="B2538" i="3" s="1"/>
  <c r="B2539" i="3" s="1"/>
  <c r="B2540" i="3" s="1"/>
  <c r="B2541" i="3" s="1"/>
  <c r="B2542" i="3" s="1"/>
  <c r="B2543" i="3" s="1"/>
  <c r="B2544" i="3" s="1"/>
  <c r="B2545" i="3" s="1"/>
  <c r="B2546" i="3" s="1"/>
  <c r="B2547" i="3" s="1"/>
  <c r="B2548" i="3" s="1"/>
  <c r="B2550" i="3" s="1"/>
  <c r="B2551" i="3" s="1"/>
  <c r="B2553" i="3" s="1"/>
  <c r="B2554" i="3" s="1"/>
  <c r="B2555" i="3" s="1"/>
  <c r="B2556" i="3" s="1"/>
  <c r="B2557" i="3" s="1"/>
  <c r="B2558" i="3" s="1"/>
  <c r="B2559" i="3" s="1"/>
  <c r="B2560" i="3" s="1"/>
  <c r="B2561" i="3" s="1"/>
  <c r="B2562" i="3" s="1"/>
  <c r="B2563" i="3" s="1"/>
  <c r="B2564" i="3" s="1"/>
  <c r="B2565" i="3" s="1"/>
  <c r="B2566" i="3" s="1"/>
  <c r="B2567" i="3" s="1"/>
  <c r="B2568" i="3" s="1"/>
</calcChain>
</file>

<file path=xl/sharedStrings.xml><?xml version="1.0" encoding="utf-8"?>
<sst xmlns="http://schemas.openxmlformats.org/spreadsheetml/2006/main" count="10182" uniqueCount="2252">
  <si>
    <t>.</t>
  </si>
  <si>
    <t>BILL OF QUANTITY</t>
  </si>
  <si>
    <t>ITEM:  MEP &amp; FF  WORKS - A3 BUILDING</t>
  </si>
  <si>
    <t>PROJECT: SAIGON SOUTH INTERNATIONAL SCHOOL</t>
  </si>
  <si>
    <t>Item</t>
  </si>
  <si>
    <t>Description</t>
  </si>
  <si>
    <t>Unit</t>
  </si>
  <si>
    <t>Quantity</t>
  </si>
  <si>
    <t>CSCE Sub contract rate</t>
  </si>
  <si>
    <t>Unit Price
(VND)</t>
  </si>
  <si>
    <t>Amount
(VND)</t>
  </si>
  <si>
    <t>Remark</t>
  </si>
  <si>
    <t xml:space="preserve">Material </t>
  </si>
  <si>
    <t>Labor</t>
  </si>
  <si>
    <r>
      <t xml:space="preserve">Ghi chú chung:
</t>
    </r>
    <r>
      <rPr>
        <b/>
        <i/>
        <sz val="10"/>
        <color indexed="12"/>
        <rFont val="Times New Roman"/>
        <family val="1"/>
      </rPr>
      <t>General Notes:</t>
    </r>
  </si>
  <si>
    <r>
      <t xml:space="preserve">Nhà thầu cần đọc kỹ nội dung công việc, danh mục vật tư,  bản vẽ thiết kế  &amp; yêu cầu kỹ thuật theo"Tiêu chuẩn kỹ thuật" trong hồ sơ mời thầu,  để đảm bảo tất cả hạng mục, khối lượng công việc theo yêu cầu  đã bao gồm trong gói thầu
</t>
    </r>
    <r>
      <rPr>
        <i/>
        <sz val="10"/>
        <color indexed="12"/>
        <rFont val="Times New Roman"/>
        <family val="1"/>
      </rPr>
      <t>The Tenderer should read carefully Scope of works, Material list, the design drawings &amp; the Specification as " Technical Specification" in Tender document  for ensure All items &amp; Q'ty of Works included in this package</t>
    </r>
  </si>
  <si>
    <t>I</t>
  </si>
  <si>
    <r>
      <t xml:space="preserve">TRONG NHÀ
</t>
    </r>
    <r>
      <rPr>
        <b/>
        <i/>
        <sz val="10"/>
        <color indexed="12"/>
        <rFont val="Times New Roman"/>
        <family val="1"/>
      </rPr>
      <t>INDOOR PART</t>
    </r>
  </si>
  <si>
    <t>A</t>
  </si>
  <si>
    <r>
      <t xml:space="preserve">HỆ THỐNG ĐIỆN
</t>
    </r>
    <r>
      <rPr>
        <b/>
        <i/>
        <sz val="10"/>
        <color indexed="12"/>
        <rFont val="Times New Roman"/>
        <family val="1"/>
      </rPr>
      <t>ELECTRIC SYSTEM</t>
    </r>
  </si>
  <si>
    <t>a</t>
  </si>
  <si>
    <r>
      <t xml:space="preserve">Hệ thống trung thế và Trạm Biến Áp
</t>
    </r>
    <r>
      <rPr>
        <b/>
        <i/>
        <sz val="10"/>
        <color indexed="12"/>
        <rFont val="Times New Roman"/>
        <family val="1"/>
      </rPr>
      <t>Medium voltage and Transformer Substation</t>
    </r>
  </si>
  <si>
    <t>a.1</t>
  </si>
  <si>
    <r>
      <t xml:space="preserve">Vật tư trung thế
</t>
    </r>
    <r>
      <rPr>
        <b/>
        <i/>
        <sz val="10"/>
        <color indexed="12"/>
        <rFont val="Times New Roman"/>
        <family val="1"/>
      </rPr>
      <t>Material For Medium Voltage</t>
    </r>
  </si>
  <si>
    <r>
      <t xml:space="preserve">Cáp ngầm trung thế 24kV (Cu/XLPE/PVC/DSTA/PVC) 3M120m2 
</t>
    </r>
    <r>
      <rPr>
        <i/>
        <sz val="10"/>
        <color indexed="12"/>
        <rFont val="Times New Roman"/>
        <family val="1"/>
      </rPr>
      <t>24kV (Cu/XLPE/PVC/DSTA/PVC) MV under ground cable 3M120m2</t>
    </r>
  </si>
  <si>
    <r>
      <t xml:space="preserve">m
</t>
    </r>
    <r>
      <rPr>
        <i/>
        <sz val="10"/>
        <color indexed="12"/>
        <rFont val="Times New Roman"/>
        <family val="1"/>
      </rPr>
      <t>meters</t>
    </r>
  </si>
  <si>
    <r>
      <t xml:space="preserve">Ống nhựa xoắn HDPE DN195/150
</t>
    </r>
    <r>
      <rPr>
        <i/>
        <sz val="10"/>
        <color indexed="12"/>
        <rFont val="Times New Roman"/>
        <family val="1"/>
      </rPr>
      <t>Flexible pile HDPE DN195/150</t>
    </r>
  </si>
  <si>
    <r>
      <t xml:space="preserve">Nối ống HDPE DN195/150
</t>
    </r>
    <r>
      <rPr>
        <i/>
        <sz val="10"/>
        <color indexed="12"/>
        <rFont val="Times New Roman"/>
        <family val="1"/>
      </rPr>
      <t>Joint sleeve HDPE DN195/150</t>
    </r>
  </si>
  <si>
    <r>
      <t xml:space="preserve">cái
</t>
    </r>
    <r>
      <rPr>
        <i/>
        <sz val="10"/>
        <color indexed="12"/>
        <rFont val="Times New Roman"/>
        <family val="1"/>
      </rPr>
      <t>pcs</t>
    </r>
  </si>
  <si>
    <r>
      <t xml:space="preserve">Mốc sứ báo cáp ngầm
</t>
    </r>
    <r>
      <rPr>
        <i/>
        <sz val="10"/>
        <color indexed="12"/>
        <rFont val="Times New Roman"/>
        <family val="1"/>
      </rPr>
      <t xml:space="preserve">Pile landmarks to mark the underground cable </t>
    </r>
  </si>
  <si>
    <r>
      <t xml:space="preserve">Băng cảnh báo cáp ngầm
</t>
    </r>
    <r>
      <rPr>
        <i/>
        <sz val="10"/>
        <color indexed="12"/>
        <rFont val="Times New Roman"/>
        <family val="1"/>
      </rPr>
      <t>Tape warning underground cable: 150x0,5mm</t>
    </r>
  </si>
  <si>
    <r>
      <t xml:space="preserve">Đào và tái lập
</t>
    </r>
    <r>
      <rPr>
        <i/>
        <sz val="10"/>
        <color indexed="12"/>
        <rFont val="Times New Roman"/>
        <family val="1"/>
      </rPr>
      <t>Excavation land and renewable</t>
    </r>
  </si>
  <si>
    <t>m3</t>
  </si>
  <si>
    <r>
      <t>Hố ga trung thế +nắp</t>
    </r>
    <r>
      <rPr>
        <i/>
        <sz val="10"/>
        <rFont val="Times New Roman"/>
        <family val="1"/>
      </rPr>
      <t xml:space="preserve">
</t>
    </r>
    <r>
      <rPr>
        <i/>
        <sz val="10"/>
        <color indexed="12"/>
        <rFont val="Times New Roman"/>
        <family val="1"/>
      </rPr>
      <t>Medium voltage manhole</t>
    </r>
  </si>
  <si>
    <r>
      <t xml:space="preserve">hố
</t>
    </r>
    <r>
      <rPr>
        <i/>
        <sz val="10"/>
        <color indexed="12"/>
        <rFont val="Times New Roman"/>
        <family val="1"/>
      </rPr>
      <t>manhole</t>
    </r>
  </si>
  <si>
    <r>
      <t xml:space="preserve">Gạch thẻ 
</t>
    </r>
    <r>
      <rPr>
        <i/>
        <sz val="10"/>
        <color indexed="12"/>
        <rFont val="Times New Roman"/>
        <family val="1"/>
      </rPr>
      <t>Brick card</t>
    </r>
  </si>
  <si>
    <r>
      <t xml:space="preserve">viên
</t>
    </r>
    <r>
      <rPr>
        <i/>
        <sz val="10"/>
        <color indexed="12"/>
        <rFont val="Times New Roman"/>
        <family val="1"/>
      </rPr>
      <t>pcs</t>
    </r>
  </si>
  <si>
    <r>
      <t xml:space="preserve">Vật tư phụ
</t>
    </r>
    <r>
      <rPr>
        <i/>
        <sz val="10"/>
        <color indexed="12"/>
        <rFont val="Times New Roman"/>
        <family val="1"/>
      </rPr>
      <t>Accessories</t>
    </r>
  </si>
  <si>
    <r>
      <t xml:space="preserve">lô
</t>
    </r>
    <r>
      <rPr>
        <i/>
        <sz val="10"/>
        <color indexed="12"/>
        <rFont val="Times New Roman"/>
        <family val="1"/>
      </rPr>
      <t>lot</t>
    </r>
  </si>
  <si>
    <t>a.2</t>
  </si>
  <si>
    <r>
      <t xml:space="preserve">Phần trạm biến áp
</t>
    </r>
    <r>
      <rPr>
        <b/>
        <i/>
        <sz val="10"/>
        <color indexed="12"/>
        <rFont val="Times New Roman"/>
        <family val="1"/>
      </rPr>
      <t>Transformer Substation</t>
    </r>
  </si>
  <si>
    <t>a.2.1</t>
  </si>
  <si>
    <r>
      <t>Tủ trung thế</t>
    </r>
    <r>
      <rPr>
        <b/>
        <i/>
        <sz val="10"/>
        <rFont val="Times New Roman"/>
        <family val="1"/>
      </rPr>
      <t xml:space="preserve">
</t>
    </r>
    <r>
      <rPr>
        <b/>
        <i/>
        <sz val="10"/>
        <color indexed="12"/>
        <rFont val="Times New Roman"/>
        <family val="1"/>
      </rPr>
      <t>Medium voltage panel</t>
    </r>
  </si>
  <si>
    <r>
      <t xml:space="preserve">Tủ  trung thế: SF6-LBS 24kV 630A 25kA/3S Incoming feeder c/w ES, 3xSurge arrester 24kV, Flair 22D + 3 Ring CTs + 3 LA
</t>
    </r>
    <r>
      <rPr>
        <i/>
        <sz val="10"/>
        <color indexed="12"/>
        <rFont val="Times New Roman"/>
        <family val="1"/>
      </rPr>
      <t>MV panel: SF6-LBS 24kV 630A 25kA/3S Incoming feeder c/w ES, 3xSurge arrester 24kV, Flair 22D + 3 Ring CTs + 3 LA</t>
    </r>
  </si>
  <si>
    <r>
      <t xml:space="preserve">bộ
</t>
    </r>
    <r>
      <rPr>
        <i/>
        <sz val="10"/>
        <color indexed="12"/>
        <rFont val="Times New Roman"/>
        <family val="1"/>
      </rPr>
      <t>set</t>
    </r>
  </si>
  <si>
    <r>
      <t xml:space="preserve">Tủ trung thế: CB-SF6- 24kV 630A 25kA/3S Outgoing feeder c/w ES &amp; MV Fuse 50A+DS-24kV 630A+CT/5-5A, 7.5VA-CL0.5 5VA-5P15
</t>
    </r>
    <r>
      <rPr>
        <i/>
        <sz val="10"/>
        <color indexed="12"/>
        <rFont val="Times New Roman"/>
        <family val="1"/>
      </rPr>
      <t>MV panel: CB-SF6- 24kV 630A 25kA/3S Outgoing feeder c/w ES &amp; MV Fuse 50A+CT/5-5A,7.5VA-CL0.5 5VA-5P15</t>
    </r>
  </si>
  <si>
    <r>
      <t xml:space="preserve">Đầu cáp trung thế trong nhà 24kV-3x120mm2 (ID)
</t>
    </r>
    <r>
      <rPr>
        <i/>
        <sz val="10"/>
        <color indexed="12"/>
        <rFont val="Times New Roman"/>
        <family val="1"/>
      </rPr>
      <t>Termination kits 24kV-3x120mm2 (ID)</t>
    </r>
  </si>
  <si>
    <r>
      <t xml:space="preserve">Cáp từ tủ trung thế 24kV (Cu/XLPE/PVC) 1C*120m2  
</t>
    </r>
    <r>
      <rPr>
        <i/>
        <sz val="10"/>
        <color indexed="12"/>
        <rFont val="Times New Roman"/>
        <family val="1"/>
      </rPr>
      <t xml:space="preserve">24kV (Cu/XLPE/PVC) MV under ground cable 1C*120m2 </t>
    </r>
    <r>
      <rPr>
        <sz val="10"/>
        <color indexed="12"/>
        <rFont val="Times New Roman"/>
        <family val="1"/>
      </rPr>
      <t xml:space="preserve"> </t>
    </r>
  </si>
  <si>
    <r>
      <t xml:space="preserve">Đầu cáp trung thế trong nhà loại Tplug 24kV-3x120mm2 (ID)
</t>
    </r>
    <r>
      <rPr>
        <i/>
        <sz val="10"/>
        <color indexed="12"/>
        <rFont val="Times New Roman"/>
        <family val="1"/>
      </rPr>
      <t>Termination kits Tplug-24kV-3x120mm2 (ID)</t>
    </r>
  </si>
  <si>
    <t>lot =3pcs</t>
  </si>
  <si>
    <r>
      <t xml:space="preserve">Thang cáp  300Wx100H 
</t>
    </r>
    <r>
      <rPr>
        <i/>
        <sz val="10"/>
        <color indexed="12"/>
        <rFont val="Times New Roman"/>
        <family val="1"/>
      </rPr>
      <t xml:space="preserve">Cable ladder 300Wx100H </t>
    </r>
  </si>
  <si>
    <r>
      <t xml:space="preserve">Co thang cáp 300Wx100H 
</t>
    </r>
    <r>
      <rPr>
        <i/>
        <sz val="10"/>
        <color indexed="12"/>
        <rFont val="Times New Roman"/>
        <family val="1"/>
      </rPr>
      <t>Elbow 300Wx100H</t>
    </r>
  </si>
  <si>
    <r>
      <t xml:space="preserve">Vật tư phụ…..
</t>
    </r>
    <r>
      <rPr>
        <i/>
        <sz val="10"/>
        <color indexed="12"/>
        <rFont val="Times New Roman"/>
        <family val="1"/>
      </rPr>
      <t>Accessories….</t>
    </r>
  </si>
  <si>
    <r>
      <t xml:space="preserve">Chi phí thiết kế &amp; giám sát  lắp đặt trạm phân phối và đấu nối với hệ thống điện, chi phí xin phép, hồ sơ với công ty Điện lực địa phương để đấu nối cáp trung thế mới vào lưới trung thế hiện hữu
</t>
    </r>
    <r>
      <rPr>
        <i/>
        <sz val="10"/>
        <color indexed="12"/>
        <rFont val="Times New Roman"/>
        <family val="1"/>
      </rPr>
      <t>Designing &amp; supervising of Power substation and incomming high voltage System complete with fees to liaise and plan submission to the local Power Company including all necessary cost for the connection of new HV cables to their existing HV network</t>
    </r>
    <r>
      <rPr>
        <sz val="10"/>
        <rFont val="Times New Roman"/>
        <family val="1"/>
      </rPr>
      <t xml:space="preserve">
</t>
    </r>
  </si>
  <si>
    <t>a.2.2</t>
  </si>
  <si>
    <r>
      <t xml:space="preserve">Máy biến áp
</t>
    </r>
    <r>
      <rPr>
        <b/>
        <i/>
        <sz val="10"/>
        <color indexed="12"/>
        <rFont val="Times New Roman"/>
        <family val="1"/>
      </rPr>
      <t>Transformer</t>
    </r>
  </si>
  <si>
    <r>
      <t xml:space="preserve">Máy biến áp khô 800kVA, 22/0.4 kV, Cu/Cu , Dyn-11, AN/AF, IP32 bao gồm  bảo vệ quá nhiệt 49,49A,49T + hiển thị nhiệt độ 80, 100.
</t>
    </r>
    <r>
      <rPr>
        <i/>
        <sz val="10"/>
        <color indexed="12"/>
        <rFont val="Times New Roman"/>
        <family val="1"/>
      </rPr>
      <t>Dry Transfomer 800kVA, 22/0.4 kV, Cu/Cu , Dyn-11, AN/AF, IP32 c/w49,49A,49T +  temperature indicator...</t>
    </r>
  </si>
  <si>
    <r>
      <t xml:space="preserve">Cáp 1C*240mm2 Cu-XLPE/PVC từ MBA đến tủ MSB
</t>
    </r>
    <r>
      <rPr>
        <i/>
        <sz val="10"/>
        <color indexed="12"/>
        <rFont val="Times New Roman"/>
        <family val="1"/>
      </rPr>
      <t>Cable 1C*240mm2-Cu-XLPE/PVC from Trans to MSB</t>
    </r>
  </si>
  <si>
    <r>
      <t xml:space="preserve">Cáp 1C*240mm2 Cu/PVC từ MBA đến tủ MSB
</t>
    </r>
    <r>
      <rPr>
        <i/>
        <sz val="10"/>
        <color indexed="12"/>
        <rFont val="Times New Roman"/>
        <family val="1"/>
      </rPr>
      <t>Cable 1C*240mm2-Cu/PVC from Trans to MSB</t>
    </r>
  </si>
  <si>
    <r>
      <t xml:space="preserve">Thang cáp 600Wx100H
</t>
    </r>
    <r>
      <rPr>
        <i/>
        <sz val="10"/>
        <color indexed="12"/>
        <rFont val="Times New Roman"/>
        <family val="1"/>
      </rPr>
      <t>Cable Ladder 600Wx100H</t>
    </r>
  </si>
  <si>
    <r>
      <t xml:space="preserve">Co 90 độ 600Wx100H
</t>
    </r>
    <r>
      <rPr>
        <i/>
        <sz val="10"/>
        <color indexed="12"/>
        <rFont val="Times New Roman"/>
        <family val="1"/>
      </rPr>
      <t>Elbow 90° 600Wx100H</t>
    </r>
  </si>
  <si>
    <t>a.3</t>
  </si>
  <si>
    <r>
      <t xml:space="preserve">Máy phát điện
</t>
    </r>
    <r>
      <rPr>
        <b/>
        <i/>
        <sz val="10"/>
        <color indexed="12"/>
        <rFont val="Times New Roman"/>
        <family val="1"/>
      </rPr>
      <t>Generator set</t>
    </r>
  </si>
  <si>
    <r>
      <t xml:space="preserve">Máy phát điện công suất  liên tục  350kVA, 400/230V, 3-pha, 50Hz 
</t>
    </r>
    <r>
      <rPr>
        <i/>
        <sz val="10"/>
        <color indexed="12"/>
        <rFont val="Times New Roman"/>
        <family val="1"/>
      </rPr>
      <t xml:space="preserve">Diesel prime generator set, 350kVA, 400/230V, 3-phase, 50Hz </t>
    </r>
  </si>
  <si>
    <r>
      <t xml:space="preserve">tổ máy
</t>
    </r>
    <r>
      <rPr>
        <i/>
        <sz val="10"/>
        <color indexed="12"/>
        <rFont val="Times New Roman"/>
        <family val="1"/>
      </rPr>
      <t>engine unit</t>
    </r>
  </si>
  <si>
    <r>
      <t xml:space="preserve">Ống khỏi thải cho máy phát điện
</t>
    </r>
    <r>
      <rPr>
        <i/>
        <sz val="10"/>
        <color indexed="12"/>
        <rFont val="Times New Roman"/>
        <family val="1"/>
      </rPr>
      <t>Exhaust generator pipe</t>
    </r>
  </si>
  <si>
    <r>
      <t xml:space="preserve">Vỏ cách âm  + cửa gió vào-ra tiêu âm
</t>
    </r>
    <r>
      <rPr>
        <i/>
        <sz val="10"/>
        <color indexed="12"/>
        <rFont val="Times New Roman"/>
        <family val="1"/>
      </rPr>
      <t>Soundproof cover + inlet-outlet sound attenuator</t>
    </r>
  </si>
  <si>
    <r>
      <t xml:space="preserve">Bồn dầu ngày - 500L
</t>
    </r>
    <r>
      <rPr>
        <i/>
        <sz val="10"/>
        <color indexed="12"/>
        <rFont val="Times New Roman"/>
        <family val="1"/>
      </rPr>
      <t>Fuel Daily Tanks -500L</t>
    </r>
  </si>
  <si>
    <r>
      <t xml:space="preserve">Bồn dầu chính - 2.5m3
</t>
    </r>
    <r>
      <rPr>
        <i/>
        <sz val="10"/>
        <color indexed="12"/>
        <rFont val="Times New Roman"/>
        <family val="1"/>
      </rPr>
      <t>Fuel Tanks - 2.5m3</t>
    </r>
  </si>
  <si>
    <r>
      <t xml:space="preserve">Hệ thống bơm dầu gồm  bơm, đường ống cung cấp dầu từ bồn dầu chính đến bồn dầu phụ, đến máy phát ..
</t>
    </r>
    <r>
      <rPr>
        <i/>
        <sz val="10"/>
        <color indexed="12"/>
        <rFont val="Times New Roman"/>
        <family val="1"/>
      </rPr>
      <t>Oil pump system c/w pump , pipes...</t>
    </r>
  </si>
  <si>
    <r>
      <t xml:space="preserve">Hệ thống tủ điều khiển bơm dầu CP-OP
</t>
    </r>
    <r>
      <rPr>
        <i/>
        <sz val="10"/>
        <color indexed="12"/>
        <rFont val="Times New Roman"/>
        <family val="1"/>
      </rPr>
      <t>Oil pump control panel CP-OP</t>
    </r>
  </si>
  <si>
    <r>
      <t xml:space="preserve">Dầu DO
</t>
    </r>
    <r>
      <rPr>
        <i/>
        <sz val="10"/>
        <color indexed="12"/>
        <rFont val="Times New Roman"/>
        <family val="1"/>
      </rPr>
      <t>Do Oil</t>
    </r>
  </si>
  <si>
    <r>
      <t xml:space="preserve">lít
</t>
    </r>
    <r>
      <rPr>
        <i/>
        <sz val="10"/>
        <color indexed="12"/>
        <rFont val="Times New Roman"/>
        <family val="1"/>
      </rPr>
      <t>liter</t>
    </r>
  </si>
  <si>
    <r>
      <t xml:space="preserve">Phụ kiện hệ máy pháy điện….
</t>
    </r>
    <r>
      <rPr>
        <i/>
        <sz val="10"/>
        <color indexed="12"/>
        <rFont val="Times New Roman"/>
        <family val="1"/>
      </rPr>
      <t>Generator Accessories...</t>
    </r>
  </si>
  <si>
    <r>
      <t xml:space="preserve">Cáp 1C*185mm2 Cu/FR từ MBA đến tủ MSB
</t>
    </r>
    <r>
      <rPr>
        <i/>
        <sz val="10"/>
        <color indexed="12"/>
        <rFont val="Times New Roman"/>
        <family val="1"/>
      </rPr>
      <t>Cable 1C*185mm2-Cu-FRfrom Generator to MSB</t>
    </r>
  </si>
  <si>
    <r>
      <t xml:space="preserve">Cáp 1C*185mm2 Cu/PVC từ MBA đến tủ MSB
</t>
    </r>
    <r>
      <rPr>
        <i/>
        <sz val="10"/>
        <color indexed="12"/>
        <rFont val="Times New Roman"/>
        <family val="1"/>
      </rPr>
      <t>Cable 1C*185mm2-Cu/PVCfrom Generator to MSB</t>
    </r>
  </si>
  <si>
    <r>
      <t xml:space="preserve">Cáp 3Cx2.5mm² -Cu/FR
</t>
    </r>
    <r>
      <rPr>
        <i/>
        <sz val="10"/>
        <color indexed="12"/>
        <rFont val="Times New Roman"/>
        <family val="1"/>
      </rPr>
      <t>Cable 3Cx2.5mm² -Cu/FR</t>
    </r>
  </si>
  <si>
    <r>
      <t xml:space="preserve">Cáp 1Cx2.5mm² -Cu/PVC(E)
</t>
    </r>
    <r>
      <rPr>
        <i/>
        <sz val="10"/>
        <color indexed="12"/>
        <rFont val="Times New Roman"/>
        <family val="1"/>
      </rPr>
      <t>Cable 1Cx2.5mm² -Cu/PVC(E)</t>
    </r>
  </si>
  <si>
    <r>
      <t xml:space="preserve">Thang cáp 300Wx100H
</t>
    </r>
    <r>
      <rPr>
        <i/>
        <sz val="10"/>
        <color indexed="12"/>
        <rFont val="Times New Roman"/>
        <family val="1"/>
      </rPr>
      <t>Cable Ladder 300Wx100H</t>
    </r>
  </si>
  <si>
    <r>
      <t xml:space="preserve">Co 90 độ 300Wx100H
</t>
    </r>
    <r>
      <rPr>
        <i/>
        <sz val="10"/>
        <color indexed="12"/>
        <rFont val="Times New Roman"/>
        <family val="1"/>
      </rPr>
      <t>Elbow 90° 300Wx100H</t>
    </r>
  </si>
  <si>
    <r>
      <t xml:space="preserve">Co ngang 90 độ 300Wx100H
</t>
    </r>
    <r>
      <rPr>
        <i/>
        <sz val="10"/>
        <color indexed="12"/>
        <rFont val="Times New Roman"/>
        <family val="1"/>
      </rPr>
      <t>Elbow 90° 300Wx100H</t>
    </r>
  </si>
  <si>
    <r>
      <t xml:space="preserve">Vật tư phụ...
</t>
    </r>
    <r>
      <rPr>
        <i/>
        <sz val="10"/>
        <color indexed="12"/>
        <rFont val="Times New Roman"/>
        <family val="1"/>
      </rPr>
      <t>Accessories...</t>
    </r>
  </si>
  <si>
    <r>
      <t>Chi phí thí nghiệm, thử tải , vận chuyển , đo độ ồn, khí thải...</t>
    </r>
    <r>
      <rPr>
        <i/>
        <sz val="10"/>
        <rFont val="Times New Roman"/>
        <family val="1"/>
      </rPr>
      <t xml:space="preserve">
</t>
    </r>
    <r>
      <rPr>
        <i/>
        <sz val="10"/>
        <color indexed="12"/>
        <rFont val="Times New Roman"/>
        <family val="1"/>
      </rPr>
      <t>Testing , certification...</t>
    </r>
  </si>
  <si>
    <t>b</t>
  </si>
  <si>
    <r>
      <t xml:space="preserve">Hệ Thống Động Lực
</t>
    </r>
    <r>
      <rPr>
        <b/>
        <i/>
        <sz val="10"/>
        <color indexed="12"/>
        <rFont val="Times New Roman"/>
        <family val="1"/>
      </rPr>
      <t>Power System</t>
    </r>
  </si>
  <si>
    <t>b.1</t>
  </si>
  <si>
    <r>
      <t xml:space="preserve">Tủ phân phối điện 
</t>
    </r>
    <r>
      <rPr>
        <b/>
        <i/>
        <sz val="10"/>
        <color indexed="12"/>
        <rFont val="Times New Roman"/>
        <family val="1"/>
      </rPr>
      <t xml:space="preserve">Distribution Board </t>
    </r>
  </si>
  <si>
    <t>MSB-A3</t>
  </si>
  <si>
    <r>
      <t xml:space="preserve">Lộ vào 1
</t>
    </r>
    <r>
      <rPr>
        <i/>
        <sz val="10"/>
        <color indexed="12"/>
        <rFont val="Times New Roman"/>
        <family val="1"/>
      </rPr>
      <t>Incoming 1</t>
    </r>
  </si>
  <si>
    <t>ACB 4P 1250A 50KA. Drawout</t>
  </si>
  <si>
    <r>
      <t xml:space="preserve">Khung che cho Drawout Breaker
</t>
    </r>
    <r>
      <rPr>
        <i/>
        <sz val="10"/>
        <color indexed="12"/>
        <rFont val="Times New Roman"/>
        <family val="1"/>
      </rPr>
      <t>Frame for Drawout Breaker</t>
    </r>
  </si>
  <si>
    <r>
      <t xml:space="preserve">Cuộn cắt Mx 200/250 VAC/VDC For Drawout Breaker
</t>
    </r>
    <r>
      <rPr>
        <i/>
        <sz val="10"/>
        <color indexed="12"/>
        <rFont val="Times New Roman"/>
        <family val="1"/>
      </rPr>
      <t>Shuntrip for ACB</t>
    </r>
  </si>
  <si>
    <r>
      <t xml:space="preserve">Relay bảo vệ chạm đất (EF) 1 Out
</t>
    </r>
    <r>
      <rPr>
        <i/>
        <sz val="10"/>
        <color indexed="12"/>
        <rFont val="Times New Roman"/>
        <family val="1"/>
      </rPr>
      <t>EF Relay</t>
    </r>
  </si>
  <si>
    <r>
      <t xml:space="preserve">Biến dòng ( loại bảo vệ) PCT 1200/5A, CL. 5P10, 15VA, Loại chữ nhật
</t>
    </r>
    <r>
      <rPr>
        <i/>
        <sz val="10"/>
        <color indexed="12"/>
        <rFont val="Times New Roman"/>
        <family val="1"/>
      </rPr>
      <t>PCT 1200/5A, CL. 5P10, 15V</t>
    </r>
    <r>
      <rPr>
        <i/>
        <sz val="10"/>
        <rFont val="Times New Roman"/>
        <family val="1"/>
      </rPr>
      <t>A</t>
    </r>
  </si>
  <si>
    <r>
      <t xml:space="preserve">Cầu chì điều khiển 2A
</t>
    </r>
    <r>
      <rPr>
        <i/>
        <sz val="10"/>
        <color indexed="12"/>
        <rFont val="Times New Roman"/>
        <family val="1"/>
      </rPr>
      <t>Fuse 2A</t>
    </r>
  </si>
  <si>
    <r>
      <t xml:space="preserve">Đế cầu chì điều khiển
</t>
    </r>
    <r>
      <rPr>
        <i/>
        <sz val="10"/>
        <color indexed="12"/>
        <rFont val="Times New Roman"/>
        <family val="1"/>
      </rPr>
      <t>Base of fuse</t>
    </r>
  </si>
  <si>
    <r>
      <t xml:space="preserve">Đèn báo màu đỏ 230VAC
</t>
    </r>
    <r>
      <rPr>
        <i/>
        <sz val="10"/>
        <color indexed="12"/>
        <rFont val="Times New Roman"/>
        <family val="1"/>
      </rPr>
      <t>Red indicator 230VAC</t>
    </r>
  </si>
  <si>
    <r>
      <t xml:space="preserve">Đèn báo Màu xanh dương 230VAC
</t>
    </r>
    <r>
      <rPr>
        <i/>
        <sz val="10"/>
        <color indexed="12"/>
        <rFont val="Times New Roman"/>
        <family val="1"/>
      </rPr>
      <t>Blue indicator 230VAC</t>
    </r>
  </si>
  <si>
    <r>
      <t xml:space="preserve">Đèn báo màu vàng 230VAC
</t>
    </r>
    <r>
      <rPr>
        <i/>
        <sz val="10"/>
        <color indexed="12"/>
        <rFont val="Times New Roman"/>
        <family val="1"/>
      </rPr>
      <t>Yellow indicator 230VAC</t>
    </r>
  </si>
  <si>
    <r>
      <t xml:space="preserve">Đồng hồ đa năng
</t>
    </r>
    <r>
      <rPr>
        <i/>
        <sz val="10"/>
        <color indexed="12"/>
        <rFont val="Times New Roman"/>
        <family val="1"/>
      </rPr>
      <t>Multi Meter (V,A,Pf,Hz,kW,kWh,kVAh,...) c/w RS485</t>
    </r>
  </si>
  <si>
    <r>
      <t xml:space="preserve">Biến dòng ( loại đo lường) MCT 1200/5A, Class 1.0, 15VA
</t>
    </r>
    <r>
      <rPr>
        <i/>
        <sz val="10"/>
        <color indexed="12"/>
        <rFont val="Times New Roman"/>
        <family val="1"/>
      </rPr>
      <t>MCT 1200/5A, Class 1.0, 15VA</t>
    </r>
  </si>
  <si>
    <r>
      <t xml:space="preserve">Lộ vào 2
</t>
    </r>
    <r>
      <rPr>
        <i/>
        <sz val="10"/>
        <color indexed="12"/>
        <rFont val="Times New Roman"/>
        <family val="1"/>
      </rPr>
      <t>Incoming 2</t>
    </r>
  </si>
  <si>
    <t>ACB 4P 630A 50KA. Drawout</t>
  </si>
  <si>
    <r>
      <t xml:space="preserve">Cuộn cắt Mx 200/250 VAC/VDC For Drawout Breaker
</t>
    </r>
    <r>
      <rPr>
        <i/>
        <sz val="10"/>
        <color indexed="12"/>
        <rFont val="Times New Roman"/>
        <family val="1"/>
      </rPr>
      <t>Shuntrip</t>
    </r>
  </si>
  <si>
    <r>
      <t xml:space="preserve">Cuộn đóng Mvs XF 200/250 VAC/Dc Drawout
</t>
    </r>
    <r>
      <rPr>
        <i/>
        <sz val="10"/>
        <color indexed="12"/>
        <rFont val="Times New Roman"/>
        <family val="1"/>
      </rPr>
      <t>Closing Coi</t>
    </r>
    <r>
      <rPr>
        <i/>
        <sz val="10"/>
        <rFont val="Times New Roman"/>
        <family val="1"/>
      </rPr>
      <t>l</t>
    </r>
  </si>
  <si>
    <r>
      <t xml:space="preserve">Motor sạc200/240 VAC For Drawout Break
</t>
    </r>
    <r>
      <rPr>
        <i/>
        <sz val="10"/>
        <color indexed="12"/>
        <rFont val="Times New Roman"/>
        <family val="1"/>
      </rPr>
      <t>Motor mechanism</t>
    </r>
  </si>
  <si>
    <t>Cable Interlocking Fixed/ Drawout</t>
  </si>
  <si>
    <r>
      <t xml:space="preserve">Bộ 2 cáp liên động CK
</t>
    </r>
    <r>
      <rPr>
        <i/>
        <sz val="10"/>
        <color indexed="12"/>
        <rFont val="Times New Roman"/>
        <family val="1"/>
      </rPr>
      <t>MechanicalCable Interlocking</t>
    </r>
  </si>
  <si>
    <r>
      <t xml:space="preserve">Biến dòng ( loại đo lường)  MCT 800/5A, Class 1.0, 15VA
</t>
    </r>
    <r>
      <rPr>
        <i/>
        <sz val="10"/>
        <color indexed="12"/>
        <rFont val="Times New Roman"/>
        <family val="1"/>
      </rPr>
      <t>MCT 800/5A, Class 1.0, 15VA</t>
    </r>
  </si>
  <si>
    <r>
      <t xml:space="preserve">Lộ ra 1
</t>
    </r>
    <r>
      <rPr>
        <i/>
        <sz val="10"/>
        <color indexed="12"/>
        <rFont val="Times New Roman"/>
        <family val="1"/>
      </rPr>
      <t>Outgoing 1</t>
    </r>
  </si>
  <si>
    <t>ACB 4P 800A 50KA. Drawout</t>
  </si>
  <si>
    <t>MCCB 4P 600A 36KA</t>
  </si>
  <si>
    <t>MCCB 4P 100A 36KA</t>
  </si>
  <si>
    <t>MCCB 4P 80A 36KA</t>
  </si>
  <si>
    <t>MCCB 4P 63A 36KA</t>
  </si>
  <si>
    <t>MCCB 4P 50A 36KA</t>
  </si>
  <si>
    <t>MCCB 4P 32A 36KA</t>
  </si>
  <si>
    <t>MCCB 4P 25A 36KA</t>
  </si>
  <si>
    <r>
      <t xml:space="preserve">Cuộn dây bào vệ áp MX 220-240VAC EZS 160/250/400/630
</t>
    </r>
    <r>
      <rPr>
        <i/>
        <sz val="10"/>
        <color indexed="12"/>
        <rFont val="Times New Roman"/>
        <family val="1"/>
      </rPr>
      <t>Shuntrip</t>
    </r>
  </si>
  <si>
    <r>
      <t xml:space="preserve">Biến dòng ( loại bảo vệ) PCT 600/5A, CL. 5P10, 15VA, Loại tròn
</t>
    </r>
    <r>
      <rPr>
        <i/>
        <sz val="10"/>
        <color indexed="12"/>
        <rFont val="Times New Roman"/>
        <family val="1"/>
      </rPr>
      <t>PCT 600/5A, CL. 5P10, 15VA</t>
    </r>
  </si>
  <si>
    <r>
      <t xml:space="preserve">Biến dòng ( loại bảo vệ) PCT 100/5A, CL. 5P10, 10VA, Loại tròn
</t>
    </r>
    <r>
      <rPr>
        <i/>
        <sz val="10"/>
        <color indexed="12"/>
        <rFont val="Times New Roman"/>
        <family val="1"/>
      </rPr>
      <t>PCT 100/5A, CL. 5P10, 10VA</t>
    </r>
  </si>
  <si>
    <r>
      <t xml:space="preserve">Chống sét lan truyền. 3P+N Imax 50kA
</t>
    </r>
    <r>
      <rPr>
        <i/>
        <sz val="10"/>
        <color indexed="12"/>
        <rFont val="Times New Roman"/>
        <family val="1"/>
      </rPr>
      <t>Surge Protection Dives 3P+N Imax 50kA</t>
    </r>
  </si>
  <si>
    <r>
      <t xml:space="preserve">bộ
</t>
    </r>
    <r>
      <rPr>
        <i/>
        <sz val="10"/>
        <color indexed="30"/>
        <rFont val="Times New Roman"/>
        <family val="1"/>
      </rPr>
      <t>set</t>
    </r>
  </si>
  <si>
    <r>
      <t xml:space="preserve">Ngăn Tụ bù  300 KVAR
</t>
    </r>
    <r>
      <rPr>
        <i/>
        <sz val="10"/>
        <color indexed="12"/>
        <rFont val="Times New Roman"/>
        <family val="1"/>
      </rPr>
      <t>Capacitor Bank 300KVAr</t>
    </r>
  </si>
  <si>
    <t>MCCB 3P 600A 36KA</t>
  </si>
  <si>
    <t>MCCB 3P 125A 36KA</t>
  </si>
  <si>
    <t>Contactor 3P 120A 1NO + 1NC</t>
  </si>
  <si>
    <r>
      <t xml:space="preserve">Tụ bù 3P 440V 25Kvar
</t>
    </r>
    <r>
      <rPr>
        <i/>
        <sz val="10"/>
        <color indexed="12"/>
        <rFont val="Times New Roman"/>
        <family val="1"/>
      </rPr>
      <t>Capacitor 3P-440V– 25 KVAR</t>
    </r>
  </si>
  <si>
    <r>
      <t xml:space="preserve">Cuộn kháng cho tụ bù 50Kvar Al
</t>
    </r>
    <r>
      <rPr>
        <i/>
        <sz val="10"/>
        <color indexed="12"/>
        <rFont val="Times New Roman"/>
        <family val="1"/>
      </rPr>
      <t>Reactor coil</t>
    </r>
  </si>
  <si>
    <r>
      <t xml:space="preserve">Bộ điều khiển tụ bù (6 steps)
</t>
    </r>
    <r>
      <rPr>
        <i/>
        <sz val="10"/>
        <color indexed="12"/>
        <rFont val="Times New Roman"/>
        <family val="1"/>
      </rPr>
      <t xml:space="preserve">Auto power factor regulator (APFR) 6 -step  </t>
    </r>
  </si>
  <si>
    <r>
      <t xml:space="preserve">Lộ ra 2
</t>
    </r>
    <r>
      <rPr>
        <i/>
        <sz val="10"/>
        <color indexed="12"/>
        <rFont val="Times New Roman"/>
        <family val="1"/>
      </rPr>
      <t>Outgoing 2</t>
    </r>
  </si>
  <si>
    <t>MCCB 4P 400A 36KA</t>
  </si>
  <si>
    <t>MCCB 4P 320A 36KA</t>
  </si>
  <si>
    <t>MCCB 4P 160A 36KA</t>
  </si>
  <si>
    <t>MCCB 4P 125A 36KA</t>
  </si>
  <si>
    <t>MCCB 4P 40A 36KA</t>
  </si>
  <si>
    <r>
      <t xml:space="preserve">Biến dòng ( loại bảo vệ) PCT 400/5A, CL. 5P10, 15VA, Loại tròn
</t>
    </r>
    <r>
      <rPr>
        <i/>
        <sz val="10"/>
        <color indexed="12"/>
        <rFont val="Times New Roman"/>
        <family val="1"/>
      </rPr>
      <t>PCT 400/5A, CL. 5P10, 15VA</t>
    </r>
  </si>
  <si>
    <r>
      <t xml:space="preserve">Biến dòng ( loại bảo vệ) PCT 200/5A, CL. 5P10, 15VA, Loại tròn
</t>
    </r>
    <r>
      <rPr>
        <i/>
        <sz val="10"/>
        <color indexed="12"/>
        <rFont val="Times New Roman"/>
        <family val="1"/>
      </rPr>
      <t>PCT 200/5A, CL. 5P10, 15VA</t>
    </r>
  </si>
  <si>
    <r>
      <t xml:space="preserve">Biến dòng ( loại bảo vệ) PCT 150/5A, CL. 5P10, 15VA, Loại tròn
</t>
    </r>
    <r>
      <rPr>
        <i/>
        <sz val="10"/>
        <color indexed="12"/>
        <rFont val="Times New Roman"/>
        <family val="1"/>
      </rPr>
      <t>PCT 150/5A, CL. 5P10, 15VA</t>
    </r>
  </si>
  <si>
    <r>
      <t xml:space="preserve">Vỏ tủ điện , thanh đồng , các phụ kiện...
</t>
    </r>
    <r>
      <rPr>
        <i/>
        <sz val="10"/>
        <color indexed="12"/>
        <rFont val="Times New Roman"/>
        <family val="1"/>
      </rPr>
      <t>Metal enclosure,  busbar system, accessories,…</t>
    </r>
  </si>
  <si>
    <t>DB-B</t>
  </si>
  <si>
    <r>
      <t xml:space="preserve">Lộ vào
</t>
    </r>
    <r>
      <rPr>
        <i/>
        <sz val="10"/>
        <color indexed="12"/>
        <rFont val="Times New Roman"/>
        <family val="1"/>
      </rPr>
      <t>Incoming</t>
    </r>
  </si>
  <si>
    <t>MCCB 3P 160A 25KA</t>
  </si>
  <si>
    <r>
      <t xml:space="preserve">Đồng hồ vôn 0-500V, Class 1.5, 96x96
</t>
    </r>
    <r>
      <rPr>
        <i/>
        <sz val="10"/>
        <color indexed="12"/>
        <rFont val="Times New Roman"/>
        <family val="1"/>
      </rPr>
      <t>Voltmeter</t>
    </r>
  </si>
  <si>
    <r>
      <t xml:space="preserve">Chuyển mạch vôn 7 vị trí
</t>
    </r>
    <r>
      <rPr>
        <i/>
        <sz val="10"/>
        <color indexed="12"/>
        <rFont val="Times New Roman"/>
        <family val="1"/>
      </rPr>
      <t xml:space="preserve">Volttage Selector Switch 7 position </t>
    </r>
  </si>
  <si>
    <r>
      <t xml:space="preserve">Đồng hồ Ampe 200A, Class 1.5, 96x96
</t>
    </r>
    <r>
      <rPr>
        <i/>
        <sz val="10"/>
        <color indexed="12"/>
        <rFont val="Times New Roman"/>
        <family val="1"/>
      </rPr>
      <t>Ampetmeter</t>
    </r>
  </si>
  <si>
    <r>
      <t xml:space="preserve">Chuyển mạch Ampe 4 vị trí
</t>
    </r>
    <r>
      <rPr>
        <i/>
        <sz val="10"/>
        <color indexed="12"/>
        <rFont val="Times New Roman"/>
        <family val="1"/>
      </rPr>
      <t xml:space="preserve">Ampe Selector Switch 4 position </t>
    </r>
  </si>
  <si>
    <r>
      <t xml:space="preserve">Biến dòng ( loại đo lường ) MCT 200/5A, Class 1.0, 7.5VA
</t>
    </r>
    <r>
      <rPr>
        <i/>
        <sz val="10"/>
        <color indexed="12"/>
        <rFont val="Times New Roman"/>
        <family val="1"/>
      </rPr>
      <t>MCT 200/5A, Class 1.0, 7.5VA</t>
    </r>
  </si>
  <si>
    <r>
      <t xml:space="preserve">Lộ ra
</t>
    </r>
    <r>
      <rPr>
        <i/>
        <sz val="10"/>
        <color indexed="12"/>
        <rFont val="Times New Roman"/>
        <family val="1"/>
      </rPr>
      <t>Outgoing</t>
    </r>
  </si>
  <si>
    <t>MCB 1P 16A 10KA</t>
  </si>
  <si>
    <t>MCB 1P 20A 10KA</t>
  </si>
  <si>
    <t>MCB 2P 32A 10KA</t>
  </si>
  <si>
    <t>MCB 2P 40A 10KA</t>
  </si>
  <si>
    <t>MCB 2P 50A 10KA</t>
  </si>
  <si>
    <t>R2</t>
  </si>
  <si>
    <t>MCCB 3P 25A 25KA</t>
  </si>
  <si>
    <t>edit Q'ty</t>
  </si>
  <si>
    <t>BV 21072022</t>
  </si>
  <si>
    <t>MCCB 3P 32A 25KA</t>
  </si>
  <si>
    <t>MCCB 3P 40A 25KA</t>
  </si>
  <si>
    <t>MCCB 4P 63A 25KA</t>
  </si>
  <si>
    <r>
      <t xml:space="preserve">Chống sét lan truyền. 3P+N Imax 100kA
</t>
    </r>
    <r>
      <rPr>
        <i/>
        <sz val="10"/>
        <color indexed="12"/>
        <rFont val="Times New Roman"/>
        <family val="1"/>
      </rPr>
      <t>Surge Protection Dives 3P+N Imax 100kA</t>
    </r>
  </si>
  <si>
    <r>
      <t xml:space="preserve">bộ
</t>
    </r>
    <r>
      <rPr>
        <i/>
        <sz val="10"/>
        <color indexed="56"/>
        <rFont val="Times New Roman"/>
        <family val="1"/>
      </rPr>
      <t>set</t>
    </r>
  </si>
  <si>
    <t>RCBO 1P + N 20A 30mA 10kA</t>
  </si>
  <si>
    <t>RCBO 1P + N 25A 30mA 10kA</t>
  </si>
  <si>
    <t>Contactor 2P CT 16A 2NO (230VAC COil)</t>
  </si>
  <si>
    <r>
      <t>Công tắc hẹn giờ : 24h, 7 days</t>
    </r>
    <r>
      <rPr>
        <i/>
        <sz val="10"/>
        <rFont val="Times New Roman"/>
        <family val="1"/>
      </rPr>
      <t xml:space="preserve">
</t>
    </r>
    <r>
      <rPr>
        <i/>
        <sz val="10"/>
        <color indexed="12"/>
        <rFont val="Times New Roman"/>
        <family val="1"/>
      </rPr>
      <t>Timer 24h, 7 days</t>
    </r>
  </si>
  <si>
    <r>
      <t xml:space="preserve">Chuyển mạch 3 vị trí tự giữ (Auto-Off-Man)
</t>
    </r>
    <r>
      <rPr>
        <i/>
        <sz val="10"/>
        <color indexed="12"/>
        <rFont val="Times New Roman"/>
        <family val="1"/>
      </rPr>
      <t>Selector Switch 3 position (Auto-Off-Man)</t>
    </r>
  </si>
  <si>
    <t>LP-B-ART</t>
  </si>
  <si>
    <t>MCB 2P 32A 6KA</t>
  </si>
  <si>
    <t>MCB 1P 10A 6KA</t>
  </si>
  <si>
    <t>MCB 1P 16A 6KA</t>
  </si>
  <si>
    <t>RCBO 1P + N 20A 30mA 6kA</t>
  </si>
  <si>
    <t>Motor CB 3P 4-6.3A</t>
  </si>
  <si>
    <t>LP-B-STO</t>
  </si>
  <si>
    <t>LP-B-CON</t>
  </si>
  <si>
    <t>MCB 2P 40A 6KA</t>
  </si>
  <si>
    <t>LP-B-BRE</t>
  </si>
  <si>
    <t>RCBO 1P + N 16A 30mA 6kA</t>
  </si>
  <si>
    <t>LP-B-OFF</t>
  </si>
  <si>
    <t>LP-B-SHO</t>
  </si>
  <si>
    <t>LP-G-VID</t>
  </si>
  <si>
    <t>LP-G-OFF</t>
  </si>
  <si>
    <t>LP-G-MAK.2</t>
  </si>
  <si>
    <t>MCCB 3P 250A 25KA</t>
  </si>
  <si>
    <r>
      <t xml:space="preserve">Biến dòng ( loại bảo vệ) PCT 150/5A, Loại tròn
</t>
    </r>
    <r>
      <rPr>
        <i/>
        <sz val="10"/>
        <color indexed="12"/>
        <rFont val="Times New Roman"/>
        <family val="1"/>
      </rPr>
      <t xml:space="preserve">PCT 250/5A, CL. 5P10, 15VA, </t>
    </r>
  </si>
  <si>
    <r>
      <t xml:space="preserve">Đồng hồ Ampe 250A, Class 1.5, 96x96
</t>
    </r>
    <r>
      <rPr>
        <i/>
        <sz val="10"/>
        <color indexed="12"/>
        <rFont val="Times New Roman"/>
        <family val="1"/>
      </rPr>
      <t>Ampetmeter</t>
    </r>
  </si>
  <si>
    <r>
      <t xml:space="preserve">Biến dòng ( loại đo lường ) MCT 250/5A, Class 1.0, 7.5VA
</t>
    </r>
    <r>
      <rPr>
        <i/>
        <sz val="10"/>
        <color indexed="12"/>
        <rFont val="Times New Roman"/>
        <family val="1"/>
      </rPr>
      <t>MCT 250/5A, Class 1.0, 7.5VA</t>
    </r>
  </si>
  <si>
    <t>MCB 1P 10A 10KA</t>
  </si>
  <si>
    <t>MCB 1P 25A 10KA</t>
  </si>
  <si>
    <t>MCCB 3P 25A 10KA</t>
  </si>
  <si>
    <t>MCCB 3P 32A 10KA</t>
  </si>
  <si>
    <t>MCCB 3P 100A 25KA</t>
  </si>
  <si>
    <t>MCCB 3P 150A 25KA</t>
  </si>
  <si>
    <r>
      <t xml:space="preserve">bộ
</t>
    </r>
    <r>
      <rPr>
        <i/>
        <sz val="10"/>
        <color indexed="62"/>
        <rFont val="Times New Roman"/>
        <family val="1"/>
      </rPr>
      <t>set</t>
    </r>
  </si>
  <si>
    <t>RCBO-2P-16A-30mA 6kA</t>
  </si>
  <si>
    <t>RCBO-2P-20A-30mA 10kA</t>
  </si>
  <si>
    <t>RCBO-2P-32A-30mA 10kA</t>
  </si>
  <si>
    <r>
      <t xml:space="preserve">Nút nhấn tắt nguồn tủ điện khẩn cấp
</t>
    </r>
    <r>
      <rPr>
        <i/>
        <sz val="10"/>
        <color indexed="12"/>
        <rFont val="Times New Roman"/>
        <family val="1"/>
      </rPr>
      <t>Emergecy power shut-down buttun</t>
    </r>
  </si>
  <si>
    <t>DB-FCC</t>
  </si>
  <si>
    <t>MCCB 3P 50A 25KA</t>
  </si>
  <si>
    <r>
      <t xml:space="preserve">Đồng hồ Ampe 50A, Class 1.5, 96x96
</t>
    </r>
    <r>
      <rPr>
        <i/>
        <sz val="10"/>
        <color indexed="12"/>
        <rFont val="Times New Roman"/>
        <family val="1"/>
      </rPr>
      <t>Ampetmeter</t>
    </r>
  </si>
  <si>
    <r>
      <t xml:space="preserve">Biến dòng ( loại đo lường ) MCT 50/5A, Class 1.0, 5VA, W1=2
</t>
    </r>
    <r>
      <rPr>
        <i/>
        <sz val="10"/>
        <color indexed="12"/>
        <rFont val="Times New Roman"/>
        <family val="1"/>
      </rPr>
      <t>MCT 50/5A, Class 1.0, 5VA, W1=2</t>
    </r>
  </si>
  <si>
    <t>MCCB 4P 100A 25KA</t>
  </si>
  <si>
    <t>RCBO 1P + N 25A 30mA 6kA</t>
  </si>
  <si>
    <t>LP-G-CLA</t>
  </si>
  <si>
    <t xml:space="preserve">LP-G-RM </t>
  </si>
  <si>
    <t>MCCB 3P 63A 25KA</t>
  </si>
  <si>
    <t>DB-G</t>
  </si>
  <si>
    <t>MCCB 3P 400A 25KA</t>
  </si>
  <si>
    <r>
      <t xml:space="preserve">Đồng hồ Ampe 400A, Class 1.5, 96x96
</t>
    </r>
    <r>
      <rPr>
        <i/>
        <sz val="10"/>
        <rFont val="Times New Roman"/>
        <family val="1"/>
      </rPr>
      <t>Voltmeter</t>
    </r>
  </si>
  <si>
    <r>
      <t xml:space="preserve">Biến dòng ( loại đo lường ) MCT 400/5A, Class 1.0, 10VA
</t>
    </r>
    <r>
      <rPr>
        <i/>
        <sz val="10"/>
        <color indexed="12"/>
        <rFont val="Times New Roman"/>
        <family val="1"/>
      </rPr>
      <t>MCT 400/5A, Class 1.0, 10VA</t>
    </r>
  </si>
  <si>
    <t>MCB 3P 63A 10KA</t>
  </si>
  <si>
    <r>
      <t xml:space="preserve">bộ
</t>
    </r>
    <r>
      <rPr>
        <i/>
        <sz val="10"/>
        <color indexed="49"/>
        <rFont val="Times New Roman"/>
        <family val="1"/>
      </rPr>
      <t>set</t>
    </r>
  </si>
  <si>
    <t>LP-G-MAK.1</t>
  </si>
  <si>
    <t>MCCB 3P 63A 10KA</t>
  </si>
  <si>
    <t>RCBO 1P + N 10A 30mA 6kA</t>
  </si>
  <si>
    <t>RCBO 1P + N 32A 30mA 6kA</t>
  </si>
  <si>
    <t>DB-A3-EX ( OUTDOOR PANEL)</t>
  </si>
  <si>
    <t>MCCB-3P-125A,25kA</t>
  </si>
  <si>
    <r>
      <t xml:space="preserve">Cầu chì điều khiển 2A + Đế
</t>
    </r>
    <r>
      <rPr>
        <i/>
        <sz val="10"/>
        <color indexed="12"/>
        <rFont val="Times New Roman"/>
        <family val="1"/>
      </rPr>
      <t>Fuse 2A</t>
    </r>
  </si>
  <si>
    <r>
      <t xml:space="preserve">Đèn báo màu đỏ -Vàng -Xanh230VAC
</t>
    </r>
    <r>
      <rPr>
        <i/>
        <sz val="10"/>
        <color indexed="12"/>
        <rFont val="Times New Roman"/>
        <family val="1"/>
      </rPr>
      <t>Red-Y-B indicator 230VAC</t>
    </r>
  </si>
  <si>
    <t>MCCB-3P-50A-25kA</t>
  </si>
  <si>
    <t>MCB-1P-25kA-6kA</t>
  </si>
  <si>
    <t>LP-2-COL</t>
  </si>
  <si>
    <t>LP-2-IND</t>
  </si>
  <si>
    <t>MCB 2P 50A 6KA</t>
  </si>
  <si>
    <t>LP-2-ART.2</t>
  </si>
  <si>
    <t>LP-2-ART.1</t>
  </si>
  <si>
    <t>LP-2-PRI</t>
  </si>
  <si>
    <t>MCB 2P 63A 6KA</t>
  </si>
  <si>
    <t>DB-2</t>
  </si>
  <si>
    <t>MCCB 3P 125A 25KA</t>
  </si>
  <si>
    <r>
      <t xml:space="preserve">Đồng hồ Ampe 100A, Class 1.5, 96x96
</t>
    </r>
    <r>
      <rPr>
        <i/>
        <sz val="10"/>
        <color indexed="12"/>
        <rFont val="Times New Roman"/>
        <family val="1"/>
      </rPr>
      <t>Voltmeter</t>
    </r>
  </si>
  <si>
    <r>
      <t xml:space="preserve">Biến dòng ( loại đo lường ) MCT 100/5A, Class 1.0, 5VA
</t>
    </r>
    <r>
      <rPr>
        <i/>
        <sz val="10"/>
        <color indexed="12"/>
        <rFont val="Times New Roman"/>
        <family val="1"/>
      </rPr>
      <t>MCT 100/5A, Class 1.0, 5VA</t>
    </r>
  </si>
  <si>
    <t>MCB 2P 63A 10KA</t>
  </si>
  <si>
    <t>LP-3-GRO.3</t>
  </si>
  <si>
    <t>MCB 2P 25A 6KA</t>
  </si>
  <si>
    <t>LP-3-GRO.2</t>
  </si>
  <si>
    <t>LP-3-GRO.1</t>
  </si>
  <si>
    <t>LP-3-MAT.1</t>
  </si>
  <si>
    <t>LP-3-IND</t>
  </si>
  <si>
    <t>LP-3-PHY</t>
  </si>
  <si>
    <t>LP-3-MAT.5</t>
  </si>
  <si>
    <t>LP-3-MAT.2</t>
  </si>
  <si>
    <t>LP-3-MAT.4</t>
  </si>
  <si>
    <t>LP-3-MAT.3</t>
  </si>
  <si>
    <t>LP-3-OFF</t>
  </si>
  <si>
    <t>DB-3</t>
  </si>
  <si>
    <r>
      <t xml:space="preserve">Đồng hồ Ampe 150A, Class 1.5, 96x96
</t>
    </r>
    <r>
      <rPr>
        <i/>
        <sz val="10"/>
        <color indexed="12"/>
        <rFont val="Times New Roman"/>
        <family val="1"/>
      </rPr>
      <t>Ampetmeter</t>
    </r>
  </si>
  <si>
    <r>
      <t xml:space="preserve">Biến dòng ( loại đo lường ) MCT 150/5A, Class 1.0, 5VA
</t>
    </r>
    <r>
      <rPr>
        <i/>
        <sz val="10"/>
        <color indexed="12"/>
        <rFont val="Times New Roman"/>
        <family val="1"/>
      </rPr>
      <t>MCT 150/5A, Class 1.0, 5VA</t>
    </r>
  </si>
  <si>
    <t>LP-4-SCI</t>
  </si>
  <si>
    <t>LP-4-GRO.3</t>
  </si>
  <si>
    <t>LP-4-GRO.2</t>
  </si>
  <si>
    <t>LP-4-GRO.1</t>
  </si>
  <si>
    <t>LP-4-BIO.1</t>
  </si>
  <si>
    <t>LP-4-BIO.2</t>
  </si>
  <si>
    <t>LP-4-CHE.2</t>
  </si>
  <si>
    <t>LP-4-IND</t>
  </si>
  <si>
    <t>LP-4-CHE.1</t>
  </si>
  <si>
    <t>DB-4</t>
  </si>
  <si>
    <t>MCB 2P 80A 10KA</t>
  </si>
  <si>
    <t>CP-R</t>
  </si>
  <si>
    <t>MCB 1P 20A 6KA</t>
  </si>
  <si>
    <r>
      <t xml:space="preserve">Điều khiển DOL 1P 0.12KW
</t>
    </r>
    <r>
      <rPr>
        <i/>
        <sz val="10"/>
        <color indexed="12"/>
        <rFont val="Times New Roman"/>
        <family val="1"/>
      </rPr>
      <t>Control DOL 1P 0.12KW</t>
    </r>
  </si>
  <si>
    <t>Contactor 3P 9A 1NO</t>
  </si>
  <si>
    <r>
      <t xml:space="preserve">Khối tiếp điểm phụ Tesys E 1No 1Nc
</t>
    </r>
    <r>
      <rPr>
        <i/>
        <sz val="10"/>
        <color indexed="12"/>
        <rFont val="Times New Roman"/>
        <family val="1"/>
      </rPr>
      <t>Auxiliry switch Tesys E 1No 1Nc</t>
    </r>
  </si>
  <si>
    <r>
      <t xml:space="preserve">Relay nhiệt 0.63-1A
</t>
    </r>
    <r>
      <rPr>
        <i/>
        <sz val="10"/>
        <color indexed="12"/>
        <rFont val="Times New Roman"/>
        <family val="1"/>
      </rPr>
      <t>Overload relay 0.63-1A</t>
    </r>
  </si>
  <si>
    <r>
      <t xml:space="preserve">Điều khiển DOL 1P 1.21KW
</t>
    </r>
    <r>
      <rPr>
        <i/>
        <sz val="10"/>
        <color indexed="12"/>
        <rFont val="Times New Roman"/>
        <family val="1"/>
      </rPr>
      <t>Control DOL 1P 1.21KW</t>
    </r>
  </si>
  <si>
    <r>
      <t xml:space="preserve">Relay nhiệt 5.5-8A
</t>
    </r>
    <r>
      <rPr>
        <i/>
        <sz val="10"/>
        <color indexed="12"/>
        <rFont val="Times New Roman"/>
        <family val="1"/>
      </rPr>
      <t>Overload relay 5.5-8A</t>
    </r>
  </si>
  <si>
    <r>
      <t xml:space="preserve">Mạch điều khiển DOL
</t>
    </r>
    <r>
      <rPr>
        <i/>
        <sz val="10"/>
        <color indexed="12"/>
        <rFont val="Times New Roman"/>
        <family val="1"/>
      </rPr>
      <t>Control DOL</t>
    </r>
  </si>
  <si>
    <t>CP-FC</t>
  </si>
  <si>
    <t>MCB 2P 10A 10KA</t>
  </si>
  <si>
    <r>
      <t>Tủ nút nhấn điều khiển tại phòng điều khiển: FCC panel</t>
    </r>
    <r>
      <rPr>
        <i/>
        <sz val="10"/>
        <rFont val="Times New Roman"/>
        <family val="1"/>
      </rPr>
      <t xml:space="preserve">
</t>
    </r>
    <r>
      <rPr>
        <i/>
        <sz val="10"/>
        <color indexed="12"/>
        <rFont val="Times New Roman"/>
        <family val="1"/>
      </rPr>
      <t>Control button panel at FCC room: FCC panel</t>
    </r>
  </si>
  <si>
    <t>Isolator 3P-400A (for Solar power system)</t>
  </si>
  <si>
    <t>b.2</t>
  </si>
  <si>
    <r>
      <t xml:space="preserve">Ổ cắm, công tắc, đèn
</t>
    </r>
    <r>
      <rPr>
        <b/>
        <i/>
        <sz val="10"/>
        <color indexed="12"/>
        <rFont val="Times New Roman"/>
        <family val="1"/>
      </rPr>
      <t>Socket outlet, switch &amp; lighting fixture</t>
    </r>
  </si>
  <si>
    <r>
      <t>Đèn chiếu sáng</t>
    </r>
    <r>
      <rPr>
        <i/>
        <sz val="10"/>
        <rFont val="Times New Roman"/>
        <family val="1"/>
      </rPr>
      <t xml:space="preserve">
</t>
    </r>
    <r>
      <rPr>
        <i/>
        <sz val="10"/>
        <color indexed="12"/>
        <rFont val="Times New Roman"/>
        <family val="1"/>
      </rPr>
      <t>Lighting fixture</t>
    </r>
  </si>
  <si>
    <r>
      <t xml:space="preserve">Đèn led linear  41W,loại nối tiếp, ánh sáng direct,âm trần
</t>
    </r>
    <r>
      <rPr>
        <i/>
        <sz val="10"/>
        <color rgb="FFFF0000"/>
        <rFont val="Times New Roman"/>
        <family val="1"/>
      </rPr>
      <t>41W led linear, continuous,direct light distribution,recessed ceiling mount</t>
    </r>
  </si>
  <si>
    <r>
      <t xml:space="preserve">Đèn led linear,36W,loại không nối tiếp,ánh sáng direct&amp;indirect,treo trần 
</t>
    </r>
    <r>
      <rPr>
        <i/>
        <sz val="10"/>
        <color rgb="FFFF0000"/>
        <rFont val="Times New Roman"/>
        <family val="1"/>
      </rPr>
      <t>Led linear,36W,standalone,direct&amp;indirect light distribution,pendant mounted type</t>
    </r>
  </si>
  <si>
    <t>add item</t>
  </si>
  <si>
    <t>Bản vẽ E/2002,E/2003-Rev 02</t>
  </si>
  <si>
    <r>
      <t xml:space="preserve">Đèn led 29W chống thấm, chống bụi,gắn nỗi,IP65
</t>
    </r>
    <r>
      <rPr>
        <i/>
        <sz val="10"/>
        <color indexed="12"/>
        <rFont val="Times New Roman"/>
        <family val="1"/>
      </rPr>
      <t>29W led waterproof, surface mounter type,IP65</t>
    </r>
  </si>
  <si>
    <r>
      <t xml:space="preserve">Đèn led  downlight bóng led 15W, gắn âm trần, IP44
</t>
    </r>
    <r>
      <rPr>
        <i/>
        <sz val="10"/>
        <color indexed="12"/>
        <rFont val="Times New Roman"/>
        <family val="1"/>
      </rPr>
      <t>15W led downlight,recessed mounted type, IP44</t>
    </r>
  </si>
  <si>
    <r>
      <t xml:space="preserve">Đèn led downlight ,gắn âm trần,15W,IP20 </t>
    </r>
    <r>
      <rPr>
        <i/>
        <sz val="10"/>
        <rFont val="Times New Roman"/>
        <family val="1"/>
      </rPr>
      <t xml:space="preserve">
</t>
    </r>
    <r>
      <rPr>
        <i/>
        <sz val="10"/>
        <color indexed="12"/>
        <rFont val="Times New Roman"/>
        <family val="1"/>
      </rPr>
      <t>Led downlight ,recessed mounted type,15W,IP20</t>
    </r>
  </si>
  <si>
    <r>
      <t>Đèn lon gắn nỗi,20W</t>
    </r>
    <r>
      <rPr>
        <i/>
        <sz val="10"/>
        <rFont val="Times New Roman"/>
        <family val="1"/>
      </rPr>
      <t xml:space="preserve">
</t>
    </r>
    <r>
      <rPr>
        <i/>
        <sz val="10"/>
        <color indexed="12"/>
        <rFont val="Times New Roman"/>
        <family val="1"/>
      </rPr>
      <t>20W, led downlight, surface mounted type</t>
    </r>
  </si>
  <si>
    <r>
      <t xml:space="preserve">Đèn Led highbay, treo trần , 67W    
</t>
    </r>
    <r>
      <rPr>
        <i/>
        <sz val="10"/>
        <color indexed="12"/>
        <rFont val="Times New Roman"/>
        <family val="1"/>
      </rPr>
      <t>Led hightbay,suspended mounted type ,67W</t>
    </r>
  </si>
  <si>
    <r>
      <t xml:space="preserve">Đèn led pha, 70W,IP66
</t>
    </r>
    <r>
      <rPr>
        <i/>
        <sz val="10"/>
        <color indexed="12"/>
        <rFont val="Times New Roman"/>
        <family val="1"/>
      </rPr>
      <t>Led flood light,70W,IP66</t>
    </r>
  </si>
  <si>
    <r>
      <t xml:space="preserve">Đèn led chống nổ, lắp gắn tường/lắp nỗi,25.5W
</t>
    </r>
    <r>
      <rPr>
        <i/>
        <sz val="10"/>
        <color indexed="12"/>
        <rFont val="Times New Roman"/>
        <family val="1"/>
      </rPr>
      <t>Led explosion,Wall/Surface mounting,25.5W.</t>
    </r>
  </si>
  <si>
    <r>
      <t xml:space="preserve">Đèn led ốp trần,15W,IP65
</t>
    </r>
    <r>
      <rPr>
        <i/>
        <sz val="10"/>
        <color indexed="12"/>
        <rFont val="Times New Roman"/>
        <family val="1"/>
      </rPr>
      <t>Led surface mounted type,15W,IP65</t>
    </r>
  </si>
  <si>
    <r>
      <t xml:space="preserve">Đèn led Panel,kích thước 1200 x 300mm,36W,thả trần
</t>
    </r>
    <r>
      <rPr>
        <i/>
        <sz val="10"/>
        <color indexed="12"/>
        <rFont val="Times New Roman"/>
        <family val="1"/>
      </rPr>
      <t>Led Panel,1200 x300mm, pendant mounted type</t>
    </r>
  </si>
  <si>
    <r>
      <t>Đèn led dowlight, gắn âm trần,39.7W</t>
    </r>
    <r>
      <rPr>
        <i/>
        <sz val="10"/>
        <rFont val="Times New Roman"/>
        <family val="1"/>
      </rPr>
      <t xml:space="preserve">
</t>
    </r>
    <r>
      <rPr>
        <i/>
        <sz val="10"/>
        <color indexed="12"/>
        <rFont val="Times New Roman"/>
        <family val="1"/>
      </rPr>
      <t>Led downlight,recessed mounted type ,39.7W</t>
    </r>
  </si>
  <si>
    <r>
      <t xml:space="preserve">Đèn lon,thả trần,38W,H=+-3.3mm
</t>
    </r>
    <r>
      <rPr>
        <i/>
        <sz val="10"/>
        <color indexed="12"/>
        <rFont val="Times New Roman"/>
        <family val="1"/>
      </rPr>
      <t>Led downlight, pendant ceiling mounted, 38W, H=+-3.3mm</t>
    </r>
  </si>
  <si>
    <r>
      <t xml:space="preserve">Đèn thoát hiểm có ổ cắm đơn , kết hợp pin dự phòng trong 3giờ
</t>
    </r>
    <r>
      <rPr>
        <i/>
        <sz val="10"/>
        <color indexed="12"/>
        <rFont val="Times New Roman"/>
        <family val="1"/>
      </rPr>
      <t xml:space="preserve"> Exit light c/w single socket with  3 hours back-up battery</t>
    </r>
  </si>
  <si>
    <r>
      <t xml:space="preserve">Đèn thoát hiểm chống thấm có ổ cắm đơn , kết hợp pin dự phòng trong 3giờ
</t>
    </r>
    <r>
      <rPr>
        <i/>
        <sz val="10"/>
        <color indexed="12"/>
        <rFont val="Times New Roman"/>
        <family val="1"/>
      </rPr>
      <t xml:space="preserve"> Water proof exit light c/w single socket with  3 hours back-up battery</t>
    </r>
  </si>
  <si>
    <r>
      <t xml:space="preserve">Đèn thoát hiểm có ổ cắm đơn , kết hợp pin dự phòng trong 3giờ- chỉ hướng rẽ phải, rẻ trái
</t>
    </r>
    <r>
      <rPr>
        <i/>
        <sz val="10"/>
        <color indexed="12"/>
        <rFont val="Times New Roman"/>
        <family val="1"/>
      </rPr>
      <t>1x3W led exit light c/w 3 hours back-up battery- turn right+ left</t>
    </r>
  </si>
  <si>
    <r>
      <t xml:space="preserve">Đèn chiếu sáng khẩn cấp kèm ổ cắm đơn kết hợp pin dự phòng trong 3 giờ
</t>
    </r>
    <r>
      <rPr>
        <i/>
        <sz val="10"/>
        <color indexed="12"/>
        <rFont val="Times New Roman"/>
        <family val="1"/>
      </rPr>
      <t xml:space="preserve"> Emergency light c/wsingle socket with hours back-up battery</t>
    </r>
  </si>
  <si>
    <r>
      <t xml:space="preserve">Đèn chiếu sáng khẩn cấp âm trần kèm ổ cắm đơn kết hợp pin dự phòng trong 3 giờ
</t>
    </r>
    <r>
      <rPr>
        <i/>
        <sz val="10"/>
        <color indexed="12"/>
        <rFont val="Times New Roman"/>
        <family val="1"/>
      </rPr>
      <t xml:space="preserve"> Emergency light ceiling recessed type c/wsingle socket with hours back-up battery</t>
    </r>
  </si>
  <si>
    <r>
      <t xml:space="preserve">Cảm biến chuyển động
</t>
    </r>
    <r>
      <rPr>
        <i/>
        <sz val="10"/>
        <color indexed="12"/>
        <rFont val="Times New Roman"/>
        <family val="1"/>
      </rPr>
      <t>Motion detector</t>
    </r>
  </si>
  <si>
    <r>
      <t xml:space="preserve">Hộp đấu nối cho đèn
</t>
    </r>
    <r>
      <rPr>
        <i/>
        <sz val="10"/>
        <color indexed="12"/>
        <rFont val="Times New Roman"/>
        <family val="1"/>
      </rPr>
      <t>Box for lighting</t>
    </r>
  </si>
  <si>
    <r>
      <t>Công tắc đèn</t>
    </r>
    <r>
      <rPr>
        <i/>
        <sz val="10"/>
        <rFont val="Times New Roman"/>
        <family val="1"/>
      </rPr>
      <t xml:space="preserve">
</t>
    </r>
    <r>
      <rPr>
        <i/>
        <sz val="10"/>
        <color indexed="12"/>
        <rFont val="Times New Roman"/>
        <family val="1"/>
      </rPr>
      <t>Switch</t>
    </r>
  </si>
  <si>
    <r>
      <t xml:space="preserve">Công tắc đơn 1 chiều +mặt nạ+ đế... 
</t>
    </r>
    <r>
      <rPr>
        <i/>
        <sz val="10"/>
        <color indexed="12"/>
        <rFont val="Times New Roman"/>
        <family val="1"/>
      </rPr>
      <t>1 gang 1 way switch</t>
    </r>
  </si>
  <si>
    <r>
      <t xml:space="preserve">Công tắc đôi 1 chiều + mặt nạ+ đế...
</t>
    </r>
    <r>
      <rPr>
        <i/>
        <sz val="10"/>
        <color indexed="12"/>
        <rFont val="Times New Roman"/>
        <family val="1"/>
      </rPr>
      <t>2 gang 1 way switch</t>
    </r>
  </si>
  <si>
    <r>
      <t xml:space="preserve">Công tắc ba 1 chiều + mặt nạ+ đế...
</t>
    </r>
    <r>
      <rPr>
        <i/>
        <sz val="10"/>
        <color indexed="12"/>
        <rFont val="Times New Roman"/>
        <family val="1"/>
      </rPr>
      <t>3 gang 1 way switch</t>
    </r>
  </si>
  <si>
    <r>
      <t xml:space="preserve">Công tắc đôi 2 chiều + mặt nạ+ đế...
</t>
    </r>
    <r>
      <rPr>
        <sz val="10"/>
        <color indexed="12"/>
        <rFont val="Times New Roman"/>
        <family val="1"/>
      </rPr>
      <t xml:space="preserve">2 </t>
    </r>
    <r>
      <rPr>
        <i/>
        <sz val="10"/>
        <color indexed="12"/>
        <rFont val="Times New Roman"/>
        <family val="1"/>
      </rPr>
      <t>gang 2 way switch</t>
    </r>
  </si>
  <si>
    <r>
      <t xml:space="preserve">Công tắc đèn đơn 2 chiều 15A/220V + mặt nạ+ đế...
</t>
    </r>
    <r>
      <rPr>
        <i/>
        <sz val="10"/>
        <color indexed="12"/>
        <rFont val="Times New Roman"/>
        <family val="1"/>
      </rPr>
      <t>1G-2way light switch-15A/220V</t>
    </r>
  </si>
  <si>
    <r>
      <t xml:space="preserve">Công tắc on/off máy chiếu
</t>
    </r>
    <r>
      <rPr>
        <i/>
        <sz val="10"/>
        <color indexed="12"/>
        <rFont val="Times New Roman"/>
        <family val="1"/>
      </rPr>
      <t>Switch on/off projector</t>
    </r>
  </si>
  <si>
    <r>
      <t xml:space="preserve">Hộp đấu nối cho công tắc
</t>
    </r>
    <r>
      <rPr>
        <i/>
        <sz val="10"/>
        <color indexed="12"/>
        <rFont val="Times New Roman"/>
        <family val="1"/>
      </rPr>
      <t>Box for switch</t>
    </r>
  </si>
  <si>
    <r>
      <t xml:space="preserve">Ổ cắm </t>
    </r>
    <r>
      <rPr>
        <i/>
        <sz val="10"/>
        <rFont val="Times New Roman"/>
        <family val="1"/>
      </rPr>
      <t xml:space="preserve">
</t>
    </r>
    <r>
      <rPr>
        <i/>
        <sz val="10"/>
        <color indexed="12"/>
        <rFont val="Times New Roman"/>
        <family val="1"/>
      </rPr>
      <t>Socket outlet</t>
    </r>
  </si>
  <si>
    <r>
      <t xml:space="preserve">Ổ cắm đôi 3 chấu 16A +mặt nạ...
</t>
    </r>
    <r>
      <rPr>
        <i/>
        <sz val="10"/>
        <color indexed="12"/>
        <rFont val="Times New Roman"/>
        <family val="1"/>
      </rPr>
      <t>16A 3pin double  socket outlet…</t>
    </r>
  </si>
  <si>
    <r>
      <t xml:space="preserve">Ổ cắm đôi 3 chấu 16A, chống thấm,chống bụi,IP55
</t>
    </r>
    <r>
      <rPr>
        <i/>
        <sz val="10"/>
        <color indexed="12"/>
        <rFont val="Times New Roman"/>
        <family val="1"/>
      </rPr>
      <t>16A 3pin,weatherproof double socket outlet with cover,IP55</t>
    </r>
  </si>
  <si>
    <r>
      <t xml:space="preserve">Ổ cắm đôi 3 chấu 16A +mặt nạ…âm sàn
</t>
    </r>
    <r>
      <rPr>
        <i/>
        <sz val="10"/>
        <color indexed="12"/>
        <rFont val="Times New Roman"/>
        <family val="1"/>
      </rPr>
      <t>16A 3pin floor double  socket outlet</t>
    </r>
  </si>
  <si>
    <r>
      <t xml:space="preserve">Ổ cắm cho máy chiếu
</t>
    </r>
    <r>
      <rPr>
        <i/>
        <sz val="10"/>
        <color indexed="12"/>
        <rFont val="Times New Roman"/>
        <family val="1"/>
      </rPr>
      <t>Socket for projector</t>
    </r>
  </si>
  <si>
    <r>
      <t xml:space="preserve">Dao ngắt cung cấp cho máy sản xuất, dòng định mức trong CB
</t>
    </r>
    <r>
      <rPr>
        <i/>
        <sz val="10"/>
        <color indexed="12"/>
        <rFont val="Times New Roman"/>
        <family val="1"/>
      </rPr>
      <t>Isolator supply for manufaturing machine current equal with CB</t>
    </r>
  </si>
  <si>
    <r>
      <t xml:space="preserve">Dao ngắt cung cấp cho máy hàn, dòng định mức trong CB
</t>
    </r>
    <r>
      <rPr>
        <i/>
        <sz val="10"/>
        <color indexed="12"/>
        <rFont val="Times New Roman"/>
        <family val="1"/>
      </rPr>
      <t>Isolator supply for weding machine,rated curent equal with CB</t>
    </r>
  </si>
  <si>
    <r>
      <t xml:space="preserve">Dao ngắt cung cấp cho máy phun nước, dòng định mức trong CB
</t>
    </r>
    <r>
      <rPr>
        <i/>
        <sz val="10"/>
        <color indexed="12"/>
        <rFont val="Times New Roman"/>
        <family val="1"/>
      </rPr>
      <t>Isolator supply for water jet machine,rated curent equal with CB</t>
    </r>
  </si>
  <si>
    <r>
      <t xml:space="preserve">Hộp dây tự rút với ổ cắm 16A, gắn trần + cấp nguồn đến
</t>
    </r>
    <r>
      <rPr>
        <i/>
        <sz val="10"/>
        <color indexed="12"/>
        <rFont val="Times New Roman"/>
        <family val="1"/>
      </rPr>
      <t>Spring return cable reels C/W socket,16A, ceiling power point+supply power to</t>
    </r>
  </si>
  <si>
    <r>
      <t xml:space="preserve">Điểm cấp nguồn cho máy sấy tay
</t>
    </r>
    <r>
      <rPr>
        <i/>
        <sz val="10"/>
        <color indexed="12"/>
        <rFont val="Times New Roman"/>
        <family val="1"/>
      </rPr>
      <t>Power point for faucet sensor</t>
    </r>
  </si>
  <si>
    <r>
      <t xml:space="preserve">Điểm
</t>
    </r>
    <r>
      <rPr>
        <i/>
        <sz val="10"/>
        <color indexed="12"/>
        <rFont val="Times New Roman"/>
        <family val="1"/>
      </rPr>
      <t>point</t>
    </r>
  </si>
  <si>
    <r>
      <t xml:space="preserve">Hộp đấu nối cho ổ cắm
</t>
    </r>
    <r>
      <rPr>
        <i/>
        <sz val="10"/>
        <color indexed="12"/>
        <rFont val="Times New Roman"/>
        <family val="1"/>
      </rPr>
      <t>Box for socket</t>
    </r>
  </si>
  <si>
    <r>
      <t xml:space="preserve">Vật tư phụ….
</t>
    </r>
    <r>
      <rPr>
        <i/>
        <sz val="10"/>
        <color indexed="12"/>
        <rFont val="Times New Roman"/>
        <family val="1"/>
      </rPr>
      <t>Accessories….</t>
    </r>
  </si>
  <si>
    <t>b.3</t>
  </si>
  <si>
    <r>
      <t xml:space="preserve">Dây cáp điện 600V bao gồm băng keo cách điện
</t>
    </r>
    <r>
      <rPr>
        <b/>
        <i/>
        <sz val="10"/>
        <color indexed="12"/>
        <rFont val="Times New Roman"/>
        <family val="1"/>
      </rPr>
      <t>600V cable  including insulation tapes</t>
    </r>
  </si>
  <si>
    <r>
      <t>Cáp Cu-XLPE/PVC</t>
    </r>
    <r>
      <rPr>
        <i/>
        <sz val="10"/>
        <rFont val="Times New Roman"/>
        <family val="1"/>
      </rPr>
      <t xml:space="preserve">
</t>
    </r>
    <r>
      <rPr>
        <i/>
        <sz val="10"/>
        <color indexed="12"/>
        <rFont val="Times New Roman"/>
        <family val="1"/>
      </rPr>
      <t>Cu-XLPE/PVC Cable</t>
    </r>
  </si>
  <si>
    <r>
      <t xml:space="preserve">Cáp  Cu-XLPE/PVC 1Cx240mm²
</t>
    </r>
    <r>
      <rPr>
        <i/>
        <sz val="10"/>
        <color indexed="12"/>
        <rFont val="Times New Roman"/>
        <family val="1"/>
      </rPr>
      <t>1Cx240mm² Cu- XLPE/PVC Cable</t>
    </r>
  </si>
  <si>
    <r>
      <t xml:space="preserve">Cáp Cu- XLPE/PVC 1Cx185mm²
</t>
    </r>
    <r>
      <rPr>
        <i/>
        <sz val="10"/>
        <color indexed="12"/>
        <rFont val="Times New Roman"/>
        <family val="1"/>
      </rPr>
      <t>1Cx185mm²  Cu-XLPE/PVC Cable</t>
    </r>
  </si>
  <si>
    <r>
      <t xml:space="preserve">Cáp Cu- XLPE/PVC 1Cx120mm²
</t>
    </r>
    <r>
      <rPr>
        <i/>
        <sz val="10"/>
        <color indexed="12"/>
        <rFont val="Times New Roman"/>
        <family val="1"/>
      </rPr>
      <t>1Cx120mm²  Cu-XLPE/PVC Cable</t>
    </r>
  </si>
  <si>
    <r>
      <t xml:space="preserve">Cáp Cu-XLPE/PVC 1Cx95mm²
</t>
    </r>
    <r>
      <rPr>
        <i/>
        <sz val="10"/>
        <color indexed="12"/>
        <rFont val="Times New Roman"/>
        <family val="1"/>
      </rPr>
      <t>1Cx95mm²  Cu-XLPE/PVC Cable</t>
    </r>
  </si>
  <si>
    <r>
      <t xml:space="preserve">Cáp Cu-XLPE/PVC 1Cx70mm²
</t>
    </r>
    <r>
      <rPr>
        <i/>
        <sz val="10"/>
        <color indexed="12"/>
        <rFont val="Times New Roman"/>
        <family val="1"/>
      </rPr>
      <t>1Cx70mm²  Cu-XLPE/PVC Cable</t>
    </r>
  </si>
  <si>
    <r>
      <t xml:space="preserve">Cáp Cu-XLPE/PVC 1Cx50mm²
</t>
    </r>
    <r>
      <rPr>
        <i/>
        <sz val="10"/>
        <color indexed="12"/>
        <rFont val="Times New Roman"/>
        <family val="1"/>
      </rPr>
      <t>1Cx50mm² Cu- XLPE/PVC Cable</t>
    </r>
  </si>
  <si>
    <r>
      <t xml:space="preserve">Cáp XLPE/PVC 1Cx35mm²
</t>
    </r>
    <r>
      <rPr>
        <i/>
        <sz val="10"/>
        <color indexed="12"/>
        <rFont val="Times New Roman"/>
        <family val="1"/>
      </rPr>
      <t>1Cx35mm² XLPE/PVC Cable</t>
    </r>
  </si>
  <si>
    <r>
      <t xml:space="preserve">Cáp  Cu-XLPE/PVC 1Cx25mm²
</t>
    </r>
    <r>
      <rPr>
        <i/>
        <sz val="10"/>
        <color indexed="12"/>
        <rFont val="Times New Roman"/>
        <family val="1"/>
      </rPr>
      <t>1Cx25mm² Cu- XLPE/PVC Cable</t>
    </r>
  </si>
  <si>
    <r>
      <t xml:space="preserve">Cáp  Cu-XLPE/PVC 1Cx16mm²
</t>
    </r>
    <r>
      <rPr>
        <i/>
        <sz val="10"/>
        <color indexed="12"/>
        <rFont val="Times New Roman"/>
        <family val="1"/>
      </rPr>
      <t>1Cx16mm² Cu- XLPE/PVC Cable</t>
    </r>
  </si>
  <si>
    <r>
      <t xml:space="preserve">Cáp  Cu/XLPE/PVC 1Cx10mm²
</t>
    </r>
    <r>
      <rPr>
        <i/>
        <sz val="10"/>
        <color indexed="12"/>
        <rFont val="Times New Roman"/>
        <family val="1"/>
      </rPr>
      <t>1Cx10mm² Cu/ XLPE/PVC Cable</t>
    </r>
  </si>
  <si>
    <r>
      <t xml:space="preserve">Cáp  Cu-XLPE/PVC 1Cx6.0mm²
</t>
    </r>
    <r>
      <rPr>
        <i/>
        <sz val="10"/>
        <color indexed="12"/>
        <rFont val="Times New Roman"/>
        <family val="1"/>
      </rPr>
      <t>1Cx6.0mm² Cu- XLPE/PVC Cable</t>
    </r>
  </si>
  <si>
    <r>
      <t xml:space="preserve">Cáp  Cu-XLPE/PVC 1Cx4.0mm²
</t>
    </r>
    <r>
      <rPr>
        <i/>
        <sz val="10"/>
        <color indexed="12"/>
        <rFont val="Times New Roman"/>
        <family val="1"/>
      </rPr>
      <t>1Cx4.0mm² Cu- XLPE/PVC Cable</t>
    </r>
  </si>
  <si>
    <r>
      <t xml:space="preserve">Cáp XLPE/PVC 2Cx25mm²
</t>
    </r>
    <r>
      <rPr>
        <i/>
        <sz val="10"/>
        <color indexed="12"/>
        <rFont val="Times New Roman"/>
        <family val="1"/>
      </rPr>
      <t>2Cx25mm² XLPE/PVC Cable</t>
    </r>
  </si>
  <si>
    <r>
      <t>Cáp  Cu-XLPE/PVC 3Cx16mm²</t>
    </r>
    <r>
      <rPr>
        <i/>
        <sz val="10"/>
        <color indexed="12"/>
        <rFont val="Times New Roman"/>
        <family val="1"/>
      </rPr>
      <t xml:space="preserve">
3Cx16mm² Cu- XLPE/PVC Cable</t>
    </r>
  </si>
  <si>
    <r>
      <t xml:space="preserve">Cáp  Cu-XLPE/PVC 3Cx10.0mm²
</t>
    </r>
    <r>
      <rPr>
        <i/>
        <sz val="10"/>
        <color indexed="12"/>
        <rFont val="Times New Roman"/>
        <family val="1"/>
      </rPr>
      <t>3Cx10.0mm² Cu- XLPE/PVC Cable</t>
    </r>
  </si>
  <si>
    <r>
      <t xml:space="preserve">Cáp  Cu-XLPE/PVC 3Cx6.0mm²
</t>
    </r>
    <r>
      <rPr>
        <i/>
        <sz val="10"/>
        <color indexed="12"/>
        <rFont val="Times New Roman"/>
        <family val="1"/>
      </rPr>
      <t>3Cx6.0mm² Cu- XLPE/PVC Cable</t>
    </r>
  </si>
  <si>
    <r>
      <t xml:space="preserve">Cáp  Cu-XLPE/PVC 3Cx4.0mm²
</t>
    </r>
    <r>
      <rPr>
        <i/>
        <sz val="10"/>
        <color indexed="12"/>
        <rFont val="Times New Roman"/>
        <family val="1"/>
      </rPr>
      <t>3Cx4.0mm² Cu- XLPE/PVC Cable</t>
    </r>
  </si>
  <si>
    <r>
      <t>Cáp chống cháy</t>
    </r>
    <r>
      <rPr>
        <i/>
        <sz val="10"/>
        <rFont val="Times New Roman"/>
        <family val="1"/>
      </rPr>
      <t xml:space="preserve">
</t>
    </r>
    <r>
      <rPr>
        <i/>
        <sz val="10"/>
        <color indexed="12"/>
        <rFont val="Times New Roman"/>
        <family val="1"/>
      </rPr>
      <t>FR/Cu Cable</t>
    </r>
  </si>
  <si>
    <r>
      <t xml:space="preserve">Cáp chống cháy  1Cx150mm²
</t>
    </r>
    <r>
      <rPr>
        <i/>
        <sz val="10"/>
        <color indexed="12"/>
        <rFont val="Times New Roman"/>
        <family val="1"/>
      </rPr>
      <t xml:space="preserve">1Cx150mm² FR/Cu Cable </t>
    </r>
  </si>
  <si>
    <r>
      <t xml:space="preserve">Cáp chống cháy  1Cx25mm²
</t>
    </r>
    <r>
      <rPr>
        <i/>
        <sz val="10"/>
        <color indexed="12"/>
        <rFont val="Times New Roman"/>
        <family val="1"/>
      </rPr>
      <t xml:space="preserve">1Cx25mm² FR/Cu Cable </t>
    </r>
  </si>
  <si>
    <r>
      <t xml:space="preserve">Cáp chống cháy  1Cx16mm²
</t>
    </r>
    <r>
      <rPr>
        <i/>
        <sz val="10"/>
        <color indexed="12"/>
        <rFont val="Times New Roman"/>
        <family val="1"/>
      </rPr>
      <t xml:space="preserve">1Cx16mm² FR/Cu Cable </t>
    </r>
  </si>
  <si>
    <r>
      <t xml:space="preserve">Cáp chống cháy  1Cx10mm²
</t>
    </r>
    <r>
      <rPr>
        <i/>
        <sz val="10"/>
        <color indexed="12"/>
        <rFont val="Times New Roman"/>
        <family val="1"/>
      </rPr>
      <t>1Cx10mm² FR/Cu Cabl</t>
    </r>
    <r>
      <rPr>
        <i/>
        <sz val="10"/>
        <rFont val="Times New Roman"/>
        <family val="1"/>
      </rPr>
      <t xml:space="preserve">e </t>
    </r>
  </si>
  <si>
    <r>
      <t xml:space="preserve">Cáp chống cháy  1Cx6.0mm²
</t>
    </r>
    <r>
      <rPr>
        <i/>
        <sz val="10"/>
        <color indexed="12"/>
        <rFont val="Times New Roman"/>
        <family val="1"/>
      </rPr>
      <t>1Cx6.0mm² FR/Cu Cable</t>
    </r>
    <r>
      <rPr>
        <i/>
        <sz val="10"/>
        <rFont val="Times New Roman"/>
        <family val="1"/>
      </rPr>
      <t xml:space="preserve"> </t>
    </r>
  </si>
  <si>
    <r>
      <t xml:space="preserve">Cáp chống cháy  1Cx4.0mm²
</t>
    </r>
    <r>
      <rPr>
        <i/>
        <sz val="10"/>
        <color indexed="12"/>
        <rFont val="Times New Roman"/>
        <family val="1"/>
      </rPr>
      <t xml:space="preserve">1Cx4.0mm² FR/Cu Cable </t>
    </r>
  </si>
  <si>
    <r>
      <t>Cáp chống cháy  1Cx2.5mm²</t>
    </r>
    <r>
      <rPr>
        <sz val="10"/>
        <color indexed="12"/>
        <rFont val="Times New Roman"/>
        <family val="1"/>
      </rPr>
      <t xml:space="preserve">
</t>
    </r>
    <r>
      <rPr>
        <i/>
        <sz val="10"/>
        <color indexed="12"/>
        <rFont val="Times New Roman"/>
        <family val="1"/>
      </rPr>
      <t xml:space="preserve">1Cx2.5mm² FR/Cu Cable </t>
    </r>
  </si>
  <si>
    <r>
      <t xml:space="preserve">Cáp chống cháy  2Cx2.5mm²
</t>
    </r>
    <r>
      <rPr>
        <sz val="10"/>
        <color indexed="12"/>
        <rFont val="Times New Roman"/>
        <family val="1"/>
      </rPr>
      <t>2</t>
    </r>
    <r>
      <rPr>
        <i/>
        <sz val="10"/>
        <color indexed="12"/>
        <rFont val="Times New Roman"/>
        <family val="1"/>
      </rPr>
      <t xml:space="preserve">Cx2.5mm² FR/Cu Cable </t>
    </r>
  </si>
  <si>
    <r>
      <t xml:space="preserve">Cáp CU/PVC
</t>
    </r>
    <r>
      <rPr>
        <i/>
        <sz val="10"/>
        <color indexed="12"/>
        <rFont val="Times New Roman"/>
        <family val="1"/>
      </rPr>
      <t>CU/PVC Cable</t>
    </r>
  </si>
  <si>
    <r>
      <t xml:space="preserve">Cáp Cu/PVC 1Cx16.0mm²
</t>
    </r>
    <r>
      <rPr>
        <i/>
        <sz val="10"/>
        <color indexed="12"/>
        <rFont val="Times New Roman"/>
        <family val="1"/>
      </rPr>
      <t>1Cx16.0mm² Cu/ PVC Cable</t>
    </r>
  </si>
  <si>
    <r>
      <t xml:space="preserve">Cáp Cu/PVC 1Cx6.0mm²
</t>
    </r>
    <r>
      <rPr>
        <i/>
        <sz val="10"/>
        <color indexed="12"/>
        <rFont val="Times New Roman"/>
        <family val="1"/>
      </rPr>
      <t>1Cx6.0mm² Cu/ PVC Cable</t>
    </r>
  </si>
  <si>
    <r>
      <t xml:space="preserve">Cáp Cu/PVC 1Cx4.0mm²
</t>
    </r>
    <r>
      <rPr>
        <i/>
        <sz val="10"/>
        <color indexed="12"/>
        <rFont val="Times New Roman"/>
        <family val="1"/>
      </rPr>
      <t>1Cx4.0mm² Cu/ PVC Cable</t>
    </r>
  </si>
  <si>
    <r>
      <t xml:space="preserve">Cáp Cu/PVC 1Cx2.5mm²
</t>
    </r>
    <r>
      <rPr>
        <i/>
        <sz val="10"/>
        <color indexed="12"/>
        <rFont val="Times New Roman"/>
        <family val="1"/>
      </rPr>
      <t>1Cx2.5mm² Cu/ PVC Cable</t>
    </r>
  </si>
  <si>
    <r>
      <t xml:space="preserve">Cáp Cu/PVC 1Cx1.5mm²
</t>
    </r>
    <r>
      <rPr>
        <i/>
        <sz val="10"/>
        <color indexed="12"/>
        <rFont val="Times New Roman"/>
        <family val="1"/>
      </rPr>
      <t>1Cx1.5mm² Cu/ PVC Cable</t>
    </r>
  </si>
  <si>
    <r>
      <t xml:space="preserve">PE: Cáp Cu/PVC 1Cx240mm²
</t>
    </r>
    <r>
      <rPr>
        <i/>
        <sz val="10"/>
        <color indexed="12"/>
        <rFont val="Times New Roman"/>
        <family val="1"/>
      </rPr>
      <t>PE: 1Cx240mm² Cu/ PVC Cable</t>
    </r>
  </si>
  <si>
    <r>
      <t xml:space="preserve">PE: Cáp Cu/PVC 1Cx185mm²
</t>
    </r>
    <r>
      <rPr>
        <i/>
        <sz val="10"/>
        <color indexed="12"/>
        <rFont val="Times New Roman"/>
        <family val="1"/>
      </rPr>
      <t>PE: 1Cx185mm² Cu/ PVC Cable</t>
    </r>
  </si>
  <si>
    <r>
      <t xml:space="preserve">PE: Cáp Cu/PVC 1Cx120mm²
</t>
    </r>
    <r>
      <rPr>
        <i/>
        <sz val="10"/>
        <color indexed="12"/>
        <rFont val="Times New Roman"/>
        <family val="1"/>
      </rPr>
      <t>PE: 1Cx120mm² Cu/ PVC Cable</t>
    </r>
  </si>
  <si>
    <r>
      <t xml:space="preserve">PE: Cáp Cu/PVC 1Cx70mm²
</t>
    </r>
    <r>
      <rPr>
        <i/>
        <sz val="10"/>
        <color indexed="12"/>
        <rFont val="Times New Roman"/>
        <family val="1"/>
      </rPr>
      <t>PE: 1Cx70mm² Cu/ PVC Cable</t>
    </r>
  </si>
  <si>
    <r>
      <t xml:space="preserve">PE: Cáp Cu/PVC 1Cx50mm²
</t>
    </r>
    <r>
      <rPr>
        <i/>
        <sz val="10"/>
        <color indexed="12"/>
        <rFont val="Times New Roman"/>
        <family val="1"/>
      </rPr>
      <t>PE: 1Cx50mm² Cu/ PVC Cable</t>
    </r>
  </si>
  <si>
    <r>
      <t xml:space="preserve">PE: Cáp Cu/PVC 1Cx35mm²
</t>
    </r>
    <r>
      <rPr>
        <i/>
        <sz val="10"/>
        <color indexed="12"/>
        <rFont val="Times New Roman"/>
        <family val="1"/>
      </rPr>
      <t>PE: 1Cx35mm² Cu/ PVC Cable</t>
    </r>
  </si>
  <si>
    <r>
      <t xml:space="preserve">PE: Cáp Cu/PVC 1Cx25mm²
</t>
    </r>
    <r>
      <rPr>
        <i/>
        <sz val="10"/>
        <color indexed="12"/>
        <rFont val="Times New Roman"/>
        <family val="1"/>
      </rPr>
      <t>PE: 1Cx25mm² Cu/ PVC Cable</t>
    </r>
  </si>
  <si>
    <r>
      <t xml:space="preserve">PE: Cáp Cu/PVC 1Cx16mm²
</t>
    </r>
    <r>
      <rPr>
        <i/>
        <sz val="10"/>
        <color indexed="12"/>
        <rFont val="Times New Roman"/>
        <family val="1"/>
      </rPr>
      <t>PE: 1Cx16mm² Cu/ PVC Cable</t>
    </r>
  </si>
  <si>
    <r>
      <t xml:space="preserve">PE: Cáp Cu/PVC 1Cx10mm²
</t>
    </r>
    <r>
      <rPr>
        <i/>
        <sz val="10"/>
        <color indexed="12"/>
        <rFont val="Times New Roman"/>
        <family val="1"/>
      </rPr>
      <t>PE: 1Cx10mm² Cu/ PVC Cable</t>
    </r>
  </si>
  <si>
    <r>
      <t xml:space="preserve">PE: Cáp Cu/PVC 1Cx6.0mm²
</t>
    </r>
    <r>
      <rPr>
        <i/>
        <sz val="10"/>
        <color indexed="12"/>
        <rFont val="Times New Roman"/>
        <family val="1"/>
      </rPr>
      <t>PE: 1Cx6.0mm² Cu/ PVC Cable</t>
    </r>
  </si>
  <si>
    <r>
      <t xml:space="preserve">PE: Cáp Cu/PVC 1Cx4.0mm²
</t>
    </r>
    <r>
      <rPr>
        <i/>
        <sz val="10"/>
        <color indexed="12"/>
        <rFont val="Times New Roman"/>
        <family val="1"/>
      </rPr>
      <t>PE: 1Cx4.0mm² Cu/ PVC Cable</t>
    </r>
  </si>
  <si>
    <r>
      <t xml:space="preserve">PE: Cáp Cu/PVC 1Cx2.5mm²
</t>
    </r>
    <r>
      <rPr>
        <i/>
        <sz val="10"/>
        <color indexed="12"/>
        <rFont val="Times New Roman"/>
        <family val="1"/>
      </rPr>
      <t>PE: 1Cx2.5mm² Cu/ PVC Cable</t>
    </r>
  </si>
  <si>
    <r>
      <t xml:space="preserve">PE: Cáp Cu/PVC 1Cx1.5mm²
</t>
    </r>
    <r>
      <rPr>
        <i/>
        <sz val="10"/>
        <color indexed="12"/>
        <rFont val="Times New Roman"/>
        <family val="1"/>
      </rPr>
      <t>PE: 1Cx1.5mm² Cu/ PVC Cable</t>
    </r>
  </si>
  <si>
    <r>
      <t xml:space="preserve">Vật tư phụ…..
</t>
    </r>
    <r>
      <rPr>
        <i/>
        <sz val="10"/>
        <color indexed="12"/>
        <rFont val="Times New Roman"/>
        <family val="1"/>
      </rPr>
      <t>Accessories…..</t>
    </r>
  </si>
  <si>
    <t>b.4</t>
  </si>
  <si>
    <r>
      <t xml:space="preserve">Các thiết bị bảo vệ dây cáp điện
</t>
    </r>
    <r>
      <rPr>
        <b/>
        <i/>
        <sz val="10"/>
        <color indexed="12"/>
        <rFont val="Times New Roman"/>
        <family val="1"/>
      </rPr>
      <t xml:space="preserve">Equipments for cable protection </t>
    </r>
  </si>
  <si>
    <r>
      <t xml:space="preserve">Ống và các phụ kiện
</t>
    </r>
    <r>
      <rPr>
        <i/>
        <sz val="10"/>
        <color indexed="12"/>
        <rFont val="Times New Roman"/>
        <family val="1"/>
      </rPr>
      <t>Pipe &amp; fitting</t>
    </r>
  </si>
  <si>
    <r>
      <t xml:space="preserve">Ống PVC Ø 20
</t>
    </r>
    <r>
      <rPr>
        <i/>
        <sz val="10"/>
        <color indexed="12"/>
        <rFont val="Times New Roman"/>
        <family val="1"/>
      </rPr>
      <t>PVC  Pipe Ø 20</t>
    </r>
  </si>
  <si>
    <r>
      <t xml:space="preserve">Nối thẳng bằng PVC Ø 20
</t>
    </r>
    <r>
      <rPr>
        <i/>
        <sz val="10"/>
        <color indexed="12"/>
        <rFont val="Times New Roman"/>
        <family val="1"/>
      </rPr>
      <t>PVC  Straight coupler Ø 20</t>
    </r>
  </si>
  <si>
    <r>
      <t xml:space="preserve">Nối răng bằng PVC Ø 20
</t>
    </r>
    <r>
      <rPr>
        <i/>
        <sz val="10"/>
        <color indexed="12"/>
        <rFont val="Times New Roman"/>
        <family val="1"/>
      </rPr>
      <t>PVC  connector Ø 20</t>
    </r>
  </si>
  <si>
    <r>
      <t>Ống PVC Ø 25</t>
    </r>
    <r>
      <rPr>
        <i/>
        <sz val="10"/>
        <rFont val="Times New Roman"/>
        <family val="1"/>
      </rPr>
      <t xml:space="preserve">
</t>
    </r>
    <r>
      <rPr>
        <i/>
        <sz val="10"/>
        <color indexed="12"/>
        <rFont val="Times New Roman"/>
        <family val="1"/>
      </rPr>
      <t>PVC  Pipe Ø 25</t>
    </r>
  </si>
  <si>
    <r>
      <t xml:space="preserve">Nối thẳng bằng PVC Ø 25
</t>
    </r>
    <r>
      <rPr>
        <i/>
        <sz val="10"/>
        <color indexed="12"/>
        <rFont val="Times New Roman"/>
        <family val="1"/>
      </rPr>
      <t>PVC  Straight coupler Ø 25</t>
    </r>
  </si>
  <si>
    <r>
      <t xml:space="preserve">Nối răng bằng PVC Ø 25
</t>
    </r>
    <r>
      <rPr>
        <i/>
        <sz val="10"/>
        <color indexed="12"/>
        <rFont val="Times New Roman"/>
        <family val="1"/>
      </rPr>
      <t>PVC  connector Ø 25</t>
    </r>
  </si>
  <si>
    <r>
      <t xml:space="preserve">Ống PVC Ø 32
</t>
    </r>
    <r>
      <rPr>
        <i/>
        <sz val="10"/>
        <color indexed="12"/>
        <rFont val="Times New Roman"/>
        <family val="1"/>
      </rPr>
      <t>PVC  Pipe Ø 32</t>
    </r>
  </si>
  <si>
    <r>
      <t xml:space="preserve">Nối thẳng bằng PVC Ø 32
</t>
    </r>
    <r>
      <rPr>
        <i/>
        <sz val="10"/>
        <color indexed="12"/>
        <rFont val="Times New Roman"/>
        <family val="1"/>
      </rPr>
      <t>PVC  Straight coupler Ø 32</t>
    </r>
  </si>
  <si>
    <r>
      <t xml:space="preserve">Nối răng bằng PVC Ø 32
</t>
    </r>
    <r>
      <rPr>
        <i/>
        <sz val="10"/>
        <color indexed="12"/>
        <rFont val="Times New Roman"/>
        <family val="1"/>
      </rPr>
      <t>PVC  connector Ø 32</t>
    </r>
  </si>
  <si>
    <r>
      <t xml:space="preserve">Ống PVC Ø 40
</t>
    </r>
    <r>
      <rPr>
        <i/>
        <sz val="10"/>
        <color indexed="12"/>
        <rFont val="Times New Roman"/>
        <family val="1"/>
      </rPr>
      <t>PVC  Pipe Ø 40</t>
    </r>
  </si>
  <si>
    <r>
      <t xml:space="preserve">Nối thẳng bằng PVC Ø 40
</t>
    </r>
    <r>
      <rPr>
        <i/>
        <sz val="10"/>
        <color indexed="12"/>
        <rFont val="Times New Roman"/>
        <family val="1"/>
      </rPr>
      <t>PVC  Straight coupler Ø 40</t>
    </r>
  </si>
  <si>
    <r>
      <t xml:space="preserve">Nối răng bằng PVC Ø 40
</t>
    </r>
    <r>
      <rPr>
        <i/>
        <sz val="10"/>
        <color indexed="12"/>
        <rFont val="Times New Roman"/>
        <family val="1"/>
      </rPr>
      <t>PVC  connector Ø 40</t>
    </r>
  </si>
  <si>
    <r>
      <t xml:space="preserve">Ống GI các loại
</t>
    </r>
    <r>
      <rPr>
        <i/>
        <sz val="10"/>
        <color indexed="12"/>
        <rFont val="Times New Roman"/>
        <family val="1"/>
      </rPr>
      <t>GI conduit of all kinds</t>
    </r>
  </si>
  <si>
    <r>
      <t xml:space="preserve">Khay/ Máng  cáp - ngoài nhà
</t>
    </r>
    <r>
      <rPr>
        <i/>
        <sz val="10"/>
        <color indexed="12"/>
        <rFont val="Times New Roman"/>
        <family val="1"/>
      </rPr>
      <t>Cable ladder/ Cable tray -outside the house</t>
    </r>
  </si>
  <si>
    <r>
      <t xml:space="preserve">Khay cáp 600Wx100H
</t>
    </r>
    <r>
      <rPr>
        <i/>
        <sz val="10"/>
        <color indexed="12"/>
        <rFont val="Times New Roman"/>
        <family val="1"/>
      </rPr>
      <t>Cable tray  600Wx100H</t>
    </r>
  </si>
  <si>
    <r>
      <t xml:space="preserve">Khay cáp 300Wx100H
</t>
    </r>
    <r>
      <rPr>
        <i/>
        <sz val="10"/>
        <color indexed="12"/>
        <rFont val="Times New Roman"/>
        <family val="1"/>
      </rPr>
      <t>Cable tray  300Wx100H</t>
    </r>
  </si>
  <si>
    <r>
      <t xml:space="preserve">Thang cáp 100Wx100H
</t>
    </r>
    <r>
      <rPr>
        <i/>
        <sz val="10"/>
        <color indexed="12"/>
        <rFont val="Times New Roman"/>
        <family val="1"/>
      </rPr>
      <t>Cable ladder  100Wx100H</t>
    </r>
  </si>
  <si>
    <r>
      <t xml:space="preserve">Khay/ Máng  cáp - trong nhà
</t>
    </r>
    <r>
      <rPr>
        <i/>
        <sz val="10"/>
        <color indexed="12"/>
        <rFont val="Times New Roman"/>
        <family val="1"/>
      </rPr>
      <t>Cable ladder/ Cable tray-  in the home</t>
    </r>
  </si>
  <si>
    <r>
      <t xml:space="preserve">Thang cáp 1200Wx100H
</t>
    </r>
    <r>
      <rPr>
        <i/>
        <sz val="10"/>
        <color indexed="12"/>
        <rFont val="Times New Roman"/>
        <family val="1"/>
      </rPr>
      <t>Cable ladder 1200Wx100H</t>
    </r>
  </si>
  <si>
    <r>
      <t xml:space="preserve">Thang cáp : 600Wx100H
</t>
    </r>
    <r>
      <rPr>
        <i/>
        <sz val="10"/>
        <color indexed="12"/>
        <rFont val="Times New Roman"/>
        <family val="1"/>
      </rPr>
      <t>Cable Ladder 600Wx100H</t>
    </r>
  </si>
  <si>
    <r>
      <t xml:space="preserve">Thang cáp : 300Wx100H
</t>
    </r>
    <r>
      <rPr>
        <i/>
        <sz val="10"/>
        <color indexed="12"/>
        <rFont val="Times New Roman"/>
        <family val="1"/>
      </rPr>
      <t>Cable Ladder 300Wx100H</t>
    </r>
  </si>
  <si>
    <r>
      <t xml:space="preserve">Thang cáp : 200Wx100H
</t>
    </r>
    <r>
      <rPr>
        <i/>
        <sz val="10"/>
        <color indexed="12"/>
        <rFont val="Times New Roman"/>
        <family val="1"/>
      </rPr>
      <t>Cable Ladder 200Wx100H</t>
    </r>
  </si>
  <si>
    <r>
      <t xml:space="preserve">Thang cáp : 150Wx100H
</t>
    </r>
    <r>
      <rPr>
        <i/>
        <sz val="10"/>
        <color indexed="12"/>
        <rFont val="Times New Roman"/>
        <family val="1"/>
      </rPr>
      <t>Cable Ladder 150Wx100H</t>
    </r>
  </si>
  <si>
    <r>
      <t xml:space="preserve">Khay cáp 500Wx100H
</t>
    </r>
    <r>
      <rPr>
        <i/>
        <sz val="10"/>
        <color indexed="12"/>
        <rFont val="Times New Roman"/>
        <family val="1"/>
      </rPr>
      <t>Cable tray  500Wx100H</t>
    </r>
  </si>
  <si>
    <r>
      <t xml:space="preserve">Khay cáp 400Wx100H
</t>
    </r>
    <r>
      <rPr>
        <i/>
        <sz val="10"/>
        <color indexed="12"/>
        <rFont val="Times New Roman"/>
        <family val="1"/>
      </rPr>
      <t>Cable tray  400Wx100H</t>
    </r>
  </si>
  <si>
    <r>
      <t xml:space="preserve">Khay cáp 100Wx100H
</t>
    </r>
    <r>
      <rPr>
        <i/>
        <sz val="10"/>
        <color indexed="12"/>
        <rFont val="Times New Roman"/>
        <family val="1"/>
      </rPr>
      <t>Cable tray  100Wx100H</t>
    </r>
  </si>
  <si>
    <r>
      <t xml:space="preserve">Phụ kiện cho thang máng cáp...
</t>
    </r>
    <r>
      <rPr>
        <i/>
        <sz val="10"/>
        <color indexed="12"/>
        <rFont val="Times New Roman"/>
        <family val="1"/>
      </rPr>
      <t>Fitting for cable tray &amp; Cable ladder….</t>
    </r>
  </si>
  <si>
    <r>
      <t xml:space="preserve">Các giá đở bằng kim loại cho thang và máng cáp
</t>
    </r>
    <r>
      <rPr>
        <i/>
        <sz val="10"/>
        <color indexed="12"/>
        <rFont val="Times New Roman"/>
        <family val="1"/>
      </rPr>
      <t>Hard metal for cable trunking</t>
    </r>
  </si>
  <si>
    <r>
      <t xml:space="preserve">Thép V mạ kẽm 40 x 4mm
</t>
    </r>
    <r>
      <rPr>
        <i/>
        <sz val="10"/>
        <color indexed="12"/>
        <rFont val="Times New Roman"/>
        <family val="1"/>
      </rPr>
      <t>V-steel 40 x 4mm</t>
    </r>
  </si>
  <si>
    <r>
      <t xml:space="preserve">Phụ kiện: Ty treo Ø 10mm , Tắc kê đạn D10mm, bu lông tán ...
</t>
    </r>
    <r>
      <rPr>
        <i/>
        <sz val="10"/>
        <color indexed="12"/>
        <rFont val="Times New Roman"/>
        <family val="1"/>
      </rPr>
      <t>Accessories...</t>
    </r>
  </si>
  <si>
    <r>
      <t xml:space="preserve">Vật liệu chống cháy cho hộp kỹ thuật...
</t>
    </r>
    <r>
      <rPr>
        <i/>
        <sz val="10"/>
        <color indexed="12"/>
        <rFont val="Times New Roman"/>
        <family val="1"/>
      </rPr>
      <t>Fire proof material for technical riser….</t>
    </r>
  </si>
  <si>
    <t>b.5</t>
  </si>
  <si>
    <r>
      <t xml:space="preserve">Hệ thống chống sét &amp; hệ thống nối đất
</t>
    </r>
    <r>
      <rPr>
        <b/>
        <i/>
        <sz val="10"/>
        <color indexed="12"/>
        <rFont val="Times New Roman"/>
        <family val="1"/>
      </rPr>
      <t>Lightning protection system &amp; grounding system</t>
    </r>
  </si>
  <si>
    <r>
      <t xml:space="preserve">Lightning protection system
</t>
    </r>
    <r>
      <rPr>
        <i/>
        <sz val="10"/>
        <color indexed="12"/>
        <rFont val="Times New Roman"/>
        <family val="1"/>
      </rPr>
      <t>Hệ thống chống sét</t>
    </r>
  </si>
  <si>
    <r>
      <t xml:space="preserve">Kim  thu sét tia tiên đạo, bán kính bảo vệ 97m, cao 5m
</t>
    </r>
    <r>
      <rPr>
        <i/>
        <sz val="10"/>
        <color indexed="12"/>
        <rFont val="Times New Roman"/>
        <family val="1"/>
      </rPr>
      <t>Ese Air Terminal, Protection Radius Rp=97m, H=5m</t>
    </r>
  </si>
  <si>
    <r>
      <t xml:space="preserve">Bộ đếm sét
</t>
    </r>
    <r>
      <rPr>
        <i/>
        <sz val="10"/>
        <color indexed="12"/>
        <rFont val="Times New Roman"/>
        <family val="1"/>
      </rPr>
      <t>Lightning-flash counter</t>
    </r>
  </si>
  <si>
    <r>
      <t xml:space="preserve">Ống thép không gỉ (Ø34, L=5m)
</t>
    </r>
    <r>
      <rPr>
        <i/>
        <sz val="10"/>
        <color indexed="12"/>
        <rFont val="Times New Roman"/>
        <family val="1"/>
      </rPr>
      <t>Stainless steel mast (Ø34, L=5m)</t>
    </r>
  </si>
  <si>
    <r>
      <t xml:space="preserve">cây
</t>
    </r>
    <r>
      <rPr>
        <i/>
        <sz val="10"/>
        <color indexed="12"/>
        <rFont val="Times New Roman"/>
        <family val="1"/>
      </rPr>
      <t>pcs</t>
    </r>
  </si>
  <si>
    <r>
      <t xml:space="preserve">Đế bằng thép không gỉ, WxDxH :400x400x12
</t>
    </r>
    <r>
      <rPr>
        <i/>
        <sz val="10"/>
        <color indexed="12"/>
        <rFont val="Times New Roman"/>
        <family val="1"/>
      </rPr>
      <t>Stainless steel base plate, WxDxH :400x400x12</t>
    </r>
  </si>
  <si>
    <r>
      <t xml:space="preserve">Dây cáp thép Ø6
</t>
    </r>
    <r>
      <rPr>
        <i/>
        <sz val="10"/>
        <color indexed="12"/>
        <rFont val="Times New Roman"/>
        <family val="1"/>
      </rPr>
      <t>Guy cable - steel cable Ø6</t>
    </r>
  </si>
  <si>
    <r>
      <t xml:space="preserve">Móc neo bằng thép không gỉ
</t>
    </r>
    <r>
      <rPr>
        <i/>
        <sz val="10"/>
        <color indexed="12"/>
        <rFont val="Times New Roman"/>
        <family val="1"/>
      </rPr>
      <t>Guy crampon  stailess steel</t>
    </r>
  </si>
  <si>
    <r>
      <t xml:space="preserve">Hộp tiếp địa chịu tải nặng
</t>
    </r>
    <r>
      <rPr>
        <i/>
        <sz val="10"/>
        <color indexed="12"/>
        <rFont val="Times New Roman"/>
        <family val="1"/>
      </rPr>
      <t>Earth chamber heavy duty glass</t>
    </r>
  </si>
  <si>
    <r>
      <t xml:space="preserve">Cọc tiếp địa D=16, L=2.4m
</t>
    </r>
    <r>
      <rPr>
        <i/>
        <sz val="10"/>
        <color indexed="12"/>
        <rFont val="Times New Roman"/>
        <family val="1"/>
      </rPr>
      <t>Earthing rod D=16, L=2.4m</t>
    </r>
  </si>
  <si>
    <r>
      <t xml:space="preserve">Mối hàn hóa nhiệt
</t>
    </r>
    <r>
      <rPr>
        <i/>
        <sz val="10"/>
        <color indexed="12"/>
        <rFont val="Times New Roman"/>
        <family val="1"/>
      </rPr>
      <t>Cadweld</t>
    </r>
  </si>
  <si>
    <r>
      <t xml:space="preserve">mối hàn
</t>
    </r>
    <r>
      <rPr>
        <i/>
        <sz val="10"/>
        <color indexed="12"/>
        <rFont val="Times New Roman"/>
        <family val="1"/>
      </rPr>
      <t>point</t>
    </r>
  </si>
  <si>
    <r>
      <t xml:space="preserve">Thanh  nối đất
</t>
    </r>
    <r>
      <rPr>
        <i/>
        <sz val="10"/>
        <color indexed="12"/>
        <rFont val="Times New Roman"/>
        <family val="1"/>
      </rPr>
      <t>Earthing bus  bar</t>
    </r>
  </si>
  <si>
    <r>
      <t xml:space="preserve">Kẹp băng đồng
</t>
    </r>
    <r>
      <rPr>
        <i/>
        <sz val="10"/>
        <color indexed="12"/>
        <rFont val="Times New Roman"/>
        <family val="1"/>
      </rPr>
      <t>Conductor clip</t>
    </r>
  </si>
  <si>
    <r>
      <t xml:space="preserve">Cáp đồng trần 1Cx70mm²
</t>
    </r>
    <r>
      <rPr>
        <i/>
        <sz val="10"/>
        <color indexed="12"/>
        <rFont val="Times New Roman"/>
        <family val="1"/>
      </rPr>
      <t>Bare copper cable 1Cx70mm²</t>
    </r>
  </si>
  <si>
    <r>
      <t xml:space="preserve">Phụ kiện…..
</t>
    </r>
    <r>
      <rPr>
        <i/>
        <sz val="10"/>
        <color indexed="12"/>
        <rFont val="Times New Roman"/>
        <family val="1"/>
      </rPr>
      <t>Accessories….</t>
    </r>
  </si>
  <si>
    <r>
      <t xml:space="preserve">Hệ thống nối đất </t>
    </r>
    <r>
      <rPr>
        <i/>
        <sz val="10"/>
        <rFont val="Times New Roman"/>
        <family val="1"/>
      </rPr>
      <t xml:space="preserve">
</t>
    </r>
    <r>
      <rPr>
        <i/>
        <sz val="10"/>
        <color indexed="12"/>
        <rFont val="Times New Roman"/>
        <family val="1"/>
      </rPr>
      <t xml:space="preserve">Grounding system </t>
    </r>
  </si>
  <si>
    <r>
      <t xml:space="preserve">Cáp Cu/PVC 1Cx70mm²
</t>
    </r>
    <r>
      <rPr>
        <i/>
        <sz val="10"/>
        <color indexed="12"/>
        <rFont val="Times New Roman"/>
        <family val="1"/>
      </rPr>
      <t>1Cx70mm² Cu/ PVC Cable</t>
    </r>
  </si>
  <si>
    <r>
      <t xml:space="preserve">Cáp Cu/PVC 1Cx185mm²
</t>
    </r>
    <r>
      <rPr>
        <i/>
        <sz val="10"/>
        <color indexed="12"/>
        <rFont val="Times New Roman"/>
        <family val="1"/>
      </rPr>
      <t>1Cx185mm² Cu/ PVC Cable</t>
    </r>
  </si>
  <si>
    <r>
      <t xml:space="preserve">Cáp Cu/PVC 1Cx240mm²
</t>
    </r>
    <r>
      <rPr>
        <i/>
        <sz val="10"/>
        <color indexed="12"/>
        <rFont val="Times New Roman"/>
        <family val="1"/>
      </rPr>
      <t>1Cx240mm² Cu/ PVC Cable</t>
    </r>
  </si>
  <si>
    <r>
      <t xml:space="preserve">Cáp Cu/PVC 1Cx120mm²
</t>
    </r>
    <r>
      <rPr>
        <i/>
        <sz val="10"/>
        <color indexed="12"/>
        <rFont val="Times New Roman"/>
        <family val="1"/>
      </rPr>
      <t>1Cx120mm² Cu/ PVC Cable</t>
    </r>
  </si>
  <si>
    <r>
      <t xml:space="preserve">Thanh nối đất chính 750mm*50mm*12mm ( đặt trong phòng MBA)
</t>
    </r>
    <r>
      <rPr>
        <i/>
        <sz val="10"/>
        <color indexed="12"/>
        <rFont val="Times New Roman"/>
        <family val="1"/>
      </rPr>
      <t>750mm*50mm*12mm HDHC main cpper earth bar (Located at transformer room)</t>
    </r>
  </si>
  <si>
    <r>
      <t xml:space="preserve">Thanh nối đất chính 500mm*50mm*6mm ( Đặt trong phòng FCC)
</t>
    </r>
    <r>
      <rPr>
        <i/>
        <sz val="10"/>
        <color indexed="12"/>
        <rFont val="Times New Roman"/>
        <family val="1"/>
      </rPr>
      <t>500m*50mm*6mm HDHC Main Copper earth bar ( located at FCC room</t>
    </r>
    <r>
      <rPr>
        <i/>
        <sz val="10"/>
        <rFont val="Times New Roman"/>
        <family val="1"/>
      </rPr>
      <t>)</t>
    </r>
  </si>
  <si>
    <r>
      <t xml:space="preserve">Vật tư phụ…..
</t>
    </r>
    <r>
      <rPr>
        <i/>
        <sz val="10"/>
        <color indexed="12"/>
        <rFont val="Times New Roman"/>
        <family val="1"/>
      </rPr>
      <t>Accessories...</t>
    </r>
  </si>
  <si>
    <t>c</t>
  </si>
  <si>
    <r>
      <t xml:space="preserve">Hệ thống điện nhẹ
</t>
    </r>
    <r>
      <rPr>
        <b/>
        <i/>
        <sz val="10"/>
        <color indexed="12"/>
        <rFont val="Times New Roman"/>
        <family val="1"/>
      </rPr>
      <t>ELV system</t>
    </r>
  </si>
  <si>
    <t>c.1</t>
  </si>
  <si>
    <r>
      <t>Hệ thống dữ liệu,  đồng hồ PoE</t>
    </r>
    <r>
      <rPr>
        <b/>
        <i/>
        <sz val="10"/>
        <rFont val="Times New Roman"/>
        <family val="1"/>
      </rPr>
      <t xml:space="preserve">
</t>
    </r>
    <r>
      <rPr>
        <b/>
        <i/>
        <sz val="10"/>
        <color indexed="12"/>
        <rFont val="Times New Roman"/>
        <family val="1"/>
      </rPr>
      <t xml:space="preserve">Data system , PoE clock system </t>
    </r>
  </si>
  <si>
    <r>
      <t xml:space="preserve">Tủ rack 42U bao gồm :
</t>
    </r>
    <r>
      <rPr>
        <i/>
        <sz val="10"/>
        <color indexed="12"/>
        <rFont val="Times New Roman"/>
        <family val="1"/>
      </rPr>
      <t>Rack panel 42U icluding</t>
    </r>
  </si>
  <si>
    <r>
      <t xml:space="preserve">Tủ rack 42U-Main ELV
</t>
    </r>
    <r>
      <rPr>
        <i/>
        <sz val="10"/>
        <color indexed="12"/>
        <rFont val="Times New Roman"/>
        <family val="1"/>
      </rPr>
      <t>Main Rack panel 42U</t>
    </r>
  </si>
  <si>
    <r>
      <t xml:space="preserve">Hộp phối quang ODF 64FO bao gồm các phụ kiện
</t>
    </r>
    <r>
      <rPr>
        <i/>
        <sz val="10"/>
        <color indexed="12"/>
        <rFont val="Times New Roman"/>
        <family val="1"/>
      </rPr>
      <t>ODF 64FO c/w full accessories</t>
    </r>
  </si>
  <si>
    <r>
      <t xml:space="preserve">Switch 24 cổng SFP+
</t>
    </r>
    <r>
      <rPr>
        <i/>
        <sz val="10"/>
        <color indexed="12"/>
        <rFont val="Times New Roman"/>
        <family val="1"/>
      </rPr>
      <t>Switch 24 ports SFP+</t>
    </r>
  </si>
  <si>
    <r>
      <t xml:space="preserve">Bộ điều khiển wifi
</t>
    </r>
    <r>
      <rPr>
        <i/>
        <sz val="10"/>
        <color indexed="12"/>
        <rFont val="Times New Roman"/>
        <family val="1"/>
      </rPr>
      <t>Wifi-controller</t>
    </r>
  </si>
  <si>
    <t>Switch 48 ports RJ45(PoE)+4 ports SFP+ ( DATA)</t>
  </si>
  <si>
    <t xml:space="preserve">Switch 48 ports RJ45(PoE)+2 ports SFP (CCTV+PoE Clock) </t>
  </si>
  <si>
    <t>NVR 32 channel (16Sata,raid 5,5xHDD 4TB/1NVR) (CCTV)</t>
  </si>
  <si>
    <r>
      <t xml:space="preserve">thuộc hệ thống camera
</t>
    </r>
    <r>
      <rPr>
        <i/>
        <sz val="10"/>
        <color indexed="12"/>
        <rFont val="Times New Roman"/>
        <family val="1"/>
      </rPr>
      <t>Belong camera system</t>
    </r>
  </si>
  <si>
    <r>
      <t xml:space="preserve">1x bảng cắm 48 ports
</t>
    </r>
    <r>
      <rPr>
        <i/>
        <sz val="10"/>
        <color indexed="12"/>
        <rFont val="Times New Roman"/>
        <family val="1"/>
      </rPr>
      <t>1x Patch panel 48 ports</t>
    </r>
  </si>
  <si>
    <r>
      <t xml:space="preserve">Thanh quản lý cáp
</t>
    </r>
    <r>
      <rPr>
        <i/>
        <sz val="10"/>
        <color indexed="12"/>
        <rFont val="Times New Roman"/>
        <family val="1"/>
      </rPr>
      <t>Cable management</t>
    </r>
  </si>
  <si>
    <r>
      <t xml:space="preserve">Thanh phân phối điện 
</t>
    </r>
    <r>
      <rPr>
        <i/>
        <sz val="10"/>
        <color indexed="12"/>
        <rFont val="Times New Roman"/>
        <family val="1"/>
      </rPr>
      <t xml:space="preserve">01 x PDUs </t>
    </r>
  </si>
  <si>
    <r>
      <t xml:space="preserve">Bộ lưu điện (15 phút)
</t>
    </r>
    <r>
      <rPr>
        <i/>
        <sz val="10"/>
        <color indexed="12"/>
        <rFont val="Times New Roman"/>
        <family val="1"/>
      </rPr>
      <t xml:space="preserve">01 x UPS ( Backup 15 min) </t>
    </r>
  </si>
  <si>
    <r>
      <t xml:space="preserve">Phụ kiện đấu nối và các phụ kiện khác….
</t>
    </r>
    <r>
      <rPr>
        <i/>
        <sz val="10"/>
        <color indexed="12"/>
        <rFont val="Times New Roman"/>
        <family val="1"/>
      </rPr>
      <t>Accessories...</t>
    </r>
  </si>
  <si>
    <r>
      <t xml:space="preserve">Tủ rack 27U bao gồm GF :
</t>
    </r>
    <r>
      <rPr>
        <i/>
        <sz val="10"/>
        <color indexed="12"/>
        <rFont val="Times New Roman"/>
        <family val="1"/>
      </rPr>
      <t>Rack panel 27U including</t>
    </r>
  </si>
  <si>
    <r>
      <t xml:space="preserve">Tủ rack 27U-Rack-GF
</t>
    </r>
    <r>
      <rPr>
        <i/>
        <sz val="10"/>
        <color indexed="12"/>
        <rFont val="Times New Roman"/>
        <family val="1"/>
      </rPr>
      <t>Main Rack panel 27U-GF</t>
    </r>
  </si>
  <si>
    <r>
      <t xml:space="preserve">Hộp phối quang ODF 16FO bao gồm các phụ kiện
</t>
    </r>
    <r>
      <rPr>
        <i/>
        <sz val="10"/>
        <color indexed="12"/>
        <rFont val="Times New Roman"/>
        <family val="1"/>
      </rPr>
      <t>ODF 16FO c/w full accessories</t>
    </r>
  </si>
  <si>
    <r>
      <t>Switch 48 cổng  RJ45  PoE+4 Ports SFP+ (Data)</t>
    </r>
    <r>
      <rPr>
        <sz val="10"/>
        <color indexed="12"/>
        <rFont val="Times New Roman"/>
        <family val="1"/>
      </rPr>
      <t xml:space="preserve">
</t>
    </r>
    <r>
      <rPr>
        <i/>
        <sz val="10"/>
        <color indexed="12"/>
        <rFont val="Times New Roman"/>
        <family val="1"/>
      </rPr>
      <t>Switch 48 ports RJ45 PoE +4 Ports SFP+ (Data)</t>
    </r>
  </si>
  <si>
    <r>
      <t xml:space="preserve">Switch 48 cổng  RJ45  PoE +4 Ports SFP+ ( CCTV+ Poe clock)
</t>
    </r>
    <r>
      <rPr>
        <i/>
        <sz val="10"/>
        <color indexed="12"/>
        <rFont val="Times New Roman"/>
        <family val="1"/>
      </rPr>
      <t>Switch 48 ports RJ45  PoE +4 Ports SFP+ ( CCTV+ Poe clock)</t>
    </r>
  </si>
  <si>
    <r>
      <t xml:space="preserve">Tủ rack 27U bao gồm : 
</t>
    </r>
    <r>
      <rPr>
        <i/>
        <sz val="10"/>
        <color indexed="12"/>
        <rFont val="Times New Roman"/>
        <family val="1"/>
      </rPr>
      <t>Rack panel 27U including</t>
    </r>
  </si>
  <si>
    <r>
      <t xml:space="preserve">Tủ rack 27U-Rack-2F
</t>
    </r>
    <r>
      <rPr>
        <i/>
        <sz val="10"/>
        <color indexed="12"/>
        <rFont val="Times New Roman"/>
        <family val="1"/>
      </rPr>
      <t>Main Rack panel 27U</t>
    </r>
  </si>
  <si>
    <r>
      <rPr>
        <sz val="10"/>
        <color rgb="FF000000"/>
        <rFont val="Times New Roman"/>
      </rPr>
      <t xml:space="preserve">Switch 48 cổng  RJ45  PoE+4 Ports SFP+ (Data)
</t>
    </r>
    <r>
      <rPr>
        <i/>
        <sz val="10"/>
        <color rgb="FF0000FF"/>
        <rFont val="Times New Roman"/>
      </rPr>
      <t>Switch 48 ports RJ45 PoE +4 Ports SFP+ (Data)</t>
    </r>
  </si>
  <si>
    <r>
      <t xml:space="preserve">Switch 24 cổng  RJ45  PoE +2 Ports SFP+ ( CCTV+ Poe clock)
</t>
    </r>
    <r>
      <rPr>
        <i/>
        <sz val="10"/>
        <color indexed="12"/>
        <rFont val="Times New Roman"/>
        <family val="1"/>
      </rPr>
      <t>Switch  24 ports RJ45  PoE +2 Ports SFP+ ( CCTV+ Poe cloc</t>
    </r>
    <r>
      <rPr>
        <i/>
        <sz val="10"/>
        <rFont val="Times New Roman"/>
        <family val="1"/>
      </rPr>
      <t>k)</t>
    </r>
  </si>
  <si>
    <r>
      <t xml:space="preserve">1x bảng cắm 24 ports
</t>
    </r>
    <r>
      <rPr>
        <i/>
        <sz val="10"/>
        <color indexed="12"/>
        <rFont val="Times New Roman"/>
        <family val="1"/>
      </rPr>
      <t>1x Patch panel 24 ports</t>
    </r>
  </si>
  <si>
    <r>
      <t xml:space="preserve">Phụ kiện đấu nối và các phụ kiện khác…..
</t>
    </r>
    <r>
      <rPr>
        <i/>
        <sz val="10"/>
        <color indexed="12"/>
        <rFont val="Times New Roman"/>
        <family val="1"/>
      </rPr>
      <t>Accessories….</t>
    </r>
  </si>
  <si>
    <r>
      <t xml:space="preserve">Tủ rack 36U bao gồm :
</t>
    </r>
    <r>
      <rPr>
        <i/>
        <sz val="10"/>
        <color indexed="12"/>
        <rFont val="Times New Roman"/>
        <family val="1"/>
      </rPr>
      <t>Rack panel 336U including</t>
    </r>
  </si>
  <si>
    <t>lot</t>
  </si>
  <si>
    <r>
      <t xml:space="preserve">Tủ rack 36U-Rack-3F
</t>
    </r>
    <r>
      <rPr>
        <i/>
        <sz val="10"/>
        <color indexed="12"/>
        <rFont val="Times New Roman"/>
        <family val="1"/>
      </rPr>
      <t>Main Rack panel 36U</t>
    </r>
  </si>
  <si>
    <r>
      <t xml:space="preserve">Switch 48 cổng  RJ45  PoE +2 Ports SFP+ ( CCTV+ Poe clock)
</t>
    </r>
    <r>
      <rPr>
        <i/>
        <sz val="10"/>
        <color indexed="12"/>
        <rFont val="Times New Roman"/>
        <family val="1"/>
      </rPr>
      <t>Switch 48 ports RJ45  PoE +2 Ports SFP+ ( CCTV+ Poe clock)</t>
    </r>
  </si>
  <si>
    <r>
      <t xml:space="preserve">Phụ kiện đấu nối và các phụ kiện khác….
</t>
    </r>
    <r>
      <rPr>
        <i/>
        <sz val="10"/>
        <color indexed="12"/>
        <rFont val="Times New Roman"/>
        <family val="1"/>
      </rPr>
      <t>Accessories….</t>
    </r>
  </si>
  <si>
    <r>
      <t xml:space="preserve">Tủ rack 36U bao gồm :
</t>
    </r>
    <r>
      <rPr>
        <i/>
        <sz val="10"/>
        <color indexed="12"/>
        <rFont val="Times New Roman"/>
        <family val="1"/>
      </rPr>
      <t>Rack panel 36U including</t>
    </r>
  </si>
  <si>
    <r>
      <t xml:space="preserve">Tủ rack 36U-Rack-4F
</t>
    </r>
    <r>
      <rPr>
        <i/>
        <sz val="10"/>
        <color indexed="12"/>
        <rFont val="Times New Roman"/>
        <family val="1"/>
      </rPr>
      <t>Main Rack panel 36U</t>
    </r>
  </si>
  <si>
    <r>
      <t xml:space="preserve">Switch 48 cổng  RJ45  PoE+4 Ports SFP+ (Data)
</t>
    </r>
    <r>
      <rPr>
        <i/>
        <sz val="10"/>
        <color indexed="12"/>
        <rFont val="Times New Roman"/>
        <family val="1"/>
      </rPr>
      <t>Switch 48 ports RJ45 PoE +4 Ports SFP+ (Data)</t>
    </r>
  </si>
  <si>
    <r>
      <t xml:space="preserve"> Ổ cắm mạng đôi ( 2 cổng j45/1 mặt nạ)
</t>
    </r>
    <r>
      <rPr>
        <i/>
        <sz val="10"/>
        <color indexed="12"/>
        <rFont val="Times New Roman"/>
        <family val="1"/>
      </rPr>
      <t>Single data outlet ( 2 node Rj45/1 Plate</t>
    </r>
  </si>
  <si>
    <r>
      <t xml:space="preserve">Ổ cắm mạng đôi âm sàn ( 2 cổng j45/1 mặt nạ) 
</t>
    </r>
    <r>
      <rPr>
        <i/>
        <sz val="10"/>
        <color indexed="12"/>
        <rFont val="Times New Roman"/>
        <family val="1"/>
      </rPr>
      <t>Floor double data outlet ( 2 node Rj45/1 Plate</t>
    </r>
  </si>
  <si>
    <r>
      <t xml:space="preserve">Bộ phát Wifi Cisco meraki MR36
</t>
    </r>
    <r>
      <rPr>
        <i/>
        <sz val="10"/>
        <color indexed="12"/>
        <rFont val="Times New Roman"/>
        <family val="1"/>
      </rPr>
      <t>Wifi ( Cisco meraki MR36)</t>
    </r>
  </si>
  <si>
    <r>
      <t xml:space="preserve">Bộ phát Wifi Cisco meraki MR56
</t>
    </r>
    <r>
      <rPr>
        <i/>
        <sz val="10"/>
        <color indexed="12"/>
        <rFont val="Times New Roman"/>
        <family val="1"/>
      </rPr>
      <t>Wifi ( Cisco meraki MR56)</t>
    </r>
  </si>
  <si>
    <r>
      <t xml:space="preserve">Bộ phát Wifi Cisco meraki MR86
</t>
    </r>
    <r>
      <rPr>
        <i/>
        <sz val="10"/>
        <color indexed="12"/>
        <rFont val="Times New Roman"/>
        <family val="1"/>
      </rPr>
      <t>Wifi ( Cisco meraki MR86)</t>
    </r>
  </si>
  <si>
    <r>
      <t xml:space="preserve">Đồng hồ IP POE
</t>
    </r>
    <r>
      <rPr>
        <i/>
        <sz val="10"/>
        <color indexed="12"/>
        <rFont val="Times New Roman"/>
        <family val="1"/>
      </rPr>
      <t xml:space="preserve"> IP POE clocks</t>
    </r>
  </si>
  <si>
    <r>
      <t xml:space="preserve">Máy vi tính Core i7 + màn hình  + software bản quyền: cho ht Poe clock
</t>
    </r>
    <r>
      <rPr>
        <i/>
        <sz val="10"/>
        <color indexed="12"/>
        <rFont val="Times New Roman"/>
        <family val="1"/>
      </rPr>
      <t>Computer Core i7 + copy right software:  for PoE Clock</t>
    </r>
  </si>
  <si>
    <r>
      <t xml:space="preserve">Màn hình thông tin ngoài trời 86 inch+ giá đở+phụ kiện…..
</t>
    </r>
    <r>
      <rPr>
        <i/>
        <sz val="10"/>
        <color indexed="12"/>
        <rFont val="Times New Roman"/>
        <family val="1"/>
      </rPr>
      <t>Out door digital signage monitor + stand+ accessories…</t>
    </r>
  </si>
  <si>
    <r>
      <t xml:space="preserve">Màn hình thông tin cân đứng 55 inch + giá đở+phụ kiện….
</t>
    </r>
    <r>
      <rPr>
        <i/>
        <sz val="10"/>
        <color indexed="12"/>
        <rFont val="Times New Roman"/>
        <family val="1"/>
      </rPr>
      <t>Indoor door digital signage monitor + stand+ accessories…</t>
    </r>
  </si>
  <si>
    <r>
      <t xml:space="preserve">Socket outlet
</t>
    </r>
    <r>
      <rPr>
        <i/>
        <sz val="10"/>
        <color indexed="12"/>
        <rFont val="Times New Roman"/>
        <family val="1"/>
      </rPr>
      <t>Ổ cắm  điện cho wifi , màn hình kỹ thuật số</t>
    </r>
  </si>
  <si>
    <r>
      <t xml:space="preserve">Box
</t>
    </r>
    <r>
      <rPr>
        <i/>
        <sz val="10"/>
        <color indexed="12"/>
        <rFont val="Times New Roman"/>
        <family val="1"/>
      </rPr>
      <t>Hộp đấu nối</t>
    </r>
  </si>
  <si>
    <r>
      <t>Cáp quang 12FO multi mode (12C)</t>
    </r>
    <r>
      <rPr>
        <i/>
        <sz val="10"/>
        <rFont val="Times New Roman"/>
        <family val="1"/>
      </rPr>
      <t xml:space="preserve">
</t>
    </r>
    <r>
      <rPr>
        <i/>
        <sz val="10"/>
        <color indexed="12"/>
        <rFont val="Times New Roman"/>
        <family val="1"/>
      </rPr>
      <t>12FO multi mode fiber cable (12C)</t>
    </r>
  </si>
  <si>
    <r>
      <t xml:space="preserve">Phụ kiện đấu nối và hàn cáp quang...
</t>
    </r>
    <r>
      <rPr>
        <i/>
        <sz val="10"/>
        <color indexed="12"/>
        <rFont val="Times New Roman"/>
        <family val="1"/>
      </rPr>
      <t>Accessories for connection and welding of optical cables….</t>
    </r>
  </si>
  <si>
    <r>
      <t>Cáp Cu/PVC 3Cx2.5mm²</t>
    </r>
    <r>
      <rPr>
        <i/>
        <sz val="10"/>
        <rFont val="Times New Roman"/>
        <family val="1"/>
      </rPr>
      <t xml:space="preserve">
</t>
    </r>
    <r>
      <rPr>
        <i/>
        <sz val="10"/>
        <color indexed="12"/>
        <rFont val="Times New Roman"/>
        <family val="1"/>
      </rPr>
      <t>3Cx2.5mm² Cu/ PVC Cable</t>
    </r>
  </si>
  <si>
    <r>
      <t>Cáp UTP Cat6A</t>
    </r>
    <r>
      <rPr>
        <i/>
        <sz val="10"/>
        <rFont val="Times New Roman"/>
        <family val="1"/>
      </rPr>
      <t xml:space="preserve">
</t>
    </r>
    <r>
      <rPr>
        <i/>
        <sz val="10"/>
        <color indexed="12"/>
        <rFont val="Times New Roman"/>
        <family val="1"/>
      </rPr>
      <t>Cable  UTP Cat6A</t>
    </r>
  </si>
  <si>
    <t>edit description</t>
  </si>
  <si>
    <r>
      <t>Nối thẳng bằng PVC Ø 20</t>
    </r>
    <r>
      <rPr>
        <i/>
        <sz val="10"/>
        <rFont val="Times New Roman"/>
        <family val="1"/>
      </rPr>
      <t xml:space="preserve">
</t>
    </r>
    <r>
      <rPr>
        <i/>
        <sz val="10"/>
        <color indexed="12"/>
        <rFont val="Times New Roman"/>
        <family val="1"/>
      </rPr>
      <t>PVC  Straight coupler Ø 20</t>
    </r>
  </si>
  <si>
    <r>
      <t>Nối răng bằng PVC Ø 20</t>
    </r>
    <r>
      <rPr>
        <i/>
        <sz val="10"/>
        <rFont val="Times New Roman"/>
        <family val="1"/>
      </rPr>
      <t xml:space="preserve">
</t>
    </r>
    <r>
      <rPr>
        <i/>
        <sz val="10"/>
        <color indexed="12"/>
        <rFont val="Times New Roman"/>
        <family val="1"/>
      </rPr>
      <t>PVC  connector Ø 20</t>
    </r>
  </si>
  <si>
    <r>
      <t>Phụ kiện và vật tư phụ...</t>
    </r>
    <r>
      <rPr>
        <i/>
        <sz val="10"/>
        <rFont val="Times New Roman"/>
        <family val="1"/>
      </rPr>
      <t xml:space="preserve">
</t>
    </r>
    <r>
      <rPr>
        <i/>
        <sz val="10"/>
        <color indexed="12"/>
        <rFont val="Times New Roman"/>
        <family val="1"/>
      </rPr>
      <t>Supplies and Accessories….</t>
    </r>
  </si>
  <si>
    <t>c.2</t>
  </si>
  <si>
    <r>
      <t>Hệ thống camera</t>
    </r>
    <r>
      <rPr>
        <b/>
        <i/>
        <sz val="10"/>
        <rFont val="Times New Roman"/>
        <family val="1"/>
      </rPr>
      <t xml:space="preserve">
</t>
    </r>
    <r>
      <rPr>
        <b/>
        <i/>
        <sz val="10"/>
        <color indexed="12"/>
        <rFont val="Times New Roman"/>
        <family val="1"/>
      </rPr>
      <t>Camera system</t>
    </r>
  </si>
  <si>
    <t>360˚ FISHEYE IP camera, 6 MP, 1/1.8" 6M CMOS, IR 15m, LENS 1.6mm ,IP66, IK10,  PoE, ceiling mount</t>
  </si>
  <si>
    <t>360˚ FISHEYE IP camera, 6 MP, 1/1.8" 6M CMOS, IR 15m, LENS 1.6mm ,IP66, IK10,  PoE, pendant mount</t>
  </si>
  <si>
    <t>360˚ FISHEYE IP camera, 6 MP, 1/1.8" 6M CMOS, IR 15m, LENS 1.6mm ,IP66, IK10,  PoE, wall mount</t>
  </si>
  <si>
    <r>
      <t xml:space="preserve">Camera cho thang máy ( bao gồm bộ thu phát Wifi)
</t>
    </r>
    <r>
      <rPr>
        <i/>
        <sz val="10"/>
        <color rgb="FFFF0000"/>
        <rFont val="Times New Roman"/>
        <family val="1"/>
      </rPr>
      <t>Camera for Lift decoder c/w wifi transceive/receive for lift camera</t>
    </r>
  </si>
  <si>
    <r>
      <t xml:space="preserve">Đầu ghi hình  NVR 32 kênh  loại 16SATA, RAID 5, bao gồm :5xHDD 4TB /1 NVR
</t>
    </r>
    <r>
      <rPr>
        <i/>
        <sz val="10"/>
        <color indexed="12"/>
        <rFont val="Times New Roman"/>
        <family val="1"/>
      </rPr>
      <t>NVR 32 chanel- 16SATA,RAID 5,c/w 5xHDD 4TB/1 NVR</t>
    </r>
  </si>
  <si>
    <r>
      <t xml:space="preserve">Poe switch kết nối hệ thống 
</t>
    </r>
    <r>
      <rPr>
        <i/>
        <sz val="10"/>
        <color indexed="12"/>
        <rFont val="Times New Roman"/>
        <family val="1"/>
      </rPr>
      <t>Poe switch connection system</t>
    </r>
  </si>
  <si>
    <r>
      <t xml:space="preserve">Màn hình 55"
</t>
    </r>
    <r>
      <rPr>
        <i/>
        <sz val="10"/>
        <color indexed="12"/>
        <rFont val="Times New Roman"/>
        <family val="1"/>
      </rPr>
      <t>Monitor 55"</t>
    </r>
  </si>
  <si>
    <r>
      <t xml:space="preserve">Màn hình 55" đặt tại phòng bảo vệ hiện hữu khối nhà C
</t>
    </r>
    <r>
      <rPr>
        <i/>
        <sz val="10"/>
        <color indexed="12"/>
        <rFont val="Times New Roman"/>
        <family val="1"/>
      </rPr>
      <t>Monitor 55" at Secuirity room - Building C</t>
    </r>
  </si>
  <si>
    <r>
      <t xml:space="preserve">Máy vi tính Core i7 + màn hình  + software bản quyền
</t>
    </r>
    <r>
      <rPr>
        <i/>
        <sz val="10"/>
        <color indexed="12"/>
        <rFont val="Times New Roman"/>
        <family val="1"/>
      </rPr>
      <t>Computer Core i7 + copy right software</t>
    </r>
  </si>
  <si>
    <r>
      <t xml:space="preserve">Bộ CPU Core i7 + software bản quyền (đặt tại phòng bảo vệ hiện hữu khối nhà C)
</t>
    </r>
    <r>
      <rPr>
        <i/>
        <sz val="10"/>
        <color indexed="12"/>
        <rFont val="Times New Roman"/>
        <family val="1"/>
      </rPr>
      <t>CPU Core i7 + copy right software (at Secuirity room - Building C)</t>
    </r>
  </si>
  <si>
    <r>
      <t xml:space="preserve">Cáp kết nối đến các màn hình 55"
</t>
    </r>
    <r>
      <rPr>
        <i/>
        <sz val="10"/>
        <color indexed="12"/>
        <rFont val="Times New Roman"/>
        <family val="1"/>
      </rPr>
      <t>Cable connect to Monitors 55"</t>
    </r>
  </si>
  <si>
    <r>
      <t xml:space="preserve">Cáp Cat6A
</t>
    </r>
    <r>
      <rPr>
        <i/>
        <sz val="10"/>
        <color indexed="12"/>
        <rFont val="Times New Roman"/>
        <family val="1"/>
      </rPr>
      <t>Cable Cat6A</t>
    </r>
  </si>
  <si>
    <r>
      <t xml:space="preserve">Phụ kiện ống PVC Ø 20
</t>
    </r>
    <r>
      <rPr>
        <i/>
        <sz val="10"/>
        <color indexed="12"/>
        <rFont val="Times New Roman"/>
        <family val="1"/>
      </rPr>
      <t>Fitting for PVC pipe Ø 20</t>
    </r>
  </si>
  <si>
    <r>
      <t xml:space="preserve">Ống GI
</t>
    </r>
    <r>
      <rPr>
        <i/>
        <sz val="10"/>
        <color indexed="12"/>
        <rFont val="Times New Roman"/>
        <family val="1"/>
      </rPr>
      <t>GI pipe</t>
    </r>
  </si>
  <si>
    <r>
      <t xml:space="preserve">Ống mềm GI
</t>
    </r>
    <r>
      <rPr>
        <i/>
        <sz val="10"/>
        <color indexed="12"/>
        <rFont val="Times New Roman"/>
        <family val="1"/>
      </rPr>
      <t>Hose hold GI</t>
    </r>
  </si>
  <si>
    <t>c.3</t>
  </si>
  <si>
    <r>
      <t>Hệ thống âm thanh thông báo</t>
    </r>
    <r>
      <rPr>
        <b/>
        <i/>
        <sz val="10"/>
        <rFont val="Times New Roman"/>
        <family val="1"/>
      </rPr>
      <t xml:space="preserve">
</t>
    </r>
    <r>
      <rPr>
        <b/>
        <i/>
        <sz val="10"/>
        <color indexed="12"/>
        <rFont val="Times New Roman"/>
        <family val="1"/>
      </rPr>
      <t xml:space="preserve">Public address system </t>
    </r>
  </si>
  <si>
    <r>
      <t xml:space="preserve">Bộ khuếch đại 2 kênh 480W
</t>
    </r>
    <r>
      <rPr>
        <i/>
        <sz val="10"/>
        <color indexed="12"/>
        <rFont val="Times New Roman"/>
        <family val="1"/>
      </rPr>
      <t>Power amplifier 2CHx480W</t>
    </r>
  </si>
  <si>
    <r>
      <t xml:space="preserve">Bộ điều khiển trung tâm ma trận
</t>
    </r>
    <r>
      <rPr>
        <i/>
        <sz val="10"/>
        <color indexed="12"/>
        <rFont val="Times New Roman"/>
        <family val="1"/>
      </rPr>
      <t>Audio matrix controller</t>
    </r>
  </si>
  <si>
    <r>
      <t xml:space="preserve">Bộ phát thông  báo khẩn
</t>
    </r>
    <r>
      <rPr>
        <i/>
        <sz val="10"/>
        <color indexed="12"/>
        <rFont val="Times New Roman"/>
        <family val="1"/>
      </rPr>
      <t>Emergency panel</t>
    </r>
  </si>
  <si>
    <r>
      <t xml:space="preserve">Bộ điều khiển 16 vùng
</t>
    </r>
    <r>
      <rPr>
        <i/>
        <sz val="10"/>
        <color indexed="12"/>
        <rFont val="Times New Roman"/>
        <family val="1"/>
      </rPr>
      <t>16 Zone controller</t>
    </r>
  </si>
  <si>
    <r>
      <t xml:space="preserve">Bộ lưu tập tin khẩn
</t>
    </r>
    <r>
      <rPr>
        <i/>
        <sz val="10"/>
        <color indexed="12"/>
        <rFont val="Times New Roman"/>
        <family val="1"/>
      </rPr>
      <t>Muiti voice file</t>
    </r>
  </si>
  <si>
    <r>
      <t xml:space="preserve">Bộ phát nhạc CD/USB
</t>
    </r>
    <r>
      <rPr>
        <i/>
        <sz val="10"/>
        <color indexed="12"/>
        <rFont val="Times New Roman"/>
        <family val="1"/>
      </rPr>
      <t>Source player CD/USB</t>
    </r>
  </si>
  <si>
    <r>
      <t xml:space="preserve">Bàn gọi chọn vùng
</t>
    </r>
    <r>
      <rPr>
        <i/>
        <sz val="10"/>
        <color indexed="12"/>
        <rFont val="Times New Roman"/>
        <family val="1"/>
      </rPr>
      <t>Paging microphone</t>
    </r>
  </si>
  <si>
    <r>
      <t xml:space="preserve">Bộ giao tiếp máy tính
</t>
    </r>
    <r>
      <rPr>
        <i/>
        <sz val="10"/>
        <color indexed="12"/>
        <rFont val="Times New Roman"/>
        <family val="1"/>
      </rPr>
      <t>Direct box</t>
    </r>
  </si>
  <si>
    <r>
      <t xml:space="preserve">Bộ phân phối nguồn
</t>
    </r>
    <r>
      <rPr>
        <i/>
        <sz val="10"/>
        <color indexed="12"/>
        <rFont val="Times New Roman"/>
        <family val="1"/>
      </rPr>
      <t>AC/DC power distributor</t>
    </r>
  </si>
  <si>
    <r>
      <t xml:space="preserve">Bộ phát bản tin từ xa
</t>
    </r>
    <r>
      <rPr>
        <i/>
        <sz val="10"/>
        <color indexed="12"/>
        <rFont val="Times New Roman"/>
        <family val="1"/>
      </rPr>
      <t>Automatic remote message</t>
    </r>
  </si>
  <si>
    <r>
      <t xml:space="preserve">Loa 2 way 30W, gắn âm trần
</t>
    </r>
    <r>
      <rPr>
        <i/>
        <sz val="10"/>
        <color indexed="12"/>
        <rFont val="Times New Roman"/>
        <family val="1"/>
      </rPr>
      <t>2 way 30W speaker, recessed celing</t>
    </r>
  </si>
  <si>
    <r>
      <t xml:space="preserve">Loa 2 way 30W, gắn nổi
</t>
    </r>
    <r>
      <rPr>
        <i/>
        <sz val="10"/>
        <color indexed="12"/>
        <rFont val="Times New Roman"/>
        <family val="1"/>
      </rPr>
      <t>2 way 30W speaker, recessed celing mounted</t>
    </r>
  </si>
  <si>
    <r>
      <t>Loa gắn tường 5W</t>
    </r>
    <r>
      <rPr>
        <i/>
        <sz val="10"/>
        <rFont val="Times New Roman"/>
        <family val="1"/>
      </rPr>
      <t xml:space="preserve">
</t>
    </r>
    <r>
      <rPr>
        <i/>
        <sz val="10"/>
        <color indexed="12"/>
        <rFont val="Times New Roman"/>
        <family val="1"/>
      </rPr>
      <t>5W box speaker, wall mounted</t>
    </r>
  </si>
  <si>
    <r>
      <t xml:space="preserve">Máy tính điều khiển
</t>
    </r>
    <r>
      <rPr>
        <i/>
        <sz val="10"/>
        <rFont val="Times New Roman"/>
        <family val="1"/>
      </rPr>
      <t>Control PC, CPU: intel Core i7-10700(2.90GHz,upto 4.80GHz,8 Cores 16 Threads, 16MB cache). Ram:8G(1x8GB) DDR4 2933 MHz(2 khe),ổ cung 512 GB SSD( cắm thêm được HDD chuẩn 3.5"), VGA: Cạc đồ họa Intel*UHD630. Kết nối : Wlan+Blutooth. Ổ đỉa:DVDRW, hệ điều hành Windows 10</t>
    </r>
  </si>
  <si>
    <r>
      <t xml:space="preserve">Bộ lưu điện 1 giờ
</t>
    </r>
    <r>
      <rPr>
        <i/>
        <sz val="10"/>
        <color indexed="12"/>
        <rFont val="Times New Roman"/>
        <family val="1"/>
      </rPr>
      <t>UPS back up 1h</t>
    </r>
  </si>
  <si>
    <r>
      <t xml:space="preserve">Cáp chống cháy chống nhiễu  2Cx1.5MM2
</t>
    </r>
    <r>
      <rPr>
        <i/>
        <sz val="10"/>
        <color indexed="12"/>
        <rFont val="Times New Roman"/>
        <family val="1"/>
      </rPr>
      <t xml:space="preserve">Fire Resistant Instrumentation Cable 2x1.5mm2 </t>
    </r>
  </si>
  <si>
    <r>
      <t xml:space="preserve">Cáp UTP CAT6A
</t>
    </r>
    <r>
      <rPr>
        <i/>
        <sz val="10"/>
        <color indexed="12"/>
        <rFont val="Times New Roman"/>
        <family val="1"/>
      </rPr>
      <t xml:space="preserve">CAT6A 4 pair U/UTP Cable </t>
    </r>
  </si>
  <si>
    <r>
      <t xml:space="preserve">Ống upvc D20
</t>
    </r>
    <r>
      <rPr>
        <i/>
        <sz val="10"/>
        <color indexed="12"/>
        <rFont val="Times New Roman"/>
        <family val="1"/>
      </rPr>
      <t>Pipe upvc D20</t>
    </r>
  </si>
  <si>
    <r>
      <t xml:space="preserve"> Tủ rack 42U
</t>
    </r>
    <r>
      <rPr>
        <i/>
        <sz val="10"/>
        <rFont val="Times New Roman"/>
        <family val="1"/>
      </rPr>
      <t xml:space="preserve"> Cabinet 42U</t>
    </r>
  </si>
  <si>
    <r>
      <t xml:space="preserve">Các lớp học 
</t>
    </r>
    <r>
      <rPr>
        <b/>
        <i/>
        <sz val="10"/>
        <color indexed="12"/>
        <rFont val="Times New Roman"/>
        <family val="1"/>
      </rPr>
      <t>Class room</t>
    </r>
  </si>
  <si>
    <r>
      <t xml:space="preserve">Ampli kèm bộ trộn 60W
</t>
    </r>
    <r>
      <rPr>
        <sz val="10"/>
        <color indexed="12"/>
        <rFont val="Times New Roman"/>
        <family val="1"/>
      </rPr>
      <t>60</t>
    </r>
    <r>
      <rPr>
        <i/>
        <sz val="10"/>
        <color indexed="12"/>
        <rFont val="Times New Roman"/>
        <family val="1"/>
      </rPr>
      <t>W  compact mixing amplier,USB,line/MIC/RCA input</t>
    </r>
  </si>
  <si>
    <r>
      <t xml:space="preserve">Ampli kèm bộ trộn 120W
</t>
    </r>
    <r>
      <rPr>
        <sz val="10"/>
        <color indexed="12"/>
        <rFont val="Times New Roman"/>
        <family val="1"/>
      </rPr>
      <t>120</t>
    </r>
    <r>
      <rPr>
        <i/>
        <sz val="10"/>
        <color indexed="12"/>
        <rFont val="Times New Roman"/>
        <family val="1"/>
      </rPr>
      <t>W  compact mixing amplier,USB,line/MIC/RCA input</t>
    </r>
  </si>
  <si>
    <r>
      <t xml:space="preserve">Ampli kèm bộ trộn 240W
</t>
    </r>
    <r>
      <rPr>
        <sz val="10"/>
        <color indexed="12"/>
        <rFont val="Times New Roman"/>
        <family val="1"/>
      </rPr>
      <t>240</t>
    </r>
    <r>
      <rPr>
        <i/>
        <sz val="10"/>
        <color indexed="12"/>
        <rFont val="Times New Roman"/>
        <family val="1"/>
      </rPr>
      <t>W  compact mixing amplier,USB,line/MIC/RCA input</t>
    </r>
  </si>
  <si>
    <r>
      <t xml:space="preserve">Loa 2 way. 30W gắn âm trần
</t>
    </r>
    <r>
      <rPr>
        <i/>
        <sz val="10"/>
        <color indexed="12"/>
        <rFont val="Times New Roman"/>
        <family val="1"/>
      </rPr>
      <t xml:space="preserve"> 2way, 30W, coaxial ceiling speaker</t>
    </r>
  </si>
  <si>
    <r>
      <t xml:space="preserve">Loa 2 way. 30W gắn nồi
</t>
    </r>
    <r>
      <rPr>
        <sz val="10"/>
        <color indexed="12"/>
        <rFont val="Times New Roman"/>
        <family val="1"/>
      </rPr>
      <t xml:space="preserve"> </t>
    </r>
    <r>
      <rPr>
        <i/>
        <sz val="10"/>
        <color indexed="12"/>
        <rFont val="Times New Roman"/>
        <family val="1"/>
      </rPr>
      <t>2way, 30W, floating</t>
    </r>
  </si>
  <si>
    <r>
      <t xml:space="preserve">Loa 2 way. 30W gắn tường
</t>
    </r>
    <r>
      <rPr>
        <i/>
        <sz val="10"/>
        <color indexed="12"/>
        <rFont val="Times New Roman"/>
        <family val="1"/>
      </rPr>
      <t xml:space="preserve"> 2way, 30W, wall mount speaker</t>
    </r>
  </si>
  <si>
    <r>
      <t xml:space="preserve">Máy chiếu gắn trần có màn hình  di động/
</t>
    </r>
    <r>
      <rPr>
        <i/>
        <sz val="10"/>
        <color indexed="12"/>
        <rFont val="Times New Roman"/>
        <family val="1"/>
      </rPr>
      <t>Projector, ceiling mounted + moveable screen</t>
    </r>
  </si>
  <si>
    <r>
      <t xml:space="preserve">Máy chiếu gắn trần có màn hình  cố định/
</t>
    </r>
    <r>
      <rPr>
        <i/>
        <sz val="10"/>
        <rFont val="Times New Roman"/>
        <family val="1"/>
      </rPr>
      <t xml:space="preserve"> </t>
    </r>
    <r>
      <rPr>
        <i/>
        <sz val="10"/>
        <color indexed="12"/>
        <rFont val="Times New Roman"/>
        <family val="1"/>
      </rPr>
      <t>Short throw projector,wall mounted + fixed screen</t>
    </r>
  </si>
  <si>
    <r>
      <t xml:space="preserve">Ổ cắm HDMI kết nối máy chiếu
</t>
    </r>
    <r>
      <rPr>
        <i/>
        <sz val="10"/>
        <color indexed="12"/>
        <rFont val="Times New Roman"/>
        <family val="1"/>
      </rPr>
      <t>HDMI scoket connect to projected</t>
    </r>
  </si>
  <si>
    <r>
      <t xml:space="preserve">Ổ cắm HDMI âm sàn  kết nối máy chiếu
</t>
    </r>
    <r>
      <rPr>
        <i/>
        <sz val="10"/>
        <color indexed="12"/>
        <rFont val="Times New Roman"/>
        <family val="1"/>
      </rPr>
      <t xml:space="preserve"> Floor HDMI scoket connect to projected</t>
    </r>
  </si>
  <si>
    <t>Atlona AT-OME-SW21-TX-WPC Single Gang TX Wall Plate with USB-C and HDMI supporting USB Data</t>
  </si>
  <si>
    <t>Atlona AT-OME-SR21 2x1 AV Switcher and Receiver with Scaler and USB / HDBaseT and HDMI Inputs</t>
  </si>
  <si>
    <r>
      <t xml:space="preserve">Trình chiếu không dây
</t>
    </r>
    <r>
      <rPr>
        <i/>
        <sz val="10"/>
        <color indexed="12"/>
        <rFont val="Times New Roman"/>
        <family val="1"/>
      </rPr>
      <t>Wireless presentation</t>
    </r>
  </si>
  <si>
    <r>
      <t xml:space="preserve">Cáp HDMI dài 10m…
</t>
    </r>
    <r>
      <rPr>
        <i/>
        <sz val="10"/>
        <color indexed="12"/>
        <rFont val="Times New Roman"/>
        <family val="1"/>
      </rPr>
      <t>HDMI cable length 10m..</t>
    </r>
  </si>
  <si>
    <r>
      <t xml:space="preserve">sợi/
</t>
    </r>
    <r>
      <rPr>
        <i/>
        <sz val="10"/>
        <color indexed="12"/>
        <rFont val="Times New Roman"/>
        <family val="1"/>
      </rPr>
      <t>yarns</t>
    </r>
  </si>
  <si>
    <r>
      <t xml:space="preserve">Cáp âm thanh chuyên dụng 1P x18 AWG
</t>
    </r>
    <r>
      <rPr>
        <i/>
        <sz val="10"/>
        <color indexed="12"/>
        <rFont val="Times New Roman"/>
        <family val="1"/>
      </rPr>
      <t xml:space="preserve">Audio cable 1Px18AWG </t>
    </r>
  </si>
  <si>
    <r>
      <t xml:space="preserve">Phụ kiện và vật tư phụ
</t>
    </r>
    <r>
      <rPr>
        <i/>
        <sz val="10"/>
        <color indexed="12"/>
        <rFont val="Times New Roman"/>
        <family val="1"/>
      </rPr>
      <t>Fittings and accessories.</t>
    </r>
  </si>
  <si>
    <t>c.4</t>
  </si>
  <si>
    <r>
      <t>Hệ thống giám sát nhiệt độ, độ ẩm và rò rỉ chất lỏng</t>
    </r>
    <r>
      <rPr>
        <b/>
        <i/>
        <sz val="10"/>
        <rFont val="Times New Roman"/>
        <family val="1"/>
      </rPr>
      <t xml:space="preserve">
</t>
    </r>
    <r>
      <rPr>
        <b/>
        <i/>
        <sz val="10"/>
        <color indexed="12"/>
        <rFont val="Times New Roman"/>
        <family val="1"/>
      </rPr>
      <t>Monitoring system for temperature, humidity and liquid leakage</t>
    </r>
  </si>
  <si>
    <r>
      <t xml:space="preserve">Tủ CP-B-LK  bao gồm  MCB,  Bộ điều khiển lập trình PLC,8 DI , phụ kiện...
</t>
    </r>
    <r>
      <rPr>
        <i/>
        <sz val="10"/>
        <color indexed="12"/>
        <rFont val="Times New Roman"/>
        <family val="1"/>
      </rPr>
      <t>CP-B-LK panel c/w MCB,  PLC program controller  8DI,   accessories...</t>
    </r>
  </si>
  <si>
    <r>
      <t xml:space="preserve">Cảm biến nhiệt độ &amp; độ ẩm
</t>
    </r>
    <r>
      <rPr>
        <i/>
        <sz val="10"/>
        <color indexed="12"/>
        <rFont val="Times New Roman"/>
        <family val="1"/>
      </rPr>
      <t>Temperature&amp;humidity sensors</t>
    </r>
  </si>
  <si>
    <r>
      <t xml:space="preserve">Cảm biến rò rỉ chất lỏng
</t>
    </r>
    <r>
      <rPr>
        <i/>
        <sz val="10"/>
        <color indexed="12"/>
        <rFont val="Times New Roman"/>
        <family val="1"/>
      </rPr>
      <t>Water leak detection sensors</t>
    </r>
  </si>
  <si>
    <r>
      <t xml:space="preserve">Bộ hiển thị nhiệt độ,độ ẩm
</t>
    </r>
    <r>
      <rPr>
        <i/>
        <sz val="10"/>
        <color indexed="12"/>
        <rFont val="Times New Roman"/>
        <family val="1"/>
      </rPr>
      <t>Temperature,hundidity displayer</t>
    </r>
  </si>
  <si>
    <r>
      <t xml:space="preserve">Bộ phát tin  nhắn(SMS)
</t>
    </r>
    <r>
      <rPr>
        <i/>
        <sz val="10"/>
        <color indexed="12"/>
        <rFont val="Times New Roman"/>
        <family val="1"/>
      </rPr>
      <t>Massge (SMS) transceivers</t>
    </r>
  </si>
  <si>
    <r>
      <t xml:space="preserve"> Tủ CP-B-LH (CP-B-TH) bao gồm  MCB, Màn hình giám sát,10.1", phụ kiện ...
</t>
    </r>
    <r>
      <rPr>
        <i/>
        <sz val="10"/>
        <color indexed="12"/>
        <rFont val="Times New Roman"/>
        <family val="1"/>
      </rPr>
      <t>CP-B-LH (CP-B-TH) panel c/w MCB, Monitor monitor 10.1" , accessories...</t>
    </r>
  </si>
  <si>
    <r>
      <t xml:space="preserve">Cáp chống nhiễu 3Cx1.5mm2
</t>
    </r>
    <r>
      <rPr>
        <i/>
        <sz val="10"/>
        <color indexed="12"/>
        <rFont val="Times New Roman"/>
        <family val="1"/>
      </rPr>
      <t>Anti-interference cable 3Cx1.5mm2</t>
    </r>
  </si>
  <si>
    <r>
      <t xml:space="preserve">Cáp 2Cx1.5mm2 Cu/PVC/PVC
</t>
    </r>
    <r>
      <rPr>
        <i/>
        <sz val="10"/>
        <color indexed="12"/>
        <rFont val="Times New Roman"/>
        <family val="1"/>
      </rPr>
      <t>Cable 2Cx1.5mm2 Cu/PVC/PVC</t>
    </r>
  </si>
  <si>
    <r>
      <t xml:space="preserve">Ổ cắm+ mặt nạ+ đế..
</t>
    </r>
    <r>
      <rPr>
        <i/>
        <sz val="10"/>
        <color indexed="12"/>
        <rFont val="Times New Roman"/>
        <family val="1"/>
      </rPr>
      <t>Socket + mask + base..</t>
    </r>
  </si>
  <si>
    <t>c.5</t>
  </si>
  <si>
    <r>
      <t>Các thiết bị bảo vệ dây cáp điện</t>
    </r>
    <r>
      <rPr>
        <b/>
        <i/>
        <sz val="10"/>
        <rFont val="Times New Roman"/>
        <family val="1"/>
      </rPr>
      <t xml:space="preserve">
</t>
    </r>
    <r>
      <rPr>
        <b/>
        <i/>
        <sz val="10"/>
        <color indexed="12"/>
        <rFont val="Times New Roman"/>
        <family val="1"/>
      </rPr>
      <t xml:space="preserve">Equipments for cable protection </t>
    </r>
  </si>
  <si>
    <r>
      <t xml:space="preserve">Máng cáp 300Wx100H
</t>
    </r>
    <r>
      <rPr>
        <i/>
        <sz val="10"/>
        <color indexed="12"/>
        <rFont val="Times New Roman"/>
        <family val="1"/>
      </rPr>
      <t>Trunking 300Wx100H</t>
    </r>
  </si>
  <si>
    <r>
      <t xml:space="preserve">Tê 300Wx100H
</t>
    </r>
    <r>
      <rPr>
        <i/>
        <sz val="10"/>
        <color indexed="12"/>
        <rFont val="Times New Roman"/>
        <family val="1"/>
      </rPr>
      <t>Tee 300Wx100H</t>
    </r>
  </si>
  <si>
    <r>
      <t xml:space="preserve">Co 90° độ 300Wx100H
</t>
    </r>
    <r>
      <rPr>
        <i/>
        <sz val="10"/>
        <color indexed="12"/>
        <rFont val="Times New Roman"/>
        <family val="1"/>
      </rPr>
      <t>Elbow 90° 300Wx100H</t>
    </r>
  </si>
  <si>
    <r>
      <t xml:space="preserve">Máng cáp 200Wx100H
</t>
    </r>
    <r>
      <rPr>
        <i/>
        <sz val="10"/>
        <color indexed="12"/>
        <rFont val="Times New Roman"/>
        <family val="1"/>
      </rPr>
      <t>Trunking 200Wx100H</t>
    </r>
  </si>
  <si>
    <r>
      <t xml:space="preserve">Tê 200Wx100H
</t>
    </r>
    <r>
      <rPr>
        <i/>
        <sz val="10"/>
        <color indexed="12"/>
        <rFont val="Times New Roman"/>
        <family val="1"/>
      </rPr>
      <t>Tee 200Wx100H</t>
    </r>
  </si>
  <si>
    <r>
      <t xml:space="preserve">Máng cáp 100Wx100H
</t>
    </r>
    <r>
      <rPr>
        <i/>
        <sz val="10"/>
        <color indexed="12"/>
        <rFont val="Times New Roman"/>
        <family val="1"/>
      </rPr>
      <t>Trunking 100Wx100H</t>
    </r>
  </si>
  <si>
    <r>
      <t xml:space="preserve">Ty treo Ø 10mm 
</t>
    </r>
    <r>
      <rPr>
        <i/>
        <sz val="10"/>
        <color indexed="12"/>
        <rFont val="Times New Roman"/>
        <family val="1"/>
      </rPr>
      <t xml:space="preserve">Full threaded bolt Ø 10mm </t>
    </r>
  </si>
  <si>
    <r>
      <t xml:space="preserve">Tắc kê đạn Ø 10mm 
</t>
    </r>
    <r>
      <rPr>
        <i/>
        <sz val="10"/>
        <color indexed="12"/>
        <rFont val="Times New Roman"/>
        <family val="1"/>
      </rPr>
      <t xml:space="preserve">Expansion bolt Ø 10mm </t>
    </r>
  </si>
  <si>
    <t>d</t>
  </si>
  <si>
    <r>
      <t xml:space="preserve">Kiểm tra và vận hành bàn giao
</t>
    </r>
    <r>
      <rPr>
        <b/>
        <i/>
        <sz val="10"/>
        <color indexed="12"/>
        <rFont val="Times New Roman"/>
        <family val="1"/>
      </rPr>
      <t xml:space="preserve">Testing and commissioning &amp; handover.  </t>
    </r>
  </si>
  <si>
    <r>
      <t xml:space="preserve">Kiểm tra và vận hành bàn giao...
</t>
    </r>
    <r>
      <rPr>
        <i/>
        <sz val="10"/>
        <color indexed="12"/>
        <rFont val="Times New Roman"/>
        <family val="1"/>
      </rPr>
      <t xml:space="preserve">Testing and commissioning &amp; handover. …. </t>
    </r>
  </si>
  <si>
    <t>B</t>
  </si>
  <si>
    <r>
      <t xml:space="preserve">HỆ THỐNG CẤP THOÁT NƯỚC
</t>
    </r>
    <r>
      <rPr>
        <b/>
        <i/>
        <sz val="10"/>
        <color indexed="12"/>
        <rFont val="Times New Roman"/>
        <family val="1"/>
      </rPr>
      <t>PLUMBING SYSTE</t>
    </r>
    <r>
      <rPr>
        <b/>
        <i/>
        <sz val="10"/>
        <rFont val="Times New Roman"/>
        <family val="1"/>
      </rPr>
      <t>M</t>
    </r>
  </si>
  <si>
    <r>
      <t>Hệ thống cấp nước</t>
    </r>
    <r>
      <rPr>
        <b/>
        <i/>
        <sz val="10"/>
        <rFont val="Times New Roman"/>
        <family val="1"/>
      </rPr>
      <t xml:space="preserve">
</t>
    </r>
    <r>
      <rPr>
        <b/>
        <i/>
        <sz val="10"/>
        <color indexed="12"/>
        <rFont val="Times New Roman"/>
        <family val="1"/>
      </rPr>
      <t xml:space="preserve">Water supply system </t>
    </r>
  </si>
  <si>
    <r>
      <t xml:space="preserve">Bơm cấp nước sinh hoạt và van khóa
</t>
    </r>
    <r>
      <rPr>
        <b/>
        <i/>
        <sz val="10"/>
        <color indexed="12"/>
        <rFont val="Times New Roman"/>
        <family val="1"/>
      </rPr>
      <t>Domestic pump and vavle</t>
    </r>
  </si>
  <si>
    <r>
      <t xml:space="preserve">Bơm tăng áp đa tầng cánh loại khởi động biến tần:  Q=17m3/h, H =40m
</t>
    </r>
    <r>
      <rPr>
        <i/>
        <sz val="10"/>
        <color indexed="12"/>
        <rFont val="Times New Roman"/>
        <family val="1"/>
      </rPr>
      <t>Booster Pump, type Various frequency:  Q=17m3/h, H =40m</t>
    </r>
  </si>
  <si>
    <r>
      <t xml:space="preserve">Bình áp lực 500L -PN10
</t>
    </r>
    <r>
      <rPr>
        <i/>
        <sz val="10"/>
        <color indexed="12"/>
        <rFont val="Times New Roman"/>
        <family val="1"/>
      </rPr>
      <t>Air-pressure tank-500L -PN10</t>
    </r>
  </si>
  <si>
    <r>
      <t xml:space="preserve">Tủ điều khiển bơm CP-B-BP
</t>
    </r>
    <r>
      <rPr>
        <i/>
        <sz val="10"/>
        <color indexed="12"/>
        <rFont val="Times New Roman"/>
        <family val="1"/>
      </rPr>
      <t>Pump control panel CP-B-BP</t>
    </r>
  </si>
  <si>
    <r>
      <t xml:space="preserve">Cầu chì điều khiển 2A + Đế
</t>
    </r>
    <r>
      <rPr>
        <i/>
        <sz val="10"/>
        <color indexed="12"/>
        <rFont val="Times New Roman"/>
        <family val="1"/>
      </rPr>
      <t>Fuse 2A + base</t>
    </r>
  </si>
  <si>
    <r>
      <t xml:space="preserve">Đèn báo màu đỏ -vàng-xanh -230VAC
</t>
    </r>
    <r>
      <rPr>
        <i/>
        <sz val="10"/>
        <color indexed="12"/>
        <rFont val="Times New Roman"/>
        <family val="1"/>
      </rPr>
      <t>Signal  phase light-R-Y-B-230 VAC</t>
    </r>
  </si>
  <si>
    <r>
      <t xml:space="preserve">Relay lập trình thông minh, 8I+4O, 110-240VAC
</t>
    </r>
    <r>
      <rPr>
        <i/>
        <sz val="10"/>
        <color indexed="12"/>
        <rFont val="Times New Roman"/>
        <family val="1"/>
      </rPr>
      <t>PLC relay</t>
    </r>
  </si>
  <si>
    <r>
      <t xml:space="preserve">Điều khiển VSD 3P 5.5KW
</t>
    </r>
    <r>
      <rPr>
        <i/>
        <sz val="10"/>
        <color indexed="12"/>
        <rFont val="Times New Roman"/>
        <family val="1"/>
      </rPr>
      <t>Control VSD 3P 5.5KW</t>
    </r>
  </si>
  <si>
    <r>
      <t xml:space="preserve">Biến tần 3P 5.5KW
</t>
    </r>
    <r>
      <rPr>
        <i/>
        <sz val="10"/>
        <color indexed="12"/>
        <rFont val="Times New Roman"/>
        <family val="1"/>
      </rPr>
      <t>Inverter 3P-5.5kW</t>
    </r>
  </si>
  <si>
    <r>
      <t xml:space="preserve">Mạch điều khiển VSD
</t>
    </r>
    <r>
      <rPr>
        <i/>
        <sz val="10"/>
        <color indexed="12"/>
        <rFont val="Times New Roman"/>
        <family val="1"/>
      </rPr>
      <t>Control circuit  VSD</t>
    </r>
  </si>
  <si>
    <r>
      <t xml:space="preserve">Dây cáp cấp nguồn và điều khiển bơm
</t>
    </r>
    <r>
      <rPr>
        <i/>
        <sz val="10"/>
        <color indexed="12"/>
        <rFont val="Times New Roman"/>
        <family val="1"/>
      </rPr>
      <t>Electric cable from control panel to pump</t>
    </r>
  </si>
  <si>
    <r>
      <t xml:space="preserve">Van cổng DN40
</t>
    </r>
    <r>
      <rPr>
        <i/>
        <sz val="10"/>
        <color indexed="12"/>
        <rFont val="Times New Roman"/>
        <family val="1"/>
      </rPr>
      <t>Gate valve DN40</t>
    </r>
  </si>
  <si>
    <r>
      <t xml:space="preserve">Van cổng DN65
</t>
    </r>
    <r>
      <rPr>
        <i/>
        <sz val="10"/>
        <color indexed="12"/>
        <rFont val="Times New Roman"/>
        <family val="1"/>
      </rPr>
      <t>Gate valve DN65</t>
    </r>
  </si>
  <si>
    <r>
      <t xml:space="preserve">Van cổng DN80
</t>
    </r>
    <r>
      <rPr>
        <i/>
        <sz val="10"/>
        <color indexed="12"/>
        <rFont val="Times New Roman"/>
        <family val="1"/>
      </rPr>
      <t>Gate valve DN80</t>
    </r>
  </si>
  <si>
    <r>
      <t xml:space="preserve">Van cổng DN100
</t>
    </r>
    <r>
      <rPr>
        <i/>
        <sz val="10"/>
        <color indexed="12"/>
        <rFont val="Times New Roman"/>
        <family val="1"/>
      </rPr>
      <t>Gate valve DN100</t>
    </r>
  </si>
  <si>
    <r>
      <t xml:space="preserve"> Van 1 chiều DN65
</t>
    </r>
    <r>
      <rPr>
        <i/>
        <sz val="10"/>
        <color indexed="12"/>
        <rFont val="Times New Roman"/>
        <family val="1"/>
      </rPr>
      <t>Check valve DN65</t>
    </r>
  </si>
  <si>
    <r>
      <t xml:space="preserve">Y lọc DN80
</t>
    </r>
    <r>
      <rPr>
        <i/>
        <sz val="10"/>
        <color indexed="12"/>
        <rFont val="Times New Roman"/>
        <family val="1"/>
      </rPr>
      <t>Y- Straine DN80</t>
    </r>
  </si>
  <si>
    <r>
      <t xml:space="preserve">Nối mềm thép không rỉ DN65
</t>
    </r>
    <r>
      <rPr>
        <i/>
        <sz val="10"/>
        <color indexed="12"/>
        <rFont val="Times New Roman"/>
        <family val="1"/>
      </rPr>
      <t>Stainless steel flexible connector DN65</t>
    </r>
  </si>
  <si>
    <r>
      <t xml:space="preserve">Nối mềm thép không rỉ  DN80
</t>
    </r>
    <r>
      <rPr>
        <i/>
        <sz val="10"/>
        <color indexed="12"/>
        <rFont val="Times New Roman"/>
        <family val="1"/>
      </rPr>
      <t>Stainless steel flexible connector DN80</t>
    </r>
  </si>
  <si>
    <r>
      <t xml:space="preserve">Van xã khí tự động DN25
</t>
    </r>
    <r>
      <rPr>
        <i/>
        <sz val="10"/>
        <color indexed="12"/>
        <rFont val="Times New Roman"/>
        <family val="1"/>
      </rPr>
      <t>Automatic exhausting valve DN25</t>
    </r>
  </si>
  <si>
    <r>
      <t xml:space="preserve">Van cổng  DN25
</t>
    </r>
    <r>
      <rPr>
        <i/>
        <sz val="10"/>
        <color indexed="12"/>
        <rFont val="Times New Roman"/>
        <family val="1"/>
      </rPr>
      <t>Gate valve DN25</t>
    </r>
  </si>
  <si>
    <r>
      <t xml:space="preserve">Syphon + đồng hồ đo áp+ van bi  DN15
</t>
    </r>
    <r>
      <rPr>
        <i/>
        <sz val="10"/>
        <color indexed="12"/>
        <rFont val="Times New Roman"/>
        <family val="1"/>
      </rPr>
      <t>Syphon +  gauge pressure + ball vale DN15</t>
    </r>
  </si>
  <si>
    <r>
      <t xml:space="preserve">Công tắc áp lực + Van bi DN15
</t>
    </r>
    <r>
      <rPr>
        <i/>
        <sz val="10"/>
        <color indexed="12"/>
        <rFont val="Times New Roman"/>
        <family val="1"/>
      </rPr>
      <t>Pressure switch + Ball valveDN15</t>
    </r>
  </si>
  <si>
    <r>
      <t xml:space="preserve">Công tắc mực nước
</t>
    </r>
    <r>
      <rPr>
        <i/>
        <sz val="10"/>
        <color indexed="12"/>
        <rFont val="Times New Roman"/>
        <family val="1"/>
      </rPr>
      <t>Level switch</t>
    </r>
  </si>
  <si>
    <r>
      <t xml:space="preserve">Van phao thủy lực DN 80
</t>
    </r>
    <r>
      <rPr>
        <i/>
        <sz val="10"/>
        <color indexed="12"/>
        <rFont val="Times New Roman"/>
        <family val="1"/>
      </rPr>
      <t>Modulating float control valve DN 80</t>
    </r>
  </si>
  <si>
    <r>
      <t xml:space="preserve">Thước hiển thị mực nước
</t>
    </r>
    <r>
      <rPr>
        <i/>
        <sz val="10"/>
        <color indexed="12"/>
        <rFont val="Times New Roman"/>
        <family val="1"/>
      </rPr>
      <t>Level indicator</t>
    </r>
  </si>
  <si>
    <r>
      <t xml:space="preserve">Vật tư phụ ...
</t>
    </r>
    <r>
      <rPr>
        <i/>
        <sz val="10"/>
        <color indexed="12"/>
        <rFont val="Times New Roman"/>
        <family val="1"/>
      </rPr>
      <t>Sub-material…..</t>
    </r>
  </si>
  <si>
    <r>
      <t xml:space="preserve">Van 
</t>
    </r>
    <r>
      <rPr>
        <b/>
        <i/>
        <sz val="10"/>
        <color indexed="12"/>
        <rFont val="Times New Roman"/>
        <family val="1"/>
      </rPr>
      <t xml:space="preserve">Valve </t>
    </r>
  </si>
  <si>
    <r>
      <t xml:space="preserve">Vòi lấy nước
</t>
    </r>
    <r>
      <rPr>
        <i/>
        <sz val="10"/>
        <color indexed="12"/>
        <rFont val="Times New Roman"/>
        <family val="1"/>
      </rPr>
      <t>Water tap</t>
    </r>
  </si>
  <si>
    <r>
      <t xml:space="preserve">Vòi tưới cây &amp; Hộp thép SUS (KT: 230x230x150 dày 0.8mm) kèm nắp đậy
</t>
    </r>
    <r>
      <rPr>
        <i/>
        <sz val="10"/>
        <color indexed="12"/>
        <rFont val="Times New Roman"/>
        <family val="1"/>
      </rPr>
      <t xml:space="preserve">Irrigation hose bibb  &amp;  SUS Steel box (230x230x150 thickness 0.8mm) c/w cover </t>
    </r>
  </si>
  <si>
    <r>
      <t xml:space="preserve">Van cổng DN20
</t>
    </r>
    <r>
      <rPr>
        <i/>
        <sz val="10"/>
        <color indexed="12"/>
        <rFont val="Times New Roman"/>
        <family val="1"/>
      </rPr>
      <t>Gate valve DN20</t>
    </r>
  </si>
  <si>
    <r>
      <t xml:space="preserve">Van cổng DN32
</t>
    </r>
    <r>
      <rPr>
        <i/>
        <sz val="10"/>
        <color indexed="12"/>
        <rFont val="Times New Roman"/>
        <family val="1"/>
      </rPr>
      <t>Gate valve DN32</t>
    </r>
  </si>
  <si>
    <r>
      <t xml:space="preserve">Van 1 chiều DN20
</t>
    </r>
    <r>
      <rPr>
        <i/>
        <sz val="10"/>
        <color indexed="12"/>
        <rFont val="Times New Roman"/>
        <family val="1"/>
      </rPr>
      <t>Check valve DN20</t>
    </r>
  </si>
  <si>
    <r>
      <t xml:space="preserve">Vật tư phụ ….
</t>
    </r>
    <r>
      <rPr>
        <i/>
        <sz val="10"/>
        <color indexed="12"/>
        <rFont val="Times New Roman"/>
        <family val="1"/>
      </rPr>
      <t>Sub-material……</t>
    </r>
  </si>
  <si>
    <r>
      <t xml:space="preserve">Ống inox và phụ kiện của ống
</t>
    </r>
    <r>
      <rPr>
        <b/>
        <i/>
        <sz val="10"/>
        <color indexed="12"/>
        <rFont val="Times New Roman"/>
        <family val="1"/>
      </rPr>
      <t>Stainless steel pipee &amp; fitting for pipe</t>
    </r>
  </si>
  <si>
    <r>
      <t xml:space="preserve">Ống Inox  DN80 dày 5.5mm
</t>
    </r>
    <r>
      <rPr>
        <i/>
        <sz val="10"/>
        <color indexed="12"/>
        <rFont val="Times New Roman"/>
        <family val="1"/>
      </rPr>
      <t xml:space="preserve">Stainless steel pipe  DN80 thick 5.5mm  </t>
    </r>
  </si>
  <si>
    <r>
      <t xml:space="preserve">Ống Inox  DN65 dày 5.16mm
</t>
    </r>
    <r>
      <rPr>
        <i/>
        <sz val="10"/>
        <color indexed="12"/>
        <rFont val="Times New Roman"/>
        <family val="1"/>
      </rPr>
      <t xml:space="preserve">Stainless steel pipe  DN65 thick 5.16mm  </t>
    </r>
  </si>
  <si>
    <r>
      <t xml:space="preserve">Phụ kiện cho ống thép không rỉ 
</t>
    </r>
    <r>
      <rPr>
        <i/>
        <sz val="10"/>
        <color indexed="12"/>
        <rFont val="Times New Roman"/>
        <family val="1"/>
      </rPr>
      <t>Fitting for Stainless steel pipe</t>
    </r>
  </si>
  <si>
    <r>
      <t xml:space="preserve">Ống và phụ kiện dùng cho ống 
</t>
    </r>
    <r>
      <rPr>
        <b/>
        <i/>
        <sz val="10"/>
        <color indexed="12"/>
        <rFont val="Times New Roman"/>
        <family val="1"/>
      </rPr>
      <t>Pipe and fitting for pipe</t>
    </r>
  </si>
  <si>
    <t xml:space="preserve">HDPE DN80- PN10 </t>
  </si>
  <si>
    <r>
      <t xml:space="preserve">Phụ kiện cho ống HDPE
</t>
    </r>
    <r>
      <rPr>
        <i/>
        <sz val="10"/>
        <color indexed="12"/>
        <rFont val="Times New Roman"/>
        <family val="1"/>
      </rPr>
      <t>Fitting for HDPE pipe</t>
    </r>
  </si>
  <si>
    <t>PPR DN15-PN10</t>
  </si>
  <si>
    <t>PPR DN20-PN10</t>
  </si>
  <si>
    <t>PPR DN25-PN10</t>
  </si>
  <si>
    <t>PPR DN32-PN10</t>
  </si>
  <si>
    <t>PPR DN40-PN10</t>
  </si>
  <si>
    <t>PPR DN50-PN10</t>
  </si>
  <si>
    <t>PPR DN80-PN10</t>
  </si>
  <si>
    <t>PPR DN20-PN20</t>
  </si>
  <si>
    <r>
      <t xml:space="preserve">Phụ kiện cho ống PPR
</t>
    </r>
    <r>
      <rPr>
        <i/>
        <sz val="10"/>
        <color indexed="12"/>
        <rFont val="Times New Roman"/>
        <family val="1"/>
      </rPr>
      <t>Fitting for PPR pipe</t>
    </r>
  </si>
  <si>
    <r>
      <t xml:space="preserve">Cùm treo, giá đỡ
</t>
    </r>
    <r>
      <rPr>
        <i/>
        <sz val="10"/>
        <color indexed="12"/>
        <rFont val="Times New Roman"/>
        <family val="1"/>
      </rPr>
      <t>Hanger , support material</t>
    </r>
  </si>
  <si>
    <r>
      <t xml:space="preserve">Thiết bị khác
</t>
    </r>
    <r>
      <rPr>
        <b/>
        <i/>
        <sz val="10"/>
        <color indexed="12"/>
        <rFont val="Times New Roman"/>
        <family val="1"/>
      </rPr>
      <t>Other</t>
    </r>
  </si>
  <si>
    <r>
      <t xml:space="preserve">Máy nước nóng 42L
</t>
    </r>
    <r>
      <rPr>
        <i/>
        <sz val="10"/>
        <color indexed="12"/>
        <rFont val="Times New Roman"/>
        <family val="1"/>
      </rPr>
      <t>Water heater 42L</t>
    </r>
  </si>
  <si>
    <r>
      <t xml:space="preserve">Ống  PP-R  DN20-PN20 có bọc cách nhiệt
</t>
    </r>
    <r>
      <rPr>
        <i/>
        <sz val="10"/>
        <color indexed="12"/>
        <rFont val="Times New Roman"/>
        <family val="1"/>
      </rPr>
      <t>PP-R Pipe DN20-PN20 c/w insulation</t>
    </r>
  </si>
  <si>
    <r>
      <t xml:space="preserve">Phụ kiện ống PPR ( co, tê, lơi...)
</t>
    </r>
    <r>
      <rPr>
        <i/>
        <sz val="10"/>
        <color indexed="12"/>
        <rFont val="Times New Roman"/>
        <family val="1"/>
      </rPr>
      <t xml:space="preserve">Fitting ( elbow, reducer...)  for PPR pipe </t>
    </r>
  </si>
  <si>
    <r>
      <t xml:space="preserve">Van cổng  DN20 cho đường ống nước nóng
</t>
    </r>
    <r>
      <rPr>
        <i/>
        <sz val="10"/>
        <color indexed="12"/>
        <rFont val="Times New Roman"/>
        <family val="1"/>
      </rPr>
      <t>Gate valve  DN20 for water heater</t>
    </r>
  </si>
  <si>
    <r>
      <t xml:space="preserve">Máy bắn nước
</t>
    </r>
    <r>
      <rPr>
        <i/>
        <sz val="10"/>
        <color indexed="12"/>
        <rFont val="Times New Roman"/>
        <family val="1"/>
      </rPr>
      <t>Water jet machine</t>
    </r>
  </si>
  <si>
    <r>
      <t xml:space="preserve">Cung cấp và lắp đặt bởi chủ đầu tư
</t>
    </r>
    <r>
      <rPr>
        <i/>
        <sz val="10"/>
        <color indexed="12"/>
        <rFont val="Times New Roman"/>
        <family val="1"/>
      </rPr>
      <t>by Owner</t>
    </r>
  </si>
  <si>
    <r>
      <t xml:space="preserve">Thiết bị rửa mắt khẩn cấp kết hợp tắm
</t>
    </r>
    <r>
      <rPr>
        <i/>
        <sz val="10"/>
        <color indexed="12"/>
        <rFont val="Times New Roman"/>
        <family val="1"/>
      </rPr>
      <t>Emergency eyewash bowl / shower</t>
    </r>
  </si>
  <si>
    <r>
      <t xml:space="preserve"> Máy lọc nước
</t>
    </r>
    <r>
      <rPr>
        <i/>
        <sz val="10"/>
        <color indexed="12"/>
        <rFont val="Times New Roman"/>
        <family val="1"/>
      </rPr>
      <t xml:space="preserve">Boottle filling station  </t>
    </r>
  </si>
  <si>
    <r>
      <t xml:space="preserve">Thiết bị vệ sinh
</t>
    </r>
    <r>
      <rPr>
        <i/>
        <sz val="10"/>
        <color indexed="12"/>
        <rFont val="Times New Roman"/>
        <family val="1"/>
      </rPr>
      <t>Sanitary equipment</t>
    </r>
  </si>
  <si>
    <r>
      <t xml:space="preserve">Thuộc gói xây dựng
</t>
    </r>
    <r>
      <rPr>
        <i/>
        <sz val="10"/>
        <color indexed="12"/>
        <rFont val="Times New Roman"/>
        <family val="1"/>
      </rPr>
      <t>Belong MC package</t>
    </r>
  </si>
  <si>
    <r>
      <t xml:space="preserve">Hệ thống thoát nước
</t>
    </r>
    <r>
      <rPr>
        <b/>
        <i/>
        <sz val="10"/>
        <color indexed="12"/>
        <rFont val="Times New Roman"/>
        <family val="1"/>
      </rPr>
      <t>Drainage system</t>
    </r>
  </si>
  <si>
    <r>
      <t>Hệ thống thoát nước mưa</t>
    </r>
    <r>
      <rPr>
        <b/>
        <i/>
        <sz val="10"/>
        <rFont val="Times New Roman"/>
        <family val="1"/>
      </rPr>
      <t xml:space="preserve">
</t>
    </r>
    <r>
      <rPr>
        <b/>
        <i/>
        <sz val="10"/>
        <color indexed="12"/>
        <rFont val="Times New Roman"/>
        <family val="1"/>
      </rPr>
      <t>Rainwater drainage system</t>
    </r>
  </si>
  <si>
    <r>
      <t xml:space="preserve">Hố bơm 
</t>
    </r>
    <r>
      <rPr>
        <b/>
        <i/>
        <sz val="10"/>
        <color indexed="12"/>
        <rFont val="Times New Roman"/>
        <family val="1"/>
      </rPr>
      <t>Pump pit</t>
    </r>
  </si>
  <si>
    <r>
      <t xml:space="preserve">Bơm chìm  Q=40.7L/s, H =10m, bao gồm  khớp nối, thanh ray trượt và dây xích 
</t>
    </r>
    <r>
      <rPr>
        <i/>
        <sz val="10"/>
        <color indexed="12"/>
        <rFont val="Times New Roman"/>
        <family val="1"/>
      </rPr>
      <t>Submersible pump: c/w auto coupling and chain</t>
    </r>
  </si>
  <si>
    <r>
      <t xml:space="preserve">Bơm chìm  Q=9.6L/s, H =10m, bao gồm  khớp nối, thanh ray trượt và dây xích 
</t>
    </r>
    <r>
      <rPr>
        <i/>
        <sz val="10"/>
        <color indexed="12"/>
        <rFont val="Times New Roman"/>
        <family val="1"/>
      </rPr>
      <t>Submersible pump: c/w auto coupling and chain</t>
    </r>
  </si>
  <si>
    <r>
      <t xml:space="preserve">Bơm chìm  Q=2.0L/s, H =10m, bao gồm  khớp nối, thanh ray trượt và dây xích 
</t>
    </r>
    <r>
      <rPr>
        <i/>
        <sz val="10"/>
        <color indexed="12"/>
        <rFont val="Times New Roman"/>
        <family val="1"/>
      </rPr>
      <t>Submersible pump: c/w auto coupling and chain</t>
    </r>
  </si>
  <si>
    <r>
      <t xml:space="preserve">Cảm  biến 3 mực nước
</t>
    </r>
    <r>
      <rPr>
        <i/>
        <sz val="10"/>
        <color indexed="12"/>
        <rFont val="Times New Roman"/>
        <family val="1"/>
      </rPr>
      <t>3- Level water level</t>
    </r>
  </si>
  <si>
    <r>
      <t xml:space="preserve">Tủ điều khiển bơm :  CP-B-SP.1
</t>
    </r>
    <r>
      <rPr>
        <i/>
        <sz val="10"/>
        <color indexed="12"/>
        <rFont val="Times New Roman"/>
        <family val="1"/>
      </rPr>
      <t>Control panel for pump: CP-B-SP.1</t>
    </r>
  </si>
  <si>
    <t>MCB 2P 10A 6KA</t>
  </si>
  <si>
    <r>
      <t xml:space="preserve">Điều khiển DOL 3P 7KW
</t>
    </r>
    <r>
      <rPr>
        <i/>
        <sz val="10"/>
        <color indexed="12"/>
        <rFont val="Times New Roman"/>
        <family val="1"/>
      </rPr>
      <t>Control DOL 3P 7KW</t>
    </r>
  </si>
  <si>
    <t>Contactor 3P 25A</t>
  </si>
  <si>
    <t>Overload relay 12-18A</t>
  </si>
  <si>
    <r>
      <t xml:space="preserve">Mạch Điều Khiển DOL
</t>
    </r>
    <r>
      <rPr>
        <i/>
        <sz val="10"/>
        <color indexed="12"/>
        <rFont val="Times New Roman"/>
        <family val="1"/>
      </rPr>
      <t>Control circuit DOL</t>
    </r>
  </si>
  <si>
    <r>
      <t xml:space="preserve">Tủ điều khiển bơm: CP-B-SP.2
</t>
    </r>
    <r>
      <rPr>
        <i/>
        <sz val="10"/>
        <color indexed="12"/>
        <rFont val="Times New Roman"/>
        <family val="1"/>
      </rPr>
      <t>Control panel for pump: CP-B-SP.2</t>
    </r>
  </si>
  <si>
    <t>MCCB 3P 16A 25KA</t>
  </si>
  <si>
    <r>
      <t xml:space="preserve">Điều khiển DOL 3P 3.7KW
</t>
    </r>
    <r>
      <rPr>
        <i/>
        <sz val="10"/>
        <color indexed="12"/>
        <rFont val="Times New Roman"/>
        <family val="1"/>
      </rPr>
      <t>Control DOL 3P 3.7KW</t>
    </r>
  </si>
  <si>
    <t>Contactor 3P 9A</t>
  </si>
  <si>
    <t>Overload relay 7-10A</t>
  </si>
  <si>
    <r>
      <t xml:space="preserve">Tủ điều khiển bơm: CP-B-SP.3
</t>
    </r>
    <r>
      <rPr>
        <i/>
        <sz val="10"/>
        <color indexed="12"/>
        <rFont val="Times New Roman"/>
        <family val="1"/>
      </rPr>
      <t>Control panel for pump: CP-B-SP.3</t>
    </r>
  </si>
  <si>
    <r>
      <t xml:space="preserve">Tủ điều khiển bơm: CP-B-SP.4
</t>
    </r>
    <r>
      <rPr>
        <i/>
        <sz val="10"/>
        <color indexed="12"/>
        <rFont val="Times New Roman"/>
        <family val="1"/>
      </rPr>
      <t>Control panel for pump: CP-B-SP.4</t>
    </r>
  </si>
  <si>
    <t>BV E/1002-Rev 02/21-07-2022</t>
  </si>
  <si>
    <r>
      <t xml:space="preserve">Điều khiển DOL 3P 3.7KW
</t>
    </r>
    <r>
      <rPr>
        <i/>
        <sz val="10"/>
        <color indexed="18"/>
        <rFont val="Times New Roman"/>
        <family val="1"/>
      </rPr>
      <t>Control DOL 3P 3.7KW</t>
    </r>
  </si>
  <si>
    <r>
      <t xml:space="preserve">Van 1 chiều  DN100
</t>
    </r>
    <r>
      <rPr>
        <i/>
        <sz val="10"/>
        <color indexed="12"/>
        <rFont val="Times New Roman"/>
        <family val="1"/>
      </rPr>
      <t>Check valve DN100</t>
    </r>
  </si>
  <si>
    <r>
      <t xml:space="preserve">Van 1 chiều  DN80
</t>
    </r>
    <r>
      <rPr>
        <i/>
        <sz val="10"/>
        <color indexed="12"/>
        <rFont val="Times New Roman"/>
        <family val="1"/>
      </rPr>
      <t>Check valve DN80</t>
    </r>
  </si>
  <si>
    <r>
      <t xml:space="preserve">Van 1 chiều  DN65
</t>
    </r>
    <r>
      <rPr>
        <i/>
        <sz val="10"/>
        <color indexed="12"/>
        <rFont val="Times New Roman"/>
        <family val="1"/>
      </rPr>
      <t>Check valve DN65</t>
    </r>
  </si>
  <si>
    <r>
      <t xml:space="preserve">Khớp nối mềm DN100
</t>
    </r>
    <r>
      <rPr>
        <i/>
        <sz val="10"/>
        <color indexed="12"/>
        <rFont val="Times New Roman"/>
        <family val="1"/>
      </rPr>
      <t>Flexible connector DN100</t>
    </r>
  </si>
  <si>
    <r>
      <t xml:space="preserve">Khớp nối mềm DN80
</t>
    </r>
    <r>
      <rPr>
        <i/>
        <sz val="10"/>
        <color indexed="12"/>
        <rFont val="Times New Roman"/>
        <family val="1"/>
      </rPr>
      <t>Flexible connector DN80</t>
    </r>
  </si>
  <si>
    <r>
      <t xml:space="preserve">Khớp nối mềm DN65
</t>
    </r>
    <r>
      <rPr>
        <i/>
        <sz val="10"/>
        <color indexed="12"/>
        <rFont val="Times New Roman"/>
        <family val="1"/>
      </rPr>
      <t>Flexible connector DN65</t>
    </r>
  </si>
  <si>
    <r>
      <t xml:space="preserve">Phễu thu mái  DN200
</t>
    </r>
    <r>
      <rPr>
        <i/>
        <sz val="10"/>
        <color indexed="12"/>
        <rFont val="Times New Roman"/>
        <family val="1"/>
      </rPr>
      <t>Rain roof floor drain DN200</t>
    </r>
  </si>
  <si>
    <r>
      <t xml:space="preserve">Phiễu thu sàn DN50
</t>
    </r>
    <r>
      <rPr>
        <i/>
        <sz val="10"/>
        <color indexed="12"/>
        <rFont val="Times New Roman"/>
        <family val="1"/>
      </rPr>
      <t>Floor drain DN50</t>
    </r>
  </si>
  <si>
    <r>
      <t xml:space="preserve">Phiễu thu sàn DN80
</t>
    </r>
    <r>
      <rPr>
        <i/>
        <sz val="10"/>
        <color indexed="12"/>
        <rFont val="Times New Roman"/>
        <family val="1"/>
      </rPr>
      <t>Floor drain DN80</t>
    </r>
  </si>
  <si>
    <r>
      <t xml:space="preserve">Ống và phụ kiện dùng cho ống PN6
</t>
    </r>
    <r>
      <rPr>
        <i/>
        <sz val="10"/>
        <color indexed="12"/>
        <rFont val="Times New Roman"/>
        <family val="1"/>
      </rPr>
      <t>Pipe and fitting for pipe PN6</t>
    </r>
  </si>
  <si>
    <t>uPVC DN50 -PN6</t>
  </si>
  <si>
    <t>uPVC DN80 -PN6</t>
  </si>
  <si>
    <t>uPVC DN200 -PN6</t>
  </si>
  <si>
    <t>uPVC DN200 -PN6 có bọc tiêu âm dày 6mm</t>
  </si>
  <si>
    <r>
      <t xml:space="preserve">Phụ kiện cho ống uPVC
</t>
    </r>
    <r>
      <rPr>
        <i/>
        <sz val="10"/>
        <color indexed="12"/>
        <rFont val="Times New Roman"/>
        <family val="1"/>
      </rPr>
      <t>Fitting for uPVC pipe</t>
    </r>
  </si>
  <si>
    <t>HDPE DN50-PN10</t>
  </si>
  <si>
    <t>HDPE DN65-PN10</t>
  </si>
  <si>
    <t>HDPE DN80-PN10</t>
  </si>
  <si>
    <t>HDPE DN100-PN10</t>
  </si>
  <si>
    <t>HDPE DN150-PN10</t>
  </si>
  <si>
    <r>
      <t xml:space="preserve">Nối xuyên sàn PVC
</t>
    </r>
    <r>
      <rPr>
        <i/>
        <sz val="10"/>
        <color indexed="12"/>
        <rFont val="Times New Roman"/>
        <family val="1"/>
      </rPr>
      <t xml:space="preserve">PVC Slab join (sleeve) </t>
    </r>
  </si>
  <si>
    <r>
      <t xml:space="preserve">Đào và lấp đất 
</t>
    </r>
    <r>
      <rPr>
        <i/>
        <sz val="10"/>
        <color indexed="12"/>
        <rFont val="Times New Roman"/>
        <family val="1"/>
      </rPr>
      <t>Excavation and backfilling</t>
    </r>
  </si>
  <si>
    <r>
      <t xml:space="preserve">Vật tư phụ 
</t>
    </r>
    <r>
      <rPr>
        <i/>
        <sz val="10"/>
        <color indexed="12"/>
        <rFont val="Times New Roman"/>
        <family val="1"/>
      </rPr>
      <t>Sub-material</t>
    </r>
  </si>
  <si>
    <r>
      <t>Hệ thống thoát nước sinh hoạt</t>
    </r>
    <r>
      <rPr>
        <b/>
        <i/>
        <sz val="10"/>
        <rFont val="Times New Roman"/>
        <family val="1"/>
      </rPr>
      <t xml:space="preserve">
</t>
    </r>
    <r>
      <rPr>
        <b/>
        <i/>
        <sz val="10"/>
        <color indexed="12"/>
        <rFont val="Times New Roman"/>
        <family val="1"/>
      </rPr>
      <t>Sanitary drain system</t>
    </r>
  </si>
  <si>
    <r>
      <t xml:space="preserve">Bơm chìm nước thải xám  Q=3L/s, H =10m  bao gồm  khớp nối, thanh ray trượt và dây xích 
</t>
    </r>
    <r>
      <rPr>
        <i/>
        <sz val="10"/>
        <color indexed="12"/>
        <rFont val="Times New Roman"/>
        <family val="1"/>
      </rPr>
      <t>Submersible sewwage pump: c/w auto coupling and chain</t>
    </r>
  </si>
  <si>
    <r>
      <t xml:space="preserve">Bơm chìm cánh sắt  Q=2.5L/s, H =10m, bao gồm  khớp nối, thanh ray trượt và dây xích 
</t>
    </r>
    <r>
      <rPr>
        <i/>
        <sz val="10"/>
        <color indexed="12"/>
        <rFont val="Times New Roman"/>
        <family val="1"/>
      </rPr>
      <t>Submersible grinder sewwage pump: c/w auto coupling and chain</t>
    </r>
  </si>
  <si>
    <r>
      <t xml:space="preserve">Tủ điều khiển bơm: CP-B-SP.5
</t>
    </r>
    <r>
      <rPr>
        <i/>
        <sz val="10"/>
        <color indexed="12"/>
        <rFont val="Times New Roman"/>
        <family val="1"/>
      </rPr>
      <t>Control panel for pump: CP-B-SP.5</t>
    </r>
  </si>
  <si>
    <r>
      <t xml:space="preserve">Vật tư phụ ….
</t>
    </r>
    <r>
      <rPr>
        <i/>
        <sz val="10"/>
        <color indexed="12"/>
        <rFont val="Times New Roman"/>
        <family val="1"/>
      </rPr>
      <t>Sub-material…..</t>
    </r>
  </si>
  <si>
    <r>
      <t xml:space="preserve">Phiễu thu sàn có bẫy 
</t>
    </r>
    <r>
      <rPr>
        <i/>
        <sz val="10"/>
        <color indexed="12"/>
        <rFont val="Times New Roman"/>
        <family val="1"/>
      </rPr>
      <t>Floor trap DN50</t>
    </r>
  </si>
  <si>
    <r>
      <t xml:space="preserve">Phiễu thu sàn 
</t>
    </r>
    <r>
      <rPr>
        <i/>
        <sz val="10"/>
        <color indexed="12"/>
        <rFont val="Times New Roman"/>
        <family val="1"/>
      </rPr>
      <t>Floor drain DN50</t>
    </r>
  </si>
  <si>
    <r>
      <t xml:space="preserve">Phiễu thu sàn có bẫy 
</t>
    </r>
    <r>
      <rPr>
        <i/>
        <sz val="10"/>
        <color indexed="12"/>
        <rFont val="Times New Roman"/>
        <family val="1"/>
      </rPr>
      <t>Floor trap DN80</t>
    </r>
  </si>
  <si>
    <r>
      <t xml:space="preserve">Phiễu thu sàn 
</t>
    </r>
    <r>
      <rPr>
        <i/>
        <sz val="10"/>
        <color indexed="12"/>
        <rFont val="Times New Roman"/>
        <family val="1"/>
      </rPr>
      <t>Floor drain DN80</t>
    </r>
  </si>
  <si>
    <r>
      <t xml:space="preserve">Ống và phụ kiện dùng cho ống PN6
</t>
    </r>
    <r>
      <rPr>
        <b/>
        <i/>
        <sz val="10"/>
        <color indexed="12"/>
        <rFont val="Times New Roman"/>
        <family val="1"/>
      </rPr>
      <t>Pipe and fitting for pipe PN6</t>
    </r>
  </si>
  <si>
    <t>uPVC DN25 -PN6</t>
  </si>
  <si>
    <t>uPVC DN65 -PN6</t>
  </si>
  <si>
    <t>uPVC DN100 -PN6</t>
  </si>
  <si>
    <t xml:space="preserve">uPVC DN150 -PN6 </t>
  </si>
  <si>
    <t>uPVC DN50 -PN6 có bọc tiêu âm dày 6mm</t>
  </si>
  <si>
    <t>uPVC DN65 -PN6  có bọc tiêu âm dày 6mm</t>
  </si>
  <si>
    <t>uPVC DN80 -PN6 có bọc tiêu âm dày 6mm</t>
  </si>
  <si>
    <r>
      <t xml:space="preserve">Ống và phụ kiện dùng cho ống PN9
</t>
    </r>
    <r>
      <rPr>
        <b/>
        <i/>
        <sz val="10"/>
        <color indexed="12"/>
        <rFont val="Times New Roman"/>
        <family val="1"/>
      </rPr>
      <t>Pipe and fitting for pipe PN9</t>
    </r>
  </si>
  <si>
    <t>uPVC DN50 -PN9</t>
  </si>
  <si>
    <t>uPVC DN80 -PN9</t>
  </si>
  <si>
    <t xml:space="preserve">uPVC DN100 -PN9 </t>
  </si>
  <si>
    <r>
      <t xml:space="preserve">Phụ kiện cho ống  uPVC
</t>
    </r>
    <r>
      <rPr>
        <i/>
        <sz val="10"/>
        <color indexed="12"/>
        <rFont val="Times New Roman"/>
        <family val="1"/>
      </rPr>
      <t>Fitting for uPVC pipe</t>
    </r>
  </si>
  <si>
    <r>
      <t xml:space="preserve">Nối xuyên sàn PVC
</t>
    </r>
    <r>
      <rPr>
        <i/>
        <sz val="10"/>
        <rFont val="Times New Roman"/>
        <family val="1"/>
      </rPr>
      <t xml:space="preserve">PVC Slab join (sleeve) </t>
    </r>
  </si>
  <si>
    <r>
      <t xml:space="preserve">Vật tư phụ ...
</t>
    </r>
    <r>
      <rPr>
        <i/>
        <sz val="10"/>
        <color indexed="62"/>
        <rFont val="Times New Roman"/>
        <family val="1"/>
      </rPr>
      <t>Sub-material…..</t>
    </r>
  </si>
  <si>
    <r>
      <t>Thiết bị khác</t>
    </r>
    <r>
      <rPr>
        <b/>
        <i/>
        <sz val="10"/>
        <rFont val="Times New Roman"/>
        <family val="1"/>
      </rPr>
      <t xml:space="preserve">
</t>
    </r>
    <r>
      <rPr>
        <b/>
        <i/>
        <sz val="10"/>
        <color indexed="12"/>
        <rFont val="Times New Roman"/>
        <family val="1"/>
      </rPr>
      <t>Other</t>
    </r>
  </si>
  <si>
    <r>
      <t xml:space="preserve">Hệ thống xử lý hoá chất từ thí nghiệm  hóa học
</t>
    </r>
    <r>
      <rPr>
        <i/>
        <sz val="10"/>
        <color indexed="12"/>
        <rFont val="Times New Roman"/>
        <family val="1"/>
      </rPr>
      <t>Chemical treatment system for chemical lab</t>
    </r>
  </si>
  <si>
    <r>
      <t xml:space="preserve">Kiểm tra và vận hành bàn giao...
</t>
    </r>
    <r>
      <rPr>
        <i/>
        <sz val="10"/>
        <color indexed="12"/>
        <rFont val="Times New Roman"/>
        <family val="1"/>
      </rPr>
      <t>Testing and commissioning &amp; handover.  ….</t>
    </r>
  </si>
  <si>
    <t>C</t>
  </si>
  <si>
    <r>
      <t xml:space="preserve">HỆ THỐNG THÔNG GIÓ VÀ ĐHKK
</t>
    </r>
    <r>
      <rPr>
        <b/>
        <i/>
        <sz val="10"/>
        <color indexed="12"/>
        <rFont val="Times New Roman"/>
        <family val="1"/>
      </rPr>
      <t>HVAC SYSTEM</t>
    </r>
  </si>
  <si>
    <r>
      <t>Hệ thống thông gió</t>
    </r>
    <r>
      <rPr>
        <b/>
        <i/>
        <sz val="10"/>
        <rFont val="Times New Roman"/>
        <family val="1"/>
      </rPr>
      <t xml:space="preserve">
</t>
    </r>
    <r>
      <rPr>
        <b/>
        <i/>
        <sz val="10"/>
        <color indexed="12"/>
        <rFont val="Times New Roman"/>
        <family val="1"/>
      </rPr>
      <t>Ventilation system</t>
    </r>
  </si>
  <si>
    <r>
      <t xml:space="preserve">Thiết bị quạt và các phụ kiện
</t>
    </r>
    <r>
      <rPr>
        <b/>
        <i/>
        <sz val="10"/>
        <color indexed="12"/>
        <rFont val="Times New Roman"/>
        <family val="1"/>
      </rPr>
      <t>Fan &amp; Accessories</t>
    </r>
  </si>
  <si>
    <r>
      <t xml:space="preserve">Axial fan: EAF-BF-01: 15,880 (E/M)(m3/h), 300 (E/M)Pa, </t>
    </r>
    <r>
      <rPr>
        <i/>
        <sz val="10"/>
        <rFont val="Times New Roman"/>
        <family val="1"/>
      </rPr>
      <t>380/3/50(V/Ph/Hz), fire rated 250oC@1h</t>
    </r>
  </si>
  <si>
    <r>
      <t xml:space="preserve">Axial fan: LLPF-BF-01: 17,555 (E/M)(m3/h), 250 (E/M)Pa, </t>
    </r>
    <r>
      <rPr>
        <i/>
        <sz val="10"/>
        <rFont val="Times New Roman"/>
        <family val="1"/>
      </rPr>
      <t>380/3/50(V/Ph/Hz), fire rated 250oC@1h</t>
    </r>
  </si>
  <si>
    <t>Axial fan: EAF-BF-01: 1300m3/h, 250Pa, 380/3/50(V/Ph/Hz)</t>
  </si>
  <si>
    <t>Axial fan: EAF-BF-02: 3150m3/h, 250Pa, 380/3/50(V/Ph/Hz)</t>
  </si>
  <si>
    <t>Axial fan: EAF-BF-03: 5400m3/h, 250Pa, 380/3/50(V/Ph/Hz)</t>
  </si>
  <si>
    <t>Axial fan: EAF-BF-04: 1280m3/h, 175Pa, 240/1/50(V/Ph/Hz)</t>
  </si>
  <si>
    <t>Axial fan: EAF-BF-05: 1325m3/h, 175Pa, 240/1/50(V/Ph/Hz)</t>
  </si>
  <si>
    <t>Axial fan: EAF-BF-06: 600m3/h, 250Pa, 240/1/50(V/Ph/Hz)</t>
  </si>
  <si>
    <t>Axial fan: FAF-BF-01: 1040m3/h, 250Pa, 240/1/50(V/Ph/Hz)</t>
  </si>
  <si>
    <t>Axial fan: FAF-BF-02: 2520m3/h, 250Pa, 240/1/50(V/Ph/Hz)</t>
  </si>
  <si>
    <t>Axial fan: FAF-BF-03: 4230m3/h, 250Pa, 240/1/50(V/Ph/Hz)</t>
  </si>
  <si>
    <t>Axial fan: FAF-BF-04: 1024m3/h, 250Pa, 240/1/50(V/Ph/Hz)</t>
  </si>
  <si>
    <t>Axial fan: FAF-BF-05: 1060m3/h, 175Pa, 240/1/50(V/Ph/Hz)</t>
  </si>
  <si>
    <t>Axial fan: FAF-BF-06: 480m3/h, 175Pa, 240/1/50(V/Ph/Hz)</t>
  </si>
  <si>
    <t>Axial fan: FAF-BF-07: 1290m3/h, 300Pa, 380/3/50(V/Ph/Hz)</t>
  </si>
  <si>
    <t>Axial fan: EAF-GF-01: 980m3/h, 150Pa, 240/1/50(V/Ph/Hz)</t>
  </si>
  <si>
    <r>
      <t>Ceiling fan: CF-GF-01</t>
    </r>
    <r>
      <rPr>
        <sz val="10"/>
        <rFont val="Times New Roman"/>
        <family val="1"/>
      </rPr>
      <t>~06</t>
    </r>
    <r>
      <rPr>
        <sz val="10"/>
        <rFont val="Times New Roman"/>
        <family val="1"/>
      </rPr>
      <t xml:space="preserve"> ,12.900m3/h, 240V/1PH/50Hz</t>
    </r>
  </si>
  <si>
    <t>Axial fan: EAF-2F-01: 1955m3/h, 200Pa, 240/1/50(V/Ph/Hz)</t>
  </si>
  <si>
    <r>
      <t>Ceiling fan: CF-2F-01</t>
    </r>
    <r>
      <rPr>
        <sz val="10"/>
        <rFont val="Times New Roman"/>
        <family val="1"/>
      </rPr>
      <t>~07</t>
    </r>
    <r>
      <rPr>
        <sz val="10"/>
        <rFont val="Times New Roman"/>
        <family val="1"/>
      </rPr>
      <t xml:space="preserve"> ,12.900m3/h, 240V/1PH/50Hz</t>
    </r>
  </si>
  <si>
    <t>Ceiling fan: CF-3F-01~11 ,12.900m3/h, 240V/1PH/50Hz</t>
  </si>
  <si>
    <t>Ceiling fan: CF-4F-01~09 ,12.900m3/h, 240V/1PH/50Hz</t>
  </si>
  <si>
    <r>
      <t xml:space="preserve">Axial fan: SEF-RF-01: 21850(m3/h), 300 (E/M)Pa, </t>
    </r>
    <r>
      <rPr>
        <i/>
        <sz val="10"/>
        <rFont val="Times New Roman"/>
        <family val="1"/>
      </rPr>
      <t>380/3/50(V/Ph/Hz), fire rated 250oC@1h</t>
    </r>
  </si>
  <si>
    <t>Axial fan: EAF-RF-01A, EAF-RF-01B: 4845m3/h, 325Pa, 240/1/50(V/Ph/Hz)</t>
  </si>
  <si>
    <t>Axial fan: EAF-RF-02: 2860m3/h, 150Pa, 240/1/50(V/Ph/Hz)</t>
  </si>
  <si>
    <t>Axial fan: EAF-RF-03: 3000m3/h, 150Pa, 240/1/50(V/Ph/Hz)</t>
  </si>
  <si>
    <t>Axial fan: EAF-RF-04: 2760m3/h, 150Pa, 240/1/50(V/Ph/Hz)</t>
  </si>
  <si>
    <t>Axial fan: EAF-RF-05: 2580m3/h, 150Pa, 240/1/50(V/Ph/Hz)</t>
  </si>
  <si>
    <t>Wall fan: EAF-RF-06 ,1800m3/h, 0.25kW-240V/1PH/50Hz</t>
  </si>
  <si>
    <r>
      <t xml:space="preserve">Bộ lọc không khí ( gắn trên đường ống gió quạt  FAF-BF-07)
</t>
    </r>
    <r>
      <rPr>
        <i/>
        <sz val="10"/>
        <color indexed="12"/>
        <rFont val="Times New Roman"/>
        <family val="1"/>
      </rPr>
      <t xml:space="preserve">Filter </t>
    </r>
  </si>
  <si>
    <r>
      <t xml:space="preserve">Bộ điều khiển quạt trần
</t>
    </r>
    <r>
      <rPr>
        <i/>
        <sz val="10"/>
        <color indexed="12"/>
        <rFont val="Times New Roman"/>
        <family val="1"/>
      </rPr>
      <t>Unit control for Ceiling fan</t>
    </r>
  </si>
  <si>
    <r>
      <t xml:space="preserve">Vòng kết nối vào/ ra
</t>
    </r>
    <r>
      <rPr>
        <i/>
        <sz val="10"/>
        <color indexed="12"/>
        <rFont val="Times New Roman"/>
        <family val="1"/>
      </rPr>
      <t>Inlet/Outlet flange for fans</t>
    </r>
  </si>
  <si>
    <r>
      <t xml:space="preserve">Lò xo chống rung
</t>
    </r>
    <r>
      <rPr>
        <i/>
        <sz val="10"/>
        <color indexed="12"/>
        <rFont val="Times New Roman"/>
        <family val="1"/>
      </rPr>
      <t>Spring isolator for fans</t>
    </r>
  </si>
  <si>
    <r>
      <t xml:space="preserve">Cảm biến chênh áp lực khí (DP)
</t>
    </r>
    <r>
      <rPr>
        <i/>
        <sz val="10"/>
        <color indexed="12"/>
        <rFont val="Times New Roman"/>
        <family val="1"/>
      </rPr>
      <t>Air differential pressure sensor (DP)</t>
    </r>
  </si>
  <si>
    <r>
      <t xml:space="preserve">Đầu dò khói trong ống gió
</t>
    </r>
    <r>
      <rPr>
        <i/>
        <sz val="10"/>
        <color indexed="12"/>
        <rFont val="Times New Roman"/>
        <family val="1"/>
      </rPr>
      <t>Smoke detector  in air duct</t>
    </r>
  </si>
  <si>
    <r>
      <t xml:space="preserve">Cáp tín hiệu gồm ống luồn cho đầu dò khói, cảm  biến...
</t>
    </r>
    <r>
      <rPr>
        <i/>
        <sz val="10"/>
        <color indexed="12"/>
        <rFont val="Times New Roman"/>
        <family val="1"/>
      </rPr>
      <t>Signal cable c/w conduit  for smoke detector, Air differential pressure sensor sensor,</t>
    </r>
  </si>
  <si>
    <r>
      <t xml:space="preserve">Phụ kiện và vật tư phụ….
</t>
    </r>
    <r>
      <rPr>
        <i/>
        <sz val="10"/>
        <color indexed="12"/>
        <rFont val="Times New Roman"/>
        <family val="1"/>
      </rPr>
      <t>Fittings and accessories…..</t>
    </r>
  </si>
  <si>
    <r>
      <t xml:space="preserve">Ống gió và các phụ kiện
</t>
    </r>
    <r>
      <rPr>
        <b/>
        <i/>
        <sz val="10"/>
        <color indexed="12"/>
        <rFont val="Times New Roman"/>
        <family val="1"/>
      </rPr>
      <t>Air duct &amp; Accessories</t>
    </r>
  </si>
  <si>
    <r>
      <t xml:space="preserve">Tấm tôn tráng kẽm dày 1.2mm  (loại chống cháy EI 45)
</t>
    </r>
    <r>
      <rPr>
        <i/>
        <sz val="10"/>
        <color indexed="12"/>
        <rFont val="Times New Roman"/>
        <family val="1"/>
      </rPr>
      <t>Galvanized tole sheet thick 1.2mm  (type fire rated EI 45 )</t>
    </r>
  </si>
  <si>
    <t>m2</t>
  </si>
  <si>
    <r>
      <t xml:space="preserve">Tấm tôn tráng kẽm dày 1.2mm  (loại chống cháy EI 30)
</t>
    </r>
    <r>
      <rPr>
        <i/>
        <sz val="10"/>
        <color indexed="12"/>
        <rFont val="Times New Roman"/>
        <family val="1"/>
      </rPr>
      <t>Galvanized tole sheet thick 1.2mm  (type fire rated EI 30)</t>
    </r>
  </si>
  <si>
    <r>
      <t xml:space="preserve">Tấm tôn tráng kẽm dày 0.8mm  có bọc tiêu âm  ngoài
</t>
    </r>
    <r>
      <rPr>
        <i/>
        <sz val="10"/>
        <color indexed="12"/>
        <rFont val="Times New Roman"/>
        <family val="1"/>
      </rPr>
      <t>Galvanized tole sheet thick 0.8mm c/w acoustic outside</t>
    </r>
  </si>
  <si>
    <r>
      <t xml:space="preserve">Tấm tôn tráng kẽm dày 0.6mm  có bọc tiêu âm  ngoài
</t>
    </r>
    <r>
      <rPr>
        <i/>
        <sz val="10"/>
        <color indexed="12"/>
        <rFont val="Times New Roman"/>
        <family val="1"/>
      </rPr>
      <t>Galvanized tole sheet thick 0.6mm c/w acoustic outside</t>
    </r>
  </si>
  <si>
    <r>
      <t xml:space="preserve">Tấm tôn tráng kẽm dày 1.2mm 
</t>
    </r>
    <r>
      <rPr>
        <i/>
        <sz val="10"/>
        <color indexed="12"/>
        <rFont val="Times New Roman"/>
        <family val="1"/>
      </rPr>
      <t>Galvanized tole sheet thick 1.2mm</t>
    </r>
  </si>
  <si>
    <r>
      <t xml:space="preserve">Tấm tôn tráng kẽm dày 0.8mm  
</t>
    </r>
    <r>
      <rPr>
        <i/>
        <sz val="10"/>
        <color indexed="12"/>
        <rFont val="Times New Roman"/>
        <family val="1"/>
      </rPr>
      <t xml:space="preserve">Galvanized tole sheet thick 0.8mm </t>
    </r>
  </si>
  <si>
    <r>
      <t xml:space="preserve">Tấm tôn tráng kẽm dày 0.6mm  
</t>
    </r>
    <r>
      <rPr>
        <i/>
        <sz val="10"/>
        <color indexed="12"/>
        <rFont val="Times New Roman"/>
        <family val="1"/>
      </rPr>
      <t xml:space="preserve">Galvanized tole sheet thick 0.6mm </t>
    </r>
  </si>
  <si>
    <r>
      <t xml:space="preserve">Tấm tôn soi lỗ dày 0.75mm
</t>
    </r>
    <r>
      <rPr>
        <i/>
        <sz val="10"/>
        <color indexed="12"/>
        <rFont val="Times New Roman"/>
        <family val="1"/>
      </rPr>
      <t>Preformed hole tole sheet thick 0.75mm</t>
    </r>
  </si>
  <si>
    <r>
      <t xml:space="preserve">Bông khoáng dày 50mm-60kg/m3
</t>
    </r>
    <r>
      <rPr>
        <i/>
        <sz val="10"/>
        <color indexed="12"/>
        <rFont val="Times New Roman"/>
        <family val="1"/>
      </rPr>
      <t>'Rookwool thickness 50mm-60kg/m3</t>
    </r>
  </si>
  <si>
    <r>
      <t xml:space="preserve">Vải chống cháy
</t>
    </r>
    <r>
      <rPr>
        <i/>
        <sz val="10"/>
        <color indexed="12"/>
        <rFont val="Times New Roman"/>
        <family val="1"/>
      </rPr>
      <t>Fireproof fabric</t>
    </r>
  </si>
  <si>
    <r>
      <t xml:space="preserve">Simili thường
</t>
    </r>
    <r>
      <rPr>
        <i/>
        <sz val="10"/>
        <color indexed="12"/>
        <rFont val="Times New Roman"/>
        <family val="1"/>
      </rPr>
      <t xml:space="preserve">Normal simili </t>
    </r>
  </si>
  <si>
    <r>
      <t xml:space="preserve">Simili chống cháy
</t>
    </r>
    <r>
      <rPr>
        <i/>
        <sz val="10"/>
        <color indexed="12"/>
        <rFont val="Times New Roman"/>
        <family val="1"/>
      </rPr>
      <t>Fire resistant simili</t>
    </r>
  </si>
  <si>
    <r>
      <t xml:space="preserve">Ống gió mềm D150
</t>
    </r>
    <r>
      <rPr>
        <i/>
        <sz val="10"/>
        <color indexed="12"/>
        <rFont val="Times New Roman"/>
        <family val="1"/>
      </rPr>
      <t>Flexible duct D150</t>
    </r>
  </si>
  <si>
    <r>
      <t xml:space="preserve">Ống gió mềm D200
</t>
    </r>
    <r>
      <rPr>
        <i/>
        <sz val="10"/>
        <color indexed="12"/>
        <rFont val="Times New Roman"/>
        <family val="1"/>
      </rPr>
      <t>Flexible duct D200</t>
    </r>
  </si>
  <si>
    <r>
      <t xml:space="preserve">Ống gió mềm D250
</t>
    </r>
    <r>
      <rPr>
        <i/>
        <sz val="10"/>
        <color indexed="12"/>
        <rFont val="Times New Roman"/>
        <family val="1"/>
      </rPr>
      <t>Flexible duct D250</t>
    </r>
  </si>
  <si>
    <r>
      <t xml:space="preserve">Hộp tiêu âm  quạt
</t>
    </r>
    <r>
      <rPr>
        <i/>
        <sz val="10"/>
        <color indexed="12"/>
        <rFont val="Times New Roman"/>
        <family val="1"/>
      </rPr>
      <t xml:space="preserve">Silence box for fan </t>
    </r>
  </si>
  <si>
    <r>
      <t xml:space="preserve">Giá đõ ống gió
</t>
    </r>
    <r>
      <rPr>
        <b/>
        <i/>
        <sz val="10"/>
        <color indexed="12"/>
        <rFont val="Times New Roman"/>
        <family val="1"/>
      </rPr>
      <t>Support air duct</t>
    </r>
  </si>
  <si>
    <r>
      <t>Sắt V50*50*5mm</t>
    </r>
    <r>
      <rPr>
        <sz val="10"/>
        <color indexed="12"/>
        <rFont val="Times New Roman"/>
        <family val="1"/>
      </rPr>
      <t xml:space="preserve">
</t>
    </r>
    <r>
      <rPr>
        <i/>
        <sz val="10"/>
        <color indexed="12"/>
        <rFont val="Times New Roman"/>
        <family val="1"/>
      </rPr>
      <t>Steel V50*50*5mm</t>
    </r>
  </si>
  <si>
    <r>
      <t xml:space="preserve">Sắt V40*40*4mm
</t>
    </r>
    <r>
      <rPr>
        <i/>
        <sz val="10"/>
        <color indexed="12"/>
        <rFont val="Times New Roman"/>
        <family val="1"/>
      </rPr>
      <t>Steel V40*40*4mm</t>
    </r>
  </si>
  <si>
    <r>
      <t xml:space="preserve">Sắt V30*30*3mm
</t>
    </r>
    <r>
      <rPr>
        <i/>
        <sz val="10"/>
        <color indexed="12"/>
        <rFont val="Times New Roman"/>
        <family val="1"/>
      </rPr>
      <t>Steel V30*30*3mm</t>
    </r>
  </si>
  <si>
    <r>
      <t xml:space="preserve">Ty răng M12
</t>
    </r>
    <r>
      <rPr>
        <i/>
        <sz val="10"/>
        <color indexed="12"/>
        <rFont val="Times New Roman"/>
        <family val="1"/>
      </rPr>
      <t>Hanger rod M12</t>
    </r>
  </si>
  <si>
    <r>
      <t xml:space="preserve">Ty răng M10
</t>
    </r>
    <r>
      <rPr>
        <i/>
        <sz val="10"/>
        <color indexed="12"/>
        <rFont val="Times New Roman"/>
        <family val="1"/>
      </rPr>
      <t>Hanger rod M10</t>
    </r>
  </si>
  <si>
    <r>
      <t xml:space="preserve">Ty răng M8
</t>
    </r>
    <r>
      <rPr>
        <i/>
        <sz val="10"/>
        <color indexed="12"/>
        <rFont val="Times New Roman"/>
        <family val="1"/>
      </rPr>
      <t>Hanger rod M8</t>
    </r>
  </si>
  <si>
    <r>
      <t xml:space="preserve">Ke góc 30*30*3mm
</t>
    </r>
    <r>
      <rPr>
        <i/>
        <sz val="10"/>
        <color indexed="12"/>
        <rFont val="Times New Roman"/>
        <family val="1"/>
      </rPr>
      <t>Angle steel 30*30*3mm</t>
    </r>
  </si>
  <si>
    <r>
      <t xml:space="preserve">Van và miệng gió
</t>
    </r>
    <r>
      <rPr>
        <b/>
        <i/>
        <sz val="10"/>
        <color indexed="12"/>
        <rFont val="Times New Roman"/>
        <family val="1"/>
      </rPr>
      <t xml:space="preserve">Valve &amp; grille </t>
    </r>
  </si>
  <si>
    <r>
      <t xml:space="preserve">Miệng gió hút kèm cánh điều chỉnh lưu lượng 
</t>
    </r>
    <r>
      <rPr>
        <b/>
        <i/>
        <sz val="10"/>
        <color indexed="12"/>
        <rFont val="Times New Roman"/>
        <family val="1"/>
      </rPr>
      <t>Exhaust air grille c/w OBD</t>
    </r>
  </si>
  <si>
    <t>EAG 900x400 c/w OBD</t>
  </si>
  <si>
    <t>EAG 800x500 c/w OBD</t>
  </si>
  <si>
    <t>EAG 700x300 c/w OBD</t>
  </si>
  <si>
    <t>EAG 500x300 c/w OBD</t>
  </si>
  <si>
    <t>EAG 400x400 c/w OBD</t>
  </si>
  <si>
    <t>EAG 350x350 c/w OBD</t>
  </si>
  <si>
    <t>EAG 300x300 c/w OBD</t>
  </si>
  <si>
    <t>EAG 250x250 c/w OBD</t>
  </si>
  <si>
    <t>EAG 200x200 c/w OBD</t>
  </si>
  <si>
    <r>
      <t xml:space="preserve">Miệng gió hút khói kèm cánh điều chỉnh lưu lượng 
</t>
    </r>
    <r>
      <rPr>
        <b/>
        <i/>
        <sz val="10"/>
        <color indexed="12"/>
        <rFont val="Times New Roman"/>
        <family val="1"/>
      </rPr>
      <t>Smoke exhaust air grille c/w OBD</t>
    </r>
  </si>
  <si>
    <t>SEG 1500x600 c/w OBD</t>
  </si>
  <si>
    <r>
      <t xml:space="preserve">Cửa gió cấp kèm lưới chắn côn trùng
</t>
    </r>
    <r>
      <rPr>
        <b/>
        <i/>
        <sz val="10"/>
        <color indexed="12"/>
        <rFont val="Times New Roman"/>
        <family val="1"/>
      </rPr>
      <t xml:space="preserve">Supply air louve c/w insect screen </t>
    </r>
  </si>
  <si>
    <t xml:space="preserve">SAL 3800x450 c/w insect screen </t>
  </si>
  <si>
    <r>
      <t xml:space="preserve">Van ngăn cháy 
</t>
    </r>
    <r>
      <rPr>
        <b/>
        <i/>
        <sz val="10"/>
        <color indexed="12"/>
        <rFont val="Times New Roman"/>
        <family val="1"/>
      </rPr>
      <t>Fire damper</t>
    </r>
  </si>
  <si>
    <t>Fire damper FD 1300x350</t>
  </si>
  <si>
    <t>Fire damper FD 1300x300</t>
  </si>
  <si>
    <t>Fire damper FD 1150x350</t>
  </si>
  <si>
    <t>Fire damper FD 850x300</t>
  </si>
  <si>
    <t>Fire damper FD 700x120</t>
  </si>
  <si>
    <t>Fire damper FD 600x250</t>
  </si>
  <si>
    <t>Fire damper FD 600x200</t>
  </si>
  <si>
    <t>Fire damper FD 500x200</t>
  </si>
  <si>
    <t>Fire damper FD 450x200</t>
  </si>
  <si>
    <t>Fire damper FD 400x200</t>
  </si>
  <si>
    <t>Fire damper FD 350x200</t>
  </si>
  <si>
    <t>Fire damper FD 350x150</t>
  </si>
  <si>
    <t>Fire damper FD 300x150</t>
  </si>
  <si>
    <t>Fire damper FD 250x150</t>
  </si>
  <si>
    <r>
      <t xml:space="preserve">Lưới chắn côn trùng
</t>
    </r>
    <r>
      <rPr>
        <b/>
        <i/>
        <sz val="10"/>
        <color indexed="12"/>
        <rFont val="Times New Roman"/>
        <family val="1"/>
      </rPr>
      <t xml:space="preserve">Insect screen </t>
    </r>
  </si>
  <si>
    <r>
      <t xml:space="preserve">Lưới chắn côn trùng: 1150x350
</t>
    </r>
    <r>
      <rPr>
        <i/>
        <sz val="10"/>
        <color indexed="12"/>
        <rFont val="Times New Roman"/>
        <family val="1"/>
      </rPr>
      <t>Insect screen: 1150x350</t>
    </r>
  </si>
  <si>
    <r>
      <t xml:space="preserve">Lưới chắn côn trùng: 600x300
</t>
    </r>
    <r>
      <rPr>
        <i/>
        <sz val="10"/>
        <color indexed="12"/>
        <rFont val="Times New Roman"/>
        <family val="1"/>
      </rPr>
      <t>Insect screen: 600x300</t>
    </r>
  </si>
  <si>
    <r>
      <t xml:space="preserve">Lưới chắn côn trùng: 500x500
</t>
    </r>
    <r>
      <rPr>
        <i/>
        <sz val="10"/>
        <color indexed="12"/>
        <rFont val="Times New Roman"/>
        <family val="1"/>
      </rPr>
      <t>Insect screen: 500x500</t>
    </r>
  </si>
  <si>
    <r>
      <t xml:space="preserve">Lưới chắn côn trùng: 500x300
</t>
    </r>
    <r>
      <rPr>
        <i/>
        <sz val="10"/>
        <color indexed="12"/>
        <rFont val="Times New Roman"/>
        <family val="1"/>
      </rPr>
      <t>Insect screen: 500x300</t>
    </r>
  </si>
  <si>
    <r>
      <t xml:space="preserve">Lưới chắn côn trùng: 400x200
</t>
    </r>
    <r>
      <rPr>
        <i/>
        <sz val="10"/>
        <color indexed="12"/>
        <rFont val="Times New Roman"/>
        <family val="1"/>
      </rPr>
      <t>Insect screen: 400x200</t>
    </r>
  </si>
  <si>
    <r>
      <t xml:space="preserve">Van một chiều 
</t>
    </r>
    <r>
      <rPr>
        <b/>
        <i/>
        <sz val="10"/>
        <color indexed="12"/>
        <rFont val="Times New Roman"/>
        <family val="1"/>
      </rPr>
      <t xml:space="preserve">Non return damper </t>
    </r>
  </si>
  <si>
    <r>
      <t xml:space="preserve">Van gió 1 chiều NRD: 5400x200
</t>
    </r>
    <r>
      <rPr>
        <i/>
        <sz val="10"/>
        <color indexed="12"/>
        <rFont val="Times New Roman"/>
        <family val="1"/>
      </rPr>
      <t>Non return damper NRD: 5400x200</t>
    </r>
  </si>
  <si>
    <r>
      <t xml:space="preserve">Van gió 1 chiều NRD: 1300x300
</t>
    </r>
    <r>
      <rPr>
        <i/>
        <sz val="10"/>
        <color indexed="12"/>
        <rFont val="Times New Roman"/>
        <family val="1"/>
      </rPr>
      <t>Non return damper NRD: 1300x300</t>
    </r>
  </si>
  <si>
    <r>
      <t xml:space="preserve">Van gió 1 chiều NRD: 850x300
</t>
    </r>
    <r>
      <rPr>
        <i/>
        <sz val="10"/>
        <color indexed="12"/>
        <rFont val="Times New Roman"/>
        <family val="1"/>
      </rPr>
      <t>Non return damper NRD: 850x300</t>
    </r>
  </si>
  <si>
    <r>
      <t xml:space="preserve">Van gió 1 chiều NRD: 700x300
</t>
    </r>
    <r>
      <rPr>
        <i/>
        <sz val="10"/>
        <color indexed="12"/>
        <rFont val="Times New Roman"/>
        <family val="1"/>
      </rPr>
      <t>Non return damper NRD: 700x300</t>
    </r>
  </si>
  <si>
    <r>
      <t xml:space="preserve">Van gió 1 chiều NRD: 700x250
</t>
    </r>
    <r>
      <rPr>
        <i/>
        <sz val="10"/>
        <color indexed="12"/>
        <rFont val="Times New Roman"/>
        <family val="1"/>
      </rPr>
      <t>Non return damper NRD: 700x250</t>
    </r>
  </si>
  <si>
    <r>
      <t xml:space="preserve">Van gió 1 chiều NRD: 600x250
</t>
    </r>
    <r>
      <rPr>
        <i/>
        <sz val="10"/>
        <color indexed="12"/>
        <rFont val="Times New Roman"/>
        <family val="1"/>
      </rPr>
      <t>Non return damper NRD: 600x250</t>
    </r>
  </si>
  <si>
    <r>
      <t xml:space="preserve">Van gió 1 chiều NRD: 500x500
</t>
    </r>
    <r>
      <rPr>
        <i/>
        <sz val="10"/>
        <color indexed="12"/>
        <rFont val="Times New Roman"/>
        <family val="1"/>
      </rPr>
      <t>Non return damper NRD: 500x500</t>
    </r>
  </si>
  <si>
    <r>
      <t xml:space="preserve">Van gió 1 chiều NRD: 500x200
</t>
    </r>
    <r>
      <rPr>
        <i/>
        <sz val="10"/>
        <color indexed="12"/>
        <rFont val="Times New Roman"/>
        <family val="1"/>
      </rPr>
      <t>Non return damper NRD: 500x200</t>
    </r>
  </si>
  <si>
    <r>
      <t xml:space="preserve">Van gió 1 chiều NRD: 450x200
</t>
    </r>
    <r>
      <rPr>
        <i/>
        <sz val="10"/>
        <color indexed="12"/>
        <rFont val="Times New Roman"/>
        <family val="1"/>
      </rPr>
      <t>Non return damper NRD: 450x200</t>
    </r>
  </si>
  <si>
    <r>
      <t xml:space="preserve">Van gió 1 chiều NRD: 350x150
</t>
    </r>
    <r>
      <rPr>
        <i/>
        <sz val="10"/>
        <color indexed="12"/>
        <rFont val="Times New Roman"/>
        <family val="1"/>
      </rPr>
      <t xml:space="preserve">Non return damper NRD:350x150 </t>
    </r>
  </si>
  <si>
    <r>
      <t xml:space="preserve">Van gió 1 chiều NRD: 300x150
</t>
    </r>
    <r>
      <rPr>
        <i/>
        <sz val="10"/>
        <color indexed="12"/>
        <rFont val="Times New Roman"/>
        <family val="1"/>
      </rPr>
      <t xml:space="preserve">Non return damper NRD: 300x150 </t>
    </r>
  </si>
  <si>
    <r>
      <t xml:space="preserve">Van xã áp chịu lửa hoạt động ở 200 </t>
    </r>
    <r>
      <rPr>
        <b/>
        <vertAlign val="superscript"/>
        <sz val="10"/>
        <rFont val="Times New Roman"/>
        <family val="1"/>
      </rPr>
      <t>0</t>
    </r>
    <r>
      <rPr>
        <b/>
        <sz val="10"/>
        <rFont val="Times New Roman"/>
        <family val="1"/>
      </rPr>
      <t xml:space="preserve">C trong 2 giờ
</t>
    </r>
    <r>
      <rPr>
        <b/>
        <i/>
        <sz val="10"/>
        <color indexed="12"/>
        <rFont val="Times New Roman"/>
        <family val="1"/>
      </rPr>
      <t xml:space="preserve">Pressure relife damper working at 200 </t>
    </r>
    <r>
      <rPr>
        <b/>
        <i/>
        <vertAlign val="superscript"/>
        <sz val="10"/>
        <color indexed="12"/>
        <rFont val="Times New Roman"/>
        <family val="1"/>
      </rPr>
      <t>0</t>
    </r>
    <r>
      <rPr>
        <b/>
        <i/>
        <sz val="10"/>
        <color indexed="12"/>
        <rFont val="Times New Roman"/>
        <family val="1"/>
      </rPr>
      <t>C @ 2 hours</t>
    </r>
  </si>
  <si>
    <r>
      <t xml:space="preserve">Van gió xả áp động cơ  loại chịu lửa :1200x600
</t>
    </r>
    <r>
      <rPr>
        <i/>
        <sz val="10"/>
        <color indexed="12"/>
        <rFont val="Times New Roman"/>
        <family val="1"/>
      </rPr>
      <t xml:space="preserve">Motorzed fire Pressure relife damper 1200x600 </t>
    </r>
  </si>
  <si>
    <r>
      <t xml:space="preserve">Miệng gió cấp kèm cánh điều chỉnh lưu lượng 
</t>
    </r>
    <r>
      <rPr>
        <b/>
        <i/>
        <sz val="10"/>
        <color indexed="12"/>
        <rFont val="Times New Roman"/>
        <family val="1"/>
      </rPr>
      <t>Supply air grille  c/w OBD</t>
    </r>
  </si>
  <si>
    <t>FAG  800x500 c/w OBD</t>
  </si>
  <si>
    <t>FAG 700x300 c/w OBD</t>
  </si>
  <si>
    <t>FAG 400x400 c/w OBD</t>
  </si>
  <si>
    <t>FAG 300x300 c/w OBD</t>
  </si>
  <si>
    <t>SAG 1100x1100 c/w OBD</t>
  </si>
  <si>
    <r>
      <t xml:space="preserve">Van động cơ điện ngăn cháy hoạt động ở 200 </t>
    </r>
    <r>
      <rPr>
        <b/>
        <vertAlign val="superscript"/>
        <sz val="10"/>
        <rFont val="Times New Roman"/>
        <family val="1"/>
      </rPr>
      <t>0</t>
    </r>
    <r>
      <rPr>
        <b/>
        <sz val="10"/>
        <rFont val="Times New Roman"/>
        <family val="1"/>
      </rPr>
      <t xml:space="preserve">C trong 2 giờ
</t>
    </r>
    <r>
      <rPr>
        <b/>
        <i/>
        <sz val="10"/>
        <color indexed="12"/>
        <rFont val="Times New Roman"/>
        <family val="1"/>
      </rPr>
      <t xml:space="preserve">Motorized fire damper working at 200 </t>
    </r>
    <r>
      <rPr>
        <b/>
        <i/>
        <vertAlign val="superscript"/>
        <sz val="10"/>
        <color indexed="12"/>
        <rFont val="Times New Roman"/>
        <family val="1"/>
      </rPr>
      <t>0</t>
    </r>
    <r>
      <rPr>
        <b/>
        <i/>
        <sz val="10"/>
        <color indexed="12"/>
        <rFont val="Times New Roman"/>
        <family val="1"/>
      </rPr>
      <t>C @ 2 hours</t>
    </r>
  </si>
  <si>
    <t>Motorized fire damper MFD 1150x350</t>
  </si>
  <si>
    <r>
      <t xml:space="preserve">Cáp tín hiệu gồm ống luồn cho van động cơ điện chống cháy, van xả áp...
</t>
    </r>
    <r>
      <rPr>
        <i/>
        <sz val="10"/>
        <color indexed="12"/>
        <rFont val="Times New Roman"/>
        <family val="1"/>
      </rPr>
      <t>Signal cable c/w conduit  for Motorized fire damper MFD , PRD...</t>
    </r>
  </si>
  <si>
    <r>
      <t xml:space="preserve">Vật tư phụ...
</t>
    </r>
    <r>
      <rPr>
        <i/>
        <sz val="10"/>
        <color indexed="12"/>
        <rFont val="Times New Roman"/>
        <family val="1"/>
      </rPr>
      <t>Accessories….</t>
    </r>
  </si>
  <si>
    <r>
      <t xml:space="preserve">Hệ thống lạnh 
</t>
    </r>
    <r>
      <rPr>
        <b/>
        <i/>
        <sz val="10"/>
        <color indexed="12"/>
        <rFont val="Times New Roman"/>
        <family val="1"/>
      </rPr>
      <t>ACMV system</t>
    </r>
  </si>
  <si>
    <r>
      <t xml:space="preserve">Hệ thống lạnh Chiller
</t>
    </r>
    <r>
      <rPr>
        <b/>
        <i/>
        <sz val="10"/>
        <color indexed="12"/>
        <rFont val="Times New Roman"/>
        <family val="1"/>
      </rPr>
      <t>Chiller System</t>
    </r>
  </si>
  <si>
    <r>
      <t xml:space="preserve">Máy Giải Nhiệt Bằng Nước
</t>
    </r>
    <r>
      <rPr>
        <b/>
        <i/>
        <sz val="10"/>
        <color indexed="12"/>
        <rFont val="Times New Roman"/>
        <family val="1"/>
      </rPr>
      <t>Water Cooled Chiller</t>
    </r>
  </si>
  <si>
    <r>
      <t xml:space="preserve">Máy làm lạnh Chiller 1,2 : 452 kW, kiểu máy nén trục vít - R134a
</t>
    </r>
    <r>
      <rPr>
        <i/>
        <sz val="10"/>
        <color rgb="FFFF0000"/>
        <rFont val="Times New Roman"/>
        <family val="1"/>
      </rPr>
      <t>Chiller 1,2 : 452 kW, type Screw compressor  - R134a</t>
    </r>
  </si>
  <si>
    <r>
      <t xml:space="preserve">Bơm giải nhiệt: CWP-01&amp;02, 28.3l/s, 25mH2O
</t>
    </r>
    <r>
      <rPr>
        <i/>
        <sz val="10"/>
        <color indexed="12"/>
        <rFont val="Times New Roman"/>
        <family val="1"/>
      </rPr>
      <t>Condensate water pump: CWP-01&amp;02, 28.3 l/s, 25mH2O</t>
    </r>
  </si>
  <si>
    <r>
      <t xml:space="preserve">Bơm giải nhiệt: CWP-03, 28.3l/s, 25mH2O
</t>
    </r>
    <r>
      <rPr>
        <i/>
        <sz val="10"/>
        <color indexed="12"/>
        <rFont val="Times New Roman"/>
        <family val="1"/>
      </rPr>
      <t>Condensate water pump: CWP-02, 28.3 l/s, 25mH2O</t>
    </r>
  </si>
  <si>
    <r>
      <t xml:space="preserve">Bơm nước lạnh chiller: CHWP-01&amp;02, 22.7l/s, 30mH2O
</t>
    </r>
    <r>
      <rPr>
        <i/>
        <sz val="10"/>
        <color indexed="12"/>
        <rFont val="Times New Roman"/>
        <family val="1"/>
      </rPr>
      <t>Chilled Water Pump: CHWP-01&amp;02, 22.7 l/s, 30mH2O</t>
    </r>
  </si>
  <si>
    <r>
      <t xml:space="preserve">Bơm nước lạnh chiller: CHWP-03, 22.7l/s, 30mH2O
</t>
    </r>
    <r>
      <rPr>
        <i/>
        <sz val="10"/>
        <color indexed="12"/>
        <rFont val="Times New Roman"/>
        <family val="1"/>
      </rPr>
      <t>Chilled Water Pump: CHWP-03, 22.7 l/s, 30mH2O</t>
    </r>
  </si>
  <si>
    <r>
      <t xml:space="preserve">Tháp giải nhiệt C.T 01&amp;02 : 595kW, 1717l/m
</t>
    </r>
    <r>
      <rPr>
        <i/>
        <sz val="10"/>
        <color indexed="12"/>
        <rFont val="Times New Roman"/>
        <family val="1"/>
      </rPr>
      <t>Cooling Tower C.T 01&amp;02 : 595kW, 1717l/m</t>
    </r>
  </si>
  <si>
    <r>
      <t xml:space="preserve">Bình giãn nở  800 lít và bộ điều khiển 
</t>
    </r>
    <r>
      <rPr>
        <i/>
        <sz val="10"/>
        <color indexed="12"/>
        <rFont val="Times New Roman"/>
        <family val="1"/>
      </rPr>
      <t xml:space="preserve">Expansion tank 800lite and control unit </t>
    </r>
  </si>
  <si>
    <r>
      <t xml:space="preserve">Thiết bị xử lý hóa chất 100l + Bơm định lượng
</t>
    </r>
    <r>
      <rPr>
        <i/>
        <sz val="10"/>
        <color indexed="12"/>
        <rFont val="Times New Roman"/>
        <family val="1"/>
      </rPr>
      <t>Chemical treatment system 100 lite + chemical dosing pump</t>
    </r>
  </si>
  <si>
    <r>
      <t xml:space="preserve">Vật tư phụ….
</t>
    </r>
    <r>
      <rPr>
        <i/>
        <sz val="10"/>
        <color indexed="12"/>
        <rFont val="Times New Roman"/>
        <family val="1"/>
      </rPr>
      <t>Accessories…..</t>
    </r>
  </si>
  <si>
    <r>
      <t xml:space="preserve">Thiết bị xử lý không khí FCU, PAU của hệ thống Chiller : bao gồm công nghệ ức chế vi rút
</t>
    </r>
    <r>
      <rPr>
        <b/>
        <i/>
        <sz val="10"/>
        <color indexed="12"/>
        <rFont val="Times New Roman"/>
        <family val="1"/>
      </rPr>
      <t xml:space="preserve">FCU, PAU of Chiller system: c/w equipped with 
anti-virus technology </t>
    </r>
  </si>
  <si>
    <t>PAU-RF: 100.5kW</t>
  </si>
  <si>
    <t>BF-FCU-FS-01 &amp; 02: 8.4kW, type ducted ceiling concealed</t>
  </si>
  <si>
    <t>BF-FCU-FO-01 &amp; 02: 7.3kW, type ducted ceiling concealed</t>
  </si>
  <si>
    <t>BF-FCU-FBR-01 &amp; 02: 8.3kW, type ducted ceiling concealed</t>
  </si>
  <si>
    <t>BF-FCU-CR-01: 11.2kW, type ducted ceiling concealed</t>
  </si>
  <si>
    <t>GF-FCU-MC-01 &amp; 02: 7.7kW, type ducted ceiling concealed</t>
  </si>
  <si>
    <t>GF-FCU-SM-01 &amp; 02, 2F-FCU-SM-01 &amp; 02 : 11.0kW, type ducted ceiling concealed</t>
  </si>
  <si>
    <t>GF-FCU-MS-01 &amp; 02: 10.7kW, type ducted ceiling concealed</t>
  </si>
  <si>
    <t>GF-FCU-MO-01: 11.4kW, type ducted ceiling concealed</t>
  </si>
  <si>
    <t>GF-FCU-RO-01: 8.1kW, type ducted ceiling concealed</t>
  </si>
  <si>
    <t>GF-FCU-3DM-01: 11.6kW, type ducted ceiling concealed</t>
  </si>
  <si>
    <t>GF-FCU-VPL-01 &amp; 02: 9.7kW, type ducted ceiling concealed</t>
  </si>
  <si>
    <t>GF-FCU-CO-01~05: 6.6kW, type ducted ceiling concealed</t>
  </si>
  <si>
    <t>2F-FCU-AR1-01~03: 7.3kW, type ducted ceiling concealed</t>
  </si>
  <si>
    <t>2F-FCU-CS-01: 2.5kW, type ducted ceiling concealed</t>
  </si>
  <si>
    <t>2F-FCU-IAS-01: 12.3kW, type ducted ceiling concealed</t>
  </si>
  <si>
    <t>2F-FCU-AC-01: 13.0kW, type ducted ceiling concealed</t>
  </si>
  <si>
    <t>2F-FCU-AG-01~03: 8.7kW, type ducted ceiling concealed</t>
  </si>
  <si>
    <t>2F-FCU-ADO-01: 5.8kW, type ducted ceiling concealed</t>
  </si>
  <si>
    <t>2F-FCU-AR2-01~03: 7.5kW, type ducted ceiling concealed</t>
  </si>
  <si>
    <t>2F-FCU-3DA-01~03: 7.9kW, type ducted ceiling concealed</t>
  </si>
  <si>
    <t>2F-FCU-CO-01~03: 8.0kW, type ducted ceiling concealed</t>
  </si>
  <si>
    <t>3F-FCU-PL-01~03: 8.1kW, type ducted ceiling concealed</t>
  </si>
  <si>
    <t>3F-FCU-PRE-01: 3.9kW, type ducted ceiling concealed</t>
  </si>
  <si>
    <t>3F-FCU-ISL-01 &amp; 02: 8.3kW, type ducted ceiling concealed</t>
  </si>
  <si>
    <t>3F-FCU-MC1-01 &amp; 02: 8.4kW, type ducted ceiling concealed</t>
  </si>
  <si>
    <t>3F-FCU-GR-01: 5.4kW, type ducted ceiling concealed</t>
  </si>
  <si>
    <t>3F-FCU-GR-02: 6.0kW, type ducted ceiling concealed</t>
  </si>
  <si>
    <t>3F-FCU-GR-03: 6.0kW, type ducted ceiling concealed</t>
  </si>
  <si>
    <t>3F-FCU-DO-01 &amp; 02: 8.1kW, type ducted ceiling concealed</t>
  </si>
  <si>
    <t>3F-FCU-MC2-01 &amp; 02: 6.4kW, type ducted ceiling concealed</t>
  </si>
  <si>
    <t>3F-FCU-MC3-01 &amp; 02: 11.0kW, type ducted ceiling concealed</t>
  </si>
  <si>
    <t>3F-FCU-MC4-01 &amp; 02: 8.8kW, type ducted ceiling concealed</t>
  </si>
  <si>
    <t>3F-FCU-MC5-01 &amp; 02: 4.8kW, type ducted ceiling concealed</t>
  </si>
  <si>
    <t>3F-FCU-CO-01~05: 6.4kW, type ducted ceiling concealed</t>
  </si>
  <si>
    <t>4F-FCU-BL1-01~03: 8.1kW, type ducted ceiling concealed</t>
  </si>
  <si>
    <t>3F-FCU-PR1-01: 4.0kW, type ducted ceiling concealed</t>
  </si>
  <si>
    <t>4F-FCU-BL2-01~03: 10.0kW, type ducted ceiling concealed</t>
  </si>
  <si>
    <t>4F-FCU-PR2-01: 6.1kW, type ducted ceiling concealed</t>
  </si>
  <si>
    <t>4F-FCU-GR-01: 6.4kW, type ducted ceiling concealed</t>
  </si>
  <si>
    <t>4F-FCU-GR-02: 6.4kW, type ducted ceiling concealed</t>
  </si>
  <si>
    <t>4F-FCU-GR-03: 6.4kW, type ducted ceiling concealed</t>
  </si>
  <si>
    <t>4F-FCU-SDO-01 &amp; 02: 8.5kW, type ducted ceiling concealed</t>
  </si>
  <si>
    <t>4F-FCU-CL1-01~03: 8.6kW, type ducted ceiling concealed</t>
  </si>
  <si>
    <t>4F-FCU-PR3-01: 3.6kW, type ducted ceiling concealed</t>
  </si>
  <si>
    <t>4F-FCU-ISL-01: 9.8kW, type ducted ceiling concealed</t>
  </si>
  <si>
    <t>4F-FCU-CL2-01~03: 7.1kW, type ducted ceiling concealed</t>
  </si>
  <si>
    <t>4F-FCU-PR4-01: 5.7kW, type ducted ceiling concealed</t>
  </si>
  <si>
    <t>4F-FCU-CO-01~05: 13.4kW, type ducted ceiling concealed</t>
  </si>
  <si>
    <r>
      <t xml:space="preserve">Bộ điều chỉnh nhiệt độ
</t>
    </r>
    <r>
      <rPr>
        <i/>
        <sz val="10"/>
        <color indexed="12"/>
        <rFont val="Times New Roman"/>
        <family val="1"/>
      </rPr>
      <t>Thermostat</t>
    </r>
  </si>
  <si>
    <r>
      <t xml:space="preserve">thuộc hệ thống điều khiển trung tâm
</t>
    </r>
    <r>
      <rPr>
        <i/>
        <sz val="10"/>
        <color indexed="12"/>
        <rFont val="Times New Roman"/>
        <family val="1"/>
      </rPr>
      <t>Belong Central control system</t>
    </r>
  </si>
  <si>
    <r>
      <t xml:space="preserve">Cáp tín hiệu từ Bộ điều chỉnh nhiệt độ đến FCU
</t>
    </r>
    <r>
      <rPr>
        <i/>
        <sz val="10"/>
        <color indexed="12"/>
        <rFont val="Times New Roman"/>
        <family val="1"/>
      </rPr>
      <t>Signal cable from Thermostat to FCU</t>
    </r>
  </si>
  <si>
    <r>
      <t xml:space="preserve">Tín hiệu về tủ  điều khiển chiller
</t>
    </r>
    <r>
      <rPr>
        <i/>
        <sz val="10"/>
        <color indexed="12"/>
        <rFont val="Times New Roman"/>
        <family val="1"/>
      </rPr>
      <t>Signal to chiller control panel</t>
    </r>
  </si>
  <si>
    <r>
      <t xml:space="preserve">Đường ống 
</t>
    </r>
    <r>
      <rPr>
        <b/>
        <i/>
        <sz val="10"/>
        <color indexed="12"/>
        <rFont val="Times New Roman"/>
        <family val="1"/>
      </rPr>
      <t xml:space="preserve">Piping </t>
    </r>
  </si>
  <si>
    <r>
      <t xml:space="preserve">Ống thép mạ kẽm DN250 
</t>
    </r>
    <r>
      <rPr>
        <i/>
        <sz val="10"/>
        <color indexed="12"/>
        <rFont val="Times New Roman"/>
        <family val="1"/>
      </rPr>
      <t xml:space="preserve">DN250 Galvanized steel pipe </t>
    </r>
  </si>
  <si>
    <r>
      <t xml:space="preserve">Ống thép mạ kẽm DN200 
</t>
    </r>
    <r>
      <rPr>
        <i/>
        <sz val="10"/>
        <color indexed="12"/>
        <rFont val="Times New Roman"/>
        <family val="1"/>
      </rPr>
      <t>DN200 Galvanized steel pipe</t>
    </r>
  </si>
  <si>
    <r>
      <t xml:space="preserve">Ống thép mạ kẽm DN150
</t>
    </r>
    <r>
      <rPr>
        <i/>
        <sz val="10"/>
        <color indexed="12"/>
        <rFont val="Times New Roman"/>
        <family val="1"/>
      </rPr>
      <t>DN150 Galvanized steel pipe</t>
    </r>
  </si>
  <si>
    <r>
      <t xml:space="preserve">Ống thép mạ kẽm DN125
</t>
    </r>
    <r>
      <rPr>
        <i/>
        <sz val="10"/>
        <color indexed="12"/>
        <rFont val="Times New Roman"/>
        <family val="1"/>
      </rPr>
      <t>DN125 Galvanized steel pipe</t>
    </r>
  </si>
  <si>
    <r>
      <t xml:space="preserve">Ống thép mạ kẽm DN100
</t>
    </r>
    <r>
      <rPr>
        <i/>
        <sz val="10"/>
        <color indexed="12"/>
        <rFont val="Times New Roman"/>
        <family val="1"/>
      </rPr>
      <t>DN100 Galvanized steel pipe</t>
    </r>
  </si>
  <si>
    <r>
      <t xml:space="preserve">Ống thép mạ kẽm DN80 
</t>
    </r>
    <r>
      <rPr>
        <i/>
        <sz val="10"/>
        <color indexed="12"/>
        <rFont val="Times New Roman"/>
        <family val="1"/>
      </rPr>
      <t>DN80 Galvanized steel pipe</t>
    </r>
  </si>
  <si>
    <r>
      <t xml:space="preserve">Ống thép mạ kẽm DN50
</t>
    </r>
    <r>
      <rPr>
        <i/>
        <sz val="10"/>
        <color indexed="12"/>
        <rFont val="Times New Roman"/>
        <family val="1"/>
      </rPr>
      <t>DN50 Galvanized steel pipe</t>
    </r>
  </si>
  <si>
    <r>
      <t xml:space="preserve">Ống thép mạ kẽm DN40
</t>
    </r>
    <r>
      <rPr>
        <i/>
        <sz val="10"/>
        <color indexed="12"/>
        <rFont val="Times New Roman"/>
        <family val="1"/>
      </rPr>
      <t>DN40 Galvanized steel</t>
    </r>
    <r>
      <rPr>
        <sz val="10"/>
        <color indexed="12"/>
        <rFont val="Times New Roman"/>
        <family val="1"/>
      </rPr>
      <t xml:space="preserve"> </t>
    </r>
  </si>
  <si>
    <r>
      <t xml:space="preserve">Ống thép đenđen DN250  bao gồm cách nhiệt 
</t>
    </r>
    <r>
      <rPr>
        <i/>
        <sz val="10"/>
        <color indexed="12"/>
        <rFont val="Times New Roman"/>
        <family val="1"/>
      </rPr>
      <t xml:space="preserve">DN250 black steel pipe c/w insulation </t>
    </r>
  </si>
  <si>
    <r>
      <t xml:space="preserve">Ống thép đenDN200  bao gồm cách nhiệt 
</t>
    </r>
    <r>
      <rPr>
        <i/>
        <sz val="10"/>
        <color indexed="12"/>
        <rFont val="Times New Roman"/>
        <family val="1"/>
      </rPr>
      <t xml:space="preserve">DN200 black steel pipe c/w insulation </t>
    </r>
  </si>
  <si>
    <r>
      <t xml:space="preserve">Ống thép đenDN150  bao gồm cách nhiệt 
</t>
    </r>
    <r>
      <rPr>
        <i/>
        <sz val="10"/>
        <color indexed="12"/>
        <rFont val="Times New Roman"/>
        <family val="1"/>
      </rPr>
      <t>DN150 black steel pipe c/w insulation</t>
    </r>
    <r>
      <rPr>
        <sz val="10"/>
        <color indexed="12"/>
        <rFont val="Times New Roman"/>
        <family val="1"/>
      </rPr>
      <t xml:space="preserve"> </t>
    </r>
  </si>
  <si>
    <r>
      <t xml:space="preserve">Ống thép đenDN125  bao gồm cách nhiệt 
</t>
    </r>
    <r>
      <rPr>
        <i/>
        <sz val="10"/>
        <color indexed="12"/>
        <rFont val="Times New Roman"/>
        <family val="1"/>
      </rPr>
      <t xml:space="preserve">DN125 black steel pipe c/w insulation </t>
    </r>
  </si>
  <si>
    <r>
      <t xml:space="preserve">Ống thép đenDN100  bao gồm cách nhiệt 
</t>
    </r>
    <r>
      <rPr>
        <i/>
        <sz val="10"/>
        <color indexed="12"/>
        <rFont val="Times New Roman"/>
        <family val="1"/>
      </rPr>
      <t>DN100 black steel pipe c/w insulation</t>
    </r>
    <r>
      <rPr>
        <sz val="10"/>
        <color indexed="12"/>
        <rFont val="Times New Roman"/>
        <family val="1"/>
      </rPr>
      <t xml:space="preserve"> </t>
    </r>
  </si>
  <si>
    <r>
      <t xml:space="preserve">Ống thép đenDN80  bao gồm cách nhiệt 
</t>
    </r>
    <r>
      <rPr>
        <i/>
        <sz val="10"/>
        <color indexed="12"/>
        <rFont val="Times New Roman"/>
        <family val="1"/>
      </rPr>
      <t xml:space="preserve">DN80 black steel pipe c/w insulation </t>
    </r>
  </si>
  <si>
    <r>
      <t xml:space="preserve">Ống thép đenDN65  bao gồm cách nhiệt 
</t>
    </r>
    <r>
      <rPr>
        <i/>
        <sz val="10"/>
        <color indexed="12"/>
        <rFont val="Times New Roman"/>
        <family val="1"/>
      </rPr>
      <t xml:space="preserve">DN65 black steel pipe c/w insulation </t>
    </r>
  </si>
  <si>
    <r>
      <t xml:space="preserve">Ống thép đenDN50  bao gồm cách nhiệt 
</t>
    </r>
    <r>
      <rPr>
        <i/>
        <sz val="10"/>
        <color indexed="12"/>
        <rFont val="Times New Roman"/>
        <family val="1"/>
      </rPr>
      <t xml:space="preserve">DN50 black steel pipe c/w insulation </t>
    </r>
  </si>
  <si>
    <r>
      <t xml:space="preserve">Ống thép đenDN40  bao gồm cách nhiệt 
</t>
    </r>
    <r>
      <rPr>
        <i/>
        <sz val="10"/>
        <color indexed="12"/>
        <rFont val="Times New Roman"/>
        <family val="1"/>
      </rPr>
      <t xml:space="preserve">DN40 black steel pipe c/w insulation </t>
    </r>
  </si>
  <si>
    <r>
      <t xml:space="preserve">Ống thép đenDN32  bao gồm cách nhiệt 
</t>
    </r>
    <r>
      <rPr>
        <i/>
        <sz val="10"/>
        <color indexed="12"/>
        <rFont val="Times New Roman"/>
        <family val="1"/>
      </rPr>
      <t xml:space="preserve">DN32 black steel pipe c/w insulation </t>
    </r>
  </si>
  <si>
    <r>
      <t xml:space="preserve">Ống thép đenDN25  bao gồm cách nhiệt 
</t>
    </r>
    <r>
      <rPr>
        <i/>
        <sz val="10"/>
        <color indexed="12"/>
        <rFont val="Times New Roman"/>
        <family val="1"/>
      </rPr>
      <t xml:space="preserve">DN25 black steel pipe c/w insulation </t>
    </r>
  </si>
  <si>
    <r>
      <t xml:space="preserve">Ống thép đenDN20  bao gồm cách nhiệt 
</t>
    </r>
    <r>
      <rPr>
        <i/>
        <sz val="10"/>
        <color indexed="12"/>
        <rFont val="Times New Roman"/>
        <family val="1"/>
      </rPr>
      <t xml:space="preserve">DN20 black steel pipe c/w insulation </t>
    </r>
  </si>
  <si>
    <r>
      <t xml:space="preserve">Ống thép đenDN15  bao gồm cách nhiệt 
</t>
    </r>
    <r>
      <rPr>
        <i/>
        <sz val="10"/>
        <color indexed="12"/>
        <rFont val="Times New Roman"/>
        <family val="1"/>
      </rPr>
      <t xml:space="preserve">DN15 black steel pipe c/w insulation </t>
    </r>
  </si>
  <si>
    <r>
      <t xml:space="preserve">Phụ kiện co, tê, lơi cho ống thép mạ kẽm
</t>
    </r>
    <r>
      <rPr>
        <i/>
        <sz val="10"/>
        <color indexed="12"/>
        <rFont val="Times New Roman"/>
        <family val="1"/>
      </rPr>
      <t>Fitting Elbow, Tee, for Galvanized steel pipe</t>
    </r>
  </si>
  <si>
    <r>
      <t xml:space="preserve">Phụ kiện co, tê, lơi cho ống thép đen bao gồm cách nhiệt 
</t>
    </r>
    <r>
      <rPr>
        <i/>
        <sz val="10"/>
        <color indexed="12"/>
        <rFont val="Times New Roman"/>
        <family val="1"/>
      </rPr>
      <t xml:space="preserve">Fitting Elbow, Tee, for black steel pipe c/w insulation </t>
    </r>
  </si>
  <si>
    <r>
      <t xml:space="preserve">Giá đở
</t>
    </r>
    <r>
      <rPr>
        <i/>
        <sz val="10"/>
        <color indexed="12"/>
        <rFont val="Times New Roman"/>
        <family val="1"/>
      </rPr>
      <t>Hangers &amp; support</t>
    </r>
  </si>
  <si>
    <r>
      <t xml:space="preserve">Thiết bị trên đường ống
</t>
    </r>
    <r>
      <rPr>
        <b/>
        <i/>
        <sz val="10"/>
        <color indexed="12"/>
        <rFont val="Times New Roman"/>
        <family val="1"/>
      </rPr>
      <t>Equipments for pipelines</t>
    </r>
  </si>
  <si>
    <r>
      <t xml:space="preserve">Van cổng DN250
</t>
    </r>
    <r>
      <rPr>
        <i/>
        <sz val="10"/>
        <color indexed="12"/>
        <rFont val="Times New Roman"/>
        <family val="1"/>
      </rPr>
      <t>Gate valve DN250</t>
    </r>
  </si>
  <si>
    <r>
      <t xml:space="preserve">Van cổng DN150
</t>
    </r>
    <r>
      <rPr>
        <i/>
        <sz val="10"/>
        <color indexed="12"/>
        <rFont val="Times New Roman"/>
        <family val="1"/>
      </rPr>
      <t>Gate valve DN150</t>
    </r>
  </si>
  <si>
    <r>
      <t xml:space="preserve">Van cổng DN125
</t>
    </r>
    <r>
      <rPr>
        <i/>
        <sz val="10"/>
        <color indexed="12"/>
        <rFont val="Times New Roman"/>
        <family val="1"/>
      </rPr>
      <t>Gate valve DN125</t>
    </r>
  </si>
  <si>
    <r>
      <t xml:space="preserve">Van cổng DN50
</t>
    </r>
    <r>
      <rPr>
        <i/>
        <sz val="10"/>
        <color indexed="12"/>
        <rFont val="Times New Roman"/>
        <family val="1"/>
      </rPr>
      <t>Gate valve DN50</t>
    </r>
  </si>
  <si>
    <r>
      <t xml:space="preserve">Van cổng DN25
</t>
    </r>
    <r>
      <rPr>
        <i/>
        <sz val="10"/>
        <color indexed="12"/>
        <rFont val="Times New Roman"/>
        <family val="1"/>
      </rPr>
      <t>Gate valve DN25</t>
    </r>
  </si>
  <si>
    <r>
      <t xml:space="preserve">Van cổng DN15
</t>
    </r>
    <r>
      <rPr>
        <i/>
        <sz val="10"/>
        <color indexed="12"/>
        <rFont val="Times New Roman"/>
        <family val="1"/>
      </rPr>
      <t>Gate valve DN15</t>
    </r>
  </si>
  <si>
    <r>
      <t xml:space="preserve">Van 1 chiều DN125 
</t>
    </r>
    <r>
      <rPr>
        <i/>
        <sz val="10"/>
        <color indexed="12"/>
        <rFont val="Times New Roman"/>
        <family val="1"/>
      </rPr>
      <t>Check valve DN125</t>
    </r>
  </si>
  <si>
    <r>
      <t xml:space="preserve">Van 1 chiều DN100
</t>
    </r>
    <r>
      <rPr>
        <i/>
        <sz val="10"/>
        <color indexed="12"/>
        <rFont val="Times New Roman"/>
        <family val="1"/>
      </rPr>
      <t>Check valve DN100</t>
    </r>
  </si>
  <si>
    <r>
      <t xml:space="preserve">Van 1 chiều DN50
</t>
    </r>
    <r>
      <rPr>
        <i/>
        <sz val="10"/>
        <color indexed="12"/>
        <rFont val="Times New Roman"/>
        <family val="1"/>
      </rPr>
      <t>Check valve DN50</t>
    </r>
  </si>
  <si>
    <r>
      <t xml:space="preserve">Van cân bằng tự động  DN125
</t>
    </r>
    <r>
      <rPr>
        <i/>
        <sz val="10"/>
        <color indexed="12"/>
        <rFont val="Times New Roman"/>
        <family val="1"/>
      </rPr>
      <t>Balancing vavle DN125</t>
    </r>
  </si>
  <si>
    <r>
      <t xml:space="preserve">Van điều khiển 2 ngã DN150
</t>
    </r>
    <r>
      <rPr>
        <i/>
        <sz val="10"/>
        <color indexed="12"/>
        <rFont val="Times New Roman"/>
        <family val="1"/>
      </rPr>
      <t>2-Way modulating motorized valve DN150</t>
    </r>
  </si>
  <si>
    <r>
      <t xml:space="preserve">Van điều khiển 2 ngã DN125
</t>
    </r>
    <r>
      <rPr>
        <i/>
        <sz val="10"/>
        <color indexed="12"/>
        <rFont val="Times New Roman"/>
        <family val="1"/>
      </rPr>
      <t>2-Way modulating motorized valve DN125</t>
    </r>
  </si>
  <si>
    <r>
      <t xml:space="preserve">Van điện 2 ngã chỉnh tinh tuyến tính DN250
</t>
    </r>
    <r>
      <rPr>
        <i/>
        <sz val="10"/>
        <color indexed="12"/>
        <rFont val="Times New Roman"/>
        <family val="1"/>
      </rPr>
      <t>2-Way modulating motorized valve DN250</t>
    </r>
  </si>
  <si>
    <r>
      <t xml:space="preserve">Van xã khí tự động + van bi DN 25 
</t>
    </r>
    <r>
      <rPr>
        <i/>
        <sz val="10"/>
        <color indexed="12"/>
        <rFont val="Times New Roman"/>
        <family val="1"/>
      </rPr>
      <t>Automatic air valve + ball valve DN 25</t>
    </r>
  </si>
  <si>
    <r>
      <t xml:space="preserve">Van phao DN40
</t>
    </r>
    <r>
      <rPr>
        <i/>
        <sz val="10"/>
        <color indexed="12"/>
        <rFont val="Times New Roman"/>
        <family val="1"/>
      </rPr>
      <t>Float valve DN40</t>
    </r>
  </si>
  <si>
    <r>
      <t xml:space="preserve">Van xã đáy 
</t>
    </r>
    <r>
      <rPr>
        <i/>
        <sz val="10"/>
        <color indexed="12"/>
        <rFont val="Times New Roman"/>
        <family val="1"/>
      </rPr>
      <t xml:space="preserve">Drain valve </t>
    </r>
  </si>
  <si>
    <r>
      <t xml:space="preserve">Y lọc DN150
</t>
    </r>
    <r>
      <rPr>
        <i/>
        <sz val="10"/>
        <color indexed="12"/>
        <rFont val="Times New Roman"/>
        <family val="1"/>
      </rPr>
      <t>Y-Strainer DN150</t>
    </r>
  </si>
  <si>
    <r>
      <t xml:space="preserve">Y lọc DN125
</t>
    </r>
    <r>
      <rPr>
        <i/>
        <sz val="10"/>
        <color indexed="12"/>
        <rFont val="Times New Roman"/>
        <family val="1"/>
      </rPr>
      <t>Y-Strainer DN125</t>
    </r>
  </si>
  <si>
    <r>
      <t xml:space="preserve">Y lọc DN80
</t>
    </r>
    <r>
      <rPr>
        <i/>
        <sz val="10"/>
        <color indexed="12"/>
        <rFont val="Times New Roman"/>
        <family val="1"/>
      </rPr>
      <t>Y-Strainer DN80</t>
    </r>
  </si>
  <si>
    <r>
      <t xml:space="preserve">Y lọc DN32
</t>
    </r>
    <r>
      <rPr>
        <i/>
        <sz val="10"/>
        <color indexed="12"/>
        <rFont val="Times New Roman"/>
        <family val="1"/>
      </rPr>
      <t>Y-Strainer DN32</t>
    </r>
  </si>
  <si>
    <r>
      <t xml:space="preserve">Y lọc DN25
</t>
    </r>
    <r>
      <rPr>
        <i/>
        <sz val="10"/>
        <color indexed="12"/>
        <rFont val="Times New Roman"/>
        <family val="1"/>
      </rPr>
      <t>Y-Strainer DN25</t>
    </r>
  </si>
  <si>
    <r>
      <t xml:space="preserve">Y lọc DN20
</t>
    </r>
    <r>
      <rPr>
        <i/>
        <sz val="10"/>
        <color indexed="12"/>
        <rFont val="Times New Roman"/>
        <family val="1"/>
      </rPr>
      <t>Y-Strainer DN20</t>
    </r>
  </si>
  <si>
    <r>
      <t xml:space="preserve">Y lọc DN15
</t>
    </r>
    <r>
      <rPr>
        <i/>
        <sz val="10"/>
        <color indexed="12"/>
        <rFont val="Times New Roman"/>
        <family val="1"/>
      </rPr>
      <t>Y-Strainer DN15</t>
    </r>
  </si>
  <si>
    <r>
      <t xml:space="preserve">Khớp nối mềm DN150
</t>
    </r>
    <r>
      <rPr>
        <i/>
        <sz val="10"/>
        <color indexed="12"/>
        <rFont val="Times New Roman"/>
        <family val="1"/>
      </rPr>
      <t>Flexible connector DN150</t>
    </r>
  </si>
  <si>
    <r>
      <t xml:space="preserve">Khớp nối mềm DN125
</t>
    </r>
    <r>
      <rPr>
        <i/>
        <sz val="10"/>
        <color indexed="12"/>
        <rFont val="Times New Roman"/>
        <family val="1"/>
      </rPr>
      <t>Flexible connector DN125</t>
    </r>
  </si>
  <si>
    <r>
      <t xml:space="preserve">Khớp nối mềm DN32
</t>
    </r>
    <r>
      <rPr>
        <i/>
        <sz val="10"/>
        <color indexed="12"/>
        <rFont val="Times New Roman"/>
        <family val="1"/>
      </rPr>
      <t>Flexible connector DN32</t>
    </r>
  </si>
  <si>
    <r>
      <t xml:space="preserve">Khớp nối mềm DN25
</t>
    </r>
    <r>
      <rPr>
        <i/>
        <sz val="10"/>
        <color indexed="12"/>
        <rFont val="Times New Roman"/>
        <family val="1"/>
      </rPr>
      <t>Flexible connector DN25</t>
    </r>
  </si>
  <si>
    <r>
      <t xml:space="preserve">Khớp nối mềm DN20
</t>
    </r>
    <r>
      <rPr>
        <i/>
        <sz val="10"/>
        <color indexed="12"/>
        <rFont val="Times New Roman"/>
        <family val="1"/>
      </rPr>
      <t>Flexible connector DN20</t>
    </r>
  </si>
  <si>
    <r>
      <t xml:space="preserve">Khớp nối mềm DN15
</t>
    </r>
    <r>
      <rPr>
        <i/>
        <sz val="10"/>
        <color indexed="12"/>
        <rFont val="Times New Roman"/>
        <family val="1"/>
      </rPr>
      <t>Flexible connector DN15</t>
    </r>
  </si>
  <si>
    <r>
      <t xml:space="preserve">Đồng hồ áp suất kèm van bi DN15 + Si phông
</t>
    </r>
    <r>
      <rPr>
        <i/>
        <sz val="10"/>
        <color indexed="18"/>
        <rFont val="Times New Roman"/>
        <family val="1"/>
      </rPr>
      <t>Gauge pressure + ball vale DN 15 + Syphon</t>
    </r>
  </si>
  <si>
    <r>
      <t xml:space="preserve">Van điều khiền khiển độc lập áp suất, hoạt động On/Off (kết nối về thermostat điều khiển):  DN32
</t>
    </r>
    <r>
      <rPr>
        <i/>
        <sz val="10"/>
        <color indexed="12"/>
        <rFont val="Times New Roman"/>
        <family val="1"/>
      </rPr>
      <t>Pressure independent control valve, On/Off control type (link to room 's thermostat control):  DN32</t>
    </r>
  </si>
  <si>
    <t>addendum 16</t>
  </si>
  <si>
    <r>
      <t xml:space="preserve">Van điều khiền khiển độc lập áp suất, hoạt động On/Off (kết nối về thermostat điều khiển):  DN25
</t>
    </r>
    <r>
      <rPr>
        <i/>
        <sz val="10"/>
        <color indexed="12"/>
        <rFont val="Times New Roman"/>
        <family val="1"/>
      </rPr>
      <t>Pressure independent control valve, On/Off control type (link to room 's thermostat control):  DN25</t>
    </r>
  </si>
  <si>
    <r>
      <t xml:space="preserve">Van điều khiền khiển độc lập áp suất, hoạt động  On/Off (kết nối về thermostat điều khiển):  DN20
</t>
    </r>
    <r>
      <rPr>
        <i/>
        <sz val="10"/>
        <color indexed="12"/>
        <rFont val="Times New Roman"/>
        <family val="1"/>
      </rPr>
      <t>Pressure independent control valve, On/Off control type (link to room 's thermostat control):  DN20</t>
    </r>
  </si>
  <si>
    <r>
      <t xml:space="preserve">Van điều khiền khiển độc lập áp suất, hoạt động On/Off (kết nối về thermostat điều khiển):  DN15
</t>
    </r>
    <r>
      <rPr>
        <i/>
        <sz val="10"/>
        <color indexed="12"/>
        <rFont val="Times New Roman"/>
        <family val="1"/>
      </rPr>
      <t>Pressure independent control valve, On/Off control type (link to room 's thermostat control):  DN15</t>
    </r>
  </si>
  <si>
    <r>
      <t xml:space="preserve">Đồng hồ lưu lượng loại điện tử DN250
</t>
    </r>
    <r>
      <rPr>
        <i/>
        <sz val="10"/>
        <color indexed="12"/>
        <rFont val="Times New Roman"/>
        <family val="1"/>
      </rPr>
      <t>Flow meter by electric DN250</t>
    </r>
  </si>
  <si>
    <r>
      <t xml:space="preserve">Cụm Van điều khiền lưu lượng qua cảm biến nhiệt độ nước cấp/ hồi : DN80
</t>
    </r>
    <r>
      <rPr>
        <i/>
        <sz val="10"/>
        <color indexed="12"/>
        <rFont val="Times New Roman"/>
        <family val="1"/>
      </rPr>
      <t>Energy valve (flow controlled by difference supply / return chilled water temperature: DN80</t>
    </r>
  </si>
  <si>
    <r>
      <t xml:space="preserve">cụm
</t>
    </r>
    <r>
      <rPr>
        <i/>
        <sz val="10"/>
        <color indexed="12"/>
        <rFont val="Times New Roman"/>
        <family val="1"/>
      </rPr>
      <t>group</t>
    </r>
  </si>
  <si>
    <r>
      <t xml:space="preserve">Nhiệt kế
</t>
    </r>
    <r>
      <rPr>
        <i/>
        <sz val="10"/>
        <color indexed="12"/>
        <rFont val="Times New Roman"/>
        <family val="1"/>
      </rPr>
      <t>Temperature gauge</t>
    </r>
  </si>
  <si>
    <r>
      <t xml:space="preserve">Cảm biến chênh áp lực nước (DP)
</t>
    </r>
    <r>
      <rPr>
        <i/>
        <sz val="10"/>
        <color indexed="12"/>
        <rFont val="Times New Roman"/>
        <family val="1"/>
      </rPr>
      <t>Differential pressure sensor for liquids (DP)</t>
    </r>
  </si>
  <si>
    <r>
      <t xml:space="preserve">Cảm biến nhiệt độ nước
</t>
    </r>
    <r>
      <rPr>
        <i/>
        <sz val="10"/>
        <color indexed="12"/>
        <rFont val="Times New Roman"/>
        <family val="1"/>
      </rPr>
      <t>Temperature sensor</t>
    </r>
  </si>
  <si>
    <r>
      <t xml:space="preserve">Công tắc dòng chảy 
</t>
    </r>
    <r>
      <rPr>
        <i/>
        <sz val="10"/>
        <color indexed="12"/>
        <rFont val="Times New Roman"/>
        <family val="1"/>
      </rPr>
      <t xml:space="preserve">Flow switch </t>
    </r>
  </si>
  <si>
    <r>
      <t xml:space="preserve">Cảm biến mực nước
</t>
    </r>
    <r>
      <rPr>
        <i/>
        <sz val="10"/>
        <color indexed="12"/>
        <rFont val="Times New Roman"/>
        <family val="1"/>
      </rPr>
      <t>Level sensor</t>
    </r>
  </si>
  <si>
    <r>
      <t xml:space="preserve">Điểm kiểm tra 
</t>
    </r>
    <r>
      <rPr>
        <i/>
        <sz val="10"/>
        <color indexed="12"/>
        <rFont val="Times New Roman"/>
        <family val="1"/>
      </rPr>
      <t>Test point</t>
    </r>
  </si>
  <si>
    <r>
      <t xml:space="preserve">Mặt bích cho thiết bị van...
</t>
    </r>
    <r>
      <rPr>
        <i/>
        <sz val="10"/>
        <color indexed="12"/>
        <rFont val="Times New Roman"/>
        <family val="1"/>
      </rPr>
      <t>Flange for equipments: vavle ...</t>
    </r>
  </si>
  <si>
    <r>
      <t xml:space="preserve">Cáp điều khiển
</t>
    </r>
    <r>
      <rPr>
        <i/>
        <sz val="10"/>
        <color indexed="12"/>
        <rFont val="Times New Roman"/>
        <family val="1"/>
      </rPr>
      <t>Control cable</t>
    </r>
  </si>
  <si>
    <r>
      <t xml:space="preserve">Máy lạnh 2 cục loại biến tần
</t>
    </r>
    <r>
      <rPr>
        <b/>
        <i/>
        <sz val="10"/>
        <color indexed="12"/>
        <rFont val="Times New Roman"/>
        <family val="1"/>
      </rPr>
      <t xml:space="preserve">Inverter Spliter Airconditioner units </t>
    </r>
  </si>
  <si>
    <t>GF-AC-01/ ODU-GF: 3.5kW, type Wall Mounted  (Inverter Type)</t>
  </si>
  <si>
    <t>GF-AC-01/ ODU-GF, 2F-AC-01/ ODU-2F, 3F-AC-01/ ODU-3F, 4F-AC-01/ ODU-4F: 2.5kW, type Wall Mounted  (Inverter Type)</t>
  </si>
  <si>
    <r>
      <t xml:space="preserve">Ống gas bao gồm cách nhiệt </t>
    </r>
    <r>
      <rPr>
        <i/>
        <sz val="10"/>
        <rFont val="Times New Roman"/>
        <family val="1"/>
      </rPr>
      <t xml:space="preserve">
</t>
    </r>
    <r>
      <rPr>
        <i/>
        <sz val="10"/>
        <color indexed="12"/>
        <rFont val="Times New Roman"/>
        <family val="1"/>
      </rPr>
      <t xml:space="preserve">Refrigerant pipe c/w insulation </t>
    </r>
  </si>
  <si>
    <r>
      <t xml:space="preserve">Ống gas (D6.4/9.5) bao gồm cách nhiệt 
</t>
    </r>
    <r>
      <rPr>
        <i/>
        <sz val="10"/>
        <color indexed="12"/>
        <rFont val="Times New Roman"/>
        <family val="1"/>
      </rPr>
      <t xml:space="preserve">Refrigerant pipe (D6.4/9.5) c/w insulation </t>
    </r>
  </si>
  <si>
    <r>
      <t xml:space="preserve">Ty treo, giá đở cho máy lạnh
</t>
    </r>
    <r>
      <rPr>
        <i/>
        <sz val="10"/>
        <color indexed="12"/>
        <rFont val="Times New Roman"/>
        <family val="1"/>
      </rPr>
      <t xml:space="preserve">Support for Airconditoner </t>
    </r>
  </si>
  <si>
    <r>
      <t xml:space="preserve">Trunking tráng kẽm  bao gồm  nắp  : 200x100
</t>
    </r>
    <r>
      <rPr>
        <i/>
        <sz val="10"/>
        <color indexed="12"/>
        <rFont val="Times New Roman"/>
        <family val="1"/>
      </rPr>
      <t>Zine coated trunking c/w nắp: 200x100</t>
    </r>
  </si>
  <si>
    <r>
      <t xml:space="preserve">Ống thoát nước ngưng uPVC
</t>
    </r>
    <r>
      <rPr>
        <b/>
        <i/>
        <sz val="10"/>
        <color indexed="12"/>
        <rFont val="Times New Roman"/>
        <family val="1"/>
      </rPr>
      <t>Condensing drain pipe(uPVC pipe)</t>
    </r>
  </si>
  <si>
    <r>
      <t xml:space="preserve">Ống uPVC DN50 bao gồm cách nhiệt 
</t>
    </r>
    <r>
      <rPr>
        <i/>
        <sz val="10"/>
        <color indexed="12"/>
        <rFont val="Times New Roman"/>
        <family val="1"/>
      </rPr>
      <t xml:space="preserve">DN50 uPVC pipe c/w insulation </t>
    </r>
  </si>
  <si>
    <r>
      <t xml:space="preserve">Ống uPVC DN40 bao gồm cách nhiệt 
</t>
    </r>
    <r>
      <rPr>
        <i/>
        <sz val="10"/>
        <color indexed="12"/>
        <rFont val="Times New Roman"/>
        <family val="1"/>
      </rPr>
      <t xml:space="preserve">DN40 uPVC pipe c/w insulation </t>
    </r>
  </si>
  <si>
    <r>
      <t xml:space="preserve">Ống uPVC DN32 bao gồm cách nhiệt 
</t>
    </r>
    <r>
      <rPr>
        <i/>
        <sz val="10"/>
        <color indexed="12"/>
        <rFont val="Times New Roman"/>
        <family val="1"/>
      </rPr>
      <t xml:space="preserve">DN32 uPVC pipe c/w insulation </t>
    </r>
  </si>
  <si>
    <r>
      <t xml:space="preserve">Ống uPVC DN25 bao gồm cách nhiệt 
</t>
    </r>
    <r>
      <rPr>
        <i/>
        <sz val="10"/>
        <color indexed="12"/>
        <rFont val="Times New Roman"/>
        <family val="1"/>
      </rPr>
      <t xml:space="preserve">DN25 uPVC pipe c/w insulation </t>
    </r>
  </si>
  <si>
    <r>
      <t xml:space="preserve">Ống uPVC DN20 bao gồm cách nhiệt 
</t>
    </r>
    <r>
      <rPr>
        <i/>
        <sz val="10"/>
        <color indexed="12"/>
        <rFont val="Times New Roman"/>
        <family val="1"/>
      </rPr>
      <t xml:space="preserve">DN20 uPVC pipe c/w insulation </t>
    </r>
  </si>
  <si>
    <r>
      <t xml:space="preserve">Phụ kiện cho đường ống uPVC bao gồm cách nhiệt 
</t>
    </r>
    <r>
      <rPr>
        <i/>
        <sz val="10"/>
        <color indexed="12"/>
        <rFont val="Times New Roman"/>
        <family val="1"/>
      </rPr>
      <t xml:space="preserve">Fitting for uPVC pipe c/w insulation </t>
    </r>
  </si>
  <si>
    <r>
      <t xml:space="preserve">Đào đất và san lấp
</t>
    </r>
    <r>
      <rPr>
        <i/>
        <sz val="10"/>
        <color indexed="12"/>
        <rFont val="Times New Roman"/>
        <family val="1"/>
      </rPr>
      <t>Excavating and backfilling</t>
    </r>
  </si>
  <si>
    <r>
      <t xml:space="preserve">Giá đở
</t>
    </r>
    <r>
      <rPr>
        <i/>
        <sz val="10"/>
        <color indexed="12"/>
        <rFont val="Times New Roman"/>
        <family val="1"/>
      </rPr>
      <t>Hangers &amp; supports</t>
    </r>
  </si>
  <si>
    <r>
      <t xml:space="preserve">Tấm tôn tráng kẽm dày 0.8mm (0.75mm)  cho ống gió gồm cách nhiệt bên ngoài dày 50mm bằng polyurethane bọc băng nhôm  ..và sơn bảo vệ
</t>
    </r>
    <r>
      <rPr>
        <i/>
        <sz val="10"/>
        <color indexed="12"/>
        <rFont val="Times New Roman"/>
        <family val="1"/>
      </rPr>
      <t>Galvanized tole sheet thick 0.8mm (0.75mm) for air duct shall be external insulated  with 50mm thick Polyurethane and wrapped with aluminium foil ... and paint with a weather resistant</t>
    </r>
  </si>
  <si>
    <r>
      <t xml:space="preserve">Tấm tôn tráng kẽm dày 1.0mm (0.95mm)  cho ống gió gồm cách nhiệt bên ngoài bằng bông thủy tinh tỷ trọng 32kg/m3
</t>
    </r>
    <r>
      <rPr>
        <i/>
        <sz val="10"/>
        <color indexed="12"/>
        <rFont val="Times New Roman"/>
        <family val="1"/>
      </rPr>
      <t>Galvanized tole sheet thick 1.0mm (0.95mm) for air duct shall be external insulated  with fiberglass density 32kg/m3</t>
    </r>
  </si>
  <si>
    <r>
      <t xml:space="preserve">Tấm tôn tráng kẽm dày 0.8mm (0.75mm)  cho ống gió gồm cách nhiệt bên ngoài bằng bông thủy tinh tỷ trọng 32kg/m3
</t>
    </r>
    <r>
      <rPr>
        <i/>
        <sz val="10"/>
        <color indexed="12"/>
        <rFont val="Times New Roman"/>
        <family val="1"/>
      </rPr>
      <t>Galvanized tole sheet thick 0.8mm (0.75mm) for air duct shall be external insulated  with fiberglass density 32kg/m3</t>
    </r>
  </si>
  <si>
    <r>
      <t xml:space="preserve">Tấm tôn tráng kẽm dày 0.6mm (0.58mm)  cho ống gió gồm cách nhiệt bên ngoài bằng bông thủy tinh tỷ trọng 32kg/m3
</t>
    </r>
    <r>
      <rPr>
        <i/>
        <sz val="10"/>
        <color indexed="12"/>
        <rFont val="Times New Roman"/>
        <family val="1"/>
      </rPr>
      <t>Galvanized tole sheet thick 0.6mm (0.58mm) for air duct shall be external insulated  with fiberglass density 32kg/m3</t>
    </r>
  </si>
  <si>
    <r>
      <t xml:space="preserve">Tấm tôn tráng kẽm dày 1.0mm (0.95mm)  cho ống gió gồm  cách nhiệt bên trong bằng bông khoáng dày 50mm tỷ trọng 60kg/m3
</t>
    </r>
    <r>
      <rPr>
        <i/>
        <sz val="10"/>
        <color indexed="12"/>
        <rFont val="Times New Roman"/>
        <family val="1"/>
      </rPr>
      <t>Galvanized tole sheet thick 1.0mm (0.95mm) for air duct shall be internal insulated  with 50mm rookwool density 60kg/m3</t>
    </r>
  </si>
  <si>
    <r>
      <t xml:space="preserve">Tấm tôn tráng kẽm dày 0.8mm (0.75mm)  cho ống gió gồm cách nhiệt bên trong bằng bông khoáng dày 50mm tỷ trọng 60kg/m3
</t>
    </r>
    <r>
      <rPr>
        <i/>
        <sz val="10"/>
        <color indexed="12"/>
        <rFont val="Times New Roman"/>
        <family val="1"/>
      </rPr>
      <t>Galvanized tole sheet thick 0.8mm (0.75mm) for air duct shall be internal insulated  with 50mm rookwool density 60kg/m3</t>
    </r>
  </si>
  <si>
    <r>
      <t xml:space="preserve">Tấm tôn tráng kẽm dày 0.6mm (0.58mm)  cho ống gió gồm cách nhiệt bên trong bằng bông khoáng dày 50mm tỷ trọng 60kg/m3
</t>
    </r>
    <r>
      <rPr>
        <i/>
        <sz val="10"/>
        <color indexed="12"/>
        <rFont val="Times New Roman"/>
        <family val="1"/>
      </rPr>
      <t>Galvanized tole sheet thick 0.6mm (0.58mm) for air duct shall be internal insulated  with 50mm rookwool density 60kg/m3</t>
    </r>
  </si>
  <si>
    <r>
      <t xml:space="preserve">Ống gió mềm có cách nhiệt D100
</t>
    </r>
    <r>
      <rPr>
        <i/>
        <sz val="10"/>
        <color indexed="12"/>
        <rFont val="Times New Roman"/>
        <family val="1"/>
      </rPr>
      <t>Flexible air duct c/w insulation D100</t>
    </r>
  </si>
  <si>
    <r>
      <t xml:space="preserve">Ống gió mềm có cách nhiệt D200
</t>
    </r>
    <r>
      <rPr>
        <i/>
        <sz val="10"/>
        <color indexed="12"/>
        <rFont val="Times New Roman"/>
        <family val="1"/>
      </rPr>
      <t>Flexible air duct c/w insulation D200</t>
    </r>
  </si>
  <si>
    <r>
      <t xml:space="preserve">Ống gió mềm có cách nhiệt D250
</t>
    </r>
    <r>
      <rPr>
        <i/>
        <sz val="10"/>
        <color indexed="12"/>
        <rFont val="Times New Roman"/>
        <family val="1"/>
      </rPr>
      <t>Flexible air duct c/w insulation D250</t>
    </r>
  </si>
  <si>
    <r>
      <t xml:space="preserve">Ống gió mềm có cách nhiệt D300
</t>
    </r>
    <r>
      <rPr>
        <i/>
        <sz val="10"/>
        <color indexed="12"/>
        <rFont val="Times New Roman"/>
        <family val="1"/>
      </rPr>
      <t>Flexible air duct c/w insulation D300</t>
    </r>
  </si>
  <si>
    <r>
      <t xml:space="preserve">Ống gió mềm có cách nhiệt D350
</t>
    </r>
    <r>
      <rPr>
        <i/>
        <sz val="10"/>
        <color indexed="12"/>
        <rFont val="Times New Roman"/>
        <family val="1"/>
      </rPr>
      <t>Flexible air duct c/w insulation D350</t>
    </r>
  </si>
  <si>
    <r>
      <t xml:space="preserve">Máng hứng có cách nhiệt
</t>
    </r>
    <r>
      <rPr>
        <i/>
        <sz val="10"/>
        <color indexed="12"/>
        <rFont val="Times New Roman"/>
        <family val="1"/>
      </rPr>
      <t>Drain pan c/w insulation</t>
    </r>
  </si>
  <si>
    <r>
      <t xml:space="preserve">Giá đõ ống gió
</t>
    </r>
    <r>
      <rPr>
        <i/>
        <sz val="10"/>
        <color indexed="12"/>
        <rFont val="Times New Roman"/>
        <family val="1"/>
      </rPr>
      <t>Support air duct</t>
    </r>
  </si>
  <si>
    <r>
      <t xml:space="preserve">Vật tư phụ…..
</t>
    </r>
    <r>
      <rPr>
        <i/>
        <sz val="10"/>
        <color indexed="12"/>
        <rFont val="Times New Roman"/>
        <family val="1"/>
      </rPr>
      <t>Accessories…</t>
    </r>
  </si>
  <si>
    <r>
      <t xml:space="preserve">Lưới chắn côn trùng 
</t>
    </r>
    <r>
      <rPr>
        <i/>
        <sz val="10"/>
        <color indexed="12"/>
        <rFont val="Times New Roman"/>
        <family val="1"/>
      </rPr>
      <t xml:space="preserve">Insect screen </t>
    </r>
  </si>
  <si>
    <r>
      <t xml:space="preserve">Lưới chắn côn trùng cho hộp hồi trần FCU
</t>
    </r>
    <r>
      <rPr>
        <i/>
        <sz val="10"/>
        <color indexed="12"/>
        <rFont val="Times New Roman"/>
        <family val="1"/>
      </rPr>
      <t>Return box FCU c/w insert screen</t>
    </r>
  </si>
  <si>
    <r>
      <t xml:space="preserve">Miệng gió cấp kèm van điều chỉnh lưu lượng 
</t>
    </r>
    <r>
      <rPr>
        <i/>
        <sz val="10"/>
        <color indexed="12"/>
        <rFont val="Times New Roman"/>
        <family val="1"/>
      </rPr>
      <t>Supply air grille  c/w VCD</t>
    </r>
  </si>
  <si>
    <t>thay đổi ODB sang VCD</t>
  </si>
  <si>
    <t>FAG c/w VCD : 150x150</t>
  </si>
  <si>
    <t>FAG c/w VCD : 250x250</t>
  </si>
  <si>
    <t>FAG c/w VCD : 300x300</t>
  </si>
  <si>
    <t>FAG c/w VCD : 450x450</t>
  </si>
  <si>
    <t>FAG c/w VCD : 1150x200</t>
  </si>
  <si>
    <t>SAG c/w VCD : 450x450</t>
  </si>
  <si>
    <t>SAG c/w VCD : 1150x550</t>
  </si>
  <si>
    <t>SAG c/w VCD : 1150x230</t>
  </si>
  <si>
    <t>SAG c/w VCD : 1150x200</t>
  </si>
  <si>
    <r>
      <t xml:space="preserve">Miệng gió hồi kèm van điều chỉnh lưu lượng 
</t>
    </r>
    <r>
      <rPr>
        <i/>
        <sz val="10"/>
        <color indexed="12"/>
        <rFont val="Times New Roman"/>
        <family val="1"/>
      </rPr>
      <t>Return Air Grill c/w VCD</t>
    </r>
  </si>
  <si>
    <t>RAG 1150x550 c/w VCD</t>
  </si>
  <si>
    <t>RAG 1150x230 c/w VCD</t>
  </si>
  <si>
    <t>RAG 550x550 c/w VCD</t>
  </si>
  <si>
    <r>
      <t xml:space="preserve">Van điều chỉnh lưu lượng 
</t>
    </r>
    <r>
      <rPr>
        <i/>
        <sz val="10"/>
        <color indexed="12"/>
        <rFont val="Times New Roman"/>
        <family val="1"/>
      </rPr>
      <t xml:space="preserve">Volum control damper </t>
    </r>
  </si>
  <si>
    <r>
      <t xml:space="preserve">Van điều chỉnh lưu lượng VCD: 1000x600
</t>
    </r>
    <r>
      <rPr>
        <i/>
        <sz val="10"/>
        <color indexed="12"/>
        <rFont val="Times New Roman"/>
        <family val="1"/>
      </rPr>
      <t>Volum control damper VCD: 1000x600</t>
    </r>
  </si>
  <si>
    <r>
      <t xml:space="preserve">Van điều chỉnh lưu lượng VCD: 1000x250
</t>
    </r>
    <r>
      <rPr>
        <i/>
        <sz val="10"/>
        <color indexed="12"/>
        <rFont val="Times New Roman"/>
        <family val="1"/>
      </rPr>
      <t>Volum control damper VCD: 1000x250</t>
    </r>
  </si>
  <si>
    <r>
      <t xml:space="preserve">Van điều chỉnh lưu lượng VCD: 900x250
</t>
    </r>
    <r>
      <rPr>
        <i/>
        <sz val="10"/>
        <color indexed="12"/>
        <rFont val="Times New Roman"/>
        <family val="1"/>
      </rPr>
      <t>Volum control damper VCD: 900x250</t>
    </r>
  </si>
  <si>
    <r>
      <t xml:space="preserve">Van điều chỉnh lưu lượng VCD: 250x200
</t>
    </r>
    <r>
      <rPr>
        <i/>
        <sz val="10"/>
        <color indexed="12"/>
        <rFont val="Times New Roman"/>
        <family val="1"/>
      </rPr>
      <t>Volum control damper VCD: 250x200</t>
    </r>
  </si>
  <si>
    <r>
      <t xml:space="preserve">Van điều chỉnh lưu lượng VCD: 200x150
</t>
    </r>
    <r>
      <rPr>
        <i/>
        <sz val="10"/>
        <color indexed="12"/>
        <rFont val="Times New Roman"/>
        <family val="1"/>
      </rPr>
      <t>Volum control damper VCD: 200x150</t>
    </r>
  </si>
  <si>
    <r>
      <t xml:space="preserve">Van điều chỉnh lưu lượng VCD: 150x150
</t>
    </r>
    <r>
      <rPr>
        <i/>
        <sz val="10"/>
        <color indexed="12"/>
        <rFont val="Times New Roman"/>
        <family val="1"/>
      </rPr>
      <t>Volum control damper VCD: 150x150</t>
    </r>
  </si>
  <si>
    <r>
      <t xml:space="preserve">Fire damper
</t>
    </r>
    <r>
      <rPr>
        <i/>
        <sz val="10"/>
        <color indexed="12"/>
        <rFont val="Times New Roman"/>
        <family val="1"/>
      </rPr>
      <t xml:space="preserve">Van ngăn cháy </t>
    </r>
  </si>
  <si>
    <t>Fire damper FD 1000x250</t>
  </si>
  <si>
    <t>Fire damper FD 900x250</t>
  </si>
  <si>
    <r>
      <t xml:space="preserve">Bộ Lọc 
</t>
    </r>
    <r>
      <rPr>
        <i/>
        <sz val="10"/>
        <color indexed="12"/>
        <rFont val="Times New Roman"/>
        <family val="1"/>
      </rPr>
      <t xml:space="preserve">Filter </t>
    </r>
  </si>
  <si>
    <r>
      <t xml:space="preserve">Bộ lọc : 450x200
</t>
    </r>
    <r>
      <rPr>
        <i/>
        <sz val="10"/>
        <color indexed="12"/>
        <rFont val="Times New Roman"/>
        <family val="1"/>
      </rPr>
      <t>Filter : 450x2</t>
    </r>
    <r>
      <rPr>
        <sz val="10"/>
        <color indexed="12"/>
        <rFont val="Times New Roman"/>
        <family val="1"/>
      </rPr>
      <t>00</t>
    </r>
  </si>
  <si>
    <r>
      <t>Van gió điện</t>
    </r>
    <r>
      <rPr>
        <sz val="10"/>
        <color indexed="12"/>
        <rFont val="Times New Roman"/>
        <family val="1"/>
      </rPr>
      <t xml:space="preserve">
</t>
    </r>
    <r>
      <rPr>
        <i/>
        <sz val="10"/>
        <color indexed="12"/>
        <rFont val="Times New Roman"/>
        <family val="1"/>
      </rPr>
      <t xml:space="preserve">Motorized damper </t>
    </r>
  </si>
  <si>
    <r>
      <t xml:space="preserve">Van gió điện MD: 500x150
</t>
    </r>
    <r>
      <rPr>
        <i/>
        <sz val="10"/>
        <color indexed="12"/>
        <rFont val="Times New Roman"/>
        <family val="1"/>
      </rPr>
      <t>Motorized damper MD: 500x150</t>
    </r>
  </si>
  <si>
    <r>
      <t xml:space="preserve">Van gió điện MD: 450x200
</t>
    </r>
    <r>
      <rPr>
        <i/>
        <sz val="10"/>
        <color indexed="12"/>
        <rFont val="Times New Roman"/>
        <family val="1"/>
      </rPr>
      <t>Motorized damper MD: 450x200</t>
    </r>
  </si>
  <si>
    <r>
      <t xml:space="preserve">Van gió điện MD: 400x200
</t>
    </r>
    <r>
      <rPr>
        <i/>
        <sz val="10"/>
        <color indexed="12"/>
        <rFont val="Times New Roman"/>
        <family val="1"/>
      </rPr>
      <t>Motorized damper MD: 400x200</t>
    </r>
  </si>
  <si>
    <r>
      <t xml:space="preserve">Van gió điện MD: 400x150
</t>
    </r>
    <r>
      <rPr>
        <i/>
        <sz val="10"/>
        <color indexed="12"/>
        <rFont val="Times New Roman"/>
        <family val="1"/>
      </rPr>
      <t>Motorized damper MD: 400x150</t>
    </r>
  </si>
  <si>
    <r>
      <t xml:space="preserve">Van gió điện MD: 350x200
</t>
    </r>
    <r>
      <rPr>
        <i/>
        <sz val="10"/>
        <color indexed="12"/>
        <rFont val="Times New Roman"/>
        <family val="1"/>
      </rPr>
      <t>Motorized damper MD: 350x200</t>
    </r>
  </si>
  <si>
    <r>
      <t xml:space="preserve">Van gió điện MD: 350x150
</t>
    </r>
    <r>
      <rPr>
        <i/>
        <sz val="10"/>
        <color indexed="12"/>
        <rFont val="Times New Roman"/>
        <family val="1"/>
      </rPr>
      <t>Motorized damper MD: 350x150</t>
    </r>
  </si>
  <si>
    <r>
      <t xml:space="preserve">Van gió điện MD: 300x200
</t>
    </r>
    <r>
      <rPr>
        <i/>
        <sz val="10"/>
        <color indexed="12"/>
        <rFont val="Times New Roman"/>
        <family val="1"/>
      </rPr>
      <t>Motorized damper MD: 300x200</t>
    </r>
  </si>
  <si>
    <r>
      <t xml:space="preserve">Van gió điện MD: 300x150
</t>
    </r>
    <r>
      <rPr>
        <i/>
        <sz val="10"/>
        <color indexed="12"/>
        <rFont val="Times New Roman"/>
        <family val="1"/>
      </rPr>
      <t>Motorized damper MD: 300x150</t>
    </r>
  </si>
  <si>
    <r>
      <t xml:space="preserve">Van gió điện MD: 250x150
</t>
    </r>
    <r>
      <rPr>
        <i/>
        <sz val="10"/>
        <color indexed="12"/>
        <rFont val="Times New Roman"/>
        <family val="1"/>
      </rPr>
      <t>Motorized damper MD: 250x150</t>
    </r>
  </si>
  <si>
    <r>
      <t xml:space="preserve">Van gió điện MD: 200x150
</t>
    </r>
    <r>
      <rPr>
        <i/>
        <sz val="10"/>
        <color indexed="12"/>
        <rFont val="Times New Roman"/>
        <family val="1"/>
      </rPr>
      <t>Motorized damper MD: 200x150</t>
    </r>
  </si>
  <si>
    <r>
      <t xml:space="preserve">Van gió điện MD: 150x150
</t>
    </r>
    <r>
      <rPr>
        <i/>
        <sz val="10"/>
        <color indexed="12"/>
        <rFont val="Times New Roman"/>
        <family val="1"/>
      </rPr>
      <t>Motorized damper MD: 150x150</t>
    </r>
  </si>
  <si>
    <r>
      <t xml:space="preserve">Van gió điện MD: 150x100
</t>
    </r>
    <r>
      <rPr>
        <i/>
        <sz val="10"/>
        <color indexed="12"/>
        <rFont val="Times New Roman"/>
        <family val="1"/>
      </rPr>
      <t>Motorized damper MD: 150x100</t>
    </r>
  </si>
  <si>
    <r>
      <t xml:space="preserve">Van gió điện MD: 100x100
</t>
    </r>
    <r>
      <rPr>
        <i/>
        <sz val="10"/>
        <color indexed="12"/>
        <rFont val="Times New Roman"/>
        <family val="1"/>
      </rPr>
      <t>Motorized damper MD: 100x100</t>
    </r>
  </si>
  <si>
    <r>
      <t xml:space="preserve">Vật tư phụ….
</t>
    </r>
    <r>
      <rPr>
        <i/>
        <sz val="10"/>
        <color indexed="12"/>
        <rFont val="Times New Roman"/>
        <family val="1"/>
      </rPr>
      <t>Accessories...</t>
    </r>
  </si>
  <si>
    <r>
      <t xml:space="preserve">Cáp tín hiệu bao gồm ống luồn cho van gió điện MD
</t>
    </r>
    <r>
      <rPr>
        <i/>
        <sz val="10"/>
        <color indexed="12"/>
        <rFont val="Times New Roman"/>
        <family val="1"/>
      </rPr>
      <t xml:space="preserve">Signal cable c/w conduit  for Motorized  damper MD </t>
    </r>
  </si>
  <si>
    <r>
      <t xml:space="preserve">Hệ thống điện cho hệ thống ACMV
</t>
    </r>
    <r>
      <rPr>
        <b/>
        <i/>
        <sz val="10"/>
        <color indexed="12"/>
        <rFont val="Times New Roman"/>
        <family val="1"/>
      </rPr>
      <t>Electric system for ACMV</t>
    </r>
  </si>
  <si>
    <r>
      <t xml:space="preserve">Cáp XLPE/PVC 1Cx120mm²
</t>
    </r>
    <r>
      <rPr>
        <i/>
        <sz val="10"/>
        <color indexed="12"/>
        <rFont val="Times New Roman"/>
        <family val="1"/>
      </rPr>
      <t>1Cx120mm² XLPE/PVC Cable</t>
    </r>
  </si>
  <si>
    <r>
      <t xml:space="preserve">Cáp XLPE/PVC 1Cx16mm²
</t>
    </r>
    <r>
      <rPr>
        <i/>
        <sz val="10"/>
        <color indexed="12"/>
        <rFont val="Times New Roman"/>
        <family val="1"/>
      </rPr>
      <t>1Cx16mm² XLPE/PVC Cable</t>
    </r>
  </si>
  <si>
    <r>
      <t xml:space="preserve">Cáp XLPE/PVC 1Cx2.5mm²
</t>
    </r>
    <r>
      <rPr>
        <sz val="10"/>
        <color indexed="12"/>
        <rFont val="Times New Roman"/>
        <family val="1"/>
      </rPr>
      <t>1</t>
    </r>
    <r>
      <rPr>
        <i/>
        <sz val="10"/>
        <color indexed="12"/>
        <rFont val="Times New Roman"/>
        <family val="1"/>
      </rPr>
      <t>Cx2.5mm² XLPE/PVC Cable</t>
    </r>
  </si>
  <si>
    <r>
      <t xml:space="preserve">Cáp XLPE/PVC 3Cx16mm²
</t>
    </r>
    <r>
      <rPr>
        <sz val="10"/>
        <color indexed="12"/>
        <rFont val="Times New Roman"/>
        <family val="1"/>
      </rPr>
      <t>3</t>
    </r>
    <r>
      <rPr>
        <i/>
        <sz val="10"/>
        <color indexed="12"/>
        <rFont val="Times New Roman"/>
        <family val="1"/>
      </rPr>
      <t>Cx16mm² XLPE/PVC Cable</t>
    </r>
  </si>
  <si>
    <r>
      <t xml:space="preserve">Cáp XLPE/PVC 3Cx10mm²
</t>
    </r>
    <r>
      <rPr>
        <sz val="10"/>
        <color indexed="12"/>
        <rFont val="Times New Roman"/>
        <family val="1"/>
      </rPr>
      <t>3</t>
    </r>
    <r>
      <rPr>
        <i/>
        <sz val="10"/>
        <color indexed="12"/>
        <rFont val="Times New Roman"/>
        <family val="1"/>
      </rPr>
      <t>Cx10mm² XLPE/PVC Cable</t>
    </r>
  </si>
  <si>
    <r>
      <t xml:space="preserve">Cáp XLPE/PVC 3Cx6.0mm²
</t>
    </r>
    <r>
      <rPr>
        <sz val="10"/>
        <color indexed="12"/>
        <rFont val="Times New Roman"/>
        <family val="1"/>
      </rPr>
      <t>3</t>
    </r>
    <r>
      <rPr>
        <i/>
        <sz val="10"/>
        <color indexed="12"/>
        <rFont val="Times New Roman"/>
        <family val="1"/>
      </rPr>
      <t>Cx6.0mm² XLPE/PVC Cable</t>
    </r>
  </si>
  <si>
    <r>
      <t xml:space="preserve">Cáp XLPE/PVC 3Cx4.0mm²
</t>
    </r>
    <r>
      <rPr>
        <sz val="10"/>
        <color indexed="12"/>
        <rFont val="Times New Roman"/>
        <family val="1"/>
      </rPr>
      <t>3</t>
    </r>
    <r>
      <rPr>
        <i/>
        <sz val="10"/>
        <color indexed="12"/>
        <rFont val="Times New Roman"/>
        <family val="1"/>
      </rPr>
      <t>Cx4.0mm² XLPE/PVC Cable</t>
    </r>
  </si>
  <si>
    <r>
      <t xml:space="preserve">Cáp XLPE/PVC 3Cx2.5mm²
</t>
    </r>
    <r>
      <rPr>
        <sz val="10"/>
        <color indexed="12"/>
        <rFont val="Times New Roman"/>
        <family val="1"/>
      </rPr>
      <t>3</t>
    </r>
    <r>
      <rPr>
        <i/>
        <sz val="10"/>
        <color indexed="12"/>
        <rFont val="Times New Roman"/>
        <family val="1"/>
      </rPr>
      <t>Cx2.5mm² XLPE/PVC Cable</t>
    </r>
  </si>
  <si>
    <r>
      <t xml:space="preserve">Cáp chống cháy  3Cx10mm²
</t>
    </r>
    <r>
      <rPr>
        <i/>
        <sz val="10"/>
        <color indexed="12"/>
        <rFont val="Times New Roman"/>
        <family val="1"/>
      </rPr>
      <t>3Cx10mm² FR/Cu Cable</t>
    </r>
  </si>
  <si>
    <r>
      <t xml:space="preserve">Cáp chống cháy  3Cx6.0mm²
</t>
    </r>
    <r>
      <rPr>
        <i/>
        <sz val="10"/>
        <color indexed="12"/>
        <rFont val="Times New Roman"/>
        <family val="1"/>
      </rPr>
      <t>3Cx6.0mm² FR/Cu Cable</t>
    </r>
  </si>
  <si>
    <r>
      <t xml:space="preserve">Cáp chống cháy  3Cx4.0mm²
</t>
    </r>
    <r>
      <rPr>
        <i/>
        <sz val="10"/>
        <color indexed="12"/>
        <rFont val="Times New Roman"/>
        <family val="1"/>
      </rPr>
      <t>3Cx4.0mm² FR/Cu Cable</t>
    </r>
  </si>
  <si>
    <r>
      <t xml:space="preserve">Cáp chống cháy  1Cx2.5mm²
</t>
    </r>
    <r>
      <rPr>
        <i/>
        <sz val="10"/>
        <color indexed="12"/>
        <rFont val="Times New Roman"/>
        <family val="1"/>
      </rPr>
      <t xml:space="preserve">1Cx2.5mm² FR/Cu Cable </t>
    </r>
  </si>
  <si>
    <r>
      <t xml:space="preserve">Cáp chống cháy  2Cx1.5mm²
</t>
    </r>
    <r>
      <rPr>
        <sz val="10"/>
        <color indexed="12"/>
        <rFont val="Times New Roman"/>
        <family val="1"/>
      </rPr>
      <t>2</t>
    </r>
    <r>
      <rPr>
        <i/>
        <sz val="10"/>
        <color indexed="12"/>
        <rFont val="Times New Roman"/>
        <family val="1"/>
      </rPr>
      <t xml:space="preserve">Cx1.5mm² FR/Cu Cable </t>
    </r>
  </si>
  <si>
    <r>
      <t xml:space="preserve">Cáp Cu/PVC/PVC 4Cx1.5mm²
</t>
    </r>
    <r>
      <rPr>
        <i/>
        <sz val="10"/>
        <color indexed="12"/>
        <rFont val="Times New Roman"/>
        <family val="1"/>
      </rPr>
      <t>4Cx1.5mm² Cu/ PVC/PVC Cable</t>
    </r>
  </si>
  <si>
    <r>
      <t>Ống GI D32</t>
    </r>
    <r>
      <rPr>
        <i/>
        <sz val="10"/>
        <rFont val="Times New Roman"/>
        <family val="1"/>
      </rPr>
      <t xml:space="preserve">
</t>
    </r>
    <r>
      <rPr>
        <i/>
        <sz val="10"/>
        <color indexed="12"/>
        <rFont val="Times New Roman"/>
        <family val="1"/>
      </rPr>
      <t>GI conduit D32</t>
    </r>
  </si>
  <si>
    <r>
      <t>Ống GI D25</t>
    </r>
    <r>
      <rPr>
        <i/>
        <sz val="10"/>
        <rFont val="Times New Roman"/>
        <family val="1"/>
      </rPr>
      <t xml:space="preserve">
</t>
    </r>
    <r>
      <rPr>
        <i/>
        <sz val="10"/>
        <color indexed="12"/>
        <rFont val="Times New Roman"/>
        <family val="1"/>
      </rPr>
      <t>GI conduit D25</t>
    </r>
  </si>
  <si>
    <r>
      <t>Ống GI D20</t>
    </r>
    <r>
      <rPr>
        <i/>
        <sz val="10"/>
        <rFont val="Times New Roman"/>
        <family val="1"/>
      </rPr>
      <t xml:space="preserve">
</t>
    </r>
    <r>
      <rPr>
        <i/>
        <sz val="10"/>
        <color indexed="12"/>
        <rFont val="Times New Roman"/>
        <family val="1"/>
      </rPr>
      <t>GI conduit D20</t>
    </r>
  </si>
  <si>
    <r>
      <t xml:space="preserve">Phụ kiện cho ống GI 
</t>
    </r>
    <r>
      <rPr>
        <i/>
        <sz val="10"/>
        <color indexed="12"/>
        <rFont val="Times New Roman"/>
        <family val="1"/>
      </rPr>
      <t xml:space="preserve">Fittings for GI pipe </t>
    </r>
  </si>
  <si>
    <r>
      <t>Ống PVC D40</t>
    </r>
    <r>
      <rPr>
        <i/>
        <sz val="10"/>
        <rFont val="Times New Roman"/>
        <family val="1"/>
      </rPr>
      <t xml:space="preserve">
</t>
    </r>
    <r>
      <rPr>
        <i/>
        <sz val="10"/>
        <color indexed="12"/>
        <rFont val="Times New Roman"/>
        <family val="1"/>
      </rPr>
      <t>PVC conduit D40</t>
    </r>
  </si>
  <si>
    <r>
      <t>Ống PVC D32</t>
    </r>
    <r>
      <rPr>
        <i/>
        <sz val="10"/>
        <rFont val="Times New Roman"/>
        <family val="1"/>
      </rPr>
      <t xml:space="preserve">
</t>
    </r>
    <r>
      <rPr>
        <i/>
        <sz val="10"/>
        <color indexed="12"/>
        <rFont val="Times New Roman"/>
        <family val="1"/>
      </rPr>
      <t>PVC conduit D32</t>
    </r>
  </si>
  <si>
    <r>
      <t>Ống PVC D20</t>
    </r>
    <r>
      <rPr>
        <i/>
        <sz val="10"/>
        <rFont val="Times New Roman"/>
        <family val="1"/>
      </rPr>
      <t xml:space="preserve">
</t>
    </r>
    <r>
      <rPr>
        <i/>
        <sz val="10"/>
        <color indexed="12"/>
        <rFont val="Times New Roman"/>
        <family val="1"/>
      </rPr>
      <t>PVC conduit D20</t>
    </r>
  </si>
  <si>
    <r>
      <t xml:space="preserve">Phụ kiện cho ống PVC 
</t>
    </r>
    <r>
      <rPr>
        <i/>
        <sz val="10"/>
        <color indexed="12"/>
        <rFont val="Times New Roman"/>
        <family val="1"/>
      </rPr>
      <t xml:space="preserve">Fittings for PVC pipe </t>
    </r>
  </si>
  <si>
    <r>
      <t xml:space="preserve">Keo dán ống PVC
</t>
    </r>
    <r>
      <rPr>
        <i/>
        <sz val="10"/>
        <color indexed="12"/>
        <rFont val="Times New Roman"/>
        <family val="1"/>
      </rPr>
      <t>PVC paste</t>
    </r>
  </si>
  <si>
    <r>
      <t xml:space="preserve">ký
</t>
    </r>
    <r>
      <rPr>
        <i/>
        <sz val="10"/>
        <color indexed="12"/>
        <rFont val="Times New Roman"/>
        <family val="1"/>
      </rPr>
      <t>kg</t>
    </r>
  </si>
  <si>
    <r>
      <t xml:space="preserve">Phụ kiện...
</t>
    </r>
    <r>
      <rPr>
        <i/>
        <sz val="10"/>
        <color indexed="12"/>
        <rFont val="Times New Roman"/>
        <family val="1"/>
      </rPr>
      <t>Accessories….</t>
    </r>
  </si>
  <si>
    <r>
      <t xml:space="preserve">Tủ điều khiển cho hệ thống ACMV
</t>
    </r>
    <r>
      <rPr>
        <i/>
        <sz val="10"/>
        <color indexed="12"/>
        <rFont val="Times New Roman"/>
        <family val="1"/>
      </rPr>
      <t>Electrical control cabinets for ACMV system</t>
    </r>
  </si>
  <si>
    <t>Isolator 1P-16A</t>
  </si>
  <si>
    <t>Isolator 1P-20A</t>
  </si>
  <si>
    <t>Isolator 2P-10A</t>
  </si>
  <si>
    <t>Isolator 3P-25A</t>
  </si>
  <si>
    <t>Isolator 3P-32A</t>
  </si>
  <si>
    <r>
      <t xml:space="preserve">Bộ điều khiển nhiệt độ điều khiển quạt
</t>
    </r>
    <r>
      <rPr>
        <i/>
        <sz val="10"/>
        <color indexed="12"/>
        <rFont val="Times New Roman"/>
        <family val="1"/>
      </rPr>
      <t>Temperature control unit for fans</t>
    </r>
  </si>
  <si>
    <r>
      <t xml:space="preserve">Phụ kiện...
</t>
    </r>
    <r>
      <rPr>
        <i/>
        <sz val="10"/>
        <color indexed="12"/>
        <rFont val="Times New Roman"/>
        <family val="1"/>
      </rPr>
      <t>Accessories…..</t>
    </r>
  </si>
  <si>
    <t>AC-B</t>
  </si>
  <si>
    <r>
      <t xml:space="preserve">Biến dòng ( loại đo lường ) MCT 50/5A, Class 1.0, 5VA, W1=2
</t>
    </r>
    <r>
      <rPr>
        <i/>
        <sz val="10"/>
        <rFont val="Times New Roman"/>
        <family val="1"/>
      </rPr>
      <t>MCT 50/5A, Class 1.0, 5VA, W1=2</t>
    </r>
  </si>
  <si>
    <t>MCB 2P 20A 10KA</t>
  </si>
  <si>
    <r>
      <t xml:space="preserve">bộ
</t>
    </r>
    <r>
      <rPr>
        <i/>
        <sz val="10"/>
        <color indexed="21"/>
        <rFont val="Times New Roman"/>
        <family val="1"/>
      </rPr>
      <t>set</t>
    </r>
  </si>
  <si>
    <t>AC-B-CON</t>
  </si>
  <si>
    <t>MCB 2P 20A 6KA</t>
  </si>
  <si>
    <t>AC-B-BRE</t>
  </si>
  <si>
    <t>AC-B-OFF</t>
  </si>
  <si>
    <t>AC-B-SHO</t>
  </si>
  <si>
    <t>AC-G-MAK.2</t>
  </si>
  <si>
    <t>AC-G-MAK.1</t>
  </si>
  <si>
    <t>AC-G-CLA</t>
  </si>
  <si>
    <t>AC-G-RM</t>
  </si>
  <si>
    <t>AC-G-VID</t>
  </si>
  <si>
    <t>AC-G-OFF</t>
  </si>
  <si>
    <t>AC-G</t>
  </si>
  <si>
    <t>MCB 2P 25A 10KA</t>
  </si>
  <si>
    <t>AC-2-IND</t>
  </si>
  <si>
    <t>AC-2-ART.2</t>
  </si>
  <si>
    <t>AC-2-ART.1</t>
  </si>
  <si>
    <t>AC-2-PRI</t>
  </si>
  <si>
    <t>AC-2-COL</t>
  </si>
  <si>
    <t>AC-2</t>
  </si>
  <si>
    <t>AC-3-GRO.3</t>
  </si>
  <si>
    <t>AC-3-GRO.2</t>
  </si>
  <si>
    <t>AC-3-GRO.1</t>
  </si>
  <si>
    <t>AC-3-MAT.1</t>
  </si>
  <si>
    <t>AC-3-IND</t>
  </si>
  <si>
    <t>AC-3-PHY</t>
  </si>
  <si>
    <t>AC-3-MAT.5</t>
  </si>
  <si>
    <t>AC-3-MAT.2</t>
  </si>
  <si>
    <t>AC-3-MAT.4</t>
  </si>
  <si>
    <t>AC-3-MAT.3</t>
  </si>
  <si>
    <t>AC-3-OFF</t>
  </si>
  <si>
    <t>AC-3</t>
  </si>
  <si>
    <t>AC-4-GRO.3</t>
  </si>
  <si>
    <t>AC-4-GRO.2</t>
  </si>
  <si>
    <t>AC-4-GRO.1</t>
  </si>
  <si>
    <t>AC-4-BIO.1</t>
  </si>
  <si>
    <t>AC-4-BIO.2</t>
  </si>
  <si>
    <t>AC-4-CHE.2</t>
  </si>
  <si>
    <t>AC-4-IND</t>
  </si>
  <si>
    <t>AC-4-CHE.1</t>
  </si>
  <si>
    <t>AC-4-SCI</t>
  </si>
  <si>
    <t>AC-4</t>
  </si>
  <si>
    <t>MCCB 3P 80A 25KA</t>
  </si>
  <si>
    <r>
      <t xml:space="preserve">Đồng hồ Ampe 100A, Class 1.5, 96x96
</t>
    </r>
    <r>
      <rPr>
        <i/>
        <sz val="10"/>
        <color indexed="12"/>
        <rFont val="Times New Roman"/>
        <family val="1"/>
      </rPr>
      <t>Ampe meter</t>
    </r>
  </si>
  <si>
    <t>CP-R-SEF</t>
  </si>
  <si>
    <r>
      <t xml:space="preserve">Điều khiển S/D 3P 6KW
</t>
    </r>
    <r>
      <rPr>
        <i/>
        <sz val="10"/>
        <color indexed="12"/>
        <rFont val="Times New Roman"/>
        <family val="1"/>
      </rPr>
      <t>Control S/D 3P 6KW</t>
    </r>
  </si>
  <si>
    <t>Contactor 3P 25A 1NO</t>
  </si>
  <si>
    <r>
      <t xml:space="preserve">Relay nhiệt 12-18A
</t>
    </r>
    <r>
      <rPr>
        <i/>
        <sz val="10"/>
        <color indexed="12"/>
        <rFont val="Times New Roman"/>
        <family val="1"/>
      </rPr>
      <t>Overload relay 12-18A</t>
    </r>
  </si>
  <si>
    <r>
      <t xml:space="preserve">Mạch điều khiển S/D
</t>
    </r>
    <r>
      <rPr>
        <i/>
        <sz val="10"/>
        <color indexed="12"/>
        <rFont val="Times New Roman"/>
        <family val="1"/>
      </rPr>
      <t>Control  S/D</t>
    </r>
  </si>
  <si>
    <t>CP-B-MV.2</t>
  </si>
  <si>
    <t>MCB 2P 16A 10KA</t>
  </si>
  <si>
    <r>
      <t xml:space="preserve">Điều khiển DOL 1P 0.25KW
</t>
    </r>
    <r>
      <rPr>
        <i/>
        <sz val="10"/>
        <color indexed="12"/>
        <rFont val="Times New Roman"/>
        <family val="1"/>
      </rPr>
      <t>Control DOL 1P 0.25KW</t>
    </r>
  </si>
  <si>
    <r>
      <t>Relay nhiệt 1-1.6A</t>
    </r>
    <r>
      <rPr>
        <i/>
        <sz val="10"/>
        <rFont val="Times New Roman"/>
        <family val="1"/>
      </rPr>
      <t xml:space="preserve">
</t>
    </r>
    <r>
      <rPr>
        <i/>
        <sz val="10"/>
        <color indexed="12"/>
        <rFont val="Times New Roman"/>
        <family val="1"/>
      </rPr>
      <t>Overload relay 1-1.6A</t>
    </r>
  </si>
  <si>
    <r>
      <t xml:space="preserve">Điều khiển DOL 1P 0.37KW
</t>
    </r>
    <r>
      <rPr>
        <i/>
        <sz val="10"/>
        <color indexed="12"/>
        <rFont val="Times New Roman"/>
        <family val="1"/>
      </rPr>
      <t>Control DOL 1P 0.37KW</t>
    </r>
  </si>
  <si>
    <r>
      <t>Relay nhiệt 1.6-2.5A</t>
    </r>
    <r>
      <rPr>
        <i/>
        <sz val="10"/>
        <rFont val="Times New Roman"/>
        <family val="1"/>
      </rPr>
      <t xml:space="preserve">
</t>
    </r>
    <r>
      <rPr>
        <i/>
        <sz val="10"/>
        <color indexed="12"/>
        <rFont val="Times New Roman"/>
        <family val="1"/>
      </rPr>
      <t>Overload relay 1.6-2.5A</t>
    </r>
  </si>
  <si>
    <r>
      <t xml:space="preserve">Điều khiển DOL 1P 0.55KW
</t>
    </r>
    <r>
      <rPr>
        <i/>
        <sz val="10"/>
        <color indexed="12"/>
        <rFont val="Times New Roman"/>
        <family val="1"/>
      </rPr>
      <t>Control DOL 1P 0.55KW</t>
    </r>
  </si>
  <si>
    <r>
      <t xml:space="preserve">Relay nhiệt 2.5-4A
</t>
    </r>
    <r>
      <rPr>
        <i/>
        <sz val="10"/>
        <color indexed="12"/>
        <rFont val="Times New Roman"/>
        <family val="1"/>
      </rPr>
      <t>Overload relay 2.5-4A</t>
    </r>
  </si>
  <si>
    <r>
      <t xml:space="preserve">Điều khiển DOL 1P 1.5KW
</t>
    </r>
    <r>
      <rPr>
        <i/>
        <sz val="10"/>
        <color indexed="12"/>
        <rFont val="Times New Roman"/>
        <family val="1"/>
      </rPr>
      <t>Control DOL 1P 1.5KW</t>
    </r>
  </si>
  <si>
    <t>CP-B-MV.1</t>
  </si>
  <si>
    <r>
      <t xml:space="preserve">Điều khiển S/D 3P 7.5KW
</t>
    </r>
    <r>
      <rPr>
        <i/>
        <sz val="10"/>
        <color indexed="12"/>
        <rFont val="Times New Roman"/>
        <family val="1"/>
      </rPr>
      <t>Control S/D 3P 7.5KW</t>
    </r>
  </si>
  <si>
    <r>
      <t xml:space="preserve">Điều khiển S/D 3P 4KW
</t>
    </r>
    <r>
      <rPr>
        <i/>
        <sz val="10"/>
        <color indexed="12"/>
        <rFont val="Times New Roman"/>
        <family val="1"/>
      </rPr>
      <t>Control  S/D 3P 4KW</t>
    </r>
  </si>
  <si>
    <t>Contactor 3P 18A 1NO</t>
  </si>
  <si>
    <r>
      <t>Relay nhiệt 9-13A</t>
    </r>
    <r>
      <rPr>
        <i/>
        <sz val="10"/>
        <rFont val="Times New Roman"/>
        <family val="1"/>
      </rPr>
      <t xml:space="preserve">
</t>
    </r>
    <r>
      <rPr>
        <i/>
        <sz val="10"/>
        <color indexed="12"/>
        <rFont val="Times New Roman"/>
        <family val="1"/>
      </rPr>
      <t>Overload relay 9-13A</t>
    </r>
  </si>
  <si>
    <t>CP-R-PAU</t>
  </si>
  <si>
    <r>
      <t xml:space="preserve">Điều khiển VSD 3P 7.5KW
</t>
    </r>
    <r>
      <rPr>
        <i/>
        <sz val="10"/>
        <color indexed="12"/>
        <rFont val="Times New Roman"/>
        <family val="1"/>
      </rPr>
      <t>Control VSD 3P 7.5KW</t>
    </r>
  </si>
  <si>
    <r>
      <t xml:space="preserve">Biến tần 3P 7.5KW
</t>
    </r>
    <r>
      <rPr>
        <i/>
        <sz val="10"/>
        <color indexed="12"/>
        <rFont val="Times New Roman"/>
        <family val="1"/>
      </rPr>
      <t>Inverter 3P 7.5KW</t>
    </r>
  </si>
  <si>
    <r>
      <t xml:space="preserve">Mạch điều khiển VSD
</t>
    </r>
    <r>
      <rPr>
        <i/>
        <sz val="10"/>
        <color indexed="12"/>
        <rFont val="Times New Roman"/>
        <family val="1"/>
      </rPr>
      <t>Control VSD</t>
    </r>
  </si>
  <si>
    <t>CP-CT</t>
  </si>
  <si>
    <r>
      <t xml:space="preserve">Điều khiển S/D 3P 5.6KW
</t>
    </r>
    <r>
      <rPr>
        <i/>
        <sz val="10"/>
        <color indexed="12"/>
        <rFont val="Times New Roman"/>
        <family val="1"/>
      </rPr>
      <t>Control  S/D 3P 5.6KW</t>
    </r>
  </si>
  <si>
    <r>
      <t>Relay nhiệt 9-13A</t>
    </r>
    <r>
      <rPr>
        <i/>
        <sz val="10"/>
        <color indexed="12"/>
        <rFont val="Times New Roman"/>
        <family val="1"/>
      </rPr>
      <t xml:space="preserve">
Overload relay 9-13A</t>
    </r>
  </si>
  <si>
    <t>MCC-CHL</t>
  </si>
  <si>
    <t>MCCB 3P 630A 36KA.</t>
  </si>
  <si>
    <r>
      <t xml:space="preserve">Đồng hồ Ampe 800A, Class 1.5, 96x96
</t>
    </r>
    <r>
      <rPr>
        <i/>
        <sz val="10"/>
        <color indexed="12"/>
        <rFont val="Times New Roman"/>
        <family val="1"/>
      </rPr>
      <t>Voltmeter</t>
    </r>
  </si>
  <si>
    <t>MCCB 3P 250A 36KA</t>
  </si>
  <si>
    <r>
      <t xml:space="preserve">Điều khiển VSD 3P 15KW
</t>
    </r>
    <r>
      <rPr>
        <i/>
        <sz val="10"/>
        <color indexed="12"/>
        <rFont val="Times New Roman"/>
        <family val="1"/>
      </rPr>
      <t>Control VSD 3P 15KW</t>
    </r>
  </si>
  <si>
    <r>
      <t xml:space="preserve">Biến tần 3P 15KW
</t>
    </r>
    <r>
      <rPr>
        <i/>
        <sz val="10"/>
        <color indexed="12"/>
        <rFont val="Times New Roman"/>
        <family val="1"/>
      </rPr>
      <t>Inverter 3P 15KW</t>
    </r>
  </si>
  <si>
    <r>
      <t xml:space="preserve">Điều khiển S/D 3P 11KW
</t>
    </r>
    <r>
      <rPr>
        <i/>
        <sz val="10"/>
        <color indexed="12"/>
        <rFont val="Times New Roman"/>
        <family val="1"/>
      </rPr>
      <t>Control S/D 3P 11KW</t>
    </r>
  </si>
  <si>
    <r>
      <t xml:space="preserve">Relay nhiệt 16-24A
</t>
    </r>
    <r>
      <rPr>
        <i/>
        <sz val="10"/>
        <color indexed="12"/>
        <rFont val="Times New Roman"/>
        <family val="1"/>
      </rPr>
      <t>Overload relay 16-24A</t>
    </r>
  </si>
  <si>
    <r>
      <t xml:space="preserve">Hệ thống điều khiển cho Chiller, FCU, PAU
</t>
    </r>
    <r>
      <rPr>
        <b/>
        <i/>
        <sz val="10"/>
        <color indexed="12"/>
        <rFont val="Times New Roman"/>
        <family val="1"/>
      </rPr>
      <t>Control systemfor Chiller , FCU, PAU</t>
    </r>
  </si>
  <si>
    <t>addendum 17</t>
  </si>
  <si>
    <r>
      <t xml:space="preserve">Tủ điều khiển hệ thống Chiller
</t>
    </r>
    <r>
      <rPr>
        <i/>
        <sz val="10"/>
        <color indexed="12"/>
        <rFont val="Times New Roman"/>
        <family val="1"/>
      </rPr>
      <t>Local chiller system control panel</t>
    </r>
  </si>
  <si>
    <r>
      <t xml:space="preserve">Bộ điều khiển số trực tiếp DDC
</t>
    </r>
    <r>
      <rPr>
        <i/>
        <sz val="10"/>
        <color indexed="12"/>
        <rFont val="Times New Roman"/>
        <family val="1"/>
      </rPr>
      <t>Direct Digital Control DDC</t>
    </r>
  </si>
  <si>
    <r>
      <t xml:space="preserve">Vỏ tủ điều khiển &amp; Phụ kiện
</t>
    </r>
    <r>
      <rPr>
        <i/>
        <sz val="10"/>
        <color indexed="12"/>
        <rFont val="Times New Roman"/>
        <family val="1"/>
      </rPr>
      <t>Panel Enclosure &amp; Accessories</t>
    </r>
  </si>
  <si>
    <r>
      <t xml:space="preserve">Cảm biến nhiệt độ nước kèm phụ kiện
</t>
    </r>
    <r>
      <rPr>
        <i/>
        <sz val="10"/>
        <color indexed="12"/>
        <rFont val="Times New Roman"/>
        <family val="1"/>
      </rPr>
      <t>Water Temp Sensor with Accessories</t>
    </r>
  </si>
  <si>
    <r>
      <t xml:space="preserve">Cảm biến chênh áp suất nước
</t>
    </r>
    <r>
      <rPr>
        <i/>
        <sz val="10"/>
        <color indexed="12"/>
        <rFont val="Times New Roman"/>
        <family val="1"/>
      </rPr>
      <t>Water Differential Pressure Sensor</t>
    </r>
  </si>
  <si>
    <r>
      <t xml:space="preserve">Cảm biến áp suất nước
</t>
    </r>
    <r>
      <rPr>
        <i/>
        <sz val="10"/>
        <color indexed="12"/>
        <rFont val="Times New Roman"/>
        <family val="1"/>
      </rPr>
      <t>Water Pressure Sensor</t>
    </r>
  </si>
  <si>
    <r>
      <t xml:space="preserve">Cảm biến luu lượng nước
</t>
    </r>
    <r>
      <rPr>
        <i/>
        <sz val="10"/>
        <color indexed="12"/>
        <rFont val="Times New Roman"/>
        <family val="1"/>
      </rPr>
      <t>Water Flow metter</t>
    </r>
  </si>
  <si>
    <r>
      <t xml:space="preserve">Công tắc dòng chảy
</t>
    </r>
    <r>
      <rPr>
        <i/>
        <sz val="10"/>
        <color indexed="12"/>
        <rFont val="Times New Roman"/>
        <family val="1"/>
      </rPr>
      <t>Water flow switch</t>
    </r>
  </si>
  <si>
    <r>
      <t xml:space="preserve">Cảm biến mức nước
</t>
    </r>
    <r>
      <rPr>
        <i/>
        <sz val="10"/>
        <color indexed="12"/>
        <rFont val="Times New Roman"/>
        <family val="1"/>
      </rPr>
      <t>Water Level switch</t>
    </r>
  </si>
  <si>
    <r>
      <t xml:space="preserve">Cảm biến nhiệt độ ngoài trời kèm phụ kiện
</t>
    </r>
    <r>
      <rPr>
        <i/>
        <sz val="10"/>
        <color indexed="12"/>
        <rFont val="Times New Roman"/>
        <family val="1"/>
      </rPr>
      <t>Outdoor air temperature sensor with Accessories</t>
    </r>
  </si>
  <si>
    <r>
      <t xml:space="preserve">Cảm biến độ ẩm ngoài trời kèm phụ kiện
</t>
    </r>
    <r>
      <rPr>
        <i/>
        <sz val="10"/>
        <color indexed="12"/>
        <rFont val="Times New Roman"/>
        <family val="1"/>
      </rPr>
      <t>Outdoor air humidity sensor with Accessories</t>
    </r>
  </si>
  <si>
    <r>
      <t xml:space="preserve">Hệ thống điều khiển FCU
</t>
    </r>
    <r>
      <rPr>
        <i/>
        <sz val="10"/>
        <color indexed="12"/>
        <rFont val="Times New Roman"/>
        <family val="1"/>
      </rPr>
      <t>FCU control system</t>
    </r>
  </si>
  <si>
    <r>
      <t xml:space="preserve">Tủ DDC điều khiển cho FCU bao gồm DDC và màn hình cảm ứng 10 inch
</t>
    </r>
    <r>
      <rPr>
        <i/>
        <sz val="10"/>
        <color indexed="12"/>
        <rFont val="Times New Roman"/>
        <family val="1"/>
      </rPr>
      <t>DDC FCU control cabinet c/w DDC &amp; 10 inch touch screen</t>
    </r>
  </si>
  <si>
    <r>
      <t xml:space="preserve">Màn hình LCD điều khiển FCU, 3 tốc độ, van on/off nguồn 220VAC, Network Modbus RTU, Keycard
</t>
    </r>
    <r>
      <rPr>
        <i/>
        <sz val="10"/>
        <color indexed="12"/>
        <rFont val="Times New Roman"/>
        <family val="1"/>
      </rPr>
      <t>FCU LCD Themostat controller, 3 speed On/Off Valve, 220VAC, Network Modbus RTU, Keycard</t>
    </r>
  </si>
  <si>
    <r>
      <t xml:space="preserve">Hộp relay gồm  phụ kiện
</t>
    </r>
    <r>
      <rPr>
        <i/>
        <sz val="10"/>
        <color indexed="12"/>
        <rFont val="Times New Roman"/>
        <family val="1"/>
      </rPr>
      <t>Relay box with Accessories</t>
    </r>
  </si>
  <si>
    <r>
      <t xml:space="preserve">Tủ điều khiển PAU
</t>
    </r>
    <r>
      <rPr>
        <i/>
        <sz val="10"/>
        <color indexed="12"/>
        <rFont val="Times New Roman"/>
        <family val="1"/>
      </rPr>
      <t>Primary air handing unit controller panel</t>
    </r>
  </si>
  <si>
    <r>
      <t xml:space="preserve">Cảm biến nhiệt độ gắn ống gió
</t>
    </r>
    <r>
      <rPr>
        <i/>
        <sz val="10"/>
        <color indexed="12"/>
        <rFont val="Times New Roman"/>
        <family val="1"/>
      </rPr>
      <t xml:space="preserve">Duct Air Temp Sensor </t>
    </r>
  </si>
  <si>
    <r>
      <t xml:space="preserve">Công tắc bảo vệ mất gió
</t>
    </r>
    <r>
      <rPr>
        <i/>
        <sz val="10"/>
        <color indexed="12"/>
        <rFont val="Times New Roman"/>
        <family val="1"/>
      </rPr>
      <t>Air Flow Switch</t>
    </r>
  </si>
  <si>
    <r>
      <t xml:space="preserve">Cảm biến áp suất gắn ống gió
</t>
    </r>
    <r>
      <rPr>
        <i/>
        <sz val="10"/>
        <color indexed="12"/>
        <rFont val="Times New Roman"/>
        <family val="1"/>
      </rPr>
      <t>Duct Air Pressure Sensor</t>
    </r>
  </si>
  <si>
    <r>
      <t xml:space="preserve">Cảm biến khói gắn ống gió
</t>
    </r>
    <r>
      <rPr>
        <i/>
        <sz val="10"/>
        <color indexed="12"/>
        <rFont val="Times New Roman"/>
        <family val="1"/>
      </rPr>
      <t>Duct Smoke Sensor</t>
    </r>
  </si>
  <si>
    <r>
      <t xml:space="preserve">Công tắc báo lọc dơ
</t>
    </r>
    <r>
      <rPr>
        <i/>
        <sz val="10"/>
        <color indexed="12"/>
        <rFont val="Times New Roman"/>
        <family val="1"/>
      </rPr>
      <t>Air Filter Switch</t>
    </r>
  </si>
  <si>
    <r>
      <t xml:space="preserve">Vật tư khác
</t>
    </r>
    <r>
      <rPr>
        <i/>
        <sz val="10"/>
        <color indexed="12"/>
        <rFont val="Times New Roman"/>
        <family val="1"/>
      </rPr>
      <t>Other</t>
    </r>
  </si>
  <si>
    <r>
      <t xml:space="preserve">Cáp tín hiệu điều khiển bao gồm ống luồn, máng cáp 
</t>
    </r>
    <r>
      <rPr>
        <i/>
        <sz val="10"/>
        <color indexed="12"/>
        <rFont val="Times New Roman"/>
        <family val="1"/>
      </rPr>
      <t xml:space="preserve">Signal cable c/w conduit, trunking </t>
    </r>
    <r>
      <rPr>
        <i/>
        <sz val="10"/>
        <rFont val="Times New Roman"/>
        <family val="1"/>
      </rPr>
      <t xml:space="preserve"> </t>
    </r>
  </si>
  <si>
    <t>e</t>
  </si>
  <si>
    <r>
      <t xml:space="preserve">Lập trình, kiểm tra và vận hành bàn giao
</t>
    </r>
    <r>
      <rPr>
        <b/>
        <i/>
        <sz val="10"/>
        <color indexed="12"/>
        <rFont val="Times New Roman"/>
        <family val="1"/>
      </rPr>
      <t xml:space="preserve">Programming, testing and commissioning &amp; handover.  </t>
    </r>
  </si>
  <si>
    <r>
      <t xml:space="preserve">Lập trình, kiểm tra và vận hành bàn giao….
</t>
    </r>
    <r>
      <rPr>
        <i/>
        <sz val="10"/>
        <color indexed="12"/>
        <rFont val="Times New Roman"/>
        <family val="1"/>
      </rPr>
      <t xml:space="preserve">Programming, testing and commissioning &amp; handover….  </t>
    </r>
  </si>
  <si>
    <t>D</t>
  </si>
  <si>
    <r>
      <t xml:space="preserve">HỆ THỐNG PHÒNG CHÁY CHỮA CHÁY
</t>
    </r>
    <r>
      <rPr>
        <b/>
        <i/>
        <sz val="10"/>
        <color indexed="12"/>
        <rFont val="Times New Roman"/>
        <family val="1"/>
      </rPr>
      <t xml:space="preserve">FIREFIGHTING SYSTEM </t>
    </r>
  </si>
  <si>
    <r>
      <t>Hệ thống báo cháy</t>
    </r>
    <r>
      <rPr>
        <b/>
        <i/>
        <sz val="10"/>
        <rFont val="Times New Roman"/>
        <family val="1"/>
      </rPr>
      <t xml:space="preserve">
</t>
    </r>
    <r>
      <rPr>
        <b/>
        <i/>
        <sz val="10"/>
        <color indexed="12"/>
        <rFont val="Times New Roman"/>
        <family val="1"/>
      </rPr>
      <t>Fire alarm system</t>
    </r>
  </si>
  <si>
    <r>
      <t xml:space="preserve">Tủ điều khiển báo cháy địa chỉ  4 loop
</t>
    </r>
    <r>
      <rPr>
        <i/>
        <sz val="10"/>
        <color indexed="12"/>
        <rFont val="Times New Roman"/>
        <family val="1"/>
      </rPr>
      <t xml:space="preserve">Addressable Fire Alarm Control Panel 4 loops </t>
    </r>
  </si>
  <si>
    <r>
      <t xml:space="preserve">tủ
</t>
    </r>
    <r>
      <rPr>
        <i/>
        <sz val="10"/>
        <color indexed="12"/>
        <rFont val="Times New Roman"/>
        <family val="1"/>
      </rPr>
      <t>panel</t>
    </r>
  </si>
  <si>
    <r>
      <t xml:space="preserve">Tủ nguồn phụ 24VDC &amp; ắc quy dự phòng 
</t>
    </r>
    <r>
      <rPr>
        <i/>
        <sz val="10"/>
        <color indexed="12"/>
        <rFont val="Times New Roman"/>
        <family val="1"/>
      </rPr>
      <t xml:space="preserve">24VDC power supply unit c/w battery backup </t>
    </r>
  </si>
  <si>
    <r>
      <t xml:space="preserve">Phần mềm đồ họa
</t>
    </r>
    <r>
      <rPr>
        <i/>
        <sz val="10"/>
        <color indexed="12"/>
        <rFont val="Times New Roman"/>
        <family val="1"/>
      </rPr>
      <t xml:space="preserve">Site graphic software </t>
    </r>
  </si>
  <si>
    <r>
      <t xml:space="preserve">Bộ máy tính core i7++ màn hình  + software bản quyền + máy in...
</t>
    </r>
    <r>
      <rPr>
        <i/>
        <sz val="10"/>
        <color indexed="12"/>
        <rFont val="Times New Roman"/>
        <family val="1"/>
      </rPr>
      <t>Computer core i7++ copy right software+ printer….</t>
    </r>
  </si>
  <si>
    <r>
      <t xml:space="preserve">Màn hình hiển thị phụ &amp; Bảng hiển thị led  (48 LED)
</t>
    </r>
    <r>
      <rPr>
        <i/>
        <sz val="10"/>
        <color indexed="12"/>
        <rFont val="Times New Roman"/>
        <family val="1"/>
      </rPr>
      <t>Repeater panel &amp; Led annunciator module (48 LED)</t>
    </r>
  </si>
  <si>
    <r>
      <t xml:space="preserve">Hệ thống cảnh báo cháy 
</t>
    </r>
    <r>
      <rPr>
        <i/>
        <sz val="10"/>
        <color indexed="12"/>
        <rFont val="Times New Roman"/>
        <family val="1"/>
      </rPr>
      <t>Fire warning system</t>
    </r>
  </si>
  <si>
    <r>
      <t xml:space="preserve">Chống sét lan truyền 
</t>
    </r>
    <r>
      <rPr>
        <i/>
        <sz val="10"/>
        <color indexed="12"/>
        <rFont val="Times New Roman"/>
        <family val="1"/>
      </rPr>
      <t>Surge arresters</t>
    </r>
  </si>
  <si>
    <r>
      <t xml:space="preserve">Chống sét lan truyền cho đường loop 
</t>
    </r>
    <r>
      <rPr>
        <i/>
        <sz val="10"/>
        <color indexed="12"/>
        <rFont val="Times New Roman"/>
        <family val="1"/>
      </rPr>
      <t>Surge protection for loop</t>
    </r>
  </si>
  <si>
    <r>
      <t xml:space="preserve">Đầu dò khói địa chỉ 
</t>
    </r>
    <r>
      <rPr>
        <i/>
        <sz val="10"/>
        <color indexed="12"/>
        <rFont val="Times New Roman"/>
        <family val="1"/>
      </rPr>
      <t xml:space="preserve">Addressable smoke detector </t>
    </r>
  </si>
  <si>
    <r>
      <t xml:space="preserve">Đầu dò nhiệt địa chỉ 
</t>
    </r>
    <r>
      <rPr>
        <i/>
        <sz val="10"/>
        <color indexed="12"/>
        <rFont val="Times New Roman"/>
        <family val="1"/>
      </rPr>
      <t xml:space="preserve">Addressable heat detector </t>
    </r>
  </si>
  <si>
    <r>
      <t xml:space="preserve">Nút nhấn khẩn loại địa chỉ 
</t>
    </r>
    <r>
      <rPr>
        <i/>
        <sz val="10"/>
        <color indexed="12"/>
        <rFont val="Times New Roman"/>
        <family val="1"/>
      </rPr>
      <t>Addressable break glass</t>
    </r>
  </si>
  <si>
    <r>
      <t xml:space="preserve">Chuông báo cháy kết hợp đèn
</t>
    </r>
    <r>
      <rPr>
        <i/>
        <sz val="10"/>
        <color indexed="12"/>
        <rFont val="Times New Roman"/>
        <family val="1"/>
      </rPr>
      <t>Alarm bell c/w troble lamp</t>
    </r>
  </si>
  <si>
    <r>
      <t xml:space="preserve">Module điều khiển chuông
</t>
    </r>
    <r>
      <rPr>
        <i/>
        <sz val="10"/>
        <color indexed="12"/>
        <rFont val="Times New Roman"/>
        <family val="1"/>
      </rPr>
      <t>Control module for bell</t>
    </r>
  </si>
  <si>
    <r>
      <t xml:space="preserve">Module điều khiển 
</t>
    </r>
    <r>
      <rPr>
        <i/>
        <sz val="10"/>
        <color indexed="12"/>
        <rFont val="Times New Roman"/>
        <family val="1"/>
      </rPr>
      <t xml:space="preserve">Addressable control  module </t>
    </r>
  </si>
  <si>
    <r>
      <t xml:space="preserve">Module giám sát 
</t>
    </r>
    <r>
      <rPr>
        <i/>
        <sz val="10"/>
        <color indexed="12"/>
        <rFont val="Times New Roman"/>
        <family val="1"/>
      </rPr>
      <t xml:space="preserve">Addressable monitor module </t>
    </r>
  </si>
  <si>
    <r>
      <t xml:space="preserve">Module cách ly
</t>
    </r>
    <r>
      <rPr>
        <i/>
        <sz val="10"/>
        <color indexed="12"/>
        <rFont val="Times New Roman"/>
        <family val="1"/>
      </rPr>
      <t xml:space="preserve">Isolator module </t>
    </r>
  </si>
  <si>
    <r>
      <t xml:space="preserve">Dây cáp chống cháy, chống nhiễu 2Cx2.5mm2
</t>
    </r>
    <r>
      <rPr>
        <i/>
        <sz val="10"/>
        <color indexed="12"/>
        <rFont val="Times New Roman"/>
        <family val="1"/>
      </rPr>
      <t>Fire Interference Resistant Cables 2Cx2.5mm2</t>
    </r>
  </si>
  <si>
    <r>
      <t xml:space="preserve">Cáp chống cháy Cu/Fr- PVC 2Cx2.5 mm2
</t>
    </r>
    <r>
      <rPr>
        <i/>
        <sz val="10"/>
        <color indexed="12"/>
        <rFont val="Times New Roman"/>
        <family val="1"/>
      </rPr>
      <t>Fire Resístant cable Cu/Fr- PVC 2Cx2.5 mm2</t>
    </r>
  </si>
  <si>
    <r>
      <t xml:space="preserve">Ống PVC D20
</t>
    </r>
    <r>
      <rPr>
        <i/>
        <sz val="10"/>
        <color indexed="12"/>
        <rFont val="Times New Roman"/>
        <family val="1"/>
      </rPr>
      <t>PVC conduit D20</t>
    </r>
  </si>
  <si>
    <r>
      <t xml:space="preserve">Ống luồn mềm GI D20 
</t>
    </r>
    <r>
      <rPr>
        <i/>
        <sz val="10"/>
        <color indexed="12"/>
        <rFont val="Times New Roman"/>
        <family val="1"/>
      </rPr>
      <t>GI Flexible conduit D20</t>
    </r>
  </si>
  <si>
    <r>
      <t xml:space="preserve">Ống luồn dây điện GI D42
</t>
    </r>
    <r>
      <rPr>
        <i/>
        <sz val="10"/>
        <color indexed="12"/>
        <rFont val="Times New Roman"/>
        <family val="1"/>
      </rPr>
      <t>GI conduit D42</t>
    </r>
  </si>
  <si>
    <r>
      <t xml:space="preserve">Phụ kiện cho ống luồn dây  (Box kèm nắp, nối trơn, nối răng, bọ,...)
</t>
    </r>
    <r>
      <rPr>
        <i/>
        <sz val="10"/>
        <color indexed="12"/>
        <rFont val="Times New Roman"/>
        <family val="1"/>
      </rPr>
      <t>Accessories for conduit (Box, connect, support…)</t>
    </r>
  </si>
  <si>
    <r>
      <t xml:space="preserve">Thử nghiệm và vận hành bàn giao...
</t>
    </r>
    <r>
      <rPr>
        <i/>
        <sz val="10"/>
        <color indexed="12"/>
        <rFont val="Times New Roman"/>
        <family val="1"/>
      </rPr>
      <t xml:space="preserve">Testing and commissioning &amp; handover....  </t>
    </r>
  </si>
  <si>
    <r>
      <t xml:space="preserve">Hệ thống chữa cháy hydrant &amp; sprinkler 
</t>
    </r>
    <r>
      <rPr>
        <b/>
        <i/>
        <sz val="10"/>
        <color indexed="12"/>
        <rFont val="Times New Roman"/>
        <family val="1"/>
      </rPr>
      <t>Fire hydrant system, sprinkler system</t>
    </r>
    <r>
      <rPr>
        <b/>
        <i/>
        <sz val="10"/>
        <rFont val="Times New Roman"/>
        <family val="1"/>
      </rPr>
      <t xml:space="preserve"> </t>
    </r>
  </si>
  <si>
    <r>
      <t xml:space="preserve">Phòng bơm 
</t>
    </r>
    <r>
      <rPr>
        <b/>
        <i/>
        <sz val="10"/>
        <color indexed="12"/>
        <rFont val="Times New Roman"/>
        <family val="1"/>
      </rPr>
      <t>Pump room</t>
    </r>
  </si>
  <si>
    <r>
      <t xml:space="preserve">Bơm chữa cháy trục ngang đường đặc tính tuân theo QCVN02:2020 Q=270(m3/h), H=70(m)
</t>
    </r>
    <r>
      <rPr>
        <i/>
        <sz val="10"/>
        <color indexed="12"/>
        <rFont val="Times New Roman"/>
        <family val="1"/>
      </rPr>
      <t>Electric fire pump totally comply with QCVN02:2020 Q=270(m3/h), H=70(m)</t>
    </r>
  </si>
  <si>
    <r>
      <t xml:space="preserve">Bơm bù Q=3.6(m3/h),  H=75(m)
</t>
    </r>
    <r>
      <rPr>
        <i/>
        <sz val="10"/>
        <color indexed="12"/>
        <rFont val="Times New Roman"/>
        <family val="1"/>
      </rPr>
      <t>Jockey pump Q=3.6(m3/h),  H=75(m)</t>
    </r>
  </si>
  <si>
    <r>
      <t xml:space="preserve">Bình tích áp 100L kèm van  và các phụ kiện ...
</t>
    </r>
    <r>
      <rPr>
        <i/>
        <sz val="10"/>
        <color indexed="12"/>
        <rFont val="Times New Roman"/>
        <family val="1"/>
      </rPr>
      <t>Pressurize tank 100L c/w valve and fitting ….</t>
    </r>
  </si>
  <si>
    <r>
      <t xml:space="preserve">Tủ điều khiển bơm chữa cháy tuân theo QCVN02:2020
</t>
    </r>
    <r>
      <rPr>
        <i/>
        <sz val="10"/>
        <color indexed="12"/>
        <rFont val="Times New Roman"/>
        <family val="1"/>
      </rPr>
      <t>Fire pump control panel  totally comply with QCVN02:2020</t>
    </r>
  </si>
  <si>
    <t>CP-FP.1</t>
  </si>
  <si>
    <t>MCCB-3P-320A</t>
  </si>
  <si>
    <t>MCCB-2P-10A, 6kA</t>
  </si>
  <si>
    <t>MCB-3P-320A, 36KA</t>
  </si>
  <si>
    <t>MCB-4P-63A, 25KA</t>
  </si>
  <si>
    <r>
      <t xml:space="preserve">Chống sét lan truyền. 3P+N Imax 100kA
</t>
    </r>
    <r>
      <rPr>
        <i/>
        <sz val="10"/>
        <color indexed="12"/>
        <rFont val="Times New Roman"/>
        <family val="1"/>
      </rPr>
      <t>Surge Protector 100kA 3P+N 385V</t>
    </r>
  </si>
  <si>
    <r>
      <t xml:space="preserve">Mạch Điều Khiển S/S 3P 110KW
</t>
    </r>
    <r>
      <rPr>
        <i/>
        <sz val="10"/>
        <color indexed="12"/>
        <rFont val="Times New Roman"/>
        <family val="1"/>
      </rPr>
      <t>Control circuit S/S 3P 110KW</t>
    </r>
  </si>
  <si>
    <t>SOFT  3P 110KW</t>
  </si>
  <si>
    <r>
      <t xml:space="preserve">Mạch Điều Khiển SOFT
</t>
    </r>
    <r>
      <rPr>
        <i/>
        <sz val="10"/>
        <color indexed="12"/>
        <rFont val="Times New Roman"/>
        <family val="1"/>
      </rPr>
      <t>Control circuit SOFT</t>
    </r>
  </si>
  <si>
    <t>CP-FP.2</t>
  </si>
  <si>
    <r>
      <t xml:space="preserve">Mạch Điều Khiển SOFT
</t>
    </r>
    <r>
      <rPr>
        <sz val="10"/>
        <color indexed="12"/>
        <rFont val="Times New Roman"/>
        <family val="1"/>
      </rPr>
      <t>Control circuit SOFT</t>
    </r>
  </si>
  <si>
    <t>CP-JP</t>
  </si>
  <si>
    <t>MCCB-3P 25A</t>
  </si>
  <si>
    <t>MCCB-2P-10A, 10kA</t>
  </si>
  <si>
    <t>MCB-3P-20A, 25KA</t>
  </si>
  <si>
    <r>
      <t xml:space="preserve">Mạch Điều Khiển DOL 3P 2.2KW
</t>
    </r>
    <r>
      <rPr>
        <i/>
        <sz val="10"/>
        <color indexed="12"/>
        <rFont val="Times New Roman"/>
        <family val="1"/>
      </rPr>
      <t>Control circuit DOL 3P 2.2KW</t>
    </r>
  </si>
  <si>
    <t>Overload relay 4-6A</t>
  </si>
  <si>
    <r>
      <t xml:space="preserve">Mạch Điều Khiển DOL
</t>
    </r>
    <r>
      <rPr>
        <sz val="10"/>
        <color indexed="12"/>
        <rFont val="Times New Roman"/>
        <family val="1"/>
      </rPr>
      <t>Control circuit DOL</t>
    </r>
  </si>
  <si>
    <r>
      <t xml:space="preserve">Tủ điều khiển van xả tràn và cáp điều khiển
</t>
    </r>
    <r>
      <rPr>
        <i/>
        <sz val="10"/>
        <color indexed="12"/>
        <rFont val="Times New Roman"/>
        <family val="1"/>
      </rPr>
      <t>Deluge valve releasing panel  and electric cable</t>
    </r>
  </si>
  <si>
    <t>CP-DV</t>
  </si>
  <si>
    <t>MCCB-3P 32A 25KA</t>
  </si>
  <si>
    <t>MCB-1P-16A,10KA</t>
  </si>
  <si>
    <t>MCB-1P-20A,10KA</t>
  </si>
  <si>
    <r>
      <t xml:space="preserve">Mạch Điều Khiển DOL 3P 0.5KW
</t>
    </r>
    <r>
      <rPr>
        <i/>
        <sz val="10"/>
        <color indexed="12"/>
        <rFont val="Times New Roman"/>
        <family val="1"/>
      </rPr>
      <t>Control circuit DOL 3P 2.2KW</t>
    </r>
  </si>
  <si>
    <t>Overload relay 2.5-4A</t>
  </si>
  <si>
    <r>
      <t xml:space="preserve">Dây cáp điều khiển bơm
</t>
    </r>
    <r>
      <rPr>
        <i/>
        <sz val="10"/>
        <color indexed="12"/>
        <rFont val="Times New Roman"/>
        <family val="1"/>
      </rPr>
      <t>Electric cable from control panel to pump</t>
    </r>
  </si>
  <si>
    <r>
      <t xml:space="preserve">Tấm chống xoáy nước inox DN250
</t>
    </r>
    <r>
      <rPr>
        <i/>
        <sz val="10"/>
        <color indexed="12"/>
        <rFont val="Times New Roman"/>
        <family val="1"/>
      </rPr>
      <t>Stainless steel</t>
    </r>
    <r>
      <rPr>
        <sz val="10"/>
        <color indexed="12"/>
        <rFont val="Times New Roman"/>
        <family val="1"/>
      </rPr>
      <t xml:space="preserve"> a</t>
    </r>
    <r>
      <rPr>
        <i/>
        <sz val="10"/>
        <color indexed="12"/>
        <rFont val="Times New Roman"/>
        <family val="1"/>
      </rPr>
      <t>nti vortex  platev DN250</t>
    </r>
  </si>
  <si>
    <r>
      <t xml:space="preserve">Van cổng ty nổi OS&amp;Y DN250
</t>
    </r>
    <r>
      <rPr>
        <i/>
        <sz val="10"/>
        <color indexed="12"/>
        <rFont val="Times New Roman"/>
        <family val="1"/>
      </rPr>
      <t>Gate valve OS&amp;Y DN250</t>
    </r>
  </si>
  <si>
    <r>
      <t xml:space="preserve">Van cổng ty nổi OS&amp;Y kèm công tắc giám sát DN200
</t>
    </r>
    <r>
      <rPr>
        <i/>
        <sz val="10"/>
        <color indexed="12"/>
        <rFont val="Times New Roman"/>
        <family val="1"/>
      </rPr>
      <t>Gate valve  OS&amp;Y with supervisory switch DN200</t>
    </r>
  </si>
  <si>
    <r>
      <t xml:space="preserve">Van cổng ty nổi OS&amp;Y kèm công tắc giám sát DN150
</t>
    </r>
    <r>
      <rPr>
        <i/>
        <sz val="10"/>
        <color indexed="12"/>
        <rFont val="Times New Roman"/>
        <family val="1"/>
      </rPr>
      <t>Gate valve  OS&amp;Y with supervisory switch DN150</t>
    </r>
  </si>
  <si>
    <r>
      <t xml:space="preserve">Van cổng ty nổi OS&amp;Y kèm công tắc giám sát DN40
</t>
    </r>
    <r>
      <rPr>
        <i/>
        <sz val="10"/>
        <color indexed="12"/>
        <rFont val="Times New Roman"/>
        <family val="1"/>
      </rPr>
      <t>Gate valve OS&amp;Y with supervisory switch DN40</t>
    </r>
  </si>
  <si>
    <r>
      <t xml:space="preserve">Y lọc DN200
</t>
    </r>
    <r>
      <rPr>
        <i/>
        <sz val="10"/>
        <color indexed="12"/>
        <rFont val="Times New Roman"/>
        <family val="1"/>
      </rPr>
      <t>Y- Straine DN200</t>
    </r>
  </si>
  <si>
    <r>
      <t xml:space="preserve">Y lọc DN40
</t>
    </r>
    <r>
      <rPr>
        <i/>
        <sz val="10"/>
        <color indexed="12"/>
        <rFont val="Times New Roman"/>
        <family val="1"/>
      </rPr>
      <t>Y- Straine DN40</t>
    </r>
  </si>
  <si>
    <r>
      <t xml:space="preserve">Nối mềm thép không rỉ DN200
</t>
    </r>
    <r>
      <rPr>
        <i/>
        <sz val="10"/>
        <color indexed="12"/>
        <rFont val="Times New Roman"/>
        <family val="1"/>
      </rPr>
      <t>Stainless steel flexible connector DN200</t>
    </r>
  </si>
  <si>
    <r>
      <t xml:space="preserve">Nối mềm thép không rỉ DN150
</t>
    </r>
    <r>
      <rPr>
        <i/>
        <sz val="10"/>
        <color indexed="12"/>
        <rFont val="Times New Roman"/>
        <family val="1"/>
      </rPr>
      <t>Stainless steel flexible connector DN150</t>
    </r>
  </si>
  <si>
    <r>
      <t xml:space="preserve">Nối mềm thép không rỉ DN40
</t>
    </r>
    <r>
      <rPr>
        <i/>
        <sz val="10"/>
        <color indexed="12"/>
        <rFont val="Times New Roman"/>
        <family val="1"/>
      </rPr>
      <t>Stainless steel flexible connector DN40</t>
    </r>
  </si>
  <si>
    <r>
      <t xml:space="preserve">Van một chiều DN150
</t>
    </r>
    <r>
      <rPr>
        <i/>
        <sz val="10"/>
        <color indexed="12"/>
        <rFont val="Times New Roman"/>
        <family val="1"/>
      </rPr>
      <t>Check Valve DN150</t>
    </r>
  </si>
  <si>
    <r>
      <t xml:space="preserve">Van một chiều DN40
</t>
    </r>
    <r>
      <rPr>
        <i/>
        <sz val="10"/>
        <color indexed="12"/>
        <rFont val="Times New Roman"/>
        <family val="1"/>
      </rPr>
      <t>Check Valve DN40</t>
    </r>
  </si>
  <si>
    <r>
      <t xml:space="preserve">Van xả áp DN100
</t>
    </r>
    <r>
      <rPr>
        <i/>
        <sz val="10"/>
        <color indexed="12"/>
        <rFont val="Times New Roman"/>
        <family val="1"/>
      </rPr>
      <t>Pressure relief  valve DN100</t>
    </r>
  </si>
  <si>
    <r>
      <t xml:space="preserve">Đồng hồ đo lưu lượng DN150
</t>
    </r>
    <r>
      <rPr>
        <i/>
        <sz val="10"/>
        <color indexed="12"/>
        <rFont val="Times New Roman"/>
        <family val="1"/>
      </rPr>
      <t>Flow meter DN150</t>
    </r>
  </si>
  <si>
    <r>
      <t xml:space="preserve">Van bướm DN100
</t>
    </r>
    <r>
      <rPr>
        <i/>
        <sz val="10"/>
        <color indexed="12"/>
        <rFont val="Times New Roman"/>
        <family val="1"/>
      </rPr>
      <t>Butterfly valve DN100</t>
    </r>
  </si>
  <si>
    <r>
      <t xml:space="preserve">Vật tư phụ ...
</t>
    </r>
    <r>
      <rPr>
        <i/>
        <sz val="10"/>
        <color indexed="12"/>
        <rFont val="Times New Roman"/>
        <family val="1"/>
      </rPr>
      <t>Sub-material….</t>
    </r>
  </si>
  <si>
    <r>
      <t xml:space="preserve">Thiết bị chính
</t>
    </r>
    <r>
      <rPr>
        <b/>
        <i/>
        <sz val="10"/>
        <color indexed="12"/>
        <rFont val="Times New Roman"/>
        <family val="1"/>
      </rPr>
      <t>Equipments</t>
    </r>
  </si>
  <si>
    <r>
      <t xml:space="preserve">Đầu phun hướng xuống  K: 5.6, 68o kèm chén chụp đầu phun 
</t>
    </r>
    <r>
      <rPr>
        <i/>
        <sz val="10"/>
        <color indexed="12"/>
        <rFont val="Times New Roman"/>
        <family val="1"/>
      </rPr>
      <t>Pendent Sprinkler head  K: 5.6, 68o c/w cover</t>
    </r>
  </si>
  <si>
    <r>
      <t xml:space="preserve">Đầu phun hương lên K: 5.6, 68o
</t>
    </r>
    <r>
      <rPr>
        <i/>
        <sz val="10"/>
        <color indexed="12"/>
        <rFont val="Times New Roman"/>
        <family val="1"/>
      </rPr>
      <t>Upright Sprinkler head K: 5.6, 68o</t>
    </r>
  </si>
  <si>
    <r>
      <t xml:space="preserve">Ống mềm đầu phun kèm phụ kiện (khung treo, giá đỡ,…)
</t>
    </r>
    <r>
      <rPr>
        <i/>
        <sz val="10"/>
        <color indexed="12"/>
        <rFont val="Times New Roman"/>
        <family val="1"/>
      </rPr>
      <t>Flexible sprinkler joint  c/w accessories (hanging bracket, bracket, ...</t>
    </r>
  </si>
  <si>
    <r>
      <t xml:space="preserve">Đầu phun màn ngăn nước
</t>
    </r>
    <r>
      <rPr>
        <i/>
        <sz val="10"/>
        <color indexed="12"/>
        <rFont val="Times New Roman"/>
        <family val="1"/>
      </rPr>
      <t xml:space="preserve">Drencher Head </t>
    </r>
  </si>
  <si>
    <r>
      <t xml:space="preserve">Tủ chữa cháy ngoài nhà dày 1.2mm, H700 x W550 x D330mm, chân 400mm
</t>
    </r>
    <r>
      <rPr>
        <i/>
        <sz val="10"/>
        <color indexed="12"/>
        <rFont val="Times New Roman"/>
        <family val="1"/>
      </rPr>
      <t>Outdoor Fire hydrant cabinet (thickness 1.2mmm) H700 x W550 x D330mm</t>
    </r>
  </si>
  <si>
    <r>
      <t xml:space="preserve">Tủ chữa cháy trong nhà dày 1.4mm, H1200 x W600 x D200mm
</t>
    </r>
    <r>
      <rPr>
        <i/>
        <sz val="10"/>
        <color indexed="12"/>
        <rFont val="Times New Roman"/>
        <family val="1"/>
      </rPr>
      <t>Indoor Fire hydrant cabinet (thickness 1.4mmm) H1200 x W600 x D200mm</t>
    </r>
  </si>
  <si>
    <r>
      <t xml:space="preserve">Cuộn vòi + ngàm  nối DN65x30m
</t>
    </r>
    <r>
      <rPr>
        <i/>
        <sz val="10"/>
        <color indexed="12"/>
        <rFont val="Times New Roman"/>
        <family val="1"/>
      </rPr>
      <t>Fire Hose + Bracing DN65x30m</t>
    </r>
  </si>
  <si>
    <r>
      <t>Cuộn vòi + ngàm  nối DN50x20m</t>
    </r>
    <r>
      <rPr>
        <i/>
        <sz val="10"/>
        <rFont val="Times New Roman"/>
        <family val="1"/>
      </rPr>
      <t xml:space="preserve">
</t>
    </r>
    <r>
      <rPr>
        <i/>
        <sz val="10"/>
        <color indexed="12"/>
        <rFont val="Times New Roman"/>
        <family val="1"/>
      </rPr>
      <t>Fire Hose + Bracing DN50x20m</t>
    </r>
  </si>
  <si>
    <r>
      <t xml:space="preserve">Lăn phun DN19
</t>
    </r>
    <r>
      <rPr>
        <i/>
        <sz val="10"/>
        <color indexed="12"/>
        <rFont val="Times New Roman"/>
        <family val="1"/>
      </rPr>
      <t xml:space="preserve">Spray nozzle DN19 </t>
    </r>
  </si>
  <si>
    <r>
      <t xml:space="preserve">Lăn phun DN13
</t>
    </r>
    <r>
      <rPr>
        <i/>
        <sz val="10"/>
        <color indexed="12"/>
        <rFont val="Times New Roman"/>
        <family val="1"/>
      </rPr>
      <t>Spray nozzle DN13</t>
    </r>
  </si>
  <si>
    <r>
      <t xml:space="preserve">Van gốc DN50
</t>
    </r>
    <r>
      <rPr>
        <i/>
        <sz val="10"/>
        <color indexed="12"/>
        <rFont val="Times New Roman"/>
        <family val="1"/>
      </rPr>
      <t>Angle valve DN50</t>
    </r>
  </si>
  <si>
    <r>
      <t xml:space="preserve">Bình chữa cháy xách tay CO2 5 Kg 
</t>
    </r>
    <r>
      <rPr>
        <i/>
        <sz val="10"/>
        <color indexed="12"/>
        <rFont val="Times New Roman"/>
        <family val="1"/>
      </rPr>
      <t>Fire extinguisher powder CO2 5 K</t>
    </r>
    <r>
      <rPr>
        <sz val="10"/>
        <color indexed="12"/>
        <rFont val="Times New Roman"/>
        <family val="1"/>
      </rPr>
      <t>g</t>
    </r>
  </si>
  <si>
    <r>
      <t xml:space="preserve">Bình chữa cháy xách tay ABC  8Kg 
</t>
    </r>
    <r>
      <rPr>
        <i/>
        <sz val="10"/>
        <color indexed="12"/>
        <rFont val="Times New Roman"/>
        <family val="1"/>
      </rPr>
      <t>Fire extinguisher powder ABC 8Kg</t>
    </r>
  </si>
  <si>
    <r>
      <t xml:space="preserve">Bình chữa cháy tự động ABC 12Kg
</t>
    </r>
    <r>
      <rPr>
        <i/>
        <sz val="10"/>
        <color indexed="12"/>
        <rFont val="Times New Roman"/>
        <family val="1"/>
      </rPr>
      <t>Automatic dry powder units ABC 12Kg</t>
    </r>
  </si>
  <si>
    <r>
      <t xml:space="preserve">Bảng nội quy PCCC
</t>
    </r>
    <r>
      <rPr>
        <i/>
        <sz val="10"/>
        <color indexed="12"/>
        <rFont val="Times New Roman"/>
        <family val="1"/>
      </rPr>
      <t>Fire Regulation</t>
    </r>
  </si>
  <si>
    <r>
      <t xml:space="preserve">Bảng tiêu lệnh PCCC
</t>
    </r>
    <r>
      <rPr>
        <i/>
        <sz val="10"/>
        <color indexed="12"/>
        <rFont val="Times New Roman"/>
        <family val="1"/>
      </rPr>
      <t>Fire procedure</t>
    </r>
  </si>
  <si>
    <r>
      <t xml:space="preserve">Trụ chữa cháy ngoài nhà (2 ngõ) DN100
</t>
    </r>
    <r>
      <rPr>
        <i/>
        <sz val="10"/>
        <color indexed="12"/>
        <rFont val="Times New Roman"/>
        <family val="1"/>
      </rPr>
      <t>Fire hydrant outdoor  (2ways) DN100</t>
    </r>
  </si>
  <si>
    <r>
      <t xml:space="preserve">Họng tiếp nước (4 ngõ) DN150
</t>
    </r>
    <r>
      <rPr>
        <i/>
        <sz val="10"/>
        <color indexed="12"/>
        <rFont val="Times New Roman"/>
        <family val="1"/>
      </rPr>
      <t>Fire deparment connection  (4ways) DN150</t>
    </r>
  </si>
  <si>
    <r>
      <t xml:space="preserve">Van
</t>
    </r>
    <r>
      <rPr>
        <b/>
        <i/>
        <sz val="10"/>
        <color indexed="12"/>
        <rFont val="Times New Roman"/>
        <family val="1"/>
      </rPr>
      <t>Valve</t>
    </r>
  </si>
  <si>
    <r>
      <t>Van cổng ty nổi OS&amp;Y kèm công tắc giám sát DN80</t>
    </r>
    <r>
      <rPr>
        <sz val="10"/>
        <color indexed="12"/>
        <rFont val="Times New Roman"/>
        <family val="1"/>
      </rPr>
      <t xml:space="preserve">
</t>
    </r>
    <r>
      <rPr>
        <i/>
        <sz val="10"/>
        <color indexed="12"/>
        <rFont val="Times New Roman"/>
        <family val="1"/>
      </rPr>
      <t>Gate valve  OS&amp;Y with supervisory switch DN80</t>
    </r>
  </si>
  <si>
    <r>
      <t xml:space="preserve">Van cổng ty nổi OS&amp;Y kèm công tắc giám sát DN100
</t>
    </r>
    <r>
      <rPr>
        <i/>
        <sz val="10"/>
        <color indexed="12"/>
        <rFont val="Times New Roman"/>
        <family val="1"/>
      </rPr>
      <t>Gate valve  OS&amp;Y with supervisory switch DN100</t>
    </r>
  </si>
  <si>
    <r>
      <t xml:space="preserve"> Cụm van báo động DN150 bao gồm:
+ 1 Van báo động D|N150 kèm công tắc áp suất
+ 1 Van cổng ty nổi OS&amp;Y kèm công tắc giám sát DN150 
</t>
    </r>
    <r>
      <rPr>
        <i/>
        <sz val="10"/>
        <color indexed="12"/>
        <rFont val="Times New Roman"/>
        <family val="1"/>
      </rPr>
      <t>Alarm check valve including: 
+ 1nos Alarm check valve DN150, with monitoring switch
+ 1 nos Gate valve OS&amp;Y with supervisory switch  DN150</t>
    </r>
  </si>
  <si>
    <r>
      <t xml:space="preserve">Cụm van giảm áp DN50 cho tủ vách tường, bao gồm:
+ 1 van giảm áp DN50
+ 3 van cổng DN50
</t>
    </r>
    <r>
      <rPr>
        <i/>
        <sz val="10"/>
        <color indexed="12"/>
        <rFont val="Times New Roman"/>
        <family val="1"/>
      </rPr>
      <t>Pressure reducing valve for indoor hose cabinet including:
+ 1 Nos Pressure reducing valve DN50
+ 3 Nos Gate valve DN50</t>
    </r>
    <r>
      <rPr>
        <i/>
        <sz val="10"/>
        <rFont val="Times New Roman"/>
        <family val="1"/>
      </rPr>
      <t xml:space="preserve">
</t>
    </r>
  </si>
  <si>
    <r>
      <t xml:space="preserve"> Cụm van xả tràn drencher DN 100 bao gồm:
+ 1 Van xả tràn DN100
+ 1  Van bướm kèm công tắc giám sát DN100
</t>
    </r>
    <r>
      <rPr>
        <i/>
        <sz val="10"/>
        <color indexed="12"/>
        <rFont val="Times New Roman"/>
        <family val="1"/>
      </rPr>
      <t>Drencher valve DN 100 including:
+ 1 Nos Drencher valve DN100
+1 Nos Butterfly valve with supervisory switch  DN100</t>
    </r>
  </si>
  <si>
    <r>
      <t xml:space="preserve">Cụm van giám sát vùng DN100 bao gồm:
+ 1 Van cổng ty nổi OS&amp;Y kèm công tắc giám sát DN100
+ 1 Công tắc dòng chảy
+ 1 Đồng hồ đo áp suất kèm van bi, si phong
+ 1 Kính quan sát DN25
+ 2 Van cổng DN25
+ 2 Rắc co DN25
</t>
    </r>
    <r>
      <rPr>
        <i/>
        <sz val="10"/>
        <color indexed="12"/>
        <rFont val="Times New Roman"/>
        <family val="1"/>
      </rPr>
      <t>Zone control valve DN100 including:
+ 1 Nos  Gate valve OS&amp;Y with supervisory switch  DN100
+ 1 Nos Flow switch
+ 1 Nos Pressure gauge c/w ball valve &amp;syphon
+ 1 Nos Sight glass DN25
+ 2 Nos Ball valve DN25
+ 2 Nos Threaded union  DN25</t>
    </r>
  </si>
  <si>
    <r>
      <t xml:space="preserve">Mặt bích DN250
</t>
    </r>
    <r>
      <rPr>
        <i/>
        <sz val="10"/>
        <color indexed="12"/>
        <rFont val="Times New Roman"/>
        <family val="1"/>
      </rPr>
      <t>Flange DN250</t>
    </r>
  </si>
  <si>
    <r>
      <t xml:space="preserve">Mặt bích DN200
</t>
    </r>
    <r>
      <rPr>
        <i/>
        <sz val="10"/>
        <color indexed="12"/>
        <rFont val="Times New Roman"/>
        <family val="1"/>
      </rPr>
      <t>Flange DN200</t>
    </r>
  </si>
  <si>
    <r>
      <t xml:space="preserve">Mặt bích DN150
</t>
    </r>
    <r>
      <rPr>
        <i/>
        <sz val="10"/>
        <color indexed="12"/>
        <rFont val="Times New Roman"/>
        <family val="1"/>
      </rPr>
      <t>Flange DN150</t>
    </r>
  </si>
  <si>
    <r>
      <t xml:space="preserve">Mặt bích DN100
</t>
    </r>
    <r>
      <rPr>
        <i/>
        <sz val="10"/>
        <color indexed="12"/>
        <rFont val="Times New Roman"/>
        <family val="1"/>
      </rPr>
      <t>Flange DN100</t>
    </r>
  </si>
  <si>
    <r>
      <t xml:space="preserve">Mặt bích DN50
</t>
    </r>
    <r>
      <rPr>
        <i/>
        <sz val="10"/>
        <color indexed="12"/>
        <rFont val="Times New Roman"/>
        <family val="1"/>
      </rPr>
      <t>Flange DN50</t>
    </r>
  </si>
  <si>
    <r>
      <t xml:space="preserve">Mặt bích mù DN150
</t>
    </r>
    <r>
      <rPr>
        <i/>
        <sz val="10"/>
        <color indexed="12"/>
        <rFont val="Times New Roman"/>
        <family val="1"/>
      </rPr>
      <t>Blind flange DN150</t>
    </r>
  </si>
  <si>
    <r>
      <t xml:space="preserve">Mặt bích mù DN250
</t>
    </r>
    <r>
      <rPr>
        <i/>
        <sz val="10"/>
        <color indexed="12"/>
        <rFont val="Times New Roman"/>
        <family val="1"/>
      </rPr>
      <t>Blind flange DN250</t>
    </r>
  </si>
  <si>
    <r>
      <t xml:space="preserve">Ống thép  và phụ kiện của ống thép
</t>
    </r>
    <r>
      <rPr>
        <b/>
        <i/>
        <sz val="10"/>
        <color indexed="12"/>
        <rFont val="Times New Roman"/>
        <family val="1"/>
      </rPr>
      <t>Steel pipe &amp; fitting for pipe</t>
    </r>
  </si>
  <si>
    <r>
      <t xml:space="preserve">Ống thép đen DN150 dày 5.0mm
</t>
    </r>
    <r>
      <rPr>
        <i/>
        <sz val="10"/>
        <color indexed="12"/>
        <rFont val="Times New Roman"/>
        <family val="1"/>
      </rPr>
      <t>Black steel pipe DN150, thickness 5.0mm</t>
    </r>
  </si>
  <si>
    <r>
      <t xml:space="preserve">Ống thép đen DN100 dày 3.6mm
</t>
    </r>
    <r>
      <rPr>
        <i/>
        <sz val="10"/>
        <color indexed="12"/>
        <rFont val="Times New Roman"/>
        <family val="1"/>
      </rPr>
      <t>Black steel pipe DN100, thickness 3.6mm</t>
    </r>
  </si>
  <si>
    <r>
      <t xml:space="preserve">Ống thép đen DN80 dày 3.2mm
</t>
    </r>
    <r>
      <rPr>
        <i/>
        <sz val="10"/>
        <color indexed="12"/>
        <rFont val="Times New Roman"/>
        <family val="1"/>
      </rPr>
      <t>Black steel pipe DN80, thickness 3.2mm</t>
    </r>
  </si>
  <si>
    <r>
      <t xml:space="preserve">Ống thép đen DN65 dày 3.2mm
</t>
    </r>
    <r>
      <rPr>
        <i/>
        <sz val="10"/>
        <color indexed="12"/>
        <rFont val="Times New Roman"/>
        <family val="1"/>
      </rPr>
      <t>Black steel pipe DN65, thickness 3.2mm</t>
    </r>
  </si>
  <si>
    <r>
      <t xml:space="preserve">Ống thép đen DN50 dày 2.9mm
</t>
    </r>
    <r>
      <rPr>
        <i/>
        <sz val="10"/>
        <color indexed="12"/>
        <rFont val="Times New Roman"/>
        <family val="1"/>
      </rPr>
      <t>Black steel pipe DN50, thickness 2.9mm</t>
    </r>
  </si>
  <si>
    <r>
      <t xml:space="preserve">Ống thép đen DN40 dày 2.9mm
</t>
    </r>
    <r>
      <rPr>
        <i/>
        <sz val="10"/>
        <color indexed="12"/>
        <rFont val="Times New Roman"/>
        <family val="1"/>
      </rPr>
      <t>Black steel pipe DN40, thickness 2.9m</t>
    </r>
    <r>
      <rPr>
        <sz val="10"/>
        <color indexed="12"/>
        <rFont val="Times New Roman"/>
        <family val="1"/>
      </rPr>
      <t>m</t>
    </r>
  </si>
  <si>
    <r>
      <t xml:space="preserve">Ống thép đen DN32 dày 2.6mm
</t>
    </r>
    <r>
      <rPr>
        <i/>
        <sz val="10"/>
        <color indexed="12"/>
        <rFont val="Times New Roman"/>
        <family val="1"/>
      </rPr>
      <t>Black steel pipe DN32, thickness 2.6mm</t>
    </r>
  </si>
  <si>
    <r>
      <t xml:space="preserve">Ống thép đen DN25 dày 2.6mm
</t>
    </r>
    <r>
      <rPr>
        <i/>
        <sz val="10"/>
        <color indexed="12"/>
        <rFont val="Times New Roman"/>
        <family val="1"/>
      </rPr>
      <t>Black steel pipe DN25, thickness 2.6mm</t>
    </r>
  </si>
  <si>
    <r>
      <t xml:space="preserve">Ống thép tráng kẽm DN250 dày 6.35mm
</t>
    </r>
    <r>
      <rPr>
        <i/>
        <sz val="10"/>
        <color indexed="12"/>
        <rFont val="Times New Roman"/>
        <family val="1"/>
      </rPr>
      <t>Galvanised steel pipe  DN250, thickness 6.35mm</t>
    </r>
  </si>
  <si>
    <r>
      <t xml:space="preserve">Ống thép tráng kẽm DN200 dày 6.35mm
</t>
    </r>
    <r>
      <rPr>
        <i/>
        <sz val="10"/>
        <color indexed="12"/>
        <rFont val="Times New Roman"/>
        <family val="1"/>
      </rPr>
      <t>Galvanised steel pipe  DN200, thickness 6.35mm</t>
    </r>
  </si>
  <si>
    <r>
      <t xml:space="preserve">Ống thép tráng kẽm DN150 dày 5.0mm
</t>
    </r>
    <r>
      <rPr>
        <i/>
        <sz val="10"/>
        <color indexed="12"/>
        <rFont val="Times New Roman"/>
        <family val="1"/>
      </rPr>
      <t>Galvanised steel pipe DN150, thickness 5.0mm</t>
    </r>
  </si>
  <si>
    <r>
      <t xml:space="preserve">Ống thép tráng kẽm DN100 dày 3.6mm
</t>
    </r>
    <r>
      <rPr>
        <i/>
        <sz val="10"/>
        <color indexed="12"/>
        <rFont val="Times New Roman"/>
        <family val="1"/>
      </rPr>
      <t>Galvanised steel pipe DN100, thickness 3.6mm</t>
    </r>
  </si>
  <si>
    <r>
      <t xml:space="preserve">Ống thép tráng kẽm  DN50 dày 2.9mm
</t>
    </r>
    <r>
      <rPr>
        <i/>
        <sz val="10"/>
        <color indexed="12"/>
        <rFont val="Times New Roman"/>
        <family val="1"/>
      </rPr>
      <t>Galvanised steel pipe  DN50, thickness 2.9mm</t>
    </r>
  </si>
  <si>
    <r>
      <t xml:space="preserve">Ống thép tráng kẽm DN40 dày 2.9mm
</t>
    </r>
    <r>
      <rPr>
        <i/>
        <sz val="10"/>
        <color indexed="12"/>
        <rFont val="Times New Roman"/>
        <family val="1"/>
      </rPr>
      <t>Galvanised steel pipe  DN40, thickness 2.9mm</t>
    </r>
  </si>
  <si>
    <r>
      <t xml:space="preserve">Ống thép tráng kẽm DN25 dày 2.6mm
</t>
    </r>
    <r>
      <rPr>
        <i/>
        <sz val="10"/>
        <color indexed="12"/>
        <rFont val="Times New Roman"/>
        <family val="1"/>
      </rPr>
      <t>Galvanised steel pipe DN25, thickness 2.6mm</t>
    </r>
  </si>
  <si>
    <r>
      <t xml:space="preserve">Phụ kiện cho ống thép
</t>
    </r>
    <r>
      <rPr>
        <i/>
        <sz val="10"/>
        <color indexed="12"/>
        <rFont val="Times New Roman"/>
        <family val="1"/>
      </rPr>
      <t>Fitting for steel pipe</t>
    </r>
  </si>
  <si>
    <r>
      <t xml:space="preserve">Ống Inox  DN250 dày 6.35mm
</t>
    </r>
    <r>
      <rPr>
        <i/>
        <sz val="10"/>
        <color indexed="12"/>
        <rFont val="Times New Roman"/>
        <family val="1"/>
      </rPr>
      <t xml:space="preserve">Stainless steel pipe DN250 thick 6.35mm  </t>
    </r>
  </si>
  <si>
    <r>
      <t xml:space="preserve">Ống Inox  DN150 dày 5.16mm
</t>
    </r>
    <r>
      <rPr>
        <i/>
        <sz val="10"/>
        <color indexed="12"/>
        <rFont val="Times New Roman"/>
        <family val="1"/>
      </rPr>
      <t xml:space="preserve">Stainless steel pipe DN150 thick 5.16mm  </t>
    </r>
  </si>
  <si>
    <r>
      <t xml:space="preserve">Phụ kiện cho ống inox 
</t>
    </r>
    <r>
      <rPr>
        <i/>
        <sz val="10"/>
        <color indexed="12"/>
        <rFont val="Times New Roman"/>
        <family val="1"/>
      </rPr>
      <t>Fitting for Stainless steel pipe</t>
    </r>
  </si>
  <si>
    <r>
      <t xml:space="preserve">Dán nhãn , sơn, chống cháy (nếu có), biển cảnh báo,..
</t>
    </r>
    <r>
      <rPr>
        <sz val="10"/>
        <color indexed="12"/>
        <rFont val="Times New Roman"/>
        <family val="1"/>
      </rPr>
      <t>Labelling, painting, fire stopping (If any), warning signal, etc</t>
    </r>
  </si>
  <si>
    <r>
      <t xml:space="preserve">Cùm treo, giá đỡ, Sleeve, ….
</t>
    </r>
    <r>
      <rPr>
        <i/>
        <sz val="10"/>
        <color indexed="12"/>
        <rFont val="Times New Roman"/>
        <family val="1"/>
      </rPr>
      <t>Hanger , support material, Sleeve,…</t>
    </r>
  </si>
  <si>
    <r>
      <t xml:space="preserve">Kiểm tra và nghiệm thu với cơ quan PCCC
</t>
    </r>
    <r>
      <rPr>
        <b/>
        <i/>
        <sz val="10"/>
        <color indexed="12"/>
        <rFont val="Times New Roman"/>
        <family val="1"/>
      </rPr>
      <t>Checking &amp; commissioning with fire fighting authorities.</t>
    </r>
  </si>
  <si>
    <r>
      <t xml:space="preserve">Đã bao gồm trong đơn giá
</t>
    </r>
    <r>
      <rPr>
        <b/>
        <i/>
        <sz val="10"/>
        <color indexed="12"/>
        <rFont val="Times New Roman"/>
        <family val="1"/>
      </rPr>
      <t>Included in the unit price</t>
    </r>
  </si>
  <si>
    <t>II</t>
  </si>
  <si>
    <r>
      <t xml:space="preserve">NGOÀI NHÀ
</t>
    </r>
    <r>
      <rPr>
        <b/>
        <i/>
        <sz val="10"/>
        <color indexed="12"/>
        <rFont val="Times New Roman"/>
        <family val="1"/>
      </rPr>
      <t>EXTERNAL PART</t>
    </r>
  </si>
  <si>
    <r>
      <t xml:space="preserve">HỆ THỐNG ĐIỆN VÀ ĐIỆN NHẸ
</t>
    </r>
    <r>
      <rPr>
        <b/>
        <i/>
        <sz val="10"/>
        <color indexed="12"/>
        <rFont val="Times New Roman"/>
        <family val="1"/>
      </rPr>
      <t>ELECTRICAL SYSTEM AND ELV SYSTEM</t>
    </r>
  </si>
  <si>
    <r>
      <t xml:space="preserve">Ống nhựa xoắn HDPE DN85/65
</t>
    </r>
    <r>
      <rPr>
        <i/>
        <sz val="10"/>
        <color indexed="12"/>
        <rFont val="Times New Roman"/>
        <family val="1"/>
      </rPr>
      <t>Flexible pile HDPE DN85/65</t>
    </r>
  </si>
  <si>
    <r>
      <t xml:space="preserve">Hố ga điện chiếu sáng : W800xL800xH800
</t>
    </r>
    <r>
      <rPr>
        <i/>
        <sz val="10"/>
        <color indexed="12"/>
        <rFont val="Times New Roman"/>
        <family val="1"/>
      </rPr>
      <t>Landscape lighting manhole: W800xL800xH800</t>
    </r>
  </si>
  <si>
    <r>
      <t>Cáp quang 12C-</t>
    </r>
    <r>
      <rPr>
        <i/>
        <sz val="10"/>
        <rFont val="Times New Roman"/>
        <family val="1"/>
      </rPr>
      <t xml:space="preserve">
</t>
    </r>
    <r>
      <rPr>
        <i/>
        <sz val="10"/>
        <color indexed="12"/>
        <rFont val="Times New Roman"/>
        <family val="1"/>
      </rPr>
      <t>Single mode FO cable 12C</t>
    </r>
  </si>
  <si>
    <r>
      <t xml:space="preserve">Phụ kiện đấu nối và hàn cáp quang
</t>
    </r>
    <r>
      <rPr>
        <i/>
        <sz val="10"/>
        <color indexed="12"/>
        <rFont val="Times New Roman"/>
        <family val="1"/>
      </rPr>
      <t>Accessories for connection and welding of optical cables</t>
    </r>
  </si>
  <si>
    <r>
      <t xml:space="preserve">Ống GI Ø 32
</t>
    </r>
    <r>
      <rPr>
        <i/>
        <sz val="10"/>
        <color indexed="12"/>
        <rFont val="Times New Roman"/>
        <family val="1"/>
      </rPr>
      <t>GI Pipe Ø 32</t>
    </r>
  </si>
  <si>
    <r>
      <t xml:space="preserve">Supplies and Accessories……...
</t>
    </r>
    <r>
      <rPr>
        <i/>
        <sz val="10"/>
        <color indexed="12"/>
        <rFont val="Times New Roman"/>
        <family val="1"/>
      </rPr>
      <t>Phụ kiện và vật tư phụ…….</t>
    </r>
  </si>
  <si>
    <r>
      <t xml:space="preserve">HỆ THỐNG CẤP THOÁT NƯỚC
</t>
    </r>
    <r>
      <rPr>
        <b/>
        <i/>
        <sz val="10"/>
        <color indexed="12"/>
        <rFont val="Times New Roman"/>
        <family val="1"/>
      </rPr>
      <t>PLUMBING SYSTEM</t>
    </r>
  </si>
  <si>
    <r>
      <t xml:space="preserve">Hệ thống cấp nước lạnh
</t>
    </r>
    <r>
      <rPr>
        <b/>
        <i/>
        <sz val="10"/>
        <color indexed="12"/>
        <rFont val="Times New Roman"/>
        <family val="1"/>
      </rPr>
      <t>Cold water supply system</t>
    </r>
  </si>
  <si>
    <r>
      <t xml:space="preserve">Trụ cấp nước chữa cháy DN100
</t>
    </r>
    <r>
      <rPr>
        <i/>
        <sz val="10"/>
        <color indexed="12"/>
        <rFont val="Times New Roman"/>
        <family val="1"/>
      </rPr>
      <t>External fire hydrant DN100</t>
    </r>
  </si>
  <si>
    <r>
      <t xml:space="preserve">Hố van 1000x1000x1350 kèm nắp gang đúc 
</t>
    </r>
    <r>
      <rPr>
        <i/>
        <sz val="10"/>
        <color indexed="12"/>
        <rFont val="Times New Roman"/>
        <family val="1"/>
      </rPr>
      <t>Valve Chamber 1000x1000x1350 c/w cover by cast iron</t>
    </r>
  </si>
  <si>
    <r>
      <t xml:space="preserve">Hố đồng hồ nước
</t>
    </r>
    <r>
      <rPr>
        <i/>
        <sz val="10"/>
        <color indexed="12"/>
        <rFont val="Times New Roman"/>
        <family val="1"/>
      </rPr>
      <t>Water meter chanber</t>
    </r>
  </si>
  <si>
    <r>
      <t xml:space="preserve">Đồng hồ nước DN65
</t>
    </r>
    <r>
      <rPr>
        <i/>
        <sz val="10"/>
        <color indexed="18"/>
        <rFont val="Times New Roman"/>
        <family val="1"/>
      </rPr>
      <t>Water meter DN65</t>
    </r>
  </si>
  <si>
    <t>HDPE DN80- PN10</t>
  </si>
  <si>
    <r>
      <t xml:space="preserve">Gối bê tông
</t>
    </r>
    <r>
      <rPr>
        <i/>
        <sz val="10"/>
        <color indexed="12"/>
        <rFont val="Times New Roman"/>
        <family val="1"/>
      </rPr>
      <t>Concrete support</t>
    </r>
  </si>
  <si>
    <r>
      <t xml:space="preserve">Cừ tràm cho gối bê tông &amp; Valve Chamber
</t>
    </r>
    <r>
      <rPr>
        <i/>
        <sz val="10"/>
        <color indexed="12"/>
        <rFont val="Times New Roman"/>
        <family val="1"/>
      </rPr>
      <t xml:space="preserve">Wooden pile:L=4m; d100mm </t>
    </r>
  </si>
  <si>
    <r>
      <t xml:space="preserve">Hệ thống thoát nước mưa
</t>
    </r>
    <r>
      <rPr>
        <b/>
        <i/>
        <sz val="10"/>
        <color indexed="12"/>
        <rFont val="Times New Roman"/>
        <family val="1"/>
      </rPr>
      <t>Rainwater drainage system</t>
    </r>
  </si>
  <si>
    <t>uPVCD N200-PN9</t>
  </si>
  <si>
    <r>
      <t xml:space="preserve">Hệ thống thoát nước sinh hoạt
</t>
    </r>
    <r>
      <rPr>
        <b/>
        <i/>
        <sz val="10"/>
        <color indexed="12"/>
        <rFont val="Times New Roman"/>
        <family val="1"/>
      </rPr>
      <t>Sanitary drain system</t>
    </r>
  </si>
  <si>
    <t xml:space="preserve">uPVC DN80 -PN9 </t>
  </si>
  <si>
    <t>uPVC DN150-PN9</t>
  </si>
  <si>
    <t xml:space="preserve">uPVC DN200-PN9 </t>
  </si>
  <si>
    <t>HDPE DN100- PN10</t>
  </si>
  <si>
    <r>
      <t xml:space="preserve">Hô ga thu nước mưa
</t>
    </r>
    <r>
      <rPr>
        <i/>
        <sz val="10"/>
        <color indexed="12"/>
        <rFont val="Times New Roman"/>
        <family val="1"/>
      </rPr>
      <t xml:space="preserve">Rain water manhole </t>
    </r>
  </si>
  <si>
    <r>
      <t xml:space="preserve">Thuộc hạng mục ngoài nhà
</t>
    </r>
    <r>
      <rPr>
        <i/>
        <sz val="10"/>
        <color indexed="12"/>
        <rFont val="Times New Roman"/>
        <family val="1"/>
      </rPr>
      <t>Belong external work</t>
    </r>
  </si>
  <si>
    <r>
      <t xml:space="preserve">Hô ga thu nước thải
</t>
    </r>
    <r>
      <rPr>
        <i/>
        <sz val="10"/>
        <color indexed="12"/>
        <rFont val="Times New Roman"/>
        <family val="1"/>
      </rPr>
      <t xml:space="preserve">Waste water manhole </t>
    </r>
  </si>
  <si>
    <r>
      <t xml:space="preserve">Đấu nối vào hố ga hiện hữu
</t>
    </r>
    <r>
      <rPr>
        <i/>
        <sz val="10"/>
        <color indexed="12"/>
        <rFont val="Times New Roman"/>
        <family val="1"/>
      </rPr>
      <t>Connect to existing manhole</t>
    </r>
  </si>
  <si>
    <t>III</t>
  </si>
  <si>
    <r>
      <t xml:space="preserve">HẠNG MỤC BỔ SUNG
</t>
    </r>
    <r>
      <rPr>
        <b/>
        <sz val="10"/>
        <color indexed="12"/>
        <rFont val="Times New Roman"/>
        <family val="1"/>
      </rPr>
      <t>ITEM  BALANCE</t>
    </r>
  </si>
  <si>
    <r>
      <t xml:space="preserve">Bất kỳ hạng mục nào khác không được bao gồm ở trên nhưng được mô tả / thể hiện trong Tiêu chuẩn kỹ thuật, Bản vẽ và / hoặc Hợp đồng / Tài liệu đấu thầu được coi là cần thiết để hoàn thành Công trình đúng hạn
</t>
    </r>
    <r>
      <rPr>
        <i/>
        <sz val="10"/>
        <color indexed="12"/>
        <rFont val="Times New Roman"/>
        <family val="1"/>
      </rPr>
      <t>Any other items not included above but described/shown in the Specifications, Drawings and/or Contract/Tender Document which deemed to be necessary for due completion of the Works</t>
    </r>
  </si>
  <si>
    <r>
      <t xml:space="preserve">Nếu có sự khác biêt về khối lựong trong Bảng tiên lượng mời thầu bên trên,  Nhà thầu được phép bổ sung phần thêm hoặc bớt tại hạng mục bổ sung này
</t>
    </r>
    <r>
      <rPr>
        <i/>
        <sz val="10"/>
        <color indexed="12"/>
        <rFont val="Times New Roman"/>
        <family val="1"/>
      </rPr>
      <t xml:space="preserve">If any differences are identified in quantities in the Tender BOQ above, The Balance items sheets are allowed to be added or subtracted to the Tender Bill. </t>
    </r>
  </si>
  <si>
    <t>Hệ thống lạnh 
ACMV system</t>
  </si>
  <si>
    <t>Ống gió mềm có cách nhiệt D150
Flexible air duct c/w insulation D150</t>
  </si>
  <si>
    <t>Silver</t>
  </si>
  <si>
    <t>Ống gió mềm có cách nhiệt D200
Flexible air duct c/w insulation D200</t>
  </si>
  <si>
    <t xml:space="preserve">Tấm tôn tráng kẽm dày 1.0mm (0.95mm) 
Galvanized tole sheet thick 1.0mm (0.95mm) </t>
  </si>
  <si>
    <t>Hoa Sen Z18</t>
  </si>
  <si>
    <t>Cho ống tiêu âm</t>
  </si>
  <si>
    <t xml:space="preserve">Tấm tôn tráng kẽm dày 0.8mm (0.75mm) 
Galvanized tole sheet thick 0.8mm (0.75mm) </t>
  </si>
  <si>
    <t>Orther / Các chi phí khác</t>
  </si>
  <si>
    <t>Sample test Fire duct EI / Đốt mẫu ống gió đạt EI (nếu có)</t>
  </si>
  <si>
    <t>Certificate Duct EI 45, EI 30 / Kiểm định ống gió EI45, EI30</t>
  </si>
  <si>
    <t>Certificate FD, MFD / Kiểm định van FD (EI60), MFD (EI90)</t>
  </si>
  <si>
    <t>Chi phí chung hệ ACMV</t>
  </si>
  <si>
    <t>Các chí phí khác liên quan</t>
  </si>
  <si>
    <t>Chi phí sleevees xuyên tường vây</t>
  </si>
  <si>
    <t>lô</t>
  </si>
  <si>
    <t>Chi phí cắt đục, trám trét đóng lưới</t>
  </si>
  <si>
    <t>Chi phí fill cổ ống và chống thấm cổ ống theo biện pháp</t>
  </si>
  <si>
    <t>Hạng mục này không bao gồm</t>
  </si>
  <si>
    <t>Chi phí test và kiểm định vật liệu thiết bị  đầu cuối hệ  PCCC với cơ quan chức năng</t>
  </si>
  <si>
    <t>Chi phí vận chuyển, bảo quản vật tư, kho bãi</t>
  </si>
  <si>
    <t xml:space="preserve">Chi phí quản lý chung cac hệ </t>
  </si>
  <si>
    <r>
      <t xml:space="preserve">TỔNG CỘNG (Chưa bao gồm VAT)
</t>
    </r>
    <r>
      <rPr>
        <b/>
        <i/>
        <sz val="10"/>
        <color indexed="12"/>
        <rFont val="Times New Roman"/>
        <family val="1"/>
      </rPr>
      <t>TOTAL (Excluded VAT)</t>
    </r>
  </si>
  <si>
    <t>A6</t>
  </si>
  <si>
    <t>A3+A6</t>
  </si>
  <si>
    <t>ITEM:  MEP &amp; FF  WORKS - A6 BUILDING</t>
  </si>
  <si>
    <r>
      <t xml:space="preserve">Trụ BTLT 14m + Móng thích hợp
</t>
    </r>
    <r>
      <rPr>
        <i/>
        <sz val="10"/>
        <color indexed="12"/>
        <rFont val="Times New Roman"/>
        <family val="1"/>
      </rPr>
      <t>Concrete post 14m + Foundation</t>
    </r>
  </si>
  <si>
    <r>
      <t xml:space="preserve">Thép đà L75x75x8, L=2.4m
</t>
    </r>
    <r>
      <rPr>
        <i/>
        <sz val="10"/>
        <color indexed="12"/>
        <rFont val="Times New Roman"/>
        <family val="1"/>
      </rPr>
      <t>Iron L75x75x8, L=2.4m</t>
    </r>
  </si>
  <si>
    <r>
      <t xml:space="preserve">Thanh chống 0.9m
</t>
    </r>
    <r>
      <rPr>
        <i/>
        <sz val="10"/>
        <color indexed="12"/>
        <rFont val="Times New Roman"/>
        <family val="1"/>
      </rPr>
      <t>Support 0.9m</t>
    </r>
  </si>
  <si>
    <r>
      <t xml:space="preserve">Chống sét van  LA 18kV – 10kA
</t>
    </r>
    <r>
      <rPr>
        <i/>
        <sz val="10"/>
        <color indexed="12"/>
        <rFont val="Times New Roman"/>
        <family val="1"/>
      </rPr>
      <t>LA 18kV – 10kA</t>
    </r>
  </si>
  <si>
    <r>
      <t xml:space="preserve">Sứ treo 24kV
</t>
    </r>
    <r>
      <rPr>
        <i/>
        <sz val="10"/>
        <color indexed="12"/>
        <rFont val="Times New Roman"/>
        <family val="1"/>
      </rPr>
      <t>Insulator 24kV</t>
    </r>
  </si>
  <si>
    <r>
      <t xml:space="preserve">Sứ polymer 24kV
</t>
    </r>
    <r>
      <rPr>
        <i/>
        <sz val="10"/>
        <color indexed="12"/>
        <rFont val="Times New Roman"/>
        <family val="1"/>
      </rPr>
      <t>Polymer insulator  24kV</t>
    </r>
  </si>
  <si>
    <r>
      <t xml:space="preserve">Ma ní U@18
</t>
    </r>
    <r>
      <rPr>
        <i/>
        <sz val="10"/>
        <color indexed="12"/>
        <rFont val="Times New Roman"/>
        <family val="1"/>
      </rPr>
      <t>Shackle U@18</t>
    </r>
  </si>
  <si>
    <r>
      <t xml:space="preserve">Giáp buộc đầu sứ polymer 24kV
</t>
    </r>
    <r>
      <rPr>
        <i/>
        <sz val="10"/>
        <color indexed="12"/>
        <rFont val="Times New Roman"/>
        <family val="1"/>
      </rPr>
      <t>Armor for polymer insulator 24kV</t>
    </r>
  </si>
  <si>
    <r>
      <t xml:space="preserve">Dao cách ly DS 630A - 24kV 
</t>
    </r>
    <r>
      <rPr>
        <i/>
        <sz val="10"/>
        <color indexed="12"/>
        <rFont val="Times New Roman"/>
        <family val="1"/>
      </rPr>
      <t xml:space="preserve">DS 630A - 24kV </t>
    </r>
  </si>
  <si>
    <r>
      <t xml:space="preserve">Máy cắt tự đóng lại 630A, 24kV
</t>
    </r>
    <r>
      <rPr>
        <i/>
        <sz val="10"/>
        <color indexed="12"/>
        <rFont val="Times New Roman"/>
        <family val="1"/>
      </rPr>
      <t>Recloser 630A, 24kV</t>
    </r>
  </si>
  <si>
    <r>
      <t xml:space="preserve">Cáp ngầm trung thế 24kV (Cu/XLPE/PVC/DSTA/PVC) 3M240m2 
</t>
    </r>
    <r>
      <rPr>
        <i/>
        <sz val="10"/>
        <color indexed="12"/>
        <rFont val="Times New Roman"/>
        <family val="1"/>
      </rPr>
      <t xml:space="preserve">24kV (Cu/XLPE/PVC/DSTA/PVC) MV under ground cable 3M240m2 </t>
    </r>
  </si>
  <si>
    <r>
      <t xml:space="preserve">Đầu cáp trung thế ngoài nhà 24kV-3x240mm2 (OD)
</t>
    </r>
    <r>
      <rPr>
        <i/>
        <sz val="10"/>
        <color indexed="12"/>
        <rFont val="Times New Roman"/>
        <family val="1"/>
      </rPr>
      <t>Termination kits 24kV-3x240mm2 (OD)</t>
    </r>
  </si>
  <si>
    <r>
      <t xml:space="preserve">Giá treo đầu cáp ngầm
</t>
    </r>
    <r>
      <rPr>
        <i/>
        <sz val="10"/>
        <color indexed="12"/>
        <rFont val="Times New Roman"/>
        <family val="1"/>
      </rPr>
      <t>Flexible support</t>
    </r>
  </si>
  <si>
    <r>
      <t xml:space="preserve">Ống tráng kẽm  STK cho uPVC DN200
</t>
    </r>
    <r>
      <rPr>
        <i/>
        <sz val="10"/>
        <color indexed="12"/>
        <rFont val="Times New Roman"/>
        <family val="1"/>
      </rPr>
      <t>Sleeve GI Pipe for uPVC DN200</t>
    </r>
  </si>
  <si>
    <r>
      <t xml:space="preserve">Kẹp Hotline 2.0 + Kẹp 4.0
</t>
    </r>
    <r>
      <rPr>
        <i/>
        <sz val="10"/>
        <color indexed="12"/>
        <rFont val="Times New Roman"/>
        <family val="1"/>
      </rPr>
      <t xml:space="preserve">Hotline 2.0 + Clamp 4.0 </t>
    </r>
  </si>
  <si>
    <r>
      <t xml:space="preserve">Iron zinc plated pipe D150
</t>
    </r>
    <r>
      <rPr>
        <i/>
        <sz val="10"/>
        <color indexed="12"/>
        <rFont val="Times New Roman"/>
        <family val="1"/>
      </rPr>
      <t>Ống thép mạ kẽm D150</t>
    </r>
  </si>
  <si>
    <r>
      <t xml:space="preserve">Kẹp cổ dê D150
</t>
    </r>
    <r>
      <rPr>
        <i/>
        <sz val="10"/>
        <color indexed="12"/>
        <rFont val="Times New Roman"/>
        <family val="1"/>
      </rPr>
      <t>Colier D150</t>
    </r>
  </si>
  <si>
    <r>
      <t xml:space="preserve">Cọc tiếp địa thép mạ đồng D=16, L=2.4m 
</t>
    </r>
    <r>
      <rPr>
        <i/>
        <sz val="10"/>
        <color indexed="12"/>
        <rFont val="Times New Roman"/>
        <family val="1"/>
      </rPr>
      <t xml:space="preserve">Earthing rod D=16, L=2.4m </t>
    </r>
  </si>
  <si>
    <r>
      <t xml:space="preserve">Ốc siết cáp M22
</t>
    </r>
    <r>
      <rPr>
        <i/>
        <sz val="10"/>
        <color indexed="12"/>
        <rFont val="Times New Roman"/>
        <family val="1"/>
      </rPr>
      <t>Splibolt M22</t>
    </r>
  </si>
  <si>
    <r>
      <t xml:space="preserve">Mối hàn Cadwell
</t>
    </r>
    <r>
      <rPr>
        <i/>
        <sz val="10"/>
        <color indexed="12"/>
        <rFont val="Times New Roman"/>
        <family val="1"/>
      </rPr>
      <t>Cadweld</t>
    </r>
  </si>
  <si>
    <r>
      <t xml:space="preserve">Băng keo silicon
</t>
    </r>
    <r>
      <rPr>
        <i/>
        <sz val="10"/>
        <color indexed="12"/>
        <rFont val="Times New Roman"/>
        <family val="1"/>
      </rPr>
      <t>Silicon tape</t>
    </r>
  </si>
  <si>
    <r>
      <t xml:space="preserve">Bảng tên
</t>
    </r>
    <r>
      <rPr>
        <i/>
        <sz val="10"/>
        <color indexed="12"/>
        <rFont val="Times New Roman"/>
        <family val="1"/>
      </rPr>
      <t>Name sign</t>
    </r>
  </si>
  <si>
    <r>
      <t xml:space="preserve">Hố ga trung thế +nắp
</t>
    </r>
    <r>
      <rPr>
        <i/>
        <sz val="10"/>
        <color indexed="12"/>
        <rFont val="Times New Roman"/>
        <family val="1"/>
      </rPr>
      <t>Medium voltage manhole</t>
    </r>
  </si>
  <si>
    <r>
      <t xml:space="preserve">Tủ trung thế
</t>
    </r>
    <r>
      <rPr>
        <b/>
        <i/>
        <sz val="10"/>
        <color indexed="12"/>
        <rFont val="Times New Roman"/>
        <family val="1"/>
      </rPr>
      <t>Medium voltage panel</t>
    </r>
  </si>
  <si>
    <r>
      <t xml:space="preserve">Tủ đo đếm trung thế 24kV 630A 25kA/3S c/w 3CTs &amp; 3PTs; công tơ KWh được cung cấp bởi EVN
</t>
    </r>
    <r>
      <rPr>
        <i/>
        <sz val="10"/>
        <color indexed="12"/>
        <rFont val="Times New Roman"/>
        <family val="1"/>
      </rPr>
      <t>MV Measurement panel 24kV 630A 25kA/3S c/w 3CTs &amp; 3PTs; KWh meter supply by EVN</t>
    </r>
  </si>
  <si>
    <r>
      <t xml:space="preserve">Tủ trung thế: SF6-LBS 24kV 200A 25kA/3S Outgoing feeder c/w ES &amp; MV Fuse 50A
</t>
    </r>
    <r>
      <rPr>
        <i/>
        <sz val="10"/>
        <color indexed="12"/>
        <rFont val="Times New Roman"/>
        <family val="1"/>
      </rPr>
      <t>MV panel: SF6-LBS 24kV 200A 25kA/3S Outgoing feeder c/w ES &amp; MV Fuse 50A</t>
    </r>
  </si>
  <si>
    <r>
      <t xml:space="preserve">Đầu cáp trung thế trong nhà loại Tplug 24kV-3x240mm2 (ID)
</t>
    </r>
    <r>
      <rPr>
        <i/>
        <sz val="10"/>
        <color indexed="12"/>
        <rFont val="Times New Roman"/>
        <family val="1"/>
      </rPr>
      <t>Termination kits Tplug-24kV-3x240mm2 (ID)</t>
    </r>
  </si>
  <si>
    <r>
      <t xml:space="preserve">Cáp từ tủ trung thế 24kV (Cu/XLPE/PVC) 1C*120m2  đến MBA A6
</t>
    </r>
    <r>
      <rPr>
        <i/>
        <sz val="10"/>
        <color indexed="12"/>
        <rFont val="Times New Roman"/>
        <family val="1"/>
      </rPr>
      <t>24kV (Cu/XLPE/PVC) MV under ground cable 1C*120m2  to Transformer A6</t>
    </r>
  </si>
  <si>
    <r>
      <t xml:space="preserve">Chi phí thiết kế &amp; giám sát  lắp đặt trạm phân phối và đấu nối với hệ thống điện, chi phí xin phép, hồ sơ với công ty Điện lực địa phương để đấu nối cáp trung thế mới vào lưới trung thế hiện hữu
</t>
    </r>
    <r>
      <rPr>
        <i/>
        <sz val="10"/>
        <color indexed="12"/>
        <rFont val="Times New Roman"/>
        <family val="1"/>
      </rPr>
      <t>Designing &amp; supervising of Power substation and incomming high voltage System complete with fees to liaise and plan submission to the local Power Company including all necessary cost for the connection of new HV cables to their existing HV network</t>
    </r>
  </si>
  <si>
    <r>
      <t xml:space="preserve">Máy biến áp khô 1000kVA, 22/0.4 kV, Cu/Cu , Dyn-11, AN/AF, IP32 bao gồm  bảo vệ quá nhiệt 49,49A,49T + hiển thị nhiệt độ 80, 100.
</t>
    </r>
    <r>
      <rPr>
        <i/>
        <sz val="10"/>
        <color indexed="12"/>
        <rFont val="Times New Roman"/>
        <family val="1"/>
      </rPr>
      <t>Dry Transfomer 1000kVA, 22/0.4 kV, Cu/ Cu , Dyn-11, AN/AF, IP32 c/w49,49A,49T +  temperature indicator...</t>
    </r>
  </si>
  <si>
    <r>
      <t xml:space="preserve">Generator set
</t>
    </r>
    <r>
      <rPr>
        <b/>
        <i/>
        <sz val="10"/>
        <color indexed="12"/>
        <rFont val="Times New Roman"/>
        <family val="1"/>
      </rPr>
      <t>Máy phát điện</t>
    </r>
  </si>
  <si>
    <r>
      <t xml:space="preserve">Máy phát điện công suất liên tục  400kVA, 400/230V, 3-pha, 50Hz 
</t>
    </r>
    <r>
      <rPr>
        <i/>
        <sz val="10"/>
        <color indexed="12"/>
        <rFont val="Times New Roman"/>
        <family val="1"/>
      </rPr>
      <t xml:space="preserve">Diesel prime generator set, 400kVA, 400/230V, 3-phase, 50Hz </t>
    </r>
  </si>
  <si>
    <r>
      <t xml:space="preserve">Bồn dầu ngày - 500L
</t>
    </r>
    <r>
      <rPr>
        <i/>
        <sz val="10"/>
        <color indexed="12"/>
        <rFont val="Times New Roman"/>
        <family val="1"/>
      </rPr>
      <t>Fuel Daily Tanks - 500L</t>
    </r>
  </si>
  <si>
    <r>
      <t xml:space="preserve">Hệ thống bơm  dầu gồm  bơm , đường ống cung cấp dầu từ bồn dầu chính đến bồn dầu phụ, đến máy phát...
</t>
    </r>
    <r>
      <rPr>
        <i/>
        <sz val="10"/>
        <color indexed="12"/>
        <rFont val="Times New Roman"/>
        <family val="1"/>
      </rPr>
      <t>Oil pump system c/w pump , pipes...</t>
    </r>
  </si>
  <si>
    <t>Lit</t>
  </si>
  <si>
    <t>a.4</t>
  </si>
  <si>
    <r>
      <t xml:space="preserve">Chi phí thí nghiệm, thử tải , vận chuyển , đo độ ồn, khí thải...
</t>
    </r>
    <r>
      <rPr>
        <i/>
        <sz val="10"/>
        <color indexed="12"/>
        <rFont val="Times New Roman"/>
        <family val="1"/>
      </rPr>
      <t>Testing , certification...</t>
    </r>
  </si>
  <si>
    <r>
      <t xml:space="preserve">Tủ phân phối điện </t>
    </r>
    <r>
      <rPr>
        <b/>
        <i/>
        <sz val="10"/>
        <color indexed="12"/>
        <rFont val="Times New Roman"/>
        <family val="1"/>
      </rPr>
      <t xml:space="preserve">
Distribution Board </t>
    </r>
  </si>
  <si>
    <t>MSB -A6</t>
  </si>
  <si>
    <t>Lộ vào 1
Incoming 1</t>
  </si>
  <si>
    <t>ACB 4P 1600A 65KA. Drawout</t>
  </si>
  <si>
    <r>
      <t xml:space="preserve">Biến dòng ( loại bảo vệ) PCT 1600/5A, CL. 5P10, 15VA, Loại chữ nhật
</t>
    </r>
    <r>
      <rPr>
        <i/>
        <sz val="10"/>
        <rFont val="Times New Roman"/>
        <family val="1"/>
      </rPr>
      <t>PCT 1600/5A, CL. 5P10, 15VA</t>
    </r>
  </si>
  <si>
    <r>
      <t xml:space="preserve">Biến dòng ( loại đo lường ) MCT 1600/5A, Class 1.0, 15VA
</t>
    </r>
    <r>
      <rPr>
        <i/>
        <sz val="10"/>
        <color indexed="12"/>
        <rFont val="Times New Roman"/>
        <family val="1"/>
      </rPr>
      <t xml:space="preserve"> MCT 1600/5A, Class 1.0, 15VA</t>
    </r>
  </si>
  <si>
    <r>
      <t xml:space="preserve">Cuộn đóng Mvs XF 200/250 VAC/Dc Drawout
</t>
    </r>
    <r>
      <rPr>
        <i/>
        <sz val="10"/>
        <color indexed="12"/>
        <rFont val="Times New Roman"/>
        <family val="1"/>
      </rPr>
      <t>Mvs XF 200/250 VAC/Dc Drawout</t>
    </r>
  </si>
  <si>
    <t>Motor sạc200/240 VAC For Drawout Break</t>
  </si>
  <si>
    <t>ACB 4P 1000A 50KA. Drawout</t>
  </si>
  <si>
    <t>MCCB 4P- 350A- 36KA</t>
  </si>
  <si>
    <t>MCCB 4P -100A -36KA</t>
  </si>
  <si>
    <t>MCCB 4P-75A -36KA</t>
  </si>
  <si>
    <r>
      <t xml:space="preserve">Relay bảo vệ dòng rò (ELR)
</t>
    </r>
    <r>
      <rPr>
        <i/>
        <sz val="10"/>
        <color indexed="12"/>
        <rFont val="Times New Roman"/>
        <family val="1"/>
      </rPr>
      <t>ELR Relay</t>
    </r>
  </si>
  <si>
    <r>
      <t xml:space="preserve">Biến dòng ( loại bảo vệ) PCT 800/5A, CL. 5P10, 15VA, Loại tròn
</t>
    </r>
    <r>
      <rPr>
        <i/>
        <sz val="10"/>
        <color indexed="12"/>
        <rFont val="Times New Roman"/>
        <family val="1"/>
      </rPr>
      <t xml:space="preserve"> PCT 800/5A, CL. 5P10, 15VA</t>
    </r>
  </si>
  <si>
    <r>
      <t xml:space="preserve">Biến dòng ( loại bảo vệ) PCT 400/5A, CL. 5P10, 15VA, Loại tròn
</t>
    </r>
    <r>
      <rPr>
        <i/>
        <sz val="10"/>
        <color indexed="12"/>
        <rFont val="Times New Roman"/>
        <family val="1"/>
      </rPr>
      <t>PCT 400/5A, CL. 5P10, 15</t>
    </r>
    <r>
      <rPr>
        <i/>
        <sz val="10"/>
        <rFont val="Times New Roman"/>
        <family val="1"/>
      </rPr>
      <t>VA</t>
    </r>
  </si>
  <si>
    <r>
      <t xml:space="preserve">Biến dòng bào vệ dòng rò (ZCT 40S)
</t>
    </r>
    <r>
      <rPr>
        <i/>
        <sz val="10"/>
        <color indexed="12"/>
        <rFont val="Times New Roman"/>
        <family val="1"/>
      </rPr>
      <t>ZCT 40S</t>
    </r>
  </si>
  <si>
    <r>
      <t xml:space="preserve">Ngăn Tụ bù  400 KVAR
</t>
    </r>
    <r>
      <rPr>
        <i/>
        <sz val="10"/>
        <color indexed="12"/>
        <rFont val="Times New Roman"/>
        <family val="1"/>
      </rPr>
      <t>Capacitor Bank 400KVAr</t>
    </r>
  </si>
  <si>
    <t>MCCB 3P 800A 36KA</t>
  </si>
  <si>
    <r>
      <t xml:space="preserve">Bộ điều khiển tụ bù (8 steps)
</t>
    </r>
    <r>
      <rPr>
        <i/>
        <sz val="10"/>
        <color indexed="12"/>
        <rFont val="Times New Roman"/>
        <family val="1"/>
      </rPr>
      <t xml:space="preserve">Auto power factor regulator (APFR) 8 -step  </t>
    </r>
  </si>
  <si>
    <t>MCCB 4P 250A 36KA</t>
  </si>
  <si>
    <t>MCCB 4P 200A 36KA</t>
  </si>
  <si>
    <t>MCCB 4P 20A 36KA</t>
  </si>
  <si>
    <r>
      <t xml:space="preserve">Vỏ tủ điện, thanh đồng , các phụ kiện...
</t>
    </r>
    <r>
      <rPr>
        <i/>
        <sz val="10"/>
        <color indexed="12"/>
        <rFont val="Times New Roman"/>
        <family val="1"/>
      </rPr>
      <t>Metal enclosure, busbar system, accessories,…</t>
    </r>
  </si>
  <si>
    <t>LP-G-BB</t>
  </si>
  <si>
    <t>MCB 3P 63A 6KA</t>
  </si>
  <si>
    <r>
      <t xml:space="preserve">Đèn báo màu đỏ -230VAC
</t>
    </r>
    <r>
      <rPr>
        <i/>
        <sz val="10"/>
        <color indexed="12"/>
        <rFont val="Times New Roman"/>
        <family val="1"/>
      </rPr>
      <t>Signal  phase light-R-230 VAC</t>
    </r>
  </si>
  <si>
    <t>MCB 1P 25A 6KA</t>
  </si>
  <si>
    <t>MCCB 3P 40A 6KA</t>
  </si>
  <si>
    <t>DB-A6-EX</t>
  </si>
  <si>
    <r>
      <t xml:space="preserve">Đèn báo màu đỏ-vàng-xanh -230VAC
</t>
    </r>
    <r>
      <rPr>
        <i/>
        <sz val="10"/>
        <color indexed="12"/>
        <rFont val="Times New Roman"/>
        <family val="1"/>
      </rPr>
      <t>Signal  phase light-R-Y-B-230 VAC</t>
    </r>
  </si>
  <si>
    <t>LP-G-LE</t>
  </si>
  <si>
    <t>LP-G-OF</t>
  </si>
  <si>
    <t>LP-G-LIB</t>
  </si>
  <si>
    <t>LP-G-GLM</t>
  </si>
  <si>
    <t>LP-G-TR.1</t>
  </si>
  <si>
    <t>LP-G-TR.2</t>
  </si>
  <si>
    <t>LP-G-FAC</t>
  </si>
  <si>
    <t>LP-G-CHO</t>
  </si>
  <si>
    <r>
      <t xml:space="preserve">Đồng hồ Ampe 50A, Class 1.5, 96x96
</t>
    </r>
    <r>
      <rPr>
        <i/>
        <sz val="10"/>
        <color indexed="18"/>
        <rFont val="Times New Roman"/>
        <family val="1"/>
      </rPr>
      <t>Ampetmeter</t>
    </r>
  </si>
  <si>
    <r>
      <t xml:space="preserve">bộ
</t>
    </r>
    <r>
      <rPr>
        <i/>
        <sz val="10"/>
        <color indexed="18"/>
        <rFont val="Times New Roman"/>
        <family val="1"/>
      </rPr>
      <t>set</t>
    </r>
  </si>
  <si>
    <t>LP-G-DR</t>
  </si>
  <si>
    <t>MCCB 3P 200A 25KA</t>
  </si>
  <si>
    <t>LP-2-VA</t>
  </si>
  <si>
    <t>LP-2-MS</t>
  </si>
  <si>
    <t>LP-2-CL.1; LP-2-CL.2; LP-2-CL.3; LP-2-CL.5</t>
  </si>
  <si>
    <t>LP-2-CL.4</t>
  </si>
  <si>
    <t>LP-2-LS</t>
  </si>
  <si>
    <t>LP-2-SL</t>
  </si>
  <si>
    <t>LP-2-DL</t>
  </si>
  <si>
    <t>LP-2-HC</t>
  </si>
  <si>
    <t>LP-3-GYM</t>
  </si>
  <si>
    <t>LP-3-DAN</t>
  </si>
  <si>
    <t>LP-3-CL.1; LP-3-CL.2; LP-3-CL.3; LP-3-CL.5</t>
  </si>
  <si>
    <t>LP-3-CL.4</t>
  </si>
  <si>
    <t>LP-3-LS</t>
  </si>
  <si>
    <t>LP-3-SL</t>
  </si>
  <si>
    <t>LP-3-PE</t>
  </si>
  <si>
    <t>LP-4-DRA</t>
  </si>
  <si>
    <t>LP-4-CL.1; LP-4-CL.2; LP-4-CL.3; LP-4-CL.5</t>
  </si>
  <si>
    <t>LP-4-CL.4</t>
  </si>
  <si>
    <t>LP-4-LS</t>
  </si>
  <si>
    <t>LP-4-SL</t>
  </si>
  <si>
    <t>LP-4-CO</t>
  </si>
  <si>
    <t>DB-R</t>
  </si>
  <si>
    <t>Isolator 3P-630A (for Solar power system)</t>
  </si>
  <si>
    <t>Bv E/2002,2003,2004,2005-rev 02</t>
  </si>
  <si>
    <r>
      <t xml:space="preserve">Đèn led 29W chống thấm, chống bụi,IP65
</t>
    </r>
    <r>
      <rPr>
        <i/>
        <sz val="10"/>
        <color indexed="12"/>
        <rFont val="Times New Roman"/>
        <family val="1"/>
      </rPr>
      <t>29W led waterproof, surface mounter type,IP65</t>
    </r>
  </si>
  <si>
    <r>
      <t xml:space="preserve">Đèn led  downlight bóng led 15W, gắn âm trần,IP20
</t>
    </r>
    <r>
      <rPr>
        <i/>
        <sz val="10"/>
        <color indexed="12"/>
        <rFont val="Times New Roman"/>
        <family val="1"/>
      </rPr>
      <t>15W led downlight,recessed mounted type,IP20</t>
    </r>
  </si>
  <si>
    <r>
      <t xml:space="preserve">Đèn led  downlight bóng led 15W, gắn âm trần,IP44
</t>
    </r>
    <r>
      <rPr>
        <i/>
        <sz val="10"/>
        <color indexed="12"/>
        <rFont val="Times New Roman"/>
        <family val="1"/>
      </rPr>
      <t>15W led downlight,recessed mounted type,IP44</t>
    </r>
  </si>
  <si>
    <r>
      <t xml:space="preserve">Đèn Led highbay, treo trần , 95W    
</t>
    </r>
    <r>
      <rPr>
        <i/>
        <sz val="10"/>
        <color indexed="12"/>
        <rFont val="Times New Roman"/>
        <family val="1"/>
      </rPr>
      <t>Led hightbay,suspended mounted type ,95W</t>
    </r>
  </si>
  <si>
    <r>
      <t xml:space="preserve">Đèn led pha 70W,IP66
</t>
    </r>
    <r>
      <rPr>
        <i/>
        <sz val="10"/>
        <color indexed="12"/>
        <rFont val="Times New Roman"/>
        <family val="1"/>
      </rPr>
      <t>Led flood light 70W,IP66</t>
    </r>
  </si>
  <si>
    <r>
      <t xml:space="preserve">Đèn led ốp tường ,IP65, 8W
</t>
    </r>
    <r>
      <rPr>
        <i/>
        <sz val="10"/>
        <color indexed="12"/>
        <rFont val="Times New Roman"/>
        <family val="1"/>
      </rPr>
      <t xml:space="preserve">Led surface mounted type,IP65,8W </t>
    </r>
  </si>
  <si>
    <r>
      <t>Đèn led dowlight, gắn thả trần,38W</t>
    </r>
    <r>
      <rPr>
        <i/>
        <sz val="10"/>
        <rFont val="Times New Roman"/>
        <family val="1"/>
      </rPr>
      <t xml:space="preserve">
</t>
    </r>
    <r>
      <rPr>
        <i/>
        <sz val="10"/>
        <color indexed="12"/>
        <rFont val="Times New Roman"/>
        <family val="1"/>
      </rPr>
      <t>Led downlight,pendant ceiling mounted type ,38W</t>
    </r>
  </si>
  <si>
    <r>
      <t xml:space="preserve">Đèn thoát hiểm chống thấm có ổ cắm đơn , kết hợp pin dự phòng trong 3giờ
</t>
    </r>
    <r>
      <rPr>
        <i/>
        <sz val="10"/>
        <rFont val="Times New Roman"/>
        <family val="1"/>
      </rPr>
      <t xml:space="preserve"> </t>
    </r>
    <r>
      <rPr>
        <i/>
        <sz val="10"/>
        <color indexed="12"/>
        <rFont val="Times New Roman"/>
        <family val="1"/>
      </rPr>
      <t>Water proof exit light c/w single socket with  3 hours back-up battery</t>
    </r>
  </si>
  <si>
    <r>
      <t xml:space="preserve">Đèn thoát hiểm có ổ cắm đơn , kết hợp pin dự phòng trong 3giờ- chỉ hương rẽ phải
</t>
    </r>
    <r>
      <rPr>
        <i/>
        <sz val="10"/>
        <color indexed="12"/>
        <rFont val="Times New Roman"/>
        <family val="1"/>
      </rPr>
      <t>1x3W led exit light c/w 3 hours back-up battery- turn right</t>
    </r>
  </si>
  <si>
    <r>
      <t xml:space="preserve">Đèn thoát hiểm , kết hợp pin dự phòng trong 3giờ- chỉ hương rẽ trái
</t>
    </r>
    <r>
      <rPr>
        <i/>
        <sz val="10"/>
        <color indexed="12"/>
        <rFont val="Times New Roman"/>
        <family val="1"/>
      </rPr>
      <t>Exit light c/w 3 hours back-up battery- turn left</t>
    </r>
  </si>
  <si>
    <r>
      <t xml:space="preserve">Đèn thoát hiểm  kết hợp pin dự phòng trong 3giờ- chỉ hương rẽ trái và phải
</t>
    </r>
    <r>
      <rPr>
        <i/>
        <sz val="10"/>
        <color indexed="12"/>
        <rFont val="Times New Roman"/>
        <family val="1"/>
      </rPr>
      <t xml:space="preserve"> Exit light c/w 3 hours back-up battery- turn left,right</t>
    </r>
  </si>
  <si>
    <r>
      <t xml:space="preserve">Đèn chiếu sáng khẩn cấp âm trân kèm ổ cắm đơn kết hợp pin dự phòng trong 3 giờ
</t>
    </r>
    <r>
      <rPr>
        <i/>
        <sz val="10"/>
        <color indexed="12"/>
        <rFont val="Times New Roman"/>
        <family val="1"/>
      </rPr>
      <t xml:space="preserve"> Emergency light ceiling recessed type c/wsingle socket with hours back-up battery</t>
    </r>
  </si>
  <si>
    <r>
      <t xml:space="preserve">Đèn led 1x25.5 W,1200mm chống nổ,lắp gắn tường/lắp nổi,IP65
</t>
    </r>
    <r>
      <rPr>
        <i/>
        <sz val="10"/>
        <color indexed="12"/>
        <rFont val="Times New Roman"/>
        <family val="1"/>
      </rPr>
      <t>Led 1x25.5W,1200mm,explosion,wall/surface mounting,IP65</t>
    </r>
  </si>
  <si>
    <r>
      <t xml:space="preserve">Vật tư phụ,phụ kiện...
</t>
    </r>
    <r>
      <rPr>
        <i/>
        <sz val="10"/>
        <color indexed="12"/>
        <rFont val="Times New Roman"/>
        <family val="1"/>
      </rPr>
      <t>Accessories…</t>
    </r>
  </si>
  <si>
    <r>
      <t xml:space="preserve">Công tắc đơn 2 chiều+ mặt nạ+ đế
</t>
    </r>
    <r>
      <rPr>
        <i/>
        <sz val="10"/>
        <color indexed="12"/>
        <rFont val="Times New Roman"/>
        <family val="1"/>
      </rPr>
      <t>1 gang 2 way switch</t>
    </r>
  </si>
  <si>
    <r>
      <t xml:space="preserve">Công tắc đôi 2 chiều + mặt nạ+ đế
</t>
    </r>
    <r>
      <rPr>
        <sz val="10"/>
        <color indexed="12"/>
        <rFont val="Times New Roman"/>
        <family val="1"/>
      </rPr>
      <t>2</t>
    </r>
    <r>
      <rPr>
        <i/>
        <sz val="10"/>
        <color indexed="12"/>
        <rFont val="Times New Roman"/>
        <family val="1"/>
      </rPr>
      <t xml:space="preserve"> gang 2 way switch</t>
    </r>
  </si>
  <si>
    <r>
      <t xml:space="preserve">Ổ cắm đôi 3 chấu 16A +mặt nạ...
</t>
    </r>
    <r>
      <rPr>
        <i/>
        <sz val="10"/>
        <color indexed="12"/>
        <rFont val="Times New Roman"/>
        <family val="1"/>
      </rPr>
      <t>16A 3pin double  socket outlet</t>
    </r>
  </si>
  <si>
    <r>
      <t xml:space="preserve">Ổ cắm đôi 3 chấu 16A, chống thấm,chống bụi,IP55
</t>
    </r>
    <r>
      <rPr>
        <i/>
        <sz val="10"/>
        <color indexed="12"/>
        <rFont val="Times New Roman"/>
        <family val="1"/>
      </rPr>
      <t>16A 3pin,weatherproof double socket outlet with cover,IP5</t>
    </r>
  </si>
  <si>
    <r>
      <t xml:space="preserve">Cầu dao Isolator
</t>
    </r>
    <r>
      <rPr>
        <i/>
        <sz val="10"/>
        <color indexed="12"/>
        <rFont val="Times New Roman"/>
        <family val="1"/>
      </rPr>
      <t>Isolator</t>
    </r>
  </si>
  <si>
    <r>
      <t xml:space="preserve">điểm
</t>
    </r>
    <r>
      <rPr>
        <i/>
        <sz val="10"/>
        <color indexed="12"/>
        <rFont val="Times New Roman"/>
        <family val="1"/>
      </rPr>
      <t>point</t>
    </r>
  </si>
  <si>
    <r>
      <t xml:space="preserve">Cáp  Cu-XLPE/PVC 3Cx16mm²
</t>
    </r>
    <r>
      <rPr>
        <i/>
        <sz val="10"/>
        <color indexed="12"/>
        <rFont val="Times New Roman"/>
        <family val="1"/>
      </rPr>
      <t>3Cx16mm² Cu- XLPE/PVC Cable</t>
    </r>
  </si>
  <si>
    <r>
      <t xml:space="preserve">Cáp  Cu-XLPE/PVC 3Cx4.0mm²
</t>
    </r>
    <r>
      <rPr>
        <i/>
        <sz val="10"/>
        <color indexed="18"/>
        <rFont val="Times New Roman"/>
        <family val="1"/>
      </rPr>
      <t>3Cx4.0mm² Cu- XLPE/PVC Cable</t>
    </r>
  </si>
  <si>
    <r>
      <t xml:space="preserve">Cáp chống cháy  1Cx120mm²
</t>
    </r>
    <r>
      <rPr>
        <i/>
        <sz val="10"/>
        <color indexed="12"/>
        <rFont val="Times New Roman"/>
        <family val="1"/>
      </rPr>
      <t xml:space="preserve">1Cx120mm² FR/Cu Cable </t>
    </r>
  </si>
  <si>
    <r>
      <t xml:space="preserve">Cáp chống cháy  1Cx70mm²
</t>
    </r>
    <r>
      <rPr>
        <i/>
        <sz val="10"/>
        <color indexed="12"/>
        <rFont val="Times New Roman"/>
        <family val="1"/>
      </rPr>
      <t xml:space="preserve">1Cx70mm² FR/Cu Cable </t>
    </r>
  </si>
  <si>
    <r>
      <t xml:space="preserve">Cáp chống cháy  1Cx10mm²
</t>
    </r>
    <r>
      <rPr>
        <i/>
        <sz val="10"/>
        <color indexed="12"/>
        <rFont val="Times New Roman"/>
        <family val="1"/>
      </rPr>
      <t xml:space="preserve">1Cx10mm² FR/Cu Cable </t>
    </r>
  </si>
  <si>
    <r>
      <t xml:space="preserve">Cáp chống cháy  1Cx6.0mm²
</t>
    </r>
    <r>
      <rPr>
        <i/>
        <sz val="10"/>
        <color indexed="12"/>
        <rFont val="Times New Roman"/>
        <family val="1"/>
      </rPr>
      <t xml:space="preserve">1Cx6.0mm² FR/Cu Cable </t>
    </r>
  </si>
  <si>
    <r>
      <t xml:space="preserve">Cáp chống cháy  2Cx2.5mm²
</t>
    </r>
    <r>
      <rPr>
        <i/>
        <sz val="10"/>
        <color indexed="12"/>
        <rFont val="Times New Roman"/>
        <family val="1"/>
      </rPr>
      <t xml:space="preserve">2Cx2.5mm² FR/Cu Cable </t>
    </r>
  </si>
  <si>
    <r>
      <t xml:space="preserve">PE: Cáp Cu/PVC 1Cx95mm²
</t>
    </r>
    <r>
      <rPr>
        <i/>
        <sz val="10"/>
        <color indexed="12"/>
        <rFont val="Times New Roman"/>
        <family val="1"/>
      </rPr>
      <t>PE: 1Cx95mm² Cu/ PVC Cable</t>
    </r>
  </si>
  <si>
    <r>
      <t>Ống PVC Ø 20</t>
    </r>
    <r>
      <rPr>
        <sz val="10"/>
        <color indexed="12"/>
        <rFont val="Times New Roman"/>
        <family val="1"/>
      </rPr>
      <t xml:space="preserve">
</t>
    </r>
    <r>
      <rPr>
        <i/>
        <sz val="10"/>
        <color indexed="12"/>
        <rFont val="Times New Roman"/>
        <family val="1"/>
      </rPr>
      <t>PVC  Pipe Ø 20</t>
    </r>
  </si>
  <si>
    <t>kg</t>
  </si>
  <si>
    <r>
      <t xml:space="preserve">Khay cáp 1000Wx100H
</t>
    </r>
    <r>
      <rPr>
        <i/>
        <sz val="10"/>
        <color indexed="12"/>
        <rFont val="Times New Roman"/>
        <family val="1"/>
      </rPr>
      <t>Cable tray  1000Wx100H</t>
    </r>
  </si>
  <si>
    <r>
      <t xml:space="preserve">Khay cáp 250Wx100H
</t>
    </r>
    <r>
      <rPr>
        <i/>
        <sz val="10"/>
        <color indexed="12"/>
        <rFont val="Times New Roman"/>
        <family val="1"/>
      </rPr>
      <t>Cable tray  250Wx100H</t>
    </r>
  </si>
  <si>
    <r>
      <t>Thang cáp : 800Wx100H</t>
    </r>
    <r>
      <rPr>
        <i/>
        <sz val="10"/>
        <rFont val="Times New Roman"/>
        <family val="1"/>
      </rPr>
      <t xml:space="preserve">
</t>
    </r>
    <r>
      <rPr>
        <i/>
        <sz val="10"/>
        <color indexed="12"/>
        <rFont val="Times New Roman"/>
        <family val="1"/>
      </rPr>
      <t>Cable Ladder 800Wx100H</t>
    </r>
  </si>
  <si>
    <r>
      <t xml:space="preserve">Thang cáp : 700Wx100H
</t>
    </r>
    <r>
      <rPr>
        <i/>
        <sz val="10"/>
        <color indexed="12"/>
        <rFont val="Times New Roman"/>
        <family val="1"/>
      </rPr>
      <t>Cable Ladder 700Wx100H</t>
    </r>
  </si>
  <si>
    <r>
      <t xml:space="preserve">Thang cáp : 400Wx100H
</t>
    </r>
    <r>
      <rPr>
        <i/>
        <sz val="10"/>
        <color indexed="12"/>
        <rFont val="Times New Roman"/>
        <family val="1"/>
      </rPr>
      <t>Cable Ladder 400Wx100H</t>
    </r>
  </si>
  <si>
    <r>
      <t xml:space="preserve">Thang cáp : 100Wx100H
</t>
    </r>
    <r>
      <rPr>
        <i/>
        <sz val="10"/>
        <color indexed="12"/>
        <rFont val="Times New Roman"/>
        <family val="1"/>
      </rPr>
      <t>Cable Ladder 100Wx100H</t>
    </r>
  </si>
  <si>
    <r>
      <t xml:space="preserve">Phụ kiện cho thang máng cáp
</t>
    </r>
    <r>
      <rPr>
        <i/>
        <sz val="10"/>
        <color indexed="12"/>
        <rFont val="Times New Roman"/>
        <family val="1"/>
      </rPr>
      <t>Fitting for cable tray &amp; Cable ladder</t>
    </r>
  </si>
  <si>
    <r>
      <t xml:space="preserve">Tắc kê đạn D10mm
</t>
    </r>
    <r>
      <rPr>
        <i/>
        <sz val="10"/>
        <color indexed="12"/>
        <rFont val="Times New Roman"/>
        <family val="1"/>
      </rPr>
      <t>Expansion bolt (tacke)  D10mm</t>
    </r>
  </si>
  <si>
    <t>Bulong kệ Inox SUS 304 + tán, long đền</t>
  </si>
  <si>
    <r>
      <t xml:space="preserve">Vật liệu chống cháy cho hộp kỹ thuật
</t>
    </r>
    <r>
      <rPr>
        <i/>
        <sz val="10"/>
        <color indexed="12"/>
        <rFont val="Times New Roman"/>
        <family val="1"/>
      </rPr>
      <t>Fire proof material for technical riser</t>
    </r>
  </si>
  <si>
    <r>
      <t xml:space="preserve">Lightning protection system &amp; grounding system
</t>
    </r>
    <r>
      <rPr>
        <b/>
        <i/>
        <sz val="10"/>
        <color indexed="12"/>
        <rFont val="Times New Roman"/>
        <family val="1"/>
      </rPr>
      <t>Hệ thống chống sét &amp; hệ thống nối đất</t>
    </r>
  </si>
  <si>
    <r>
      <t xml:space="preserve">Ống thép không gỉ (Ø34, L=5m)
</t>
    </r>
    <r>
      <rPr>
        <i/>
        <sz val="10"/>
        <color indexed="12"/>
        <rFont val="Times New Roman"/>
        <family val="1"/>
      </rPr>
      <t>Stainless steel mast (Ø34, L=5m</t>
    </r>
    <r>
      <rPr>
        <i/>
        <sz val="10"/>
        <rFont val="Times New Roman"/>
        <family val="1"/>
      </rPr>
      <t>)</t>
    </r>
  </si>
  <si>
    <r>
      <t xml:space="preserve">Cáp Cu/PVC 1Cx16mm²
</t>
    </r>
    <r>
      <rPr>
        <i/>
        <sz val="10"/>
        <color indexed="12"/>
        <rFont val="Times New Roman"/>
        <family val="1"/>
      </rPr>
      <t>1Cx16mm² Cu/ PVC Cable</t>
    </r>
  </si>
  <si>
    <r>
      <t xml:space="preserve">Thanh nối đất chính 500mm*50mm*6mm ( Đặt trong phòng FCC)
</t>
    </r>
    <r>
      <rPr>
        <i/>
        <sz val="10"/>
        <color indexed="12"/>
        <rFont val="Times New Roman"/>
        <family val="1"/>
      </rPr>
      <t>500m*50mm*6mm HDHC Main Copper earth bar ( located at FCC room)</t>
    </r>
  </si>
  <si>
    <r>
      <t xml:space="preserve">Ống PVC Ø 40
</t>
    </r>
    <r>
      <rPr>
        <i/>
        <sz val="10"/>
        <color indexed="18"/>
        <rFont val="Times New Roman"/>
        <family val="1"/>
      </rPr>
      <t>PVC  Pipe Ø 40</t>
    </r>
  </si>
  <si>
    <r>
      <t xml:space="preserve">Hệ thống  dữ liệu,  đồng hồ PoE
</t>
    </r>
    <r>
      <rPr>
        <b/>
        <i/>
        <sz val="10"/>
        <color indexed="12"/>
        <rFont val="Times New Roman"/>
        <family val="1"/>
      </rPr>
      <t xml:space="preserve">Data system , PoE clock system </t>
    </r>
  </si>
  <si>
    <r>
      <t xml:space="preserve">Tủ rack 12U bao gồm :
</t>
    </r>
    <r>
      <rPr>
        <i/>
        <sz val="10"/>
        <color indexed="12"/>
        <rFont val="Times New Roman"/>
        <family val="1"/>
      </rPr>
      <t>Rack panel 12U including</t>
    </r>
  </si>
  <si>
    <r>
      <t xml:space="preserve">Tủ rack 12U-Rack-BF
</t>
    </r>
    <r>
      <rPr>
        <i/>
        <sz val="10"/>
        <color indexed="12"/>
        <rFont val="Times New Roman"/>
        <family val="1"/>
      </rPr>
      <t>Main Rack panel 12U-Rack-BF</t>
    </r>
  </si>
  <si>
    <r>
      <t xml:space="preserve">1x  Switch 48 cổng  RJ45  PoE +4 Ports SFP+ (Data + CCTV+ Poe clock)
</t>
    </r>
    <r>
      <rPr>
        <i/>
        <sz val="10"/>
        <color indexed="12"/>
        <rFont val="Times New Roman"/>
        <family val="1"/>
      </rPr>
      <t>1x Switch 48 ports RJ45  PoE +4 Ports SFP+ (Data + CCTV+ Poe clock)</t>
    </r>
  </si>
  <si>
    <r>
      <t xml:space="preserve">Tủ rack 42U bao gồm :
</t>
    </r>
    <r>
      <rPr>
        <i/>
        <sz val="10"/>
        <color indexed="12"/>
        <rFont val="Times New Roman"/>
        <family val="1"/>
      </rPr>
      <t>Rack panel 42U including</t>
    </r>
  </si>
  <si>
    <r>
      <t xml:space="preserve">Tủ rack  42U-Main ELV
</t>
    </r>
    <r>
      <rPr>
        <i/>
        <sz val="10"/>
        <color indexed="12"/>
        <rFont val="Times New Roman"/>
        <family val="1"/>
      </rPr>
      <t>Main Rack panel 42U</t>
    </r>
  </si>
  <si>
    <r>
      <t xml:space="preserve">1x  Switch 24 cổng SFP+
</t>
    </r>
    <r>
      <rPr>
        <i/>
        <sz val="10"/>
        <color indexed="12"/>
        <rFont val="Times New Roman"/>
        <family val="1"/>
      </rPr>
      <t>1x Switch 24 ports SFP+</t>
    </r>
  </si>
  <si>
    <r>
      <t xml:space="preserve">1x Bộ điều khiển wifi
</t>
    </r>
    <r>
      <rPr>
        <i/>
        <sz val="10"/>
        <color indexed="12"/>
        <rFont val="Times New Roman"/>
        <family val="1"/>
      </rPr>
      <t>1x Wifi-controller</t>
    </r>
  </si>
  <si>
    <t>Switch 16 ports RJ45 +2 ports SFP(CCTV)</t>
  </si>
  <si>
    <t>NVR 32 channel (16 Sata, Raid 5,5xHDD 4TB/1 NVR) (CCTV)</t>
  </si>
  <si>
    <r>
      <t xml:space="preserve">Tủ rack 27U bao gồm :
</t>
    </r>
    <r>
      <rPr>
        <i/>
        <sz val="10"/>
        <color indexed="12"/>
        <rFont val="Times New Roman"/>
        <family val="1"/>
      </rPr>
      <t>Rack panel 27U including</t>
    </r>
  </si>
  <si>
    <r>
      <t xml:space="preserve">Tủ rack 27U-Rack-GF
</t>
    </r>
    <r>
      <rPr>
        <i/>
        <sz val="10"/>
        <color indexed="12"/>
        <rFont val="Times New Roman"/>
        <family val="1"/>
      </rPr>
      <t>Main Rack panel 27U-Rack-GF</t>
    </r>
  </si>
  <si>
    <r>
      <t xml:space="preserve">Switch 48 cổng  RJ45  PoE+2 Ports SFP ( CCTV+ Poe clock)
</t>
    </r>
    <r>
      <rPr>
        <i/>
        <sz val="10"/>
        <color indexed="12"/>
        <rFont val="Times New Roman"/>
        <family val="1"/>
      </rPr>
      <t>Switch 48 ports RJ45 PoE +2 Ports SFP (CCTV+ Poe clock)</t>
    </r>
  </si>
  <si>
    <r>
      <t xml:space="preserve"> Bảng cắm 48 ports
</t>
    </r>
    <r>
      <rPr>
        <i/>
        <sz val="10"/>
        <color indexed="12"/>
        <rFont val="Times New Roman"/>
        <family val="1"/>
      </rPr>
      <t xml:space="preserve"> Patch panel 48 ports</t>
    </r>
  </si>
  <si>
    <r>
      <t xml:space="preserve">Tủ rack 36U- Rack-2F
</t>
    </r>
    <r>
      <rPr>
        <i/>
        <sz val="10"/>
        <color indexed="12"/>
        <rFont val="Times New Roman"/>
        <family val="1"/>
      </rPr>
      <t>Main Rack panel 36U</t>
    </r>
  </si>
  <si>
    <r>
      <t xml:space="preserve">Tủ rack 27U-Rack-3F
</t>
    </r>
    <r>
      <rPr>
        <i/>
        <sz val="10"/>
        <color indexed="12"/>
        <rFont val="Times New Roman"/>
        <family val="1"/>
      </rPr>
      <t>Main Rack panel 27U-Rack-3F</t>
    </r>
  </si>
  <si>
    <r>
      <t xml:space="preserve">Tủ rack 27U-Rack-GF+Rack-3F
</t>
    </r>
    <r>
      <rPr>
        <i/>
        <sz val="10"/>
        <color indexed="12"/>
        <rFont val="Times New Roman"/>
        <family val="1"/>
      </rPr>
      <t>Main Rack panel 27U-Rack-GF+ Rack-3F</t>
    </r>
  </si>
  <si>
    <r>
      <t xml:space="preserve">Tủ rack 27U-Rack-4F
</t>
    </r>
    <r>
      <rPr>
        <i/>
        <sz val="10"/>
        <color indexed="12"/>
        <rFont val="Times New Roman"/>
        <family val="1"/>
      </rPr>
      <t>Main Rack panel 27U-Rack-4F</t>
    </r>
  </si>
  <si>
    <r>
      <rPr>
        <sz val="10"/>
        <color rgb="FF000000"/>
        <rFont val="Times New Roman"/>
      </rPr>
      <t xml:space="preserve">Switch 48 cổng  RJ45  PoE+4 Ports SFP+ (Data)
</t>
    </r>
    <r>
      <rPr>
        <i/>
        <sz val="10"/>
        <color rgb="FF0000FF"/>
        <rFont val="Times New Roman"/>
      </rPr>
      <t xml:space="preserve"> Switch 48 ports RJ45 PoE +4 Ports SFP+ (Data)</t>
    </r>
  </si>
  <si>
    <r>
      <t xml:space="preserve">Bộ phát Wifi Cisco meraki MR36
</t>
    </r>
    <r>
      <rPr>
        <i/>
        <sz val="10"/>
        <color rgb="FFFF0000"/>
        <rFont val="Times New Roman"/>
        <family val="1"/>
      </rPr>
      <t>Wifi ( Cisco meraki MR36)</t>
    </r>
  </si>
  <si>
    <r>
      <t xml:space="preserve">Bộ phát Wifi Cisco meraki MR56
</t>
    </r>
    <r>
      <rPr>
        <i/>
        <sz val="10"/>
        <color indexed="12"/>
        <rFont val="Times New Roman"/>
        <family val="1"/>
      </rPr>
      <t>Wifi ( Cisco meraki MR56</t>
    </r>
  </si>
  <si>
    <r>
      <t xml:space="preserve">Bộ phát Wifi Cisco meraki MR86
</t>
    </r>
    <r>
      <rPr>
        <i/>
        <sz val="10"/>
        <color indexed="12"/>
        <rFont val="Times New Roman"/>
        <family val="1"/>
      </rPr>
      <t>Wifi ( Cisco meraki MR86</t>
    </r>
  </si>
  <si>
    <r>
      <t xml:space="preserve">Bộ phát/thu wifi cho Camera thang máy
</t>
    </r>
    <r>
      <rPr>
        <i/>
        <sz val="10"/>
        <color indexed="12"/>
        <rFont val="Times New Roman"/>
        <family val="1"/>
      </rPr>
      <t>Wifi transceive/receive for lift cam</t>
    </r>
    <r>
      <rPr>
        <i/>
        <sz val="10"/>
        <rFont val="Times New Roman"/>
        <family val="1"/>
      </rPr>
      <t>era</t>
    </r>
  </si>
  <si>
    <r>
      <t xml:space="preserve">Đồng hồ IP POE
</t>
    </r>
    <r>
      <rPr>
        <i/>
        <sz val="10"/>
        <color rgb="FFFF0000"/>
        <rFont val="Times New Roman"/>
        <family val="1"/>
      </rPr>
      <t xml:space="preserve"> IP POE clocks</t>
    </r>
  </si>
  <si>
    <r>
      <t xml:space="preserve">Máy vi tính Core i7 + màn hình  + software bản quyền cho ht Poe clock
</t>
    </r>
    <r>
      <rPr>
        <i/>
        <sz val="10"/>
        <color indexed="12"/>
        <rFont val="Times New Roman"/>
        <family val="1"/>
      </rPr>
      <t>Computer Core i7 + copy right software:  for PoE Clock</t>
    </r>
  </si>
  <si>
    <r>
      <t xml:space="preserve">Hộp đấu nối
</t>
    </r>
    <r>
      <rPr>
        <i/>
        <sz val="10"/>
        <color indexed="12"/>
        <rFont val="Times New Roman"/>
        <family val="1"/>
      </rPr>
      <t>Box</t>
    </r>
  </si>
  <si>
    <r>
      <t>Phụ kiện và vật tư phụ</t>
    </r>
    <r>
      <rPr>
        <i/>
        <sz val="10"/>
        <rFont val="Times New Roman"/>
        <family val="1"/>
      </rPr>
      <t xml:space="preserve">
</t>
    </r>
    <r>
      <rPr>
        <i/>
        <sz val="10"/>
        <color indexed="12"/>
        <rFont val="Times New Roman"/>
        <family val="1"/>
      </rPr>
      <t>Supplies and Accessories….</t>
    </r>
  </si>
  <si>
    <r>
      <t>Hệ thống camera</t>
    </r>
    <r>
      <rPr>
        <b/>
        <i/>
        <sz val="10"/>
        <color indexed="12"/>
        <rFont val="Times New Roman"/>
        <family val="1"/>
      </rPr>
      <t xml:space="preserve">
Camera system</t>
    </r>
  </si>
  <si>
    <t>360˚ FISHEYE IP camera, 6 MP, 1/1.8" 6M CMOS, IR 15m, LENS 1.6mm ,IP66, IK10,  PoE, ceiling mount +Hanging Mount</t>
  </si>
  <si>
    <t>BULLET IP camera, 6 MP, 1/2.8" CMOS, IR 40m, LENS 2.8~8.4mm  motorized varifocal, IP66, IK10,  PoE +</t>
  </si>
  <si>
    <t>PANORAMIC 180˚ IP camera, 15 MP, 1/2.8" CMOSx4, DAY/NIGHT 4 LENS 4.0mm ,IP66, IK10,  PoE, wall mount</t>
  </si>
  <si>
    <r>
      <t xml:space="preserve">Camera cho thang máy ( bao gồm bộ thu phát Wifi)
</t>
    </r>
    <r>
      <rPr>
        <i/>
        <sz val="10"/>
        <color indexed="12"/>
        <rFont val="Times New Roman"/>
        <family val="1"/>
      </rPr>
      <t>Camera for Lift decoder c/w wifi transceive/receive for lift camera</t>
    </r>
  </si>
  <si>
    <r>
      <t>Đầu ghi hình  NVR 32 kênh  loại 16SATA, RAID 5, bao gồm :5xHDD 4TB /1 NVR</t>
    </r>
    <r>
      <rPr>
        <sz val="10"/>
        <color indexed="12"/>
        <rFont val="Times New Roman"/>
        <family val="1"/>
      </rPr>
      <t xml:space="preserve">
</t>
    </r>
    <r>
      <rPr>
        <i/>
        <sz val="10"/>
        <color indexed="12"/>
        <rFont val="Times New Roman"/>
        <family val="1"/>
      </rPr>
      <t>NVR 32 chanel- 16SATA,RAID 5,c/w 5xHDD 4TB/1 NVR</t>
    </r>
  </si>
  <si>
    <r>
      <t xml:space="preserve">Máy vi tính Core i7 + màn hình  + software bản quyền...
</t>
    </r>
    <r>
      <rPr>
        <i/>
        <sz val="10"/>
        <color indexed="12"/>
        <rFont val="Times New Roman"/>
        <family val="1"/>
      </rPr>
      <t>Computer Core i7 + copy right software….</t>
    </r>
  </si>
  <si>
    <r>
      <t xml:space="preserve">Thiết bị hệ thống nghe nhìn khu thể thao, phòng tập múa, phòng tập kịch
</t>
    </r>
    <r>
      <rPr>
        <b/>
        <i/>
        <sz val="10"/>
        <color indexed="12"/>
        <rFont val="Times New Roman"/>
        <family val="1"/>
      </rPr>
      <t xml:space="preserve"> A/v system equipment for multi use gymnasium, dancer, black box</t>
    </r>
  </si>
  <si>
    <t>BACK BOX</t>
  </si>
  <si>
    <r>
      <t xml:space="preserve">Hệ thống chiếu sáng
</t>
    </r>
    <r>
      <rPr>
        <i/>
        <sz val="10"/>
        <color indexed="12"/>
        <rFont val="Times New Roman"/>
        <family val="1"/>
      </rPr>
      <t>Blackbox  Lighting system</t>
    </r>
  </si>
  <si>
    <t>200W,LED COLOR: RGBA LED,(FREZNO ZE-2 RGBAL HC)</t>
  </si>
  <si>
    <t>300W,(ECLIPSE 1000RGBAL HC)</t>
  </si>
  <si>
    <t>150W,LED COLOR: RGBALC ,(MOONLITE 150 HEX)</t>
  </si>
  <si>
    <t>205W,PLANO 8X</t>
  </si>
  <si>
    <t>Cáp DXM</t>
  </si>
  <si>
    <r>
      <t xml:space="preserve">Máng cáp  bảo vệ dây cáp điện: 300x100
</t>
    </r>
    <r>
      <rPr>
        <i/>
        <sz val="10"/>
        <color indexed="12"/>
        <rFont val="Times New Roman"/>
        <family val="1"/>
      </rPr>
      <t>Cable trunking for cable protection: 300x100</t>
    </r>
  </si>
  <si>
    <r>
      <t xml:space="preserve">Phụ kiện và vật tư phụ…máng cáp
</t>
    </r>
    <r>
      <rPr>
        <i/>
        <sz val="10"/>
        <color indexed="12"/>
        <rFont val="Times New Roman"/>
        <family val="1"/>
      </rPr>
      <t>Supplies and Accessories…cable tray</t>
    </r>
  </si>
  <si>
    <t>Tủ CP-LT.BB</t>
  </si>
  <si>
    <t>Wall Plate</t>
  </si>
  <si>
    <r>
      <t xml:space="preserve">Bộ điều khiển chiếu sáng FLX S24
</t>
    </r>
    <r>
      <rPr>
        <i/>
        <sz val="10"/>
        <color indexed="12"/>
        <rFont val="Times New Roman"/>
        <family val="1"/>
      </rPr>
      <t>Light controller FLX S24</t>
    </r>
  </si>
  <si>
    <r>
      <t xml:space="preserve">Tủ rack điều khiển chiếu sáng 15U đầy đủ thiết bị điều khiển
</t>
    </r>
    <r>
      <rPr>
        <i/>
        <sz val="10"/>
        <color indexed="12"/>
        <rFont val="Times New Roman"/>
        <family val="1"/>
      </rPr>
      <t>Lighting control rack 15U c/w full equipment for control</t>
    </r>
  </si>
  <si>
    <r>
      <t xml:space="preserve">Hệ thống âm thanh 
</t>
    </r>
    <r>
      <rPr>
        <i/>
        <sz val="10"/>
        <color indexed="12"/>
        <rFont val="Times New Roman"/>
        <family val="1"/>
      </rPr>
      <t>Audio, Microphone System</t>
    </r>
  </si>
  <si>
    <r>
      <t xml:space="preserve">Micro cầm tay không dây 
</t>
    </r>
    <r>
      <rPr>
        <i/>
        <sz val="10"/>
        <color indexed="12"/>
        <rFont val="Times New Roman"/>
        <family val="1"/>
      </rPr>
      <t>Micro wireless system</t>
    </r>
  </si>
  <si>
    <r>
      <t xml:space="preserve">Micro đeo tai
</t>
    </r>
    <r>
      <rPr>
        <i/>
        <sz val="10"/>
        <color indexed="12"/>
        <rFont val="Times New Roman"/>
        <family val="1"/>
      </rPr>
      <t>Ear micro wireless system</t>
    </r>
  </si>
  <si>
    <r>
      <t xml:space="preserve">Micro có dây
</t>
    </r>
    <r>
      <rPr>
        <i/>
        <sz val="10"/>
        <color indexed="12"/>
        <rFont val="Times New Roman"/>
        <family val="1"/>
      </rPr>
      <t>Micro wire system</t>
    </r>
  </si>
  <si>
    <r>
      <t xml:space="preserve">Chân đứng
</t>
    </r>
    <r>
      <rPr>
        <i/>
        <sz val="10"/>
        <color indexed="12"/>
        <rFont val="Times New Roman"/>
        <family val="1"/>
      </rPr>
      <t>Boom type</t>
    </r>
  </si>
  <si>
    <r>
      <t xml:space="preserve">Chân đặt bàn
</t>
    </r>
    <r>
      <rPr>
        <i/>
        <sz val="10"/>
        <color indexed="12"/>
        <rFont val="Times New Roman"/>
        <family val="1"/>
      </rPr>
      <t>Table type</t>
    </r>
  </si>
  <si>
    <r>
      <t xml:space="preserve">Hộp âm sàn
</t>
    </r>
    <r>
      <rPr>
        <i/>
        <sz val="10"/>
        <color indexed="12"/>
        <rFont val="Times New Roman"/>
        <family val="1"/>
      </rPr>
      <t>Mic jack box on floor</t>
    </r>
  </si>
  <si>
    <t xml:space="preserve">Control tablet </t>
  </si>
  <si>
    <t>Ipad air</t>
  </si>
  <si>
    <t>Wifi</t>
  </si>
  <si>
    <r>
      <t xml:space="preserve">Bộ nhận micro không dây
</t>
    </r>
    <r>
      <rPr>
        <i/>
        <sz val="10"/>
        <color indexed="12"/>
        <rFont val="Times New Roman"/>
        <family val="1"/>
      </rPr>
      <t>Micro receiver</t>
    </r>
  </si>
  <si>
    <r>
      <t xml:space="preserve">Mixer ký thuật số
</t>
    </r>
    <r>
      <rPr>
        <i/>
        <sz val="10"/>
        <color indexed="12"/>
        <rFont val="Times New Roman"/>
        <family val="1"/>
      </rPr>
      <t>Digital mixer</t>
    </r>
  </si>
  <si>
    <r>
      <t xml:space="preserve">Âm ly công suất
</t>
    </r>
    <r>
      <rPr>
        <i/>
        <sz val="10"/>
        <color indexed="12"/>
        <rFont val="Times New Roman"/>
        <family val="1"/>
      </rPr>
      <t>2 channel DSP amplifier</t>
    </r>
  </si>
  <si>
    <r>
      <t xml:space="preserve">Loa toàn dải 2 đường tiếng 1000W
</t>
    </r>
    <r>
      <rPr>
        <i/>
        <sz val="10"/>
        <color indexed="12"/>
        <rFont val="Times New Roman"/>
        <family val="1"/>
      </rPr>
      <t>Main speaker 1000w 2 way, full range</t>
    </r>
  </si>
  <si>
    <r>
      <t xml:space="preserve">Loa siêu trầm 1000W
</t>
    </r>
    <r>
      <rPr>
        <i/>
        <sz val="10"/>
        <color indexed="12"/>
        <rFont val="Times New Roman"/>
        <family val="1"/>
      </rPr>
      <t>Subwoofer speaker,1000W</t>
    </r>
  </si>
  <si>
    <r>
      <t xml:space="preserve">Loa delay 500W
</t>
    </r>
    <r>
      <rPr>
        <i/>
        <sz val="10"/>
        <color indexed="12"/>
        <rFont val="Times New Roman"/>
        <family val="1"/>
      </rPr>
      <t>Delay speaker 500W</t>
    </r>
  </si>
  <si>
    <r>
      <t xml:space="preserve">Loa giám sát sân khấu liền công suất
</t>
    </r>
    <r>
      <rPr>
        <i/>
        <sz val="10"/>
        <color indexed="12"/>
        <rFont val="Times New Roman"/>
        <family val="1"/>
      </rPr>
      <t>Monitor speaker active 900W</t>
    </r>
  </si>
  <si>
    <r>
      <t xml:space="preserve">Cáp loa 1x2x14 AWG
</t>
    </r>
    <r>
      <rPr>
        <i/>
        <sz val="10"/>
        <color indexed="12"/>
        <rFont val="Times New Roman"/>
        <family val="1"/>
      </rPr>
      <t>Audio cable</t>
    </r>
  </si>
  <si>
    <t>Cáp tín hiệu audio: 1x2x22 AWG</t>
  </si>
  <si>
    <r>
      <t xml:space="preserve">Cáp cấp nguồn CV 2x2.5mm
</t>
    </r>
    <r>
      <rPr>
        <i/>
        <sz val="10"/>
        <color indexed="12"/>
        <rFont val="Times New Roman"/>
        <family val="1"/>
      </rPr>
      <t>CV 2x2.5mm</t>
    </r>
  </si>
  <si>
    <r>
      <t xml:space="preserve">Gá bắt bộ thu micro
</t>
    </r>
    <r>
      <rPr>
        <i/>
        <sz val="10"/>
        <color indexed="12"/>
        <rFont val="Times New Roman"/>
        <family val="1"/>
      </rPr>
      <t>Microphone receiver holder</t>
    </r>
  </si>
  <si>
    <r>
      <t xml:space="preserve">Bộ phân phối nguồn
</t>
    </r>
    <r>
      <rPr>
        <i/>
        <sz val="10"/>
        <color indexed="12"/>
        <rFont val="Times New Roman"/>
        <family val="1"/>
      </rPr>
      <t>Power Distributor</t>
    </r>
  </si>
  <si>
    <r>
      <t xml:space="preserve">Tủ rack âm thanh
</t>
    </r>
    <r>
      <rPr>
        <i/>
        <sz val="10"/>
        <color indexed="12"/>
        <rFont val="Times New Roman"/>
        <family val="1"/>
      </rPr>
      <t>Audio equipment rack</t>
    </r>
  </si>
  <si>
    <r>
      <t xml:space="preserve">Hệ thống  ghi hình
</t>
    </r>
    <r>
      <rPr>
        <i/>
        <sz val="10"/>
        <color indexed="12"/>
        <rFont val="Times New Roman"/>
        <family val="1"/>
      </rPr>
      <t>Video recording system</t>
    </r>
  </si>
  <si>
    <t>PTZ camera, sensor  1/2.7", 1080p/60fps 30x optical+16x digital zoom, HD out: 1xHDMI, 1x3G-SDI: BNC type (ceiling pendant mount)</t>
  </si>
  <si>
    <r>
      <t xml:space="preserve">Bàn điều khiển camera
</t>
    </r>
    <r>
      <rPr>
        <i/>
        <sz val="10"/>
        <color indexed="12"/>
        <rFont val="Times New Roman"/>
        <family val="1"/>
      </rPr>
      <t>Camera Control</t>
    </r>
  </si>
  <si>
    <r>
      <t>Màn hình xem trước 19"</t>
    </r>
    <r>
      <rPr>
        <i/>
        <sz val="10"/>
        <rFont val="Times New Roman"/>
        <family val="1"/>
      </rPr>
      <t xml:space="preserve">
</t>
    </r>
    <r>
      <rPr>
        <i/>
        <sz val="10"/>
        <color indexed="12"/>
        <rFont val="Times New Roman"/>
        <family val="1"/>
      </rPr>
      <t>Preview monitor 19 inch</t>
    </r>
  </si>
  <si>
    <r>
      <t xml:space="preserve">Trình ghi hình
</t>
    </r>
    <r>
      <rPr>
        <i/>
        <sz val="10"/>
        <color indexed="12"/>
        <rFont val="Times New Roman"/>
        <family val="1"/>
      </rPr>
      <t>Video recording</t>
    </r>
  </si>
  <si>
    <r>
      <t xml:space="preserve">Bộ trộn hình
</t>
    </r>
    <r>
      <rPr>
        <i/>
        <sz val="10"/>
        <color indexed="12"/>
        <rFont val="Times New Roman"/>
        <family val="1"/>
      </rPr>
      <t>Video switcher</t>
    </r>
  </si>
  <si>
    <r>
      <t xml:space="preserve">Cáp đồng trục RG6
</t>
    </r>
    <r>
      <rPr>
        <i/>
        <sz val="10"/>
        <color indexed="12"/>
        <rFont val="Times New Roman"/>
        <family val="1"/>
      </rPr>
      <t>RG6 cable</t>
    </r>
  </si>
  <si>
    <r>
      <t xml:space="preserve">Cáp điều khiển
</t>
    </r>
    <r>
      <rPr>
        <sz val="10"/>
        <color indexed="12"/>
        <rFont val="Times New Roman"/>
        <family val="1"/>
      </rPr>
      <t>1x2x18 AWG</t>
    </r>
  </si>
  <si>
    <r>
      <t xml:space="preserve">Cáp nguồn CV 2x1.5mm
</t>
    </r>
    <r>
      <rPr>
        <i/>
        <sz val="10"/>
        <color indexed="12"/>
        <rFont val="Times New Roman"/>
        <family val="1"/>
      </rPr>
      <t>CV 2x1.5mm</t>
    </r>
  </si>
  <si>
    <r>
      <t xml:space="preserve">Tủ rack video
</t>
    </r>
    <r>
      <rPr>
        <i/>
        <sz val="10"/>
        <color indexed="12"/>
        <rFont val="Times New Roman"/>
        <family val="1"/>
      </rPr>
      <t>Video recording rack</t>
    </r>
  </si>
  <si>
    <t>Dance studio</t>
  </si>
  <si>
    <r>
      <t xml:space="preserve">Hộp cắm dây gắn tường
</t>
    </r>
    <r>
      <rPr>
        <i/>
        <sz val="10"/>
        <color indexed="12"/>
        <rFont val="Times New Roman"/>
        <family val="1"/>
      </rPr>
      <t>Socket audio on wall</t>
    </r>
  </si>
  <si>
    <r>
      <t xml:space="preserve">Loa toàn dải 350W
</t>
    </r>
    <r>
      <rPr>
        <i/>
        <sz val="10"/>
        <color indexed="12"/>
        <rFont val="Times New Roman"/>
        <family val="1"/>
      </rPr>
      <t>Speaker 350w, 12",full range</t>
    </r>
  </si>
  <si>
    <r>
      <t xml:space="preserve">Loa siêu trầm 400W
</t>
    </r>
    <r>
      <rPr>
        <i/>
        <sz val="10"/>
        <color indexed="12"/>
        <rFont val="Times New Roman"/>
        <family val="1"/>
      </rPr>
      <t>Subwoofer speaker,400W</t>
    </r>
  </si>
  <si>
    <r>
      <t xml:space="preserve">Cáp loa 1x2x14 AWG
</t>
    </r>
    <r>
      <rPr>
        <sz val="10"/>
        <color indexed="12"/>
        <rFont val="Times New Roman"/>
        <family val="1"/>
      </rPr>
      <t>Audio cable</t>
    </r>
  </si>
  <si>
    <r>
      <t xml:space="preserve">CV 2x2.5mm
</t>
    </r>
    <r>
      <rPr>
        <sz val="10"/>
        <color indexed="12"/>
        <rFont val="Times New Roman"/>
        <family val="1"/>
      </rPr>
      <t>Cáp cấp nguồn CV 2x2.5mm</t>
    </r>
  </si>
  <si>
    <t>Gymnasium</t>
  </si>
  <si>
    <r>
      <t xml:space="preserve">Loa toàn dải 400W
</t>
    </r>
    <r>
      <rPr>
        <i/>
        <sz val="10"/>
        <color indexed="12"/>
        <rFont val="Times New Roman"/>
        <family val="1"/>
      </rPr>
      <t>Speaker 400w, 12",full range</t>
    </r>
  </si>
  <si>
    <r>
      <t xml:space="preserve">1x2x20 AWG
</t>
    </r>
    <r>
      <rPr>
        <i/>
        <sz val="10"/>
        <color indexed="12"/>
        <rFont val="Times New Roman"/>
        <family val="1"/>
      </rPr>
      <t>Cáp tín hiệu audio</t>
    </r>
  </si>
  <si>
    <r>
      <t xml:space="preserve">CV 2x2.5mm
</t>
    </r>
    <r>
      <rPr>
        <i/>
        <sz val="10"/>
        <color indexed="12"/>
        <rFont val="Times New Roman"/>
        <family val="1"/>
      </rPr>
      <t>Cáp cấp nguồn CV 2x2.5mm</t>
    </r>
  </si>
  <si>
    <r>
      <t xml:space="preserve">Chuyển đổi HDMI USB3.0
</t>
    </r>
    <r>
      <rPr>
        <i/>
        <sz val="10"/>
        <color indexed="12"/>
        <rFont val="Times New Roman"/>
        <family val="1"/>
      </rPr>
      <t>Video capture</t>
    </r>
  </si>
  <si>
    <r>
      <t xml:space="preserve">Chuyển đổi HDMI Lan
</t>
    </r>
    <r>
      <rPr>
        <i/>
        <sz val="10"/>
        <color indexed="12"/>
        <rFont val="Times New Roman"/>
        <family val="1"/>
      </rPr>
      <t>HDMI -&gt; CAT6</t>
    </r>
  </si>
  <si>
    <r>
      <t xml:space="preserve">Cáp điều khiển
</t>
    </r>
    <r>
      <rPr>
        <i/>
        <sz val="10"/>
        <color indexed="12"/>
        <rFont val="Times New Roman"/>
        <family val="1"/>
      </rPr>
      <t>1x2x18 AWG</t>
    </r>
  </si>
  <si>
    <r>
      <t xml:space="preserve">Cáp nguồn
</t>
    </r>
    <r>
      <rPr>
        <i/>
        <sz val="10"/>
        <color indexed="12"/>
        <rFont val="Times New Roman"/>
        <family val="1"/>
      </rPr>
      <t>CV 2x1.5mm</t>
    </r>
  </si>
  <si>
    <r>
      <t xml:space="preserve">Ống PVC Ø25
</t>
    </r>
    <r>
      <rPr>
        <i/>
        <sz val="10"/>
        <color indexed="12"/>
        <rFont val="Times New Roman"/>
        <family val="1"/>
      </rPr>
      <t>PVC  Pipe Ø25</t>
    </r>
  </si>
  <si>
    <r>
      <t xml:space="preserve">Ống mềm PVC Ø25
</t>
    </r>
    <r>
      <rPr>
        <i/>
        <sz val="10"/>
        <color indexed="12"/>
        <rFont val="Times New Roman"/>
        <family val="1"/>
      </rPr>
      <t>Flexible PVC  Ø25</t>
    </r>
  </si>
  <si>
    <r>
      <t>Phụ kiện và vật tư phụ….</t>
    </r>
    <r>
      <rPr>
        <i/>
        <sz val="10"/>
        <rFont val="Times New Roman"/>
        <family val="1"/>
      </rPr>
      <t xml:space="preserve">
</t>
    </r>
    <r>
      <rPr>
        <i/>
        <sz val="10"/>
        <color indexed="12"/>
        <rFont val="Times New Roman"/>
        <family val="1"/>
      </rPr>
      <t>Supplies and Accessories….</t>
    </r>
  </si>
  <si>
    <r>
      <t>Màn hình LED, kích thước 3840x2080 mm ( hiển thị tỷ số, video hình ảnh) , loại điều khiển không dây + phầm mềm hiển thị tỉ số các trận đấu...</t>
    </r>
    <r>
      <rPr>
        <i/>
        <sz val="10"/>
        <rFont val="Times New Roman"/>
        <family val="1"/>
      </rPr>
      <t xml:space="preserve">
</t>
    </r>
    <r>
      <rPr>
        <i/>
        <sz val="10"/>
        <color indexed="12"/>
        <rFont val="Times New Roman"/>
        <family val="1"/>
      </rPr>
      <t>LED screen, dimension 3840x2080mm ( score board display, video, wireless control), wireless control +the software displays the scores of the matches...</t>
    </r>
  </si>
  <si>
    <r>
      <t xml:space="preserve">Cáp HDMI dài  
</t>
    </r>
    <r>
      <rPr>
        <i/>
        <sz val="10"/>
        <color indexed="12"/>
        <rFont val="Times New Roman"/>
        <family val="1"/>
      </rPr>
      <t>HDMI cable</t>
    </r>
  </si>
  <si>
    <r>
      <t xml:space="preserve">Hệ thống âm thanh thông báo
</t>
    </r>
    <r>
      <rPr>
        <b/>
        <i/>
        <sz val="10"/>
        <color indexed="12"/>
        <rFont val="Times New Roman"/>
        <family val="1"/>
      </rPr>
      <t xml:space="preserve">Public address system </t>
    </r>
  </si>
  <si>
    <r>
      <t xml:space="preserve">Bộ điều khiển trung tâm ma trận
</t>
    </r>
    <r>
      <rPr>
        <i/>
        <sz val="10"/>
        <color indexed="12"/>
        <rFont val="Times New Roman"/>
        <family val="1"/>
      </rPr>
      <t>Audio matrix controler</t>
    </r>
  </si>
  <si>
    <r>
      <t xml:space="preserve">Bộ phát thông báo khẩn
</t>
    </r>
    <r>
      <rPr>
        <i/>
        <sz val="10"/>
        <color indexed="12"/>
        <rFont val="Times New Roman"/>
        <family val="1"/>
      </rPr>
      <t>Emergency panel</t>
    </r>
  </si>
  <si>
    <r>
      <t xml:space="preserve">Bộ điều khiển 16 vùng
</t>
    </r>
    <r>
      <rPr>
        <i/>
        <sz val="10"/>
        <color indexed="12"/>
        <rFont val="Times New Roman"/>
        <family val="1"/>
      </rPr>
      <t>16 zone controler</t>
    </r>
  </si>
  <si>
    <r>
      <t xml:space="preserve">Bộ lưu tập tin khẩn
</t>
    </r>
    <r>
      <rPr>
        <i/>
        <sz val="10"/>
        <color indexed="12"/>
        <rFont val="Times New Roman"/>
        <family val="1"/>
      </rPr>
      <t>Multi voice file</t>
    </r>
  </si>
  <si>
    <r>
      <t xml:space="preserve">Bộ phân phối nguồn AC/DC
</t>
    </r>
    <r>
      <rPr>
        <i/>
        <sz val="10"/>
        <color indexed="12"/>
        <rFont val="Times New Roman"/>
        <family val="1"/>
      </rPr>
      <t>AC/DC power distributor</t>
    </r>
  </si>
  <si>
    <r>
      <t xml:space="preserve">Bộ phát bản tin tự động từ xa
</t>
    </r>
    <r>
      <rPr>
        <i/>
        <sz val="10"/>
        <color indexed="12"/>
        <rFont val="Times New Roman"/>
        <family val="1"/>
      </rPr>
      <t>Automated remote messaging</t>
    </r>
  </si>
  <si>
    <r>
      <t xml:space="preserve">Loa 2 way 30W, gắn âm trần
</t>
    </r>
    <r>
      <rPr>
        <i/>
        <sz val="10"/>
        <color indexed="12"/>
        <rFont val="Times New Roman"/>
        <family val="1"/>
      </rPr>
      <t>2 way 30W speaker ,recessed celing mounted</t>
    </r>
  </si>
  <si>
    <r>
      <t xml:space="preserve">Loa 2 way 30W, gắn nổi
</t>
    </r>
    <r>
      <rPr>
        <i/>
        <sz val="10"/>
        <color indexed="12"/>
        <rFont val="Times New Roman"/>
        <family val="1"/>
      </rPr>
      <t>2 way 30W speaker , surface celing mounted</t>
    </r>
  </si>
  <si>
    <r>
      <t xml:space="preserve">Loa gắn tường 5w
</t>
    </r>
    <r>
      <rPr>
        <sz val="10"/>
        <color indexed="12"/>
        <rFont val="Times New Roman"/>
        <family val="1"/>
      </rPr>
      <t>5W</t>
    </r>
    <r>
      <rPr>
        <i/>
        <sz val="10"/>
        <color indexed="12"/>
        <rFont val="Times New Roman"/>
        <family val="1"/>
      </rPr>
      <t xml:space="preserve"> wall mounted</t>
    </r>
  </si>
  <si>
    <r>
      <t xml:space="preserve">Loa gắn tường  2 way 30W
</t>
    </r>
    <r>
      <rPr>
        <i/>
        <sz val="10"/>
        <color indexed="12"/>
        <rFont val="Times New Roman"/>
        <family val="1"/>
      </rPr>
      <t>30W 6" full range 2-way wall speaker</t>
    </r>
  </si>
  <si>
    <r>
      <t xml:space="preserve">Loa còi 20W gắn tường
</t>
    </r>
    <r>
      <rPr>
        <i/>
        <sz val="10"/>
        <color indexed="12"/>
        <rFont val="Times New Roman"/>
        <family val="1"/>
      </rPr>
      <t>20W paging horn speaker</t>
    </r>
  </si>
  <si>
    <r>
      <t xml:space="preserve">Cáp UTP CAT6A 
</t>
    </r>
    <r>
      <rPr>
        <i/>
        <sz val="10"/>
        <color indexed="12"/>
        <rFont val="Times New Roman"/>
        <family val="1"/>
      </rPr>
      <t xml:space="preserve">CAT6A 4 pair UTP Cable </t>
    </r>
  </si>
  <si>
    <r>
      <t xml:space="preserve"> Tủ rack 42U
</t>
    </r>
    <r>
      <rPr>
        <i/>
        <sz val="10"/>
        <color indexed="12"/>
        <rFont val="Times New Roman"/>
        <family val="1"/>
      </rPr>
      <t xml:space="preserve"> Cabinet 42U</t>
    </r>
  </si>
  <si>
    <r>
      <t xml:space="preserve">Security
</t>
    </r>
    <r>
      <rPr>
        <b/>
        <i/>
        <sz val="10"/>
        <color indexed="12"/>
        <rFont val="Times New Roman"/>
        <family val="1"/>
      </rPr>
      <t xml:space="preserve">Phòng bảo vệ </t>
    </r>
  </si>
  <si>
    <r>
      <t xml:space="preserve">Bàn gọi chọn vùng IP
</t>
    </r>
    <r>
      <rPr>
        <i/>
        <sz val="10"/>
        <color indexed="12"/>
        <rFont val="Times New Roman"/>
        <family val="1"/>
      </rPr>
      <t>Network paging remote mic</t>
    </r>
  </si>
  <si>
    <r>
      <t xml:space="preserve">Các lớp học 
</t>
    </r>
    <r>
      <rPr>
        <b/>
        <i/>
        <sz val="10"/>
        <color rgb="FFFF0000"/>
        <rFont val="Times New Roman"/>
        <family val="1"/>
      </rPr>
      <t>Class room</t>
    </r>
  </si>
  <si>
    <r>
      <t xml:space="preserve"> Amply kèm bộ trộn  60W
</t>
    </r>
    <r>
      <rPr>
        <i/>
        <sz val="10"/>
        <color indexed="12"/>
        <rFont val="Times New Roman"/>
        <family val="1"/>
      </rPr>
      <t>60W compactmoxing Amplifier</t>
    </r>
  </si>
  <si>
    <r>
      <t xml:space="preserve"> Amply kèm bộ trộn  120W
</t>
    </r>
    <r>
      <rPr>
        <sz val="10"/>
        <color indexed="12"/>
        <rFont val="Times New Roman"/>
        <family val="1"/>
      </rPr>
      <t>120</t>
    </r>
    <r>
      <rPr>
        <i/>
        <sz val="10"/>
        <color indexed="12"/>
        <rFont val="Times New Roman"/>
        <family val="1"/>
      </rPr>
      <t>W compactmoxing Amplifier</t>
    </r>
  </si>
  <si>
    <r>
      <t xml:space="preserve"> Amply kèm bộ trộn  240W
</t>
    </r>
    <r>
      <rPr>
        <sz val="10"/>
        <color indexed="12"/>
        <rFont val="Times New Roman"/>
        <family val="1"/>
      </rPr>
      <t>240</t>
    </r>
    <r>
      <rPr>
        <i/>
        <sz val="10"/>
        <color indexed="12"/>
        <rFont val="Times New Roman"/>
        <family val="1"/>
      </rPr>
      <t>W compactmoxing Amplifier</t>
    </r>
  </si>
  <si>
    <r>
      <t xml:space="preserve">Loa 2 way ,30W gắn âm trần
</t>
    </r>
    <r>
      <rPr>
        <i/>
        <sz val="10"/>
        <color indexed="12"/>
        <rFont val="Calibri"/>
        <family val="2"/>
      </rPr>
      <t>2 way ,30W speaker,recessed ceiling mounted</t>
    </r>
  </si>
  <si>
    <r>
      <t xml:space="preserve">Loa 2 way,30W gắn nổi
</t>
    </r>
    <r>
      <rPr>
        <i/>
        <sz val="10"/>
        <color indexed="12"/>
        <rFont val="Calibri"/>
        <family val="2"/>
      </rPr>
      <t>2 way,30W speaker, surface ceiling miunted</t>
    </r>
  </si>
  <si>
    <r>
      <t xml:space="preserve">Atlona AT-OME-SR21 2x1 AV Switcher and Receiver with Scaler and USB / </t>
    </r>
    <r>
      <rPr>
        <i/>
        <sz val="10"/>
        <rFont val="Calibri"/>
        <family val="2"/>
      </rPr>
      <t>HDBaseT and HDMI Inputs</t>
    </r>
  </si>
  <si>
    <r>
      <t xml:space="preserve">Trình chiếu không dây
</t>
    </r>
    <r>
      <rPr>
        <i/>
        <sz val="10"/>
        <color indexed="12"/>
        <rFont val="Calibri"/>
        <family val="2"/>
      </rPr>
      <t>Wireless presentation</t>
    </r>
  </si>
  <si>
    <r>
      <t xml:space="preserve">Cáp HDMI dài  10m…
</t>
    </r>
    <r>
      <rPr>
        <i/>
        <sz val="10"/>
        <color indexed="12"/>
        <rFont val="Times New Roman"/>
        <family val="1"/>
      </rPr>
      <t>HDMI cable length10m..</t>
    </r>
  </si>
  <si>
    <r>
      <t xml:space="preserve">sợi
</t>
    </r>
    <r>
      <rPr>
        <i/>
        <sz val="10"/>
        <color indexed="12"/>
        <rFont val="Times New Roman"/>
        <family val="1"/>
      </rPr>
      <t>yarns</t>
    </r>
  </si>
  <si>
    <r>
      <t xml:space="preserve">Hệ thống giám sát nhiệt độ, độ ẩm và rò rỉ chất lỏng
</t>
    </r>
    <r>
      <rPr>
        <b/>
        <i/>
        <sz val="10"/>
        <color indexed="12"/>
        <rFont val="Times New Roman"/>
        <family val="1"/>
      </rPr>
      <t>Monitoring system for temperature, humidity and liquid leakage</t>
    </r>
  </si>
  <si>
    <r>
      <t xml:space="preserve">Cáp 2Cx1.5mm2 Cu?PVC/PVC
</t>
    </r>
    <r>
      <rPr>
        <i/>
        <sz val="10"/>
        <color indexed="12"/>
        <rFont val="Times New Roman"/>
        <family val="1"/>
      </rPr>
      <t>Cable 2Cx1.5mm2 Cu?PVC/PVC</t>
    </r>
  </si>
  <si>
    <t>c.6</t>
  </si>
  <si>
    <r>
      <t xml:space="preserve">Máng cáp 500Wx100H
</t>
    </r>
    <r>
      <rPr>
        <i/>
        <sz val="10"/>
        <color indexed="12"/>
        <rFont val="Times New Roman"/>
        <family val="1"/>
      </rPr>
      <t>Trunking 500Wx100H</t>
    </r>
  </si>
  <si>
    <r>
      <t xml:space="preserve">Tê 500Wx100H
</t>
    </r>
    <r>
      <rPr>
        <i/>
        <sz val="10"/>
        <color indexed="12"/>
        <rFont val="Times New Roman"/>
        <family val="1"/>
      </rPr>
      <t>Tee 500Wx100H</t>
    </r>
  </si>
  <si>
    <r>
      <t xml:space="preserve">Co 90° độ 500Wx100H
</t>
    </r>
    <r>
      <rPr>
        <i/>
        <sz val="10"/>
        <color indexed="12"/>
        <rFont val="Times New Roman"/>
        <family val="1"/>
      </rPr>
      <t>Elbow 90° 500Wx100H</t>
    </r>
  </si>
  <si>
    <r>
      <t xml:space="preserve">Giảm 500Wx100H/ 300Wx100H
</t>
    </r>
    <r>
      <rPr>
        <i/>
        <sz val="10"/>
        <color indexed="12"/>
        <rFont val="Times New Roman"/>
        <family val="1"/>
      </rPr>
      <t>Reducer  500Wx100H/ 300Wx100H</t>
    </r>
  </si>
  <si>
    <r>
      <t xml:space="preserve">Giảm 500Wx100H/ 200Wx100H
</t>
    </r>
    <r>
      <rPr>
        <i/>
        <sz val="10"/>
        <color indexed="12"/>
        <rFont val="Times New Roman"/>
        <family val="1"/>
      </rPr>
      <t>Reducer  500Wx100H/ 200Wx100H</t>
    </r>
  </si>
  <si>
    <r>
      <t xml:space="preserve">Giảm 500Wx100H/ 100Wx100H
</t>
    </r>
    <r>
      <rPr>
        <i/>
        <sz val="10"/>
        <color indexed="12"/>
        <rFont val="Times New Roman"/>
        <family val="1"/>
      </rPr>
      <t>Reducer  500Wx100H/ 100Wx100H</t>
    </r>
  </si>
  <si>
    <r>
      <t xml:space="preserve">Máng cáp 400Wx100H
</t>
    </r>
    <r>
      <rPr>
        <i/>
        <sz val="10"/>
        <color indexed="12"/>
        <rFont val="Times New Roman"/>
        <family val="1"/>
      </rPr>
      <t>Trunking 400Wx100H</t>
    </r>
  </si>
  <si>
    <r>
      <t xml:space="preserve">Tê 400Wx100H
</t>
    </r>
    <r>
      <rPr>
        <i/>
        <sz val="10"/>
        <color indexed="12"/>
        <rFont val="Times New Roman"/>
        <family val="1"/>
      </rPr>
      <t>Tee 400Wx100H</t>
    </r>
  </si>
  <si>
    <r>
      <t xml:space="preserve">Co 90° độ 400Wx100H
</t>
    </r>
    <r>
      <rPr>
        <i/>
        <sz val="10"/>
        <color indexed="12"/>
        <rFont val="Times New Roman"/>
        <family val="1"/>
      </rPr>
      <t>Elbow 90° 400Wx100H</t>
    </r>
  </si>
  <si>
    <r>
      <t xml:space="preserve">Giảm 400Wx100H/ 200Wx100H
</t>
    </r>
    <r>
      <rPr>
        <i/>
        <sz val="10"/>
        <color indexed="12"/>
        <rFont val="Times New Roman"/>
        <family val="1"/>
      </rPr>
      <t>Reducer 90° 400Wx100H</t>
    </r>
  </si>
  <si>
    <r>
      <t xml:space="preserve">Tê 100Wx100H
</t>
    </r>
    <r>
      <rPr>
        <i/>
        <sz val="10"/>
        <color indexed="12"/>
        <rFont val="Times New Roman"/>
        <family val="1"/>
      </rPr>
      <t>Tee 100Wx100H</t>
    </r>
  </si>
  <si>
    <r>
      <t xml:space="preserve">Co 90° độ 100Wx100H
</t>
    </r>
    <r>
      <rPr>
        <i/>
        <sz val="10"/>
        <color indexed="12"/>
        <rFont val="Times New Roman"/>
        <family val="1"/>
      </rPr>
      <t>Elbow 90° 100Wx100H</t>
    </r>
  </si>
  <si>
    <r>
      <t xml:space="preserve">Máng cáp 50Wx50H
</t>
    </r>
    <r>
      <rPr>
        <i/>
        <sz val="10"/>
        <color indexed="12"/>
        <rFont val="Times New Roman"/>
        <family val="1"/>
      </rPr>
      <t>Trunking 50Wx50H</t>
    </r>
  </si>
  <si>
    <r>
      <t xml:space="preserve">Co 90° độ 50Wx50H
</t>
    </r>
    <r>
      <rPr>
        <i/>
        <sz val="10"/>
        <color indexed="12"/>
        <rFont val="Times New Roman"/>
        <family val="1"/>
      </rPr>
      <t>Elbow 90° 50Wx50H</t>
    </r>
  </si>
  <si>
    <r>
      <t xml:space="preserve">Các giá đở bằng kim loại cho thang và máng cáp
</t>
    </r>
    <r>
      <rPr>
        <b/>
        <i/>
        <sz val="10"/>
        <color indexed="12"/>
        <rFont val="Times New Roman"/>
        <family val="1"/>
      </rPr>
      <t>Hard metal for cable trunking</t>
    </r>
  </si>
  <si>
    <r>
      <t xml:space="preserve">Khung lưới Inox  bảo vệ các thiết bị điện tử gắn tường P. Gym
</t>
    </r>
    <r>
      <rPr>
        <i/>
        <sz val="10"/>
        <color indexed="12"/>
        <rFont val="Times New Roman"/>
        <family val="1"/>
      </rPr>
      <t xml:space="preserve">Inox frame  guard for  electronic's  equipments in Gymnasium </t>
    </r>
  </si>
  <si>
    <r>
      <t xml:space="preserve">Kiểm tra và vận hành bàn giao
</t>
    </r>
    <r>
      <rPr>
        <i/>
        <sz val="10"/>
        <color indexed="12"/>
        <rFont val="Times New Roman"/>
        <family val="1"/>
      </rPr>
      <t xml:space="preserve">Testing and commissioning &amp; handover.  </t>
    </r>
  </si>
  <si>
    <r>
      <t xml:space="preserve">Hệ thống cấp nước
</t>
    </r>
    <r>
      <rPr>
        <b/>
        <i/>
        <sz val="10"/>
        <color indexed="12"/>
        <rFont val="Times New Roman"/>
        <family val="1"/>
      </rPr>
      <t xml:space="preserve">Water supply system </t>
    </r>
  </si>
  <si>
    <r>
      <t xml:space="preserve">Ống HDPE DN80-PN10
</t>
    </r>
    <r>
      <rPr>
        <i/>
        <sz val="10"/>
        <color indexed="12"/>
        <rFont val="Times New Roman"/>
        <family val="1"/>
      </rPr>
      <t>HDPE Pipe DN80-PN10</t>
    </r>
  </si>
  <si>
    <r>
      <t xml:space="preserve">Ống  PP-R  DN80-PN10
</t>
    </r>
    <r>
      <rPr>
        <i/>
        <sz val="10"/>
        <color indexed="12"/>
        <rFont val="Times New Roman"/>
        <family val="1"/>
      </rPr>
      <t>PP-R Pipe DN80-PN10</t>
    </r>
  </si>
  <si>
    <r>
      <t xml:space="preserve">Ống  PP-R  DN65-PN10
</t>
    </r>
    <r>
      <rPr>
        <i/>
        <sz val="10"/>
        <color indexed="12"/>
        <rFont val="Times New Roman"/>
        <family val="1"/>
      </rPr>
      <t>PP-R Pipe DN65-PN10</t>
    </r>
  </si>
  <si>
    <r>
      <t xml:space="preserve">Ống  PP-R  DN50-PN10
</t>
    </r>
    <r>
      <rPr>
        <i/>
        <sz val="10"/>
        <color indexed="12"/>
        <rFont val="Times New Roman"/>
        <family val="1"/>
      </rPr>
      <t>PP-R Pipe DN50-PN10</t>
    </r>
  </si>
  <si>
    <r>
      <t xml:space="preserve">Ống  PP-R  DN40-PN10
</t>
    </r>
    <r>
      <rPr>
        <i/>
        <sz val="10"/>
        <color indexed="12"/>
        <rFont val="Times New Roman"/>
        <family val="1"/>
      </rPr>
      <t>PP-R Pipe DN40-PN10</t>
    </r>
  </si>
  <si>
    <r>
      <t xml:space="preserve">Ống  PP-R  DN32-PN10
</t>
    </r>
    <r>
      <rPr>
        <i/>
        <sz val="10"/>
        <color indexed="12"/>
        <rFont val="Times New Roman"/>
        <family val="1"/>
      </rPr>
      <t>PP-R Pipe DN32-PN10</t>
    </r>
  </si>
  <si>
    <r>
      <t xml:space="preserve">Ống  PP-R  DN25-PN10
</t>
    </r>
    <r>
      <rPr>
        <i/>
        <sz val="10"/>
        <color indexed="12"/>
        <rFont val="Times New Roman"/>
        <family val="1"/>
      </rPr>
      <t>PP-R Pipe DN25-PN10</t>
    </r>
  </si>
  <si>
    <r>
      <t xml:space="preserve">Ống  PP-R  DN20-PN10
</t>
    </r>
    <r>
      <rPr>
        <i/>
        <sz val="10"/>
        <color indexed="12"/>
        <rFont val="Times New Roman"/>
        <family val="1"/>
      </rPr>
      <t>PP-R Pipe DN20-PN10</t>
    </r>
  </si>
  <si>
    <r>
      <t xml:space="preserve">Ống  PP-R  DN15-PN10
</t>
    </r>
    <r>
      <rPr>
        <i/>
        <sz val="10"/>
        <color indexed="12"/>
        <rFont val="Times New Roman"/>
        <family val="1"/>
      </rPr>
      <t>PP-R Pipe DN15-PN10</t>
    </r>
  </si>
  <si>
    <t>BV21072022</t>
  </si>
  <si>
    <r>
      <t xml:space="preserve">Van cổng   DN80
</t>
    </r>
    <r>
      <rPr>
        <i/>
        <sz val="10"/>
        <color indexed="12"/>
        <rFont val="Times New Roman"/>
        <family val="1"/>
      </rPr>
      <t>Gate valve  DN80</t>
    </r>
  </si>
  <si>
    <r>
      <t xml:space="preserve">Van cổng   DN65
</t>
    </r>
    <r>
      <rPr>
        <i/>
        <sz val="10"/>
        <color indexed="12"/>
        <rFont val="Times New Roman"/>
        <family val="1"/>
      </rPr>
      <t>Gate valve  DN65</t>
    </r>
  </si>
  <si>
    <r>
      <t xml:space="preserve">Van cổng   DN50
</t>
    </r>
    <r>
      <rPr>
        <i/>
        <sz val="10"/>
        <color indexed="12"/>
        <rFont val="Times New Roman"/>
        <family val="1"/>
      </rPr>
      <t>Gate valve  DN50</t>
    </r>
  </si>
  <si>
    <r>
      <t xml:space="preserve">Van cổng   DN40
</t>
    </r>
    <r>
      <rPr>
        <i/>
        <sz val="10"/>
        <color indexed="12"/>
        <rFont val="Times New Roman"/>
        <family val="1"/>
      </rPr>
      <t>Gate valve  DN40</t>
    </r>
  </si>
  <si>
    <r>
      <t xml:space="preserve">Van cổng   DN32
</t>
    </r>
    <r>
      <rPr>
        <i/>
        <sz val="10"/>
        <color indexed="12"/>
        <rFont val="Times New Roman"/>
        <family val="1"/>
      </rPr>
      <t>Gate valve  DN32</t>
    </r>
  </si>
  <si>
    <r>
      <t xml:space="preserve">Van cổng   DN25
</t>
    </r>
    <r>
      <rPr>
        <i/>
        <sz val="10"/>
        <color indexed="12"/>
        <rFont val="Times New Roman"/>
        <family val="1"/>
      </rPr>
      <t>Gate valve  DN25</t>
    </r>
  </si>
  <si>
    <r>
      <t xml:space="preserve">Van cổng   DN20
</t>
    </r>
    <r>
      <rPr>
        <i/>
        <sz val="10"/>
        <color indexed="12"/>
        <rFont val="Times New Roman"/>
        <family val="1"/>
      </rPr>
      <t>Gate valve  DN20</t>
    </r>
  </si>
  <si>
    <r>
      <t xml:space="preserve">Van cổng   DN15
</t>
    </r>
    <r>
      <rPr>
        <i/>
        <sz val="10"/>
        <color indexed="12"/>
        <rFont val="Times New Roman"/>
        <family val="1"/>
      </rPr>
      <t>Gate valve  DN15</t>
    </r>
  </si>
  <si>
    <r>
      <t xml:space="preserve">Đồng hồ áp lực + syphone + van bi (0-16kg)
</t>
    </r>
    <r>
      <rPr>
        <i/>
        <sz val="10"/>
        <color indexed="12"/>
        <rFont val="Times New Roman"/>
        <family val="1"/>
      </rPr>
      <t>Pressure gauge+syphone+ball valve(0-16kg)</t>
    </r>
  </si>
  <si>
    <r>
      <t xml:space="preserve">Van xã khí tự động
</t>
    </r>
    <r>
      <rPr>
        <i/>
        <sz val="10"/>
        <color indexed="12"/>
        <rFont val="Times New Roman"/>
        <family val="1"/>
      </rPr>
      <t>Automatic air release valve</t>
    </r>
  </si>
  <si>
    <r>
      <t xml:space="preserve">Vòi nước rửa sàn
</t>
    </r>
    <r>
      <rPr>
        <i/>
        <sz val="10"/>
        <color indexed="12"/>
        <rFont val="Times New Roman"/>
        <family val="1"/>
      </rPr>
      <t>Water tap</t>
    </r>
  </si>
  <si>
    <r>
      <t xml:space="preserve">Máy nước nóng 75L
</t>
    </r>
    <r>
      <rPr>
        <i/>
        <sz val="10"/>
        <color indexed="12"/>
        <rFont val="Times New Roman"/>
        <family val="1"/>
      </rPr>
      <t>Water heater 75L</t>
    </r>
  </si>
  <si>
    <r>
      <t xml:space="preserve">Máy nước nóng 20L
</t>
    </r>
    <r>
      <rPr>
        <i/>
        <sz val="10"/>
        <color indexed="12"/>
        <rFont val="Times New Roman"/>
        <family val="1"/>
      </rPr>
      <t>Water heater 20L</t>
    </r>
  </si>
  <si>
    <r>
      <t xml:space="preserve">Van 1 chiều inox DN20
</t>
    </r>
    <r>
      <rPr>
        <i/>
        <sz val="10"/>
        <color indexed="12"/>
        <rFont val="Times New Roman"/>
        <family val="1"/>
      </rPr>
      <t>Inox check valve DN20</t>
    </r>
  </si>
  <si>
    <r>
      <t>Phòng bơm sinh hoạt</t>
    </r>
    <r>
      <rPr>
        <b/>
        <i/>
        <sz val="10"/>
        <rFont val="Times New Roman"/>
        <family val="1"/>
      </rPr>
      <t xml:space="preserve">
</t>
    </r>
    <r>
      <rPr>
        <b/>
        <i/>
        <sz val="10"/>
        <color indexed="12"/>
        <rFont val="Times New Roman"/>
        <family val="1"/>
      </rPr>
      <t>Domestic pump room</t>
    </r>
  </si>
  <si>
    <r>
      <t xml:space="preserve">Bơm tăng áp đa tầng cánh loại khởi động biến tần,   BP-1, BP-2: Q=34m3/h, H =45m
</t>
    </r>
    <r>
      <rPr>
        <i/>
        <sz val="10"/>
        <color indexed="12"/>
        <rFont val="Times New Roman"/>
        <family val="1"/>
      </rPr>
      <t>Booster Pump, type Various frequency:   BP-1, BP-2: Q=34m3/h, H =45m</t>
    </r>
  </si>
  <si>
    <r>
      <t xml:space="preserve">Bình áp lực
</t>
    </r>
    <r>
      <rPr>
        <i/>
        <sz val="10"/>
        <color indexed="12"/>
        <rFont val="Times New Roman"/>
        <family val="1"/>
      </rPr>
      <t xml:space="preserve">Air-pressure tank-500L </t>
    </r>
  </si>
  <si>
    <r>
      <t xml:space="preserve">Điều khiển VSD 3P 11KW
</t>
    </r>
    <r>
      <rPr>
        <i/>
        <sz val="10"/>
        <color indexed="12"/>
        <rFont val="Times New Roman"/>
        <family val="1"/>
      </rPr>
      <t>Control VSD 3P 11KW</t>
    </r>
  </si>
  <si>
    <r>
      <t xml:space="preserve">Biến tần 3P 11KW
</t>
    </r>
    <r>
      <rPr>
        <i/>
        <sz val="10"/>
        <color indexed="12"/>
        <rFont val="Times New Roman"/>
        <family val="1"/>
      </rPr>
      <t>Inverter 3P-11kW</t>
    </r>
  </si>
  <si>
    <r>
      <t xml:space="preserve">Cáp cấp nguồn và điều khiển bơm 
</t>
    </r>
    <r>
      <rPr>
        <i/>
        <sz val="10"/>
        <color indexed="12"/>
        <rFont val="Times New Roman"/>
        <family val="1"/>
      </rPr>
      <t xml:space="preserve">Cable supply power and control pump panel </t>
    </r>
  </si>
  <si>
    <r>
      <t xml:space="preserve">Van cổng inox DN100
</t>
    </r>
    <r>
      <rPr>
        <i/>
        <sz val="10"/>
        <color indexed="12"/>
        <rFont val="Times New Roman"/>
        <family val="1"/>
      </rPr>
      <t>Inox gate valve DN100</t>
    </r>
  </si>
  <si>
    <r>
      <t xml:space="preserve">Van cổng inox DN80
</t>
    </r>
    <r>
      <rPr>
        <sz val="10"/>
        <color indexed="12"/>
        <rFont val="Times New Roman"/>
        <family val="1"/>
      </rPr>
      <t>Inox gate valve DN80</t>
    </r>
  </si>
  <si>
    <r>
      <t xml:space="preserve">Van cổng inox DN65
</t>
    </r>
    <r>
      <rPr>
        <i/>
        <sz val="10"/>
        <color indexed="12"/>
        <rFont val="Times New Roman"/>
        <family val="1"/>
      </rPr>
      <t>Inox gate valve DN65</t>
    </r>
  </si>
  <si>
    <r>
      <t xml:space="preserve">Van cổng inox DN40
</t>
    </r>
    <r>
      <rPr>
        <i/>
        <sz val="10"/>
        <color indexed="12"/>
        <rFont val="Times New Roman"/>
        <family val="1"/>
      </rPr>
      <t>Inox gate valve DN40</t>
    </r>
  </si>
  <si>
    <r>
      <t>Vòi lấy nước</t>
    </r>
    <r>
      <rPr>
        <i/>
        <sz val="10"/>
        <rFont val="Times New Roman"/>
        <family val="1"/>
      </rPr>
      <t xml:space="preserve">
</t>
    </r>
    <r>
      <rPr>
        <i/>
        <sz val="10"/>
        <color indexed="12"/>
        <rFont val="Times New Roman"/>
        <family val="1"/>
      </rPr>
      <t>Water tap</t>
    </r>
  </si>
  <si>
    <r>
      <t xml:space="preserve">Van 1 chiều inox DN65
</t>
    </r>
    <r>
      <rPr>
        <i/>
        <sz val="10"/>
        <color indexed="12"/>
        <rFont val="Times New Roman"/>
        <family val="1"/>
      </rPr>
      <t>Inox check valve DN65</t>
    </r>
  </si>
  <si>
    <r>
      <t xml:space="preserve">Khớp nối mềm inox DN80
</t>
    </r>
    <r>
      <rPr>
        <i/>
        <sz val="10"/>
        <color indexed="12"/>
        <rFont val="Times New Roman"/>
        <family val="1"/>
      </rPr>
      <t>Inox Flexible connector DN80</t>
    </r>
  </si>
  <si>
    <r>
      <t xml:space="preserve">Khớp nối mềm inox DN65
</t>
    </r>
    <r>
      <rPr>
        <i/>
        <sz val="10"/>
        <color indexed="12"/>
        <rFont val="Times New Roman"/>
        <family val="1"/>
      </rPr>
      <t>Inox Flexible connector DN65</t>
    </r>
  </si>
  <si>
    <r>
      <t xml:space="preserve">Y lược inox DN80
</t>
    </r>
    <r>
      <rPr>
        <i/>
        <sz val="10"/>
        <color indexed="12"/>
        <rFont val="Times New Roman"/>
        <family val="1"/>
      </rPr>
      <t>Inox Y Strainer DN80</t>
    </r>
  </si>
  <si>
    <r>
      <t xml:space="preserve">Van phao thủy lực DN 80
</t>
    </r>
    <r>
      <rPr>
        <i/>
        <sz val="10"/>
        <color indexed="12"/>
        <rFont val="Times New Roman"/>
        <family val="1"/>
      </rPr>
      <t>Float control valve DN 80</t>
    </r>
  </si>
  <si>
    <r>
      <t xml:space="preserve">Van chân Inox DN80
</t>
    </r>
    <r>
      <rPr>
        <i/>
        <sz val="10"/>
        <color indexed="12"/>
        <rFont val="Times New Roman"/>
        <family val="1"/>
      </rPr>
      <t>Inox Foot valve DN80</t>
    </r>
  </si>
  <si>
    <r>
      <t xml:space="preserve">Công tắc mực nước
</t>
    </r>
    <r>
      <rPr>
        <i/>
        <sz val="10"/>
        <color indexed="12"/>
        <rFont val="Times New Roman"/>
        <family val="1"/>
      </rPr>
      <t>Switch water lev</t>
    </r>
    <r>
      <rPr>
        <i/>
        <sz val="10"/>
        <rFont val="Times New Roman"/>
        <family val="1"/>
      </rPr>
      <t>el</t>
    </r>
  </si>
  <si>
    <r>
      <t xml:space="preserve">Công tắc áp suất kèm van bi
</t>
    </r>
    <r>
      <rPr>
        <i/>
        <sz val="10"/>
        <color indexed="12"/>
        <rFont val="Times New Roman"/>
        <family val="1"/>
      </rPr>
      <t>Pressure switch c/w ball valve</t>
    </r>
  </si>
  <si>
    <r>
      <t xml:space="preserve">Giá đở cho bơm
</t>
    </r>
    <r>
      <rPr>
        <i/>
        <sz val="10"/>
        <color indexed="12"/>
        <rFont val="Times New Roman"/>
        <family val="1"/>
      </rPr>
      <t xml:space="preserve">Support pump </t>
    </r>
  </si>
  <si>
    <r>
      <t xml:space="preserve">Ống Inox  DN100 dày 6.02mm
</t>
    </r>
    <r>
      <rPr>
        <i/>
        <sz val="10"/>
        <color indexed="12"/>
        <rFont val="Times New Roman"/>
        <family val="1"/>
      </rPr>
      <t xml:space="preserve">Stainless steel pipe DN100 thick 6.02mm </t>
    </r>
  </si>
  <si>
    <r>
      <t xml:space="preserve">Ống Inox  DN40 dày 3.91mm
</t>
    </r>
    <r>
      <rPr>
        <i/>
        <sz val="10"/>
        <color indexed="12"/>
        <rFont val="Times New Roman"/>
        <family val="1"/>
      </rPr>
      <t xml:space="preserve">Stainless steel pipe DN50 thick 3.91mm </t>
    </r>
  </si>
  <si>
    <r>
      <t xml:space="preserve">Phụ kiện ( co, tê, lơi ...)cho ống inox 
</t>
    </r>
    <r>
      <rPr>
        <i/>
        <sz val="10"/>
        <color indexed="12"/>
        <rFont val="Times New Roman"/>
        <family val="1"/>
      </rPr>
      <t xml:space="preserve">Fitting ( elbow, reducer...)  for Inox pipe </t>
    </r>
  </si>
  <si>
    <r>
      <t xml:space="preserve">Ống lồng loại chống thấm DN125
</t>
    </r>
    <r>
      <rPr>
        <i/>
        <sz val="10"/>
        <color indexed="12"/>
        <rFont val="Times New Roman"/>
        <family val="1"/>
      </rPr>
      <t>Water proof sleeves DN125</t>
    </r>
  </si>
  <si>
    <r>
      <t xml:space="preserve">Ống lồng loại chống thấm DN100
</t>
    </r>
    <r>
      <rPr>
        <i/>
        <sz val="10"/>
        <color indexed="12"/>
        <rFont val="Times New Roman"/>
        <family val="1"/>
      </rPr>
      <t>Water proof sleeves DN100</t>
    </r>
  </si>
  <si>
    <r>
      <t>Thiết bị vệ sinh</t>
    </r>
    <r>
      <rPr>
        <b/>
        <i/>
        <sz val="10"/>
        <rFont val="Times New Roman"/>
        <family val="1"/>
      </rPr>
      <t xml:space="preserve">
</t>
    </r>
    <r>
      <rPr>
        <b/>
        <i/>
        <sz val="10"/>
        <color indexed="12"/>
        <rFont val="Times New Roman"/>
        <family val="1"/>
      </rPr>
      <t>Sanitary equipment</t>
    </r>
  </si>
  <si>
    <r>
      <t xml:space="preserve">Thuộc gói xây dựng
</t>
    </r>
    <r>
      <rPr>
        <sz val="10"/>
        <color indexed="12"/>
        <rFont val="Times New Roman"/>
        <family val="1"/>
      </rPr>
      <t>Belong MC package</t>
    </r>
  </si>
  <si>
    <r>
      <t xml:space="preserve">Ống PVC DN200, PN6
</t>
    </r>
    <r>
      <rPr>
        <i/>
        <sz val="10"/>
        <color indexed="12"/>
        <rFont val="Times New Roman"/>
        <family val="1"/>
      </rPr>
      <t>PVC Pipe  DN200, PN6</t>
    </r>
  </si>
  <si>
    <r>
      <t xml:space="preserve">Ống PVC DN150, PN6
</t>
    </r>
    <r>
      <rPr>
        <i/>
        <sz val="10"/>
        <color indexed="12"/>
        <rFont val="Times New Roman"/>
        <family val="1"/>
      </rPr>
      <t>PVC Pipe DN150, PN6</t>
    </r>
  </si>
  <si>
    <r>
      <t xml:space="preserve">Ống PVC DN100, PN6
</t>
    </r>
    <r>
      <rPr>
        <i/>
        <sz val="10"/>
        <color indexed="12"/>
        <rFont val="Times New Roman"/>
        <family val="1"/>
      </rPr>
      <t>PVC Pipe DN100, PN6</t>
    </r>
  </si>
  <si>
    <r>
      <t xml:space="preserve">Ống PVC DN80, PN6
</t>
    </r>
    <r>
      <rPr>
        <i/>
        <sz val="10"/>
        <color indexed="12"/>
        <rFont val="Times New Roman"/>
        <family val="1"/>
      </rPr>
      <t>PVC Pipe DN80, PN6</t>
    </r>
  </si>
  <si>
    <r>
      <t xml:space="preserve">Ống PVC DN65, PN6
</t>
    </r>
    <r>
      <rPr>
        <i/>
        <sz val="10"/>
        <color indexed="12"/>
        <rFont val="Times New Roman"/>
        <family val="1"/>
      </rPr>
      <t>PVC Pipe DN65, PN6</t>
    </r>
  </si>
  <si>
    <r>
      <t xml:space="preserve">Ống PVC DN50, PN6
</t>
    </r>
    <r>
      <rPr>
        <i/>
        <sz val="10"/>
        <color indexed="12"/>
        <rFont val="Times New Roman"/>
        <family val="1"/>
      </rPr>
      <t>PVC Pipe DN50, PN6</t>
    </r>
  </si>
  <si>
    <r>
      <t xml:space="preserve">Ống PVC DN200, PN6 có bọc tiêu âm dày 6mm
</t>
    </r>
    <r>
      <rPr>
        <i/>
        <sz val="10"/>
        <color indexed="12"/>
        <rFont val="Times New Roman"/>
        <family val="1"/>
      </rPr>
      <t>PVC Pipe  DN200, PN6 c/w acoustic insulation thick 6mm</t>
    </r>
  </si>
  <si>
    <r>
      <t xml:space="preserve">Ống PVC DN65, PN6 có bọc tiêu âm dày 6mm
</t>
    </r>
    <r>
      <rPr>
        <i/>
        <sz val="10"/>
        <color indexed="12"/>
        <rFont val="Times New Roman"/>
        <family val="1"/>
      </rPr>
      <t>PVC Pipe  DN65, PN6 c/w acoustic insulation thick 6mm</t>
    </r>
  </si>
  <si>
    <r>
      <t xml:space="preserve">Ống PVC DN50, PN6 có bọc tiêu âm dày 6mm
</t>
    </r>
    <r>
      <rPr>
        <i/>
        <sz val="10"/>
        <color indexed="12"/>
        <rFont val="Times New Roman"/>
        <family val="1"/>
      </rPr>
      <t>PVC Pipe  DN50, PN6 c/w acoustic insulation thick 6mm</t>
    </r>
  </si>
  <si>
    <r>
      <t xml:space="preserve">Nối xuyên sàn PVC
</t>
    </r>
    <r>
      <rPr>
        <i/>
        <sz val="10"/>
        <color indexed="12"/>
        <rFont val="Times New Roman"/>
        <family val="1"/>
      </rPr>
      <t>PVC Slab join (sleeve)</t>
    </r>
  </si>
  <si>
    <r>
      <t xml:space="preserve">Phụ kiện ( co, tê, lơi ...)cho ống uPVC 
</t>
    </r>
    <r>
      <rPr>
        <i/>
        <sz val="10"/>
        <color indexed="12"/>
        <rFont val="Times New Roman"/>
        <family val="1"/>
      </rPr>
      <t xml:space="preserve">Fitting ( elbow, reducer...)  for uPVC pipe </t>
    </r>
  </si>
  <si>
    <r>
      <t xml:space="preserve">PVC Glue
</t>
    </r>
    <r>
      <rPr>
        <i/>
        <sz val="10"/>
        <color indexed="12"/>
        <rFont val="Times New Roman"/>
        <family val="1"/>
      </rPr>
      <t>Keo dán ống PVC</t>
    </r>
  </si>
  <si>
    <r>
      <t xml:space="preserve">Phểu thu mái  DN200
</t>
    </r>
    <r>
      <rPr>
        <i/>
        <sz val="10"/>
        <color indexed="12"/>
        <rFont val="Times New Roman"/>
        <family val="1"/>
      </rPr>
      <t>Rain roof  DN200</t>
    </r>
  </si>
  <si>
    <r>
      <t xml:space="preserve">Phễu thu sàn FD50
</t>
    </r>
    <r>
      <rPr>
        <i/>
        <sz val="10"/>
        <color indexed="12"/>
        <rFont val="Times New Roman"/>
        <family val="1"/>
      </rPr>
      <t>Floor drain FD50</t>
    </r>
  </si>
  <si>
    <r>
      <t xml:space="preserve">Phễu thu sàn FD80
</t>
    </r>
    <r>
      <rPr>
        <i/>
        <sz val="10"/>
        <color indexed="12"/>
        <rFont val="Times New Roman"/>
        <family val="1"/>
      </rPr>
      <t>Floor drain FD80</t>
    </r>
  </si>
  <si>
    <r>
      <t xml:space="preserve">Phễu thu sàn thoát nước ban công FD80
</t>
    </r>
    <r>
      <rPr>
        <i/>
        <sz val="10"/>
        <color indexed="12"/>
        <rFont val="Times New Roman"/>
        <family val="1"/>
      </rPr>
      <t>Floor drain for balcony FD8</t>
    </r>
    <r>
      <rPr>
        <i/>
        <sz val="10"/>
        <rFont val="Times New Roman"/>
        <family val="1"/>
      </rPr>
      <t>0</t>
    </r>
  </si>
  <si>
    <r>
      <t xml:space="preserve">Ty treo, giá đỡ
</t>
    </r>
    <r>
      <rPr>
        <i/>
        <sz val="10"/>
        <color indexed="12"/>
        <rFont val="Times New Roman"/>
        <family val="1"/>
      </rPr>
      <t>Hanger, support material</t>
    </r>
  </si>
  <si>
    <r>
      <t>Bơm chìm nước mưa</t>
    </r>
    <r>
      <rPr>
        <b/>
        <i/>
        <sz val="10"/>
        <rFont val="Times New Roman"/>
        <family val="1"/>
      </rPr>
      <t xml:space="preserve">
</t>
    </r>
    <r>
      <rPr>
        <b/>
        <i/>
        <sz val="10"/>
        <color indexed="12"/>
        <rFont val="Times New Roman"/>
        <family val="1"/>
      </rPr>
      <t>Rain water Pump Submersible</t>
    </r>
  </si>
  <si>
    <r>
      <t xml:space="preserve">Bơm chìm DP-1&amp;2: 9.5l/s @9mH bao gồm  khớp nối, thanh ray trượt và dây xích 
</t>
    </r>
    <r>
      <rPr>
        <i/>
        <sz val="10"/>
        <color indexed="12"/>
        <rFont val="Times New Roman"/>
        <family val="1"/>
      </rPr>
      <t>Pump Submersible DP-1&amp;2: 9.5l/s @9mH: c/w auto coupling and chain</t>
    </r>
  </si>
  <si>
    <r>
      <t xml:space="preserve">Bơm chìm DP-3&amp;4: 5.0l/s @8mH bao gồm  khớp nối, thanh ray trượt và dây xích 
</t>
    </r>
    <r>
      <rPr>
        <i/>
        <sz val="10"/>
        <color indexed="12"/>
        <rFont val="Times New Roman"/>
        <family val="1"/>
      </rPr>
      <t>Pump Submersible DP-3&amp;4: 5.0l/s @8mH  c/w auto coupling and chain</t>
    </r>
  </si>
  <si>
    <r>
      <t xml:space="preserve">Tủ điều khiển CP-B-SP.1
</t>
    </r>
    <r>
      <rPr>
        <i/>
        <sz val="10"/>
        <color indexed="12"/>
        <rFont val="Times New Roman"/>
        <family val="1"/>
      </rPr>
      <t>Control panel( 1 duty,1 stanby) CP-B-SP.1</t>
    </r>
  </si>
  <si>
    <r>
      <t xml:space="preserve">Relay nhiệt 7-10A
</t>
    </r>
    <r>
      <rPr>
        <i/>
        <sz val="10"/>
        <color indexed="12"/>
        <rFont val="Times New Roman"/>
        <family val="1"/>
      </rPr>
      <t>Overload relay 7-10A</t>
    </r>
  </si>
  <si>
    <r>
      <t xml:space="preserve">Mạch điều khiển DOL
</t>
    </r>
    <r>
      <rPr>
        <i/>
        <sz val="10"/>
        <color indexed="12"/>
        <rFont val="Times New Roman"/>
        <family val="1"/>
      </rPr>
      <t>Control circuit DOL</t>
    </r>
  </si>
  <si>
    <r>
      <t xml:space="preserve">Tủ điều khiển CP-B-SP.2
</t>
    </r>
    <r>
      <rPr>
        <i/>
        <sz val="10"/>
        <color indexed="12"/>
        <rFont val="Times New Roman"/>
        <family val="1"/>
      </rPr>
      <t>Control panel( 1 duty,1 stanby) CP-B-SP.2</t>
    </r>
  </si>
  <si>
    <r>
      <t>Van cổng DN100</t>
    </r>
    <r>
      <rPr>
        <i/>
        <sz val="10"/>
        <rFont val="Times New Roman"/>
        <family val="1"/>
      </rPr>
      <t xml:space="preserve">
</t>
    </r>
    <r>
      <rPr>
        <i/>
        <sz val="10"/>
        <color indexed="12"/>
        <rFont val="Times New Roman"/>
        <family val="1"/>
      </rPr>
      <t>Gate valve DN100</t>
    </r>
  </si>
  <si>
    <r>
      <t>Van cổng DN80</t>
    </r>
    <r>
      <rPr>
        <i/>
        <sz val="10"/>
        <rFont val="Times New Roman"/>
        <family val="1"/>
      </rPr>
      <t xml:space="preserve">
</t>
    </r>
    <r>
      <rPr>
        <i/>
        <sz val="10"/>
        <color indexed="12"/>
        <rFont val="Times New Roman"/>
        <family val="1"/>
      </rPr>
      <t>Gate valve DN80</t>
    </r>
  </si>
  <si>
    <r>
      <t xml:space="preserve">Ống HDPE DN80x5.3mm
</t>
    </r>
    <r>
      <rPr>
        <i/>
        <sz val="10"/>
        <color indexed="12"/>
        <rFont val="Times New Roman"/>
        <family val="1"/>
      </rPr>
      <t>HDPE Pipe DN80x5.3mm</t>
    </r>
  </si>
  <si>
    <r>
      <t xml:space="preserve">Phụ kiện ( co, tê, lơi ...)cho ống HDPE 
</t>
    </r>
    <r>
      <rPr>
        <i/>
        <sz val="10"/>
        <color indexed="12"/>
        <rFont val="Times New Roman"/>
        <family val="1"/>
      </rPr>
      <t xml:space="preserve">Fitting ( elbow, reducer...)  for HDPE pipe </t>
    </r>
  </si>
  <si>
    <r>
      <t xml:space="preserve">Ống lồng loại chống thấm
</t>
    </r>
    <r>
      <rPr>
        <i/>
        <sz val="10"/>
        <color indexed="12"/>
        <rFont val="Times New Roman"/>
        <family val="1"/>
      </rPr>
      <t>Water proof sleeves DN100</t>
    </r>
  </si>
  <si>
    <r>
      <t xml:space="preserve">Đào đất và  lấp đất
</t>
    </r>
    <r>
      <rPr>
        <i/>
        <sz val="10"/>
        <color indexed="12"/>
        <rFont val="Times New Roman"/>
        <family val="1"/>
      </rPr>
      <t>Excavating and backflling</t>
    </r>
  </si>
  <si>
    <r>
      <t>Hệ thống thoát nước thải</t>
    </r>
    <r>
      <rPr>
        <b/>
        <i/>
        <sz val="10"/>
        <rFont val="Times New Roman"/>
        <family val="1"/>
      </rPr>
      <t xml:space="preserve">
</t>
    </r>
    <r>
      <rPr>
        <b/>
        <i/>
        <sz val="10"/>
        <color indexed="12"/>
        <rFont val="Times New Roman"/>
        <family val="1"/>
      </rPr>
      <t>Sewerage system</t>
    </r>
  </si>
  <si>
    <r>
      <t xml:space="preserve">Ống và phụ kiện dùng cho ống PVC
</t>
    </r>
    <r>
      <rPr>
        <i/>
        <sz val="10"/>
        <color indexed="12"/>
        <rFont val="Times New Roman"/>
        <family val="1"/>
      </rPr>
      <t>Pipe and using PVC material.</t>
    </r>
  </si>
  <si>
    <r>
      <t xml:space="preserve">Ống PVC DN200, PN6
</t>
    </r>
    <r>
      <rPr>
        <i/>
        <sz val="10"/>
        <color indexed="12"/>
        <rFont val="Times New Roman"/>
        <family val="1"/>
      </rPr>
      <t>PVC Pipe DN200, PN6</t>
    </r>
  </si>
  <si>
    <r>
      <t xml:space="preserve">Ống PVC DN40, PN6
</t>
    </r>
    <r>
      <rPr>
        <i/>
        <sz val="10"/>
        <color indexed="12"/>
        <rFont val="Times New Roman"/>
        <family val="1"/>
      </rPr>
      <t>PVC Pipe DN40, PN</t>
    </r>
    <r>
      <rPr>
        <i/>
        <sz val="10"/>
        <rFont val="Times New Roman"/>
        <family val="1"/>
      </rPr>
      <t>6</t>
    </r>
  </si>
  <si>
    <r>
      <t xml:space="preserve">Ống PVC DN32, PN6
</t>
    </r>
    <r>
      <rPr>
        <i/>
        <sz val="10"/>
        <color indexed="12"/>
        <rFont val="Times New Roman"/>
        <family val="1"/>
      </rPr>
      <t>PVC Pipe DN32, PN6</t>
    </r>
  </si>
  <si>
    <r>
      <t xml:space="preserve">Ống PVC DN25, PN6
</t>
    </r>
    <r>
      <rPr>
        <i/>
        <sz val="10"/>
        <color indexed="18"/>
        <rFont val="Times New Roman"/>
        <family val="1"/>
      </rPr>
      <t>PVC Pipe DN25, PN6</t>
    </r>
  </si>
  <si>
    <r>
      <t xml:space="preserve">Ống PVC DN80, PN6 có bọc tiêu âm dày 6mm
</t>
    </r>
    <r>
      <rPr>
        <i/>
        <sz val="10"/>
        <color indexed="12"/>
        <rFont val="Times New Roman"/>
        <family val="1"/>
      </rPr>
      <t>PVC Pipe DN80, PN6 c/w acoustic insulation thick 6mm</t>
    </r>
  </si>
  <si>
    <r>
      <t xml:space="preserve">Ống PVC DN50, PN6 có bọc tiêu âm dày 6mm
</t>
    </r>
    <r>
      <rPr>
        <i/>
        <sz val="10"/>
        <color indexed="12"/>
        <rFont val="Times New Roman"/>
        <family val="1"/>
      </rPr>
      <t>PVC Pipe DN50, PN6 c/w acoustic insulation thick 6mm</t>
    </r>
  </si>
  <si>
    <r>
      <t>Ống PVC DN32, PN6 có bọc tiêu âm dày 6mm</t>
    </r>
    <r>
      <rPr>
        <sz val="10"/>
        <color indexed="12"/>
        <rFont val="Times New Roman"/>
        <family val="1"/>
      </rPr>
      <t xml:space="preserve">
</t>
    </r>
    <r>
      <rPr>
        <i/>
        <sz val="10"/>
        <color indexed="12"/>
        <rFont val="Times New Roman"/>
        <family val="1"/>
      </rPr>
      <t>PVC Pipe DN32, PN6 c/w acoustic insulation thick 6mm</t>
    </r>
  </si>
  <si>
    <r>
      <t xml:space="preserve">Ống HDPE DN100x6.6mm
</t>
    </r>
    <r>
      <rPr>
        <i/>
        <sz val="10"/>
        <color indexed="12"/>
        <rFont val="Times New Roman"/>
        <family val="1"/>
      </rPr>
      <t>HDPE Pipe DN100x6.6mm</t>
    </r>
  </si>
  <si>
    <r>
      <t xml:space="preserve">Ống lồng loại chống thấm DN225
</t>
    </r>
    <r>
      <rPr>
        <i/>
        <sz val="10"/>
        <color indexed="12"/>
        <rFont val="Times New Roman"/>
        <family val="1"/>
      </rPr>
      <t>Water proof sleeves DN22</t>
    </r>
    <r>
      <rPr>
        <i/>
        <sz val="10"/>
        <rFont val="Times New Roman"/>
        <family val="1"/>
      </rPr>
      <t>5</t>
    </r>
  </si>
  <si>
    <r>
      <t xml:space="preserve">Ống lồng loại chống thấm DN180
</t>
    </r>
    <r>
      <rPr>
        <i/>
        <sz val="10"/>
        <color indexed="12"/>
        <rFont val="Times New Roman"/>
        <family val="1"/>
      </rPr>
      <t>Water proof sleeves DN180</t>
    </r>
  </si>
  <si>
    <r>
      <t xml:space="preserve">Ống lồng loại chống thấm DN150
</t>
    </r>
    <r>
      <rPr>
        <i/>
        <sz val="10"/>
        <color indexed="12"/>
        <rFont val="Times New Roman"/>
        <family val="1"/>
      </rPr>
      <t>Water proof sleeves DN1</t>
    </r>
    <r>
      <rPr>
        <i/>
        <sz val="10"/>
        <rFont val="Times New Roman"/>
        <family val="1"/>
      </rPr>
      <t>50</t>
    </r>
  </si>
  <si>
    <r>
      <t xml:space="preserve">Thỏ ngăn mùi DN50
</t>
    </r>
    <r>
      <rPr>
        <i/>
        <sz val="10"/>
        <color indexed="12"/>
        <rFont val="Times New Roman"/>
        <family val="1"/>
      </rPr>
      <t>PVC Drain trap DN50</t>
    </r>
  </si>
  <si>
    <r>
      <t xml:space="preserve">Thỏ ngăn mùi DN80
</t>
    </r>
    <r>
      <rPr>
        <i/>
        <sz val="10"/>
        <color indexed="12"/>
        <rFont val="Times New Roman"/>
        <family val="1"/>
      </rPr>
      <t>PVC Drain trap DN80</t>
    </r>
  </si>
  <si>
    <r>
      <t xml:space="preserve">Hệ thống thông hơi
</t>
    </r>
    <r>
      <rPr>
        <i/>
        <sz val="10"/>
        <color indexed="12"/>
        <rFont val="Times New Roman"/>
        <family val="1"/>
      </rPr>
      <t>Vent pipe system</t>
    </r>
  </si>
  <si>
    <r>
      <t xml:space="preserve">Chất chống cháy
</t>
    </r>
    <r>
      <rPr>
        <i/>
        <sz val="10"/>
        <color indexed="12"/>
        <rFont val="Times New Roman"/>
        <family val="1"/>
      </rPr>
      <t>Fire stop</t>
    </r>
  </si>
  <si>
    <r>
      <t xml:space="preserve">Thiết bị quạt và các phụ kiện
</t>
    </r>
    <r>
      <rPr>
        <sz val="10"/>
        <color indexed="12"/>
        <rFont val="Times New Roman"/>
        <family val="1"/>
      </rPr>
      <t>Fan &amp; Accessories</t>
    </r>
  </si>
  <si>
    <t>Axial fan: EAF-BF-01,02: 25000/37.500 m3/h, 300(NM)/675(EM)Pa, 380/3/50(V/Ph/Hz), 3.3/16.5kWkW, fire rated 250oC@1h</t>
  </si>
  <si>
    <t>Axial fan: FAF-BF-01,03: 20.000/30.000 m3/h, 300(NM)/675(EM)Pa, 380/3/50(V/Ph/Hz), 3.3/12.1kWkW, fire rated 250oC@1h</t>
  </si>
  <si>
    <t>Axial fan: EAF-BF-03: 11.3000m3/h, 250Pa, 380/3/50(V/Ph/Hz), 3.3kW,1440 rpm</t>
  </si>
  <si>
    <t>Axial fan: EAF-BF-04: 1.400m3/h ( 2.400m3/h), 200Pa, 380/3/50(V/Ph/Hz), 0.37kW,1440rpm</t>
  </si>
  <si>
    <t>Ceiling fan: CF-GF-01~:08 ,12.900m3/h,  0.066kW-240V/1PH/50Hz</t>
  </si>
  <si>
    <t>Axial fan: SEF-2F-01: 24.700 m3/h, 250Pa, 380/3/50(V/Ph/Hz), 7.5kW, fire rated 250oC@1h,2880 rpm</t>
  </si>
  <si>
    <t>Axial fan: EAF-2F-01: 2.250 m3/h, 200Pa, 380/3/50(V/Ph/Hz), 0.37kW</t>
  </si>
  <si>
    <t>Ceiling fan: CF-2F-01~:19 ,12.900m3/h,  0.066kW-240V/1PH/50Hz</t>
  </si>
  <si>
    <t>Axial fan: EAF-3F-01: 2.250 m3/h, 200Pa, 380/3/50(V/Ph/Hz), 0.37kW, 1440 rpm</t>
  </si>
  <si>
    <t>Ceiling fan: CF-3F-01~:12 ,12.900m3/h, 0.066kW-240V/1PH/50Hz</t>
  </si>
  <si>
    <t>Wall fan: WF-3F-01~:10 ,25.000m3/h, 0.25kW-240V/1PH/50Hz</t>
  </si>
  <si>
    <t>Axial fan: EAF-4F-01: 2.250 m3/h, 150Pa, 380/3/50(V/Ph/Hz), 0.37kW,1440rpm</t>
  </si>
  <si>
    <t>Ceiling fan: F-4F-01~:12 ,12.900m3/h , 0.066kW-240V/1PH/50Hz</t>
  </si>
  <si>
    <t>Axial fan: SEF-RF-01: 15.300 m3/h, 300Pa, 380/3/50(V/Ph/Hz), 4kW, fire rated 250oC@1h,2880 rpm</t>
  </si>
  <si>
    <t>Axial fan: SEF-RF-02: 28.000m3/h, 300Pa, 380/3/50(V/Ph/Hz), 11.0kW, fire rated 250oC@1h,2880 rpm</t>
  </si>
  <si>
    <t>Axial fan: SEF-RF-03: 24.500m3/h, 300Pa, 380/3/50(V/Ph/Hz), 11.0kW, fire rated 250oC@1h,2880 rpm</t>
  </si>
  <si>
    <t>Axial fan: SEF-RF-04: 52.600m3/h, 200Pa, 380/3/50(V/Ph/Hz), 11.0kW, fire rated 250oC@1h,2880 rpm</t>
  </si>
  <si>
    <t>Axial fan: EAF-RF-01A, EAF-RF-01B : 8.400m3/h, 250Pa, 380/3/50(V/Ph/Hz), 1.6kW,1440 rpm</t>
  </si>
  <si>
    <t>Axial fan: EAF-RF-02: 3.400m3/h, 250Pa, 380/3/50(V/Ph/Hz), 1.1kW,1440 rpm</t>
  </si>
  <si>
    <t>Wall mounled: EAF-RF-03: 1.800m3/h,  240/1PH/50(V/Ph/Hz), 0.12kW,1400 rpm</t>
  </si>
  <si>
    <r>
      <t xml:space="preserve">Vòng kết nối vào/ ra
</t>
    </r>
    <r>
      <rPr>
        <i/>
        <sz val="10"/>
        <color indexed="12"/>
        <rFont val="Times New Roman"/>
        <family val="1"/>
      </rPr>
      <t>Inlet/Outlet flange for fan</t>
    </r>
    <r>
      <rPr>
        <i/>
        <sz val="10"/>
        <rFont val="Times New Roman"/>
        <family val="1"/>
      </rPr>
      <t>s</t>
    </r>
  </si>
  <si>
    <r>
      <t xml:space="preserve">Đầu dò khí CO
</t>
    </r>
    <r>
      <rPr>
        <i/>
        <sz val="10"/>
        <color indexed="12"/>
        <rFont val="Times New Roman"/>
        <family val="1"/>
      </rPr>
      <t>CO sensor</t>
    </r>
  </si>
  <si>
    <r>
      <t xml:space="preserve">Tủ điều khiển đầu dò khí CO
</t>
    </r>
    <r>
      <rPr>
        <i/>
        <sz val="10"/>
        <color indexed="12"/>
        <rFont val="Times New Roman"/>
        <family val="1"/>
      </rPr>
      <t xml:space="preserve"> Control panel for CO sensor </t>
    </r>
  </si>
  <si>
    <r>
      <t xml:space="preserve">Cáp tín hiệu và cấp nguồn cho đầu dò khói, cảm biến áp suất, cảm biến CO
</t>
    </r>
    <r>
      <rPr>
        <i/>
        <sz val="10"/>
        <color indexed="12"/>
        <rFont val="Times New Roman"/>
        <family val="1"/>
      </rPr>
      <t>Signal cable c/w conduit  for smoke detector, Air differential pressure sensor sensor, CO sensor</t>
    </r>
  </si>
  <si>
    <r>
      <t xml:space="preserve">Tấm tôn tráng kẽm dày 1.2mm  (loại chống cháy) EI 120
</t>
    </r>
    <r>
      <rPr>
        <i/>
        <sz val="10"/>
        <color indexed="12"/>
        <rFont val="Times New Roman"/>
        <family val="1"/>
      </rPr>
      <t>Galvanized tole sheet thick 1.2mm  (type fire rated ) EI 120</t>
    </r>
  </si>
  <si>
    <r>
      <t xml:space="preserve">Tấm tôn tráng kẽm dày 1.2mm  (loại chống cháy) EI 60
</t>
    </r>
    <r>
      <rPr>
        <i/>
        <sz val="10"/>
        <color indexed="12"/>
        <rFont val="Times New Roman"/>
        <family val="1"/>
      </rPr>
      <t>Galvanized tole sheet thick 1.2mm  (type fire rated ) EI 60</t>
    </r>
  </si>
  <si>
    <r>
      <t xml:space="preserve">Tấm tôn tráng kẽm dày 1.2mm  (loại chống cháy) EI 45
</t>
    </r>
    <r>
      <rPr>
        <i/>
        <sz val="10"/>
        <color indexed="12"/>
        <rFont val="Times New Roman"/>
        <family val="1"/>
      </rPr>
      <t>Galvanized tole sheet thick 1.2mm  (type fire rated ) EI 45</t>
    </r>
  </si>
  <si>
    <r>
      <t xml:space="preserve">Tấm tôn tráng kẽm dày 1.2mm  (loại chống cháy) EI 30
</t>
    </r>
    <r>
      <rPr>
        <i/>
        <sz val="10"/>
        <color indexed="12"/>
        <rFont val="Times New Roman"/>
        <family val="1"/>
      </rPr>
      <t>Galvanized tole sheet thick 1.2mm  (type fire rated ) EI 30</t>
    </r>
  </si>
  <si>
    <r>
      <rPr>
        <sz val="10"/>
        <color indexed="8"/>
        <rFont val="Times New Roman"/>
        <family val="1"/>
      </rPr>
      <t xml:space="preserve">Tấm tôn tráng kẽm dày 0.8mm  </t>
    </r>
    <r>
      <rPr>
        <sz val="10"/>
        <color indexed="12"/>
        <rFont val="Times New Roman"/>
        <family val="1"/>
      </rPr>
      <t xml:space="preserve">
</t>
    </r>
    <r>
      <rPr>
        <i/>
        <sz val="10"/>
        <color indexed="12"/>
        <rFont val="Times New Roman"/>
        <family val="1"/>
      </rPr>
      <t xml:space="preserve">Galvanized tole sheet thick 0.8mm </t>
    </r>
  </si>
  <si>
    <r>
      <t xml:space="preserve">Tấm tôn soi lỗ dày 0.75mm
</t>
    </r>
    <r>
      <rPr>
        <i/>
        <sz val="10"/>
        <color indexed="12"/>
        <rFont val="Times New Roman"/>
        <family val="1"/>
      </rPr>
      <t>'Preformed hole tole sheet thick 0.75mm</t>
    </r>
  </si>
  <si>
    <r>
      <t xml:space="preserve">Vải chống cháy
</t>
    </r>
    <r>
      <rPr>
        <i/>
        <sz val="10"/>
        <color indexed="12"/>
        <rFont val="Times New Roman"/>
        <family val="1"/>
      </rPr>
      <t>'Fireproof fabric</t>
    </r>
  </si>
  <si>
    <r>
      <t xml:space="preserve">Cách nhiệt bông khoáng dày 50mm-60kg/m3 + tôn soi lỗ + vải chống cháy </t>
    </r>
    <r>
      <rPr>
        <sz val="10"/>
        <color indexed="12"/>
        <rFont val="Times New Roman"/>
        <family val="1"/>
      </rPr>
      <t xml:space="preserve">
</t>
    </r>
    <r>
      <rPr>
        <i/>
        <sz val="10"/>
        <color indexed="12"/>
        <rFont val="Times New Roman"/>
        <family val="1"/>
      </rPr>
      <t>'Isulation wool thickness 50mm-60kg/m3 + Preformed hole tole sheet + Fireproof fabric</t>
    </r>
  </si>
  <si>
    <r>
      <t xml:space="preserve">Sắt U100*47*5.3mm 
</t>
    </r>
    <r>
      <rPr>
        <i/>
        <sz val="10"/>
        <color indexed="12"/>
        <rFont val="Times New Roman"/>
        <family val="1"/>
      </rPr>
      <t xml:space="preserve">Steel U100*47*5.3mm </t>
    </r>
  </si>
  <si>
    <r>
      <t xml:space="preserve">Sắt V50*50*5mm
</t>
    </r>
    <r>
      <rPr>
        <i/>
        <sz val="10"/>
        <color indexed="12"/>
        <rFont val="Times New Roman"/>
        <family val="1"/>
      </rPr>
      <t>Steel V50*50*5mm</t>
    </r>
  </si>
  <si>
    <r>
      <t xml:space="preserve">Miệng gió hút kèm cánh điều chỉnh lưu lượng 
</t>
    </r>
    <r>
      <rPr>
        <i/>
        <sz val="10"/>
        <color indexed="12"/>
        <rFont val="Times New Roman"/>
        <family val="1"/>
      </rPr>
      <t>Exhaust air grille c/w OBD</t>
    </r>
  </si>
  <si>
    <t>EAG 1000x600 c/w OBD</t>
  </si>
  <si>
    <t>EAG 1000x400 c/w OBD</t>
  </si>
  <si>
    <t>EAG 300X300 c/w OBD</t>
  </si>
  <si>
    <t>EAG 250X250 c/w OBD</t>
  </si>
  <si>
    <r>
      <t xml:space="preserve">Miệng gió hút khói kèm cánh điều chỉnh lưu lượng 
</t>
    </r>
    <r>
      <rPr>
        <i/>
        <sz val="10"/>
        <color indexed="12"/>
        <rFont val="Times New Roman"/>
        <family val="1"/>
      </rPr>
      <t>Smoke exhaust air grille c/w OBD</t>
    </r>
  </si>
  <si>
    <t>SEG 1200x600 c/w OBD</t>
  </si>
  <si>
    <t>SEG 1000x1000 c/w OBD</t>
  </si>
  <si>
    <t>SEG 1000x600 c/w OBD</t>
  </si>
  <si>
    <t>SEG 600x600 c/w OBD</t>
  </si>
  <si>
    <r>
      <t xml:space="preserve">Miệng gió hồi kèm cánh điều chỉnh lưu lượng 
</t>
    </r>
    <r>
      <rPr>
        <i/>
        <sz val="10"/>
        <color indexed="12"/>
        <rFont val="Times New Roman"/>
        <family val="1"/>
      </rPr>
      <t>Return Air Grill c/w OBD</t>
    </r>
  </si>
  <si>
    <t>RAG 3000x700 c/w OBD</t>
  </si>
  <si>
    <r>
      <t xml:space="preserve">Cửa gió thải kèm lưới chắn côn trùng
</t>
    </r>
    <r>
      <rPr>
        <i/>
        <sz val="10"/>
        <color indexed="12"/>
        <rFont val="Times New Roman"/>
        <family val="1"/>
      </rPr>
      <t xml:space="preserve">Exhaust air louve c/w insect screen </t>
    </r>
  </si>
  <si>
    <t xml:space="preserve">EAL 2825x450 c/w insect screen </t>
  </si>
  <si>
    <r>
      <t xml:space="preserve">Van ngăn cháy 
</t>
    </r>
    <r>
      <rPr>
        <i/>
        <sz val="10"/>
        <color indexed="12"/>
        <rFont val="Times New Roman"/>
        <family val="1"/>
      </rPr>
      <t>Fire damper</t>
    </r>
  </si>
  <si>
    <t>Fire damper FD 1100x350</t>
  </si>
  <si>
    <t>Fire damper FD 400x250</t>
  </si>
  <si>
    <t>Fire damper FD 500x250</t>
  </si>
  <si>
    <t>Fire damper FD 600x600</t>
  </si>
  <si>
    <t>Fire damper FD 700x300</t>
  </si>
  <si>
    <t>Fire damper FD 700x250</t>
  </si>
  <si>
    <t>Fire damper FD 700x200</t>
  </si>
  <si>
    <t>Fire damper FD 900x300</t>
  </si>
  <si>
    <r>
      <t xml:space="preserve">Lưới chắn côn trùng
</t>
    </r>
    <r>
      <rPr>
        <i/>
        <sz val="10"/>
        <color indexed="12"/>
        <rFont val="Times New Roman"/>
        <family val="1"/>
      </rPr>
      <t xml:space="preserve">Insect screen </t>
    </r>
  </si>
  <si>
    <r>
      <t xml:space="preserve">Lưới chắn côn trùng: 1600x700
</t>
    </r>
    <r>
      <rPr>
        <i/>
        <sz val="10"/>
        <color indexed="12"/>
        <rFont val="Times New Roman"/>
        <family val="1"/>
      </rPr>
      <t>Insect screen: 1600x700</t>
    </r>
  </si>
  <si>
    <r>
      <t xml:space="preserve">Lưới chắn côn trùng: 1500x400
</t>
    </r>
    <r>
      <rPr>
        <i/>
        <sz val="10"/>
        <color indexed="12"/>
        <rFont val="Times New Roman"/>
        <family val="1"/>
      </rPr>
      <t>Insect screen: 1500x400</t>
    </r>
  </si>
  <si>
    <r>
      <t>Lưới chắn côn trùng: 950x350</t>
    </r>
    <r>
      <rPr>
        <i/>
        <sz val="10"/>
        <rFont val="Times New Roman"/>
        <family val="1"/>
      </rPr>
      <t xml:space="preserve">
</t>
    </r>
    <r>
      <rPr>
        <i/>
        <sz val="10"/>
        <color indexed="12"/>
        <rFont val="Times New Roman"/>
        <family val="1"/>
      </rPr>
      <t>Insect screen: 950x350</t>
    </r>
  </si>
  <si>
    <r>
      <t>Lưới chắn côn trùng: 700x250</t>
    </r>
    <r>
      <rPr>
        <i/>
        <sz val="10"/>
        <rFont val="Times New Roman"/>
        <family val="1"/>
      </rPr>
      <t xml:space="preserve">
</t>
    </r>
    <r>
      <rPr>
        <i/>
        <sz val="10"/>
        <color indexed="12"/>
        <rFont val="Times New Roman"/>
        <family val="1"/>
      </rPr>
      <t>Insect screen: 700x250</t>
    </r>
  </si>
  <si>
    <r>
      <t>Lưới chắn côn trùng: 600x600</t>
    </r>
    <r>
      <rPr>
        <i/>
        <sz val="10"/>
        <rFont val="Times New Roman"/>
        <family val="1"/>
      </rPr>
      <t xml:space="preserve">
</t>
    </r>
    <r>
      <rPr>
        <i/>
        <sz val="10"/>
        <color indexed="12"/>
        <rFont val="Times New Roman"/>
        <family val="1"/>
      </rPr>
      <t>Insect screen: 600x600</t>
    </r>
  </si>
  <si>
    <r>
      <t>Lưới chắn côn trùng: 650x350</t>
    </r>
    <r>
      <rPr>
        <i/>
        <sz val="10"/>
        <rFont val="Times New Roman"/>
        <family val="1"/>
      </rPr>
      <t xml:space="preserve">
</t>
    </r>
    <r>
      <rPr>
        <i/>
        <sz val="10"/>
        <color indexed="12"/>
        <rFont val="Times New Roman"/>
        <family val="1"/>
      </rPr>
      <t>Insect screen: 650x350</t>
    </r>
  </si>
  <si>
    <r>
      <t xml:space="preserve">Van gió một chiều 
</t>
    </r>
    <r>
      <rPr>
        <i/>
        <sz val="10"/>
        <color indexed="12"/>
        <rFont val="Times New Roman"/>
        <family val="1"/>
      </rPr>
      <t xml:space="preserve">Non return damper </t>
    </r>
  </si>
  <si>
    <t>Non return damper NRD 2400x500</t>
  </si>
  <si>
    <t>Non return damper NRD 2400x450</t>
  </si>
  <si>
    <t>Non return damper NRD 1500x400</t>
  </si>
  <si>
    <t>Non return damper NRD 1300x400</t>
  </si>
  <si>
    <t>Non return damper NRD 1100x350</t>
  </si>
  <si>
    <t>Non return damper NRD 700x200</t>
  </si>
  <si>
    <t>Non return damper NRD 600x600</t>
  </si>
  <si>
    <t>Non return damper NRD 500x250</t>
  </si>
  <si>
    <r>
      <t xml:space="preserve">Miệng gió cấp kèm cánh điều chỉnh lưu lượng 
</t>
    </r>
    <r>
      <rPr>
        <i/>
        <sz val="10"/>
        <color indexed="12"/>
        <rFont val="Times New Roman"/>
        <family val="1"/>
      </rPr>
      <t>Supply air grille  c/w OBD</t>
    </r>
  </si>
  <si>
    <t>SAG 2000x700 c/w OBD</t>
  </si>
  <si>
    <t>SAG 1000x1000 c/w OBD</t>
  </si>
  <si>
    <t>SAG 700X400 c/w OBD</t>
  </si>
  <si>
    <t>Motorized fire damper MFD 2400x450 mm</t>
  </si>
  <si>
    <t>Motorized fire damper MFD 1600x700 mm</t>
  </si>
  <si>
    <t>Motorized fire damper MFD 1400x350 mm</t>
  </si>
  <si>
    <t>Motorized fire damper MFD 1000x500 mm</t>
  </si>
  <si>
    <t>Motorized fire damper MFD 950x350 mm</t>
  </si>
  <si>
    <t>Motorized Fire damper MFD 900x350 mm</t>
  </si>
  <si>
    <r>
      <t xml:space="preserve">Máy lạnh giải nhiệt bằng nước
</t>
    </r>
    <r>
      <rPr>
        <b/>
        <i/>
        <sz val="10"/>
        <color indexed="12"/>
        <rFont val="Times New Roman"/>
        <family val="1"/>
      </rPr>
      <t>Water Cooled Chiller</t>
    </r>
  </si>
  <si>
    <r>
      <t xml:space="preserve">Máy làm lạnh Chiller 1,2 : 731 kW, kiểu máy nén trục vít  - R134a
</t>
    </r>
    <r>
      <rPr>
        <i/>
        <sz val="10"/>
        <color indexed="12"/>
        <rFont val="Times New Roman"/>
        <family val="1"/>
      </rPr>
      <t>Chiller 1,2 : 731 kW, type Screw compressor  - R134a</t>
    </r>
  </si>
  <si>
    <r>
      <t xml:space="preserve">Bơm nước lạnh chiller: CWP-01&amp;02, 45l/s, 25mH2O
</t>
    </r>
    <r>
      <rPr>
        <i/>
        <sz val="10"/>
        <color indexed="12"/>
        <rFont val="Times New Roman"/>
        <family val="1"/>
      </rPr>
      <t>Chiller Water Pump: CWP-01&amp;02, 45 l/s, 25mH2O,15kW</t>
    </r>
  </si>
  <si>
    <r>
      <t>Bơm  back-up:  CWP-03, 45l/s, 25mH2O</t>
    </r>
    <r>
      <rPr>
        <i/>
        <sz val="10"/>
        <rFont val="Times New Roman"/>
        <family val="1"/>
      </rPr>
      <t xml:space="preserve">
</t>
    </r>
    <r>
      <rPr>
        <i/>
        <sz val="10"/>
        <color indexed="12"/>
        <rFont val="Times New Roman"/>
        <family val="1"/>
      </rPr>
      <t>Back up Water Pump: CWP-03, 45l/s, 25mH2O</t>
    </r>
  </si>
  <si>
    <r>
      <t xml:space="preserve">Bơm nước lạnh chiller: CHWP-01&amp;02, 38l/s, 30mH2O,18.5kW
</t>
    </r>
    <r>
      <rPr>
        <i/>
        <sz val="10"/>
        <color indexed="12"/>
        <rFont val="Times New Roman"/>
        <family val="1"/>
      </rPr>
      <t>Chiller Water Pump: CHWP-01&amp;02, 38 l/s, 30mH2O,18.5kW</t>
    </r>
  </si>
  <si>
    <r>
      <t xml:space="preserve">Bơm  back-up:  CHWP-03, 38l/s, 30mH2O, 18.5kW
</t>
    </r>
    <r>
      <rPr>
        <i/>
        <sz val="10"/>
        <color indexed="12"/>
        <rFont val="Times New Roman"/>
        <family val="1"/>
      </rPr>
      <t>Back up Water Pump: CHWP-03, 38l/s, 30mH2O, 18.5kW</t>
    </r>
  </si>
  <si>
    <r>
      <t xml:space="preserve">Tháp giải nhiệt C.T 01&amp;02 : 950kW, 2740l/s
</t>
    </r>
    <r>
      <rPr>
        <i/>
        <sz val="10"/>
        <color indexed="12"/>
        <rFont val="Times New Roman"/>
        <family val="1"/>
      </rPr>
      <t>Cooling Tower C.T 01&amp;02 : 950 kW, 2740l/s</t>
    </r>
  </si>
  <si>
    <r>
      <t xml:space="preserve">Bình giãn nở và bộ điều khiển  1.200. Lít
</t>
    </r>
    <r>
      <rPr>
        <i/>
        <sz val="10"/>
        <color indexed="12"/>
        <rFont val="Times New Roman"/>
        <family val="1"/>
      </rPr>
      <t xml:space="preserve">Expansion tank and control unit …1.200. litre </t>
    </r>
  </si>
  <si>
    <r>
      <t xml:space="preserve">Thiết bị xử lý hóa chất 100 lít + Bơm định lượng
</t>
    </r>
    <r>
      <rPr>
        <i/>
        <sz val="10"/>
        <color indexed="12"/>
        <rFont val="Times New Roman"/>
        <family val="1"/>
      </rPr>
      <t>Chemical treatment system 100 lite + chemical dosing pump</t>
    </r>
  </si>
  <si>
    <r>
      <t xml:space="preserve">Thiết bị xử lý không khí FCU, AHU, PAU của hệ thống Chiller : bao gồm công nghệ ức chế vi rút
</t>
    </r>
    <r>
      <rPr>
        <b/>
        <i/>
        <sz val="10"/>
        <color indexed="12"/>
        <rFont val="Times New Roman"/>
        <family val="1"/>
      </rPr>
      <t xml:space="preserve">Air Handling Unit/ FCU, PAU of Chiller system: c/w equipped with 
anti-virus technology </t>
    </r>
  </si>
  <si>
    <t>PAU-RF: 185kW, type ducted ceiling concealed</t>
  </si>
  <si>
    <t>AHU-RF: 232.9kW, type ducted ceiling concealed</t>
  </si>
  <si>
    <t>BF-FCU-LO-01: 2.5kW, type ducted ceiling concealed</t>
  </si>
  <si>
    <t>BF-FCU-BR-01: 0.8kW, type ducted ceiling concealed</t>
  </si>
  <si>
    <t>GF-FCU-DR-01~02: 5.5kW, type ducted ceiling concealed</t>
  </si>
  <si>
    <t>GF-FCU-DS-01: 1.7kW, type ducted ceiling concealed</t>
  </si>
  <si>
    <t>GF-FCU-DO-01: 2.7kW, type ducted ceiling concealed</t>
  </si>
  <si>
    <t>GF-FCU-CH-01 &amp; 02: 6.8kW, type ducted ceiling concealed</t>
  </si>
  <si>
    <t>GF-FCU-FA-01 &amp; 02: 6.6kW, type ducted ceiling concealed</t>
  </si>
  <si>
    <t>GF-FCU-PR-01: 2.4kW, type ducted ceiling concealed</t>
  </si>
  <si>
    <t>GF-FCU-PR-02: 2.2kW, type ducted ceiling concealed</t>
  </si>
  <si>
    <t>GF-FCU-PR-03: 2.2kW, type ducted ceiling concealed</t>
  </si>
  <si>
    <t>GF-FCU-PR-04: 2.3kW, type ducted ceiling concealed</t>
  </si>
  <si>
    <t>GF-FCU-OF-01: 6.3kW, type ducted ceiling concealed</t>
  </si>
  <si>
    <t>GF-FCU-LE-01~03: 8.1kW, type ducted ceiling concealed</t>
  </si>
  <si>
    <t>GF-FCU-QR-01: 2.1kW, type ducted ceiling concealed</t>
  </si>
  <si>
    <t>GF-FCU-WR-01: 2.6kW, type ducted ceiling concealed</t>
  </si>
  <si>
    <t>GF-FCU-PR-01: 6.9kW, type ducted ceiling concealed</t>
  </si>
  <si>
    <t>GF-FCU-AP-01: 6.2kW, type ducted ceiling concealed</t>
  </si>
  <si>
    <t>GF-FCU-MR-01: 9.9kW, type ducted ceiling concealed</t>
  </si>
  <si>
    <t>GF-FCU-CS-01: 3.3kW, type ducted ceiling concealed</t>
  </si>
  <si>
    <t>GF-FCU-CS-02: 2.9kW, type ducted ceiling concealed</t>
  </si>
  <si>
    <t>GF-FCU-NU-01: 2.6kW, type ducted ceiling concealed</t>
  </si>
  <si>
    <t>GF-FCU-CT-01: 4.9kW, type ducted ceiling concealed</t>
  </si>
  <si>
    <t>GF-FCU-T1-01~03: 9.0kW, type ducted ceiling concealed</t>
  </si>
  <si>
    <t>GF-FCU-T2-01~03: 7.0kW, type ducted ceiling concealed</t>
  </si>
  <si>
    <t>GF-FCU-WR-01: 3.8kW, type ducted ceiling concealed</t>
  </si>
  <si>
    <t>GF-FCU-SG-01: 4.2kW, type ducted ceiling concealed</t>
  </si>
  <si>
    <t>GF-FCU-SG-02: 7.5kW, type ducted ceiling concealed</t>
  </si>
  <si>
    <t>GF-FCU-SG-03: 7.5kW, type ducted ceiling concealed</t>
  </si>
  <si>
    <t>GF-FCU-LI-01~04: 12.0kW, type ducted ceiling concealed</t>
  </si>
  <si>
    <t>GF-FCU-GL-01~04: 6.0kW, type ducted ceiling concealed</t>
  </si>
  <si>
    <t>GF-FCU-CO-01~6: 4.3kW, type ducted ceiling concealed</t>
  </si>
  <si>
    <t>GF-FCU-LO-01 &amp; 02: 6.1kW, type ducted ceiling concealed</t>
  </si>
  <si>
    <t>GF-FCU-RE-01 &amp; 02: 5.8kW, type ducted ceiling concealed</t>
  </si>
  <si>
    <t>2F-FCU-BB-01 &amp; 02: 38.5kW, type ducted ceiling concealed</t>
  </si>
  <si>
    <t>2F-FCU-HC-01 &amp; 02: 5.8kW, type ducted ceiling concealed</t>
  </si>
  <si>
    <t>2F-FCU-DL-01 &amp; 02: 7.1kW, type ducted ceiling concealed</t>
  </si>
  <si>
    <t>2F-FCU-VA1-01 &amp; 02: 7.0kW, type ducted ceiling concealed</t>
  </si>
  <si>
    <t>2F-FCU-VA2-01 &amp; 02: 11.2 kW, type ducted ceiling concealed</t>
  </si>
  <si>
    <t>2F-FCU-OF-01: 6.6kW, type ducted ceiling concealed</t>
  </si>
  <si>
    <t>2F-FCU-RE-01: 2.0kW, type ducted ceiling concealed</t>
  </si>
  <si>
    <t>2F-FCU-CL-01: 2.3kW, type ducted ceiling concealed</t>
  </si>
  <si>
    <t>2F-FCU-MR-01~04: 9.1kW, type ducted ceiling concealed</t>
  </si>
  <si>
    <t>2F-FCU-LS1-01: 5.3kW, type ducted ceiling concealed</t>
  </si>
  <si>
    <t>2F-FCU-SL-01 &amp; 02: 11.4kW, type ducted ceiling concealed</t>
  </si>
  <si>
    <t>2F-FCU-LS2-01: 7.9kW, type ducted ceiling concealed</t>
  </si>
  <si>
    <t>2F-FCU-CL1-01 &amp; 02: 5.7kW, type ducted ceiling concealed</t>
  </si>
  <si>
    <t>2F-FCU-BR1-01: 3.8kW, type ducted ceiling concealed</t>
  </si>
  <si>
    <t>2F-FCU-CL2-01: 6.8kW, type ducted ceiling concealed</t>
  </si>
  <si>
    <t>2F-FCU-CL3-01 &amp; 02: 10.0kW, type ducted ceiling concealed</t>
  </si>
  <si>
    <t>2F-FCU-BR2-01: 4.5kW, type ducted ceiling concealed</t>
  </si>
  <si>
    <t>2F-FCU-CL4-01 &amp; 02: 8.1kW, type ducted ceiling concealed</t>
  </si>
  <si>
    <t>2F-FCU-CL5-01 &amp; 02: 9.3kW, type ducted ceiling concealed</t>
  </si>
  <si>
    <t>2F-FCU-CL6-01 &amp; 02: 4.4kW, type ducted ceiling concealed</t>
  </si>
  <si>
    <t>2F-FCU-CO-01~09: 4.4kW, type ducted ceiling concealed</t>
  </si>
  <si>
    <t>2F-FCU-LO-01 &amp; 02: 5.6kW, type ducted ceiling concealed</t>
  </si>
  <si>
    <t>3F-FCU-DA-01~03: 10.4kW, type ducted ceiling concealed</t>
  </si>
  <si>
    <t>3F-FCU-PE-01: 6.8kW, type ducted ceiling concealed</t>
  </si>
  <si>
    <t>3F-FCU-LS1-01: 4.9kW, type ducted ceiling concealed</t>
  </si>
  <si>
    <t>3F-FCU-SL-01 &amp; 02: 11.2kW, type ducted ceiling concealed</t>
  </si>
  <si>
    <t>3F-FCU-LS2-01: 7.9kW, type ducted ceiling concealed</t>
  </si>
  <si>
    <t>3F-FCU-CL1-01 &amp; 02: 5.7kW, type ducted ceiling concealed</t>
  </si>
  <si>
    <t>3F-FCU-BR1-01: 3.9kW, type ducted ceiling concealed</t>
  </si>
  <si>
    <t>3F-FCU-CL2-01: 6.8kW, type ducted ceiling concealed</t>
  </si>
  <si>
    <t>3F-FCU-CL3-01 &amp; 02: 8.9kW, type ducted ceiling concealed</t>
  </si>
  <si>
    <t>3F-FCU-BR2-01: 4.6kW, type ducted ceiling concealed</t>
  </si>
  <si>
    <t>3F-FCU-CL4-01 &amp; 02: 8.0kW, type ducted ceiling concealed</t>
  </si>
  <si>
    <t>3F-FCU-CL5-01 &amp; 02: 9.3kW, type ducted ceiling concealed</t>
  </si>
  <si>
    <t>3F-FCU-CL6-01 &amp; 02: 4.4kW, type ducted ceiling concealed</t>
  </si>
  <si>
    <t>3F-FCU-CO-01~07: 5.3kW, type ducted ceiling concealed</t>
  </si>
  <si>
    <t>3F-FCU-LO-01 &amp; 02: 5.5kW, type ducted ceiling concealed</t>
  </si>
  <si>
    <t>4F-FCU-DD-01~03: 11.2kW, type ducted ceiling concealed</t>
  </si>
  <si>
    <t>4F-FCU-COO-01 &amp; 02: 7.1kW, type ducted ceiling concealed</t>
  </si>
  <si>
    <t>4F-FCU-LS1-01: 5.6kW, type ducted ceiling concealed</t>
  </si>
  <si>
    <t>4F-FCU-SL-01 &amp; 02: 12.4kW, type ducted ceiling concealed</t>
  </si>
  <si>
    <t>4F-FCU-LS2-01: 8.6kW, type ducted ceiling concealed</t>
  </si>
  <si>
    <t>4F-FCU-CL1-01 &amp; 02: 6.4kW, type ducted ceiling concealed</t>
  </si>
  <si>
    <t>4F-FCU-BR1-01: 4.0kW, type ducted ceiling concealed</t>
  </si>
  <si>
    <t>4F-FCU-CL2-01: 7.2kW, type ducted ceiling concealed</t>
  </si>
  <si>
    <t>4F-FCU-CL3-01 &amp; 02: 9.5kW, type ducted ceiling concealed</t>
  </si>
  <si>
    <t>4F-FCU-BR2-01: 5.0kW, type ducted ceiling concealed</t>
  </si>
  <si>
    <t>4F-FCU-CL4-01: 9.0kW, type ducted ceiling concealed</t>
  </si>
  <si>
    <t>4F-FCU-CL5-01 &amp; 02: 10.3kW, type ducted ceiling concealed</t>
  </si>
  <si>
    <t>4F-FCU-CL6-01 &amp; 02: 5.3kW, type ducted ceiling concealed</t>
  </si>
  <si>
    <t>4F-FCU-CO-01~07: 6.6kW, type ducted ceiling concealed</t>
  </si>
  <si>
    <t>4F-FCU-LO-01 &amp; 02: 7.5kW, type ducted ceiling concealed</t>
  </si>
  <si>
    <r>
      <t xml:space="preserve">Bộ điều chỉnh nhiệt độ FCU
</t>
    </r>
    <r>
      <rPr>
        <i/>
        <sz val="10"/>
        <color indexed="12"/>
        <rFont val="Times New Roman"/>
        <family val="1"/>
      </rPr>
      <t>Thermostat for FCU</t>
    </r>
  </si>
  <si>
    <r>
      <t xml:space="preserve">thuộc hệ thống điều khiển trung tâm
</t>
    </r>
    <r>
      <rPr>
        <i/>
        <sz val="10"/>
        <rFont val="Times New Roman"/>
        <family val="1"/>
      </rPr>
      <t>Belong Central control system</t>
    </r>
  </si>
  <si>
    <r>
      <t xml:space="preserve">Ống thép đen DN250  bao gồm cách nhiệt 
</t>
    </r>
    <r>
      <rPr>
        <i/>
        <sz val="10"/>
        <color indexed="12"/>
        <rFont val="Times New Roman"/>
        <family val="1"/>
      </rPr>
      <t xml:space="preserve">DN250 black steel pipe c/w insulation </t>
    </r>
  </si>
  <si>
    <r>
      <t xml:space="preserve">Ống thép đen DN200  bao gồm cách nhiệt 
</t>
    </r>
    <r>
      <rPr>
        <i/>
        <sz val="10"/>
        <color indexed="12"/>
        <rFont val="Times New Roman"/>
        <family val="1"/>
      </rPr>
      <t xml:space="preserve">DN200 black steel pipe c/w insulation </t>
    </r>
  </si>
  <si>
    <r>
      <t xml:space="preserve">Ống thép đen DN150 bao gồm cách nhiệt
</t>
    </r>
    <r>
      <rPr>
        <i/>
        <sz val="10"/>
        <color indexed="12"/>
        <rFont val="Times New Roman"/>
        <family val="1"/>
      </rPr>
      <t xml:space="preserve">DN150 black steel pipe c/w insulation  </t>
    </r>
  </si>
  <si>
    <r>
      <t xml:space="preserve">Ống thép đen DN125 bao gồm cách nhiệt 
</t>
    </r>
    <r>
      <rPr>
        <i/>
        <sz val="10"/>
        <color indexed="12"/>
        <rFont val="Times New Roman"/>
        <family val="1"/>
      </rPr>
      <t xml:space="preserve">DN125 black steel pipe c/w insulation </t>
    </r>
  </si>
  <si>
    <r>
      <t xml:space="preserve">Ống thép đen DN100 bao gồm cách nhiệt 
</t>
    </r>
    <r>
      <rPr>
        <i/>
        <sz val="10"/>
        <color indexed="12"/>
        <rFont val="Times New Roman"/>
        <family val="1"/>
      </rPr>
      <t xml:space="preserve">DN100 black steel pipe c/w insulation </t>
    </r>
  </si>
  <si>
    <r>
      <t xml:space="preserve">Ống thép đen DN80 bao gồm cách nhiệt
</t>
    </r>
    <r>
      <rPr>
        <i/>
        <sz val="10"/>
        <color indexed="12"/>
        <rFont val="Times New Roman"/>
        <family val="1"/>
      </rPr>
      <t xml:space="preserve">DN80 black steel pipe c/w insulation  </t>
    </r>
  </si>
  <si>
    <r>
      <t xml:space="preserve">Ống thép đen DN65 bao gồm cách nhiệt 
</t>
    </r>
    <r>
      <rPr>
        <i/>
        <sz val="10"/>
        <color indexed="12"/>
        <rFont val="Times New Roman"/>
        <family val="1"/>
      </rPr>
      <t xml:space="preserve">DN65 black steel pipe c/w insulation </t>
    </r>
  </si>
  <si>
    <r>
      <t xml:space="preserve">Ống thép đen DN50 bao gồm cách nhiệt 
</t>
    </r>
    <r>
      <rPr>
        <i/>
        <sz val="10"/>
        <color indexed="12"/>
        <rFont val="Times New Roman"/>
        <family val="1"/>
      </rPr>
      <t xml:space="preserve">DN50 black steel pipe c/w insulation </t>
    </r>
  </si>
  <si>
    <r>
      <t xml:space="preserve">Ống thép đen DN40 bao gồm cách nhiệt 
</t>
    </r>
    <r>
      <rPr>
        <i/>
        <sz val="10"/>
        <color indexed="12"/>
        <rFont val="Times New Roman"/>
        <family val="1"/>
      </rPr>
      <t xml:space="preserve">DN40 black steel pipe c/w insulation </t>
    </r>
  </si>
  <si>
    <r>
      <t xml:space="preserve">Ống thép đen DN32 bao gồm cách nhiệt 
</t>
    </r>
    <r>
      <rPr>
        <i/>
        <sz val="10"/>
        <color indexed="12"/>
        <rFont val="Times New Roman"/>
        <family val="1"/>
      </rPr>
      <t xml:space="preserve">DN32 black steel pipe c/w insulation </t>
    </r>
  </si>
  <si>
    <r>
      <t xml:space="preserve">Ống thép đen DN25  bao gồm cách nhiệt
</t>
    </r>
    <r>
      <rPr>
        <i/>
        <sz val="10"/>
        <color indexed="12"/>
        <rFont val="Times New Roman"/>
        <family val="1"/>
      </rPr>
      <t xml:space="preserve">DN25 black steel pipe c/w insulation  </t>
    </r>
  </si>
  <si>
    <r>
      <t xml:space="preserve">Ống thép đen DN20 bao gồm cách nhiệt
</t>
    </r>
    <r>
      <rPr>
        <i/>
        <sz val="10"/>
        <color indexed="12"/>
        <rFont val="Times New Roman"/>
        <family val="1"/>
      </rPr>
      <t xml:space="preserve">DN20 black steel pipe c/w insulation </t>
    </r>
  </si>
  <si>
    <r>
      <t xml:space="preserve">Ống thép đen DN15 bao gồm cách nhiệt 
</t>
    </r>
    <r>
      <rPr>
        <i/>
        <sz val="10"/>
        <color indexed="12"/>
        <rFont val="Times New Roman"/>
        <family val="1"/>
      </rPr>
      <t xml:space="preserve">DN15 black steel pipe c/w insulation </t>
    </r>
  </si>
  <si>
    <r>
      <t xml:space="preserve">Phụ kiện co, tê, lơi cho Ống thép mạ kẽm 
</t>
    </r>
    <r>
      <rPr>
        <i/>
        <sz val="10"/>
        <color indexed="12"/>
        <rFont val="Times New Roman"/>
        <family val="1"/>
      </rPr>
      <t>Fitting Elbow, Tee, for  Galvanized steel pipe</t>
    </r>
  </si>
  <si>
    <r>
      <t xml:space="preserve">Phụ kiện co, tê, lơi cho Ống thép đen bao gồm cách nhiệt 
</t>
    </r>
    <r>
      <rPr>
        <i/>
        <sz val="10"/>
        <color indexed="12"/>
        <rFont val="Times New Roman"/>
        <family val="1"/>
      </rPr>
      <t xml:space="preserve">Fitting Elbow, Tee, for  black steel pipe c/w insulation </t>
    </r>
  </si>
  <si>
    <r>
      <t xml:space="preserve">Van cổng DN200
</t>
    </r>
    <r>
      <rPr>
        <i/>
        <sz val="10"/>
        <color indexed="12"/>
        <rFont val="Times New Roman"/>
        <family val="1"/>
      </rPr>
      <t>Gate valve DN200</t>
    </r>
  </si>
  <si>
    <r>
      <t xml:space="preserve">Van bi đồng DN25
</t>
    </r>
    <r>
      <rPr>
        <i/>
        <sz val="10"/>
        <color indexed="12"/>
        <rFont val="Times New Roman"/>
        <family val="1"/>
      </rPr>
      <t>Ball valve DN25</t>
    </r>
  </si>
  <si>
    <r>
      <t xml:space="preserve">Van phao DN50
</t>
    </r>
    <r>
      <rPr>
        <i/>
        <sz val="10"/>
        <color indexed="12"/>
        <rFont val="Times New Roman"/>
        <family val="1"/>
      </rPr>
      <t>Float valve DN50</t>
    </r>
  </si>
  <si>
    <r>
      <t xml:space="preserve">Van 1 chiều DN200 
</t>
    </r>
    <r>
      <rPr>
        <i/>
        <sz val="10"/>
        <color indexed="12"/>
        <rFont val="Times New Roman"/>
        <family val="1"/>
      </rPr>
      <t>Check valve DN2</t>
    </r>
    <r>
      <rPr>
        <i/>
        <sz val="10"/>
        <rFont val="Times New Roman"/>
        <family val="1"/>
      </rPr>
      <t>00</t>
    </r>
  </si>
  <si>
    <r>
      <t xml:space="preserve">Van 1 chiều DN50 
</t>
    </r>
    <r>
      <rPr>
        <i/>
        <sz val="10"/>
        <color indexed="12"/>
        <rFont val="Times New Roman"/>
        <family val="1"/>
      </rPr>
      <t>Check valve DN50</t>
    </r>
  </si>
  <si>
    <r>
      <t xml:space="preserve">Van điện cân bằng tự động  DN200
</t>
    </r>
    <r>
      <rPr>
        <i/>
        <sz val="10"/>
        <color indexed="12"/>
        <rFont val="Times New Roman"/>
        <family val="1"/>
      </rPr>
      <t>Balancing vavle DN200</t>
    </r>
  </si>
  <si>
    <r>
      <t xml:space="preserve">Van điện cân bằng tự động  DN125
</t>
    </r>
    <r>
      <rPr>
        <i/>
        <sz val="10"/>
        <color indexed="12"/>
        <rFont val="Times New Roman"/>
        <family val="1"/>
      </rPr>
      <t>Balancing vavle DN125</t>
    </r>
  </si>
  <si>
    <r>
      <t xml:space="preserve">Van điều khiền khiển độc lập áp suất , hoạt động On/Off (kết nối về thermostat điều khiển):  DN50
</t>
    </r>
    <r>
      <rPr>
        <i/>
        <sz val="10"/>
        <color indexed="12"/>
        <rFont val="Times New Roman"/>
        <family val="1"/>
      </rPr>
      <t>Pressure independent control valve, On/Off control type (link to room 's thermostat control):  DN50</t>
    </r>
  </si>
  <si>
    <r>
      <t xml:space="preserve">Van điều khiền khiển độc lập áp suất , hoạt động On/Off (kết nối về thermostat điều khiển):  DN25
</t>
    </r>
    <r>
      <rPr>
        <i/>
        <sz val="10"/>
        <color indexed="12"/>
        <rFont val="Times New Roman"/>
        <family val="1"/>
      </rPr>
      <t>Pressure independent control valve, On/Off control type (link to room 's thermostat control):  DN25</t>
    </r>
  </si>
  <si>
    <r>
      <t xml:space="preserve">Van điều khiền khiển độc lập áp suất , hoạt động On/Off (kết nối về thermostat điều khiển):  DN20
</t>
    </r>
    <r>
      <rPr>
        <i/>
        <sz val="10"/>
        <color indexed="12"/>
        <rFont val="Times New Roman"/>
        <family val="1"/>
      </rPr>
      <t>Pressure independent control valve, On/Off control type (link to room 's thermostat control):  DN20</t>
    </r>
  </si>
  <si>
    <r>
      <t xml:space="preserve">Van điều khiền khiển độc lập áp suất , hoạt động On/Off (kết nối về thermostat điều khiển):  DN15
</t>
    </r>
    <r>
      <rPr>
        <i/>
        <sz val="10"/>
        <color indexed="12"/>
        <rFont val="Times New Roman"/>
        <family val="1"/>
      </rPr>
      <t>Pressure independent control valve, On/Off control type (link to room 's thermostat control):  DN15</t>
    </r>
  </si>
  <si>
    <r>
      <t xml:space="preserve">Van điều khiển 2 ngã DN200
</t>
    </r>
    <r>
      <rPr>
        <i/>
        <sz val="10"/>
        <color indexed="12"/>
        <rFont val="Times New Roman"/>
        <family val="1"/>
      </rPr>
      <t>2-Way modulating motorized valve DN200</t>
    </r>
  </si>
  <si>
    <r>
      <t xml:space="preserve">Van điều khiển 2 ngã DN250
</t>
    </r>
    <r>
      <rPr>
        <i/>
        <sz val="10"/>
        <color indexed="12"/>
        <rFont val="Times New Roman"/>
        <family val="1"/>
      </rPr>
      <t>2-Way modulating motorized valve DN250</t>
    </r>
  </si>
  <si>
    <r>
      <t xml:space="preserve">Y lọc DN200
</t>
    </r>
    <r>
      <rPr>
        <i/>
        <sz val="10"/>
        <color indexed="12"/>
        <rFont val="Times New Roman"/>
        <family val="1"/>
      </rPr>
      <t>Y-Strainer DN200</t>
    </r>
  </si>
  <si>
    <r>
      <t xml:space="preserve">Y lọc DN100
</t>
    </r>
    <r>
      <rPr>
        <i/>
        <sz val="10"/>
        <color indexed="12"/>
        <rFont val="Times New Roman"/>
        <family val="1"/>
      </rPr>
      <t>Y-Strainer DN100</t>
    </r>
  </si>
  <si>
    <r>
      <t xml:space="preserve">Y lọc DN50
</t>
    </r>
    <r>
      <rPr>
        <i/>
        <sz val="10"/>
        <color indexed="12"/>
        <rFont val="Times New Roman"/>
        <family val="1"/>
      </rPr>
      <t>Y-Strainer DN50</t>
    </r>
  </si>
  <si>
    <r>
      <t xml:space="preserve">Khớp nối mềm DN200
</t>
    </r>
    <r>
      <rPr>
        <i/>
        <sz val="10"/>
        <color indexed="12"/>
        <rFont val="Times New Roman"/>
        <family val="1"/>
      </rPr>
      <t>Flexible connector DN200</t>
    </r>
  </si>
  <si>
    <r>
      <t xml:space="preserve">Khớp nối mềm DN50
</t>
    </r>
    <r>
      <rPr>
        <i/>
        <sz val="10"/>
        <color indexed="12"/>
        <rFont val="Times New Roman"/>
        <family val="1"/>
      </rPr>
      <t>Flexible connector DN50</t>
    </r>
  </si>
  <si>
    <r>
      <t xml:space="preserve">Mặt bích cho van 
</t>
    </r>
    <r>
      <rPr>
        <i/>
        <sz val="10"/>
        <color indexed="12"/>
        <rFont val="Times New Roman"/>
        <family val="1"/>
      </rPr>
      <t>Flange for vavle</t>
    </r>
  </si>
  <si>
    <r>
      <t xml:space="preserve">Đồng hồ áp suất kèm van bi DN15 + Si phông
</t>
    </r>
    <r>
      <rPr>
        <i/>
        <sz val="10"/>
        <color indexed="12"/>
        <rFont val="Times New Roman"/>
        <family val="1"/>
      </rPr>
      <t>Gauge pressure + ball vale DN 15 + Syphon</t>
    </r>
  </si>
  <si>
    <r>
      <t xml:space="preserve">Cụm Van điều khiền lưu lượng qua cảm biến nhiệt độ nước cấp/ hồi : DN100
</t>
    </r>
    <r>
      <rPr>
        <i/>
        <sz val="10"/>
        <color indexed="12"/>
        <rFont val="Times New Roman"/>
        <family val="1"/>
      </rPr>
      <t>Energy valve (flow controlled by difference supply / return chilled water temperature: DN100</t>
    </r>
  </si>
  <si>
    <r>
      <t xml:space="preserve">Cụm Van điều khiền lưu lượng qua cảm biến nhiệt độ nước cấp/ hồi : DN125
</t>
    </r>
    <r>
      <rPr>
        <i/>
        <sz val="10"/>
        <color indexed="12"/>
        <rFont val="Times New Roman"/>
        <family val="1"/>
      </rPr>
      <t>Energy valve (flow controlled by difference supply / return chilled water temperature: DN125</t>
    </r>
  </si>
  <si>
    <r>
      <t xml:space="preserve">Hệ thống lạnh VRV và loại spliter
</t>
    </r>
    <r>
      <rPr>
        <b/>
        <i/>
        <sz val="10"/>
        <color indexed="12"/>
        <rFont val="Times New Roman"/>
        <family val="1"/>
      </rPr>
      <t>VRV System and spliter unit</t>
    </r>
  </si>
  <si>
    <t>ODU-01- cooling cap : 118 kW</t>
  </si>
  <si>
    <t>GF-AC-01-11.2 kW , type Cassette ( Inverter Type, C/W Anti Corona Virus Technologies)</t>
  </si>
  <si>
    <t>GF-AC-02-7.1kW , type Cassette (Inverter Type, C/W Anti Corona Virus Technologies)</t>
  </si>
  <si>
    <t>GF-AC-03-11.2 kW , type Cassette (Inverter Type, C/W Anti Corona Virus Technologies)</t>
  </si>
  <si>
    <t>GF-AC-04-9.0 kW , type Cassette (Inverter Type, C/W Anti Corona Virus Technologies)</t>
  </si>
  <si>
    <t>GF-AC-05- 2.5 kW , type Cassette (Inverter Type, C/W Anti Corona Virus Technologies)</t>
  </si>
  <si>
    <t>GF-AC-06- 11.2 kW , type Cassette (Inverter Type, C/W Anti Corona Virus Technologies)</t>
  </si>
  <si>
    <t>GF-AC-07- 11.2 kW , type Cassette (Inverter Type, C/W Anti Corona Virus Technologies)</t>
  </si>
  <si>
    <t>GF-AC-08- 9.0 kW , type Cassette (Inverter Type, C/W Anti Corona Virus Technologies)</t>
  </si>
  <si>
    <t>GF-AC-09- 9.0 kW , type Cassette (Inverter Type, C/W Anti Corona Virus Technologies)</t>
  </si>
  <si>
    <t>GF-AC-10~13- 11.2 kW , type Cassette (Inverter Type, C/W Anti Corona Virus Technologies)</t>
  </si>
  <si>
    <t>ODU-02- cooling cap : 96kW</t>
  </si>
  <si>
    <t>2F-AC-01~06 - 11.2 kW, type Cassette  (Inverter Type, C/W Anti Corona Virus Technologies)</t>
  </si>
  <si>
    <t>2F-AC-07~09 - 11.2 kW, type Cassette  (Inverter Type, C/W Anti Corona Virus Technologies)</t>
  </si>
  <si>
    <r>
      <t xml:space="preserve">Cáp tín hiệu  Bộ điều chỉnh nhiệt độ 
</t>
    </r>
    <r>
      <rPr>
        <i/>
        <sz val="10"/>
        <color indexed="12"/>
        <rFont val="Times New Roman"/>
        <family val="1"/>
      </rPr>
      <t xml:space="preserve">Signal cable for Thermostat </t>
    </r>
  </si>
  <si>
    <r>
      <t xml:space="preserve">Máy lạnh 2 cục loại biến tần
</t>
    </r>
    <r>
      <rPr>
        <i/>
        <sz val="10"/>
        <color indexed="12"/>
        <rFont val="Times New Roman"/>
        <family val="1"/>
      </rPr>
      <t xml:space="preserve">Inverter Spliter Airconditioner units </t>
    </r>
  </si>
  <si>
    <t>GF-AC-14 / GF-ODU-14: 5.0kW,  type Cassette  (Inverter Type, C/W Anti Corona Virus Technologies)</t>
  </si>
  <si>
    <t>GF-AC-15 / GF-ODU-15: 2.5kW, type Wall Mounted  (Inverter Type)</t>
  </si>
  <si>
    <t>2F-AC-10 / 2F-ODU-10: 2.5kW, type Wall Mounted  (Inverter Type)</t>
  </si>
  <si>
    <t>3F-AC-01 / 3F-ODU-01: 2.5kW, type Cassette  (Inverter Type, C/W Anti Corona Virus Technologies)</t>
  </si>
  <si>
    <t>3F-AC-02 / 3F-ODU-02: 7.5kW, type Cassette  (Inverter Type, C/W Anti Corona Virus Technologies)</t>
  </si>
  <si>
    <t>3F-AC-03 / 3F-ODU-03: 2.5kW, type Wall Mounted  (Inverter Type)</t>
  </si>
  <si>
    <t>4F-AC-01~14 / 4F-ODU-01~14: 14.0kW, type Cassette  (Inverter Type, C/W Anti Corona Virus Technologies)</t>
  </si>
  <si>
    <t>4F-AC-01~15 / 4F-ODU-15: 2.5kW, type Cassette  (Inverter Type, C/W Anti Corona Virus Technologies)</t>
  </si>
  <si>
    <t>4F-AC-16 / 4F-ODU-16: 7.5kW, type Cassette  (Inverter Type, C/W Anti Corona Virus Technologies)</t>
  </si>
  <si>
    <t>4F-AC-17 / 4F-ODU-17: 2.5kW, type Wall Mounted  (Inverter Type)</t>
  </si>
  <si>
    <r>
      <t xml:space="preserve">Ống gas (D19.1/41.3) bao gồm cách nhiệt 
</t>
    </r>
    <r>
      <rPr>
        <i/>
        <sz val="10"/>
        <color indexed="12"/>
        <rFont val="Times New Roman"/>
        <family val="1"/>
      </rPr>
      <t xml:space="preserve">Refrigerant pipe (D19.1/41.3) c/w insulation </t>
    </r>
  </si>
  <si>
    <r>
      <t xml:space="preserve">Ống gas (D19.1/34.9) bao gồm cách nhiệt
</t>
    </r>
    <r>
      <rPr>
        <i/>
        <sz val="10"/>
        <color indexed="12"/>
        <rFont val="Times New Roman"/>
        <family val="1"/>
      </rPr>
      <t xml:space="preserve">Refrigerant pipe (D19.1/34.9) c/w insulation </t>
    </r>
    <r>
      <rPr>
        <sz val="10"/>
        <rFont val="Times New Roman"/>
        <family val="1"/>
      </rPr>
      <t xml:space="preserve"> </t>
    </r>
  </si>
  <si>
    <r>
      <t xml:space="preserve">Ống gas (D15.9/28.6) bao gồm cách nhiệt 
</t>
    </r>
    <r>
      <rPr>
        <i/>
        <sz val="10"/>
        <color indexed="12"/>
        <rFont val="Times New Roman"/>
        <family val="1"/>
      </rPr>
      <t xml:space="preserve">Refrigerant pipe (D15.9/28.6) c/w insulation </t>
    </r>
  </si>
  <si>
    <r>
      <t xml:space="preserve">Ống gas (D12.7/28.6) bao gồm cách nhiệt 
</t>
    </r>
    <r>
      <rPr>
        <i/>
        <sz val="10"/>
        <color indexed="12"/>
        <rFont val="Times New Roman"/>
        <family val="1"/>
      </rPr>
      <t xml:space="preserve">Refrigerant pipe (D12.7/28.6) c/w insulation </t>
    </r>
  </si>
  <si>
    <r>
      <t xml:space="preserve">Ống gas (D9.5/15.9) bao gồm cách nhiệt 
</t>
    </r>
    <r>
      <rPr>
        <i/>
        <sz val="10"/>
        <color indexed="12"/>
        <rFont val="Times New Roman"/>
        <family val="1"/>
      </rPr>
      <t xml:space="preserve">Refrigerant pipe (D9.5/15.9) c/w insulation </t>
    </r>
  </si>
  <si>
    <r>
      <t xml:space="preserve">Ống gas (D9.5/22.2) bao gồm cách nhiệt 
</t>
    </r>
    <r>
      <rPr>
        <i/>
        <sz val="10"/>
        <color indexed="12"/>
        <rFont val="Times New Roman"/>
        <family val="1"/>
      </rPr>
      <t xml:space="preserve">Refrigerant pipe (D9.5/22.2) c/w insulation </t>
    </r>
  </si>
  <si>
    <r>
      <t xml:space="preserve">Ống gas (D6.4/12.7) bao gồm cách nhiệt
</t>
    </r>
    <r>
      <rPr>
        <i/>
        <sz val="10"/>
        <color indexed="12"/>
        <rFont val="Times New Roman"/>
        <family val="1"/>
      </rPr>
      <t xml:space="preserve">Refrigerant pipe (D6.4/12.7) c/w insulation </t>
    </r>
    <r>
      <rPr>
        <sz val="10"/>
        <color indexed="12"/>
        <rFont val="Times New Roman"/>
        <family val="1"/>
      </rPr>
      <t xml:space="preserve"> </t>
    </r>
  </si>
  <si>
    <r>
      <t xml:space="preserve">Co, nối T ống gas bao gồm cách nhiệt
</t>
    </r>
    <r>
      <rPr>
        <i/>
        <sz val="10"/>
        <color indexed="12"/>
        <rFont val="Times New Roman"/>
        <family val="1"/>
      </rPr>
      <t xml:space="preserve">Elbow , Te Refrigerant pipe c/w insulation </t>
    </r>
  </si>
  <si>
    <r>
      <t xml:space="preserve">Bộ kết nối dàn nóng 
</t>
    </r>
    <r>
      <rPr>
        <i/>
        <sz val="10"/>
        <color indexed="12"/>
        <rFont val="Times New Roman"/>
        <family val="1"/>
      </rPr>
      <t>Connector unit</t>
    </r>
  </si>
  <si>
    <r>
      <t xml:space="preserve">Bộ chia ga
</t>
    </r>
    <r>
      <rPr>
        <i/>
        <sz val="10"/>
        <color indexed="12"/>
        <rFont val="Times New Roman"/>
        <family val="1"/>
      </rPr>
      <t>Splitter</t>
    </r>
  </si>
  <si>
    <r>
      <t xml:space="preserve">Trunking tráng kẽm  bao gồm  nắp: 200x100
</t>
    </r>
    <r>
      <rPr>
        <i/>
        <sz val="10"/>
        <color indexed="12"/>
        <rFont val="Times New Roman"/>
        <family val="1"/>
      </rPr>
      <t>Zine coated trunking c/w cover: 200x100</t>
    </r>
  </si>
  <si>
    <r>
      <t xml:space="preserve">Trunking tráng kẽm bao gồm  nắp: 500x150
</t>
    </r>
    <r>
      <rPr>
        <i/>
        <sz val="10"/>
        <color indexed="12"/>
        <rFont val="Times New Roman"/>
        <family val="1"/>
      </rPr>
      <t>Zine coated trunking c/w cover: 500x150</t>
    </r>
  </si>
  <si>
    <r>
      <t xml:space="preserve">Trunking tráng kẽm bao gồm  nắp : 1000x150
</t>
    </r>
    <r>
      <rPr>
        <i/>
        <sz val="10"/>
        <color indexed="12"/>
        <rFont val="Times New Roman"/>
        <family val="1"/>
      </rPr>
      <t>Zine coated trunking c/w cover: 1000x150</t>
    </r>
  </si>
  <si>
    <r>
      <t>Ống thoát nước ngưng uPVC</t>
    </r>
    <r>
      <rPr>
        <i/>
        <sz val="10"/>
        <rFont val="Times New Roman"/>
        <family val="1"/>
      </rPr>
      <t xml:space="preserve">
</t>
    </r>
    <r>
      <rPr>
        <i/>
        <sz val="10"/>
        <color indexed="12"/>
        <rFont val="Times New Roman"/>
        <family val="1"/>
      </rPr>
      <t>Condensing drain pipe(uPVC pipe)</t>
    </r>
  </si>
  <si>
    <r>
      <t xml:space="preserve">Tấm tôn tráng kẽm dày 0.6mm (0.58mm)  cho ống gió gồm  cách nhiệt bên ngoài bằng bông thủy tinh tỷ trọng 32kg/m3
</t>
    </r>
    <r>
      <rPr>
        <i/>
        <sz val="10"/>
        <color indexed="12"/>
        <rFont val="Times New Roman"/>
        <family val="1"/>
      </rPr>
      <t>Galvanized tole sheet thick 0.6mm (0.58mm) for air duct shall be external insulated  with fiberglass density 32kg/m3</t>
    </r>
  </si>
  <si>
    <r>
      <t xml:space="preserve">Tấm tôn tráng kẽm dày 1.0mm (0.95mm)  cho ống gió gồm cách nhiệt bên trong bằng bông khoáng dày 50mm tỷ trọng 60kg/m3
</t>
    </r>
    <r>
      <rPr>
        <i/>
        <sz val="10"/>
        <color indexed="12"/>
        <rFont val="Times New Roman"/>
        <family val="1"/>
      </rPr>
      <t>Galvanized tole sheet thick 1.0mm (0.95mm) for air duct shall be internal insulated  with 50mm rookwool density 60kg/m3</t>
    </r>
  </si>
  <si>
    <r>
      <t xml:space="preserve">Ống gió mềm có cách nhiệt D150
</t>
    </r>
    <r>
      <rPr>
        <i/>
        <sz val="10"/>
        <color indexed="12"/>
        <rFont val="Times New Roman"/>
        <family val="1"/>
      </rPr>
      <t>Flexible air duct c/w insulation D150</t>
    </r>
  </si>
  <si>
    <t>FAG c/w OBD : round type D400</t>
  </si>
  <si>
    <t>SAG c/w VCD : 1150x140</t>
  </si>
  <si>
    <t>SAG c/w VCD : 1150x180</t>
  </si>
  <si>
    <r>
      <t xml:space="preserve">Miệng gió hồi kèm  van điều chỉnh lưu lượng 
</t>
    </r>
    <r>
      <rPr>
        <i/>
        <sz val="10"/>
        <color indexed="12"/>
        <rFont val="Times New Roman"/>
        <family val="1"/>
      </rPr>
      <t>Return Air Grill c/w VCD</t>
    </r>
  </si>
  <si>
    <t xml:space="preserve">RAG c/w VCD: 550x550 </t>
  </si>
  <si>
    <t>RAG c/w VCD : 1150x200</t>
  </si>
  <si>
    <t>RAG c/w VCD : 1150x180</t>
  </si>
  <si>
    <t>RAG c/w VCD : 1150x950</t>
  </si>
  <si>
    <t>Volum control damper VCD 500x200</t>
  </si>
  <si>
    <t>Volum control damper VCD 600x250</t>
  </si>
  <si>
    <t>Volum control damper VCD 650x300</t>
  </si>
  <si>
    <t xml:space="preserve">Volum control damper VCD 700x450 </t>
  </si>
  <si>
    <t>Volum control damper VCD 750x750</t>
  </si>
  <si>
    <t>Volum control damper VCD 1100X250</t>
  </si>
  <si>
    <t>Fire damper FD 650X300</t>
  </si>
  <si>
    <t>Fire damper FD 700x450</t>
  </si>
  <si>
    <t>Fire damper FD 900x200</t>
  </si>
  <si>
    <t>Fire damper FD 1100x250</t>
  </si>
  <si>
    <r>
      <t xml:space="preserve">Van điện
</t>
    </r>
    <r>
      <rPr>
        <i/>
        <sz val="10"/>
        <color indexed="12"/>
        <rFont val="Times New Roman"/>
        <family val="1"/>
      </rPr>
      <t xml:space="preserve">Motorized damper </t>
    </r>
  </si>
  <si>
    <t>Motorized damper MD 100x100</t>
  </si>
  <si>
    <t>Motorized damper MD 150x150</t>
  </si>
  <si>
    <t>Motorized damper MD 200X150</t>
  </si>
  <si>
    <t>Motorized damper MD 250x150</t>
  </si>
  <si>
    <t>Motorized damper MD 250x200</t>
  </si>
  <si>
    <t>Motorized damper MD 300X150</t>
  </si>
  <si>
    <t>Motorized damper MD 300X200</t>
  </si>
  <si>
    <t>Motorized damper MD 350X200</t>
  </si>
  <si>
    <t>Motorized damper MD 400X200</t>
  </si>
  <si>
    <t>Motorized damper MD 500X200</t>
  </si>
  <si>
    <t>Motorized damper MD 550X150</t>
  </si>
  <si>
    <t>Motorized damper MD 700x200</t>
  </si>
  <si>
    <t>Motorized damper MD 900x150</t>
  </si>
  <si>
    <t>Motorized damper MD 900x200</t>
  </si>
  <si>
    <r>
      <t xml:space="preserve">Cáp XLPE/PVC 1Cx150mm²
</t>
    </r>
    <r>
      <rPr>
        <i/>
        <sz val="10"/>
        <color indexed="12"/>
        <rFont val="Times New Roman"/>
        <family val="1"/>
      </rPr>
      <t>1Cx150mm² XLPE/PVC Cable</t>
    </r>
  </si>
  <si>
    <r>
      <t xml:space="preserve">Cáp XLPE/PVC 1Cx25mm²
</t>
    </r>
    <r>
      <rPr>
        <i/>
        <sz val="10"/>
        <color indexed="12"/>
        <rFont val="Times New Roman"/>
        <family val="1"/>
      </rPr>
      <t>1Cx25mm² XLPE/PVC Cable</t>
    </r>
  </si>
  <si>
    <r>
      <t xml:space="preserve">Cáp XLPE/PVC 4Cx35mm²
</t>
    </r>
    <r>
      <rPr>
        <i/>
        <sz val="10"/>
        <color indexed="12"/>
        <rFont val="Times New Roman"/>
        <family val="1"/>
      </rPr>
      <t>4Cx35mm² XLPE/PVC Cable</t>
    </r>
  </si>
  <si>
    <r>
      <t xml:space="preserve">Cáp XLPE/PVC 4Cx6.0mm²
</t>
    </r>
    <r>
      <rPr>
        <i/>
        <sz val="10"/>
        <color indexed="12"/>
        <rFont val="Times New Roman"/>
        <family val="1"/>
      </rPr>
      <t>4Cx6.0mm² XLPE/PVC Cable</t>
    </r>
  </si>
  <si>
    <r>
      <t xml:space="preserve">Cáp chống cháy  3Cx16mm²
</t>
    </r>
    <r>
      <rPr>
        <i/>
        <sz val="10"/>
        <color indexed="12"/>
        <rFont val="Times New Roman"/>
        <family val="1"/>
      </rPr>
      <t>3Cx16mm² FR/Cu Cable</t>
    </r>
  </si>
  <si>
    <r>
      <t xml:space="preserve">Cáp chống cháy  1Cx1.5mm²
</t>
    </r>
    <r>
      <rPr>
        <i/>
        <sz val="10"/>
        <color indexed="12"/>
        <rFont val="Times New Roman"/>
        <family val="1"/>
      </rPr>
      <t xml:space="preserve">1Cx1.5mm² FR/Cu Cable </t>
    </r>
  </si>
  <si>
    <r>
      <t xml:space="preserve">Cáp chống cháy  2Cx4.0mm²
</t>
    </r>
    <r>
      <rPr>
        <sz val="10"/>
        <color indexed="12"/>
        <rFont val="Times New Roman"/>
        <family val="1"/>
      </rPr>
      <t>2</t>
    </r>
    <r>
      <rPr>
        <i/>
        <sz val="10"/>
        <color indexed="12"/>
        <rFont val="Times New Roman"/>
        <family val="1"/>
      </rPr>
      <t xml:space="preserve">Cx4.0mm² FR/Cu Cable </t>
    </r>
  </si>
  <si>
    <r>
      <t xml:space="preserve">Cáp chống cháy  2Cx6.0mm²
</t>
    </r>
    <r>
      <rPr>
        <sz val="10"/>
        <color indexed="12"/>
        <rFont val="Times New Roman"/>
        <family val="1"/>
      </rPr>
      <t>2</t>
    </r>
    <r>
      <rPr>
        <i/>
        <sz val="10"/>
        <color indexed="12"/>
        <rFont val="Times New Roman"/>
        <family val="1"/>
      </rPr>
      <t xml:space="preserve">Cx6.0mm² FR/Cu Cable </t>
    </r>
  </si>
  <si>
    <r>
      <t xml:space="preserve">Máng cáp 100Wx100H
</t>
    </r>
    <r>
      <rPr>
        <i/>
        <sz val="10"/>
        <color indexed="12"/>
        <rFont val="Times New Roman"/>
        <family val="1"/>
      </rPr>
      <t>Cable tray 100Wx100H</t>
    </r>
  </si>
  <si>
    <t>Isolator 1P-25A</t>
  </si>
  <si>
    <t>Isolator 3P-16A</t>
  </si>
  <si>
    <t>Isolator 3P-40A</t>
  </si>
  <si>
    <t>Isolator 3P-60A</t>
  </si>
  <si>
    <t>Isolator 3P-100A</t>
  </si>
  <si>
    <t>MCCB 3P 60A 25KA</t>
  </si>
  <si>
    <t>MCB 2P 16A 6KA</t>
  </si>
  <si>
    <t>Contactor 2P CT 10A 2NO (230VAC COil)</t>
  </si>
  <si>
    <r>
      <t xml:space="preserve">Điều khiển LO/HI 3P 15/22 KW
</t>
    </r>
    <r>
      <rPr>
        <i/>
        <sz val="10"/>
        <color indexed="12"/>
        <rFont val="Times New Roman"/>
        <family val="1"/>
      </rPr>
      <t>Control LO/HI 3P 15/22 KW</t>
    </r>
  </si>
  <si>
    <t>Contactor 3P 40A 1NO + 1NC</t>
  </si>
  <si>
    <t>Contactor 3P 50A 1NO + 1NC</t>
  </si>
  <si>
    <r>
      <t xml:space="preserve">Relay nhiệt 23-32A
</t>
    </r>
    <r>
      <rPr>
        <i/>
        <sz val="10"/>
        <color indexed="12"/>
        <rFont val="Times New Roman"/>
        <family val="1"/>
      </rPr>
      <t>Overload relay 23-32A</t>
    </r>
  </si>
  <si>
    <r>
      <t xml:space="preserve">Relay nhiệt 37-50A
</t>
    </r>
    <r>
      <rPr>
        <i/>
        <sz val="10"/>
        <color indexed="12"/>
        <rFont val="Times New Roman"/>
        <family val="1"/>
      </rPr>
      <t>Overload relay 37-50A</t>
    </r>
  </si>
  <si>
    <r>
      <t xml:space="preserve">Mạch điều khiển LO/HI
</t>
    </r>
    <r>
      <rPr>
        <i/>
        <sz val="10"/>
        <color indexed="12"/>
        <rFont val="Times New Roman"/>
        <family val="1"/>
      </rPr>
      <t>Control circuit LO/HI</t>
    </r>
  </si>
  <si>
    <r>
      <t xml:space="preserve">Điều khiển DOL 3P 0.55KW
</t>
    </r>
    <r>
      <rPr>
        <i/>
        <sz val="10"/>
        <color indexed="12"/>
        <rFont val="Times New Roman"/>
        <family val="1"/>
      </rPr>
      <t>Control DOL 3P 0.55KW</t>
    </r>
  </si>
  <si>
    <r>
      <t xml:space="preserve">Relay nhiệt 1-1.6A
</t>
    </r>
    <r>
      <rPr>
        <i/>
        <sz val="10"/>
        <color indexed="12"/>
        <rFont val="Times New Roman"/>
        <family val="1"/>
      </rPr>
      <t>Overload relay 1-1.6A</t>
    </r>
  </si>
  <si>
    <t>CP-2-SEF</t>
  </si>
  <si>
    <r>
      <t xml:space="preserve">Điều khiển S/D 3P 11KW
</t>
    </r>
    <r>
      <rPr>
        <i/>
        <sz val="10"/>
        <color indexed="12"/>
        <rFont val="Times New Roman"/>
        <family val="1"/>
      </rPr>
      <t>Control  S/D 3P 11KW</t>
    </r>
  </si>
  <si>
    <r>
      <t xml:space="preserve">Mạch điều khiển S/D
</t>
    </r>
    <r>
      <rPr>
        <i/>
        <sz val="10"/>
        <color indexed="12"/>
        <rFont val="Times New Roman"/>
        <family val="1"/>
      </rPr>
      <t>Control circuit  S/D</t>
    </r>
  </si>
  <si>
    <r>
      <t xml:space="preserve">Điều khiển S/D 3P 7.5KW
</t>
    </r>
    <r>
      <rPr>
        <i/>
        <sz val="10"/>
        <color indexed="12"/>
        <rFont val="Times New Roman"/>
        <family val="1"/>
      </rPr>
      <t>Control  S/D 3P 7.5KW</t>
    </r>
  </si>
  <si>
    <r>
      <t xml:space="preserve">Điều khiển S/D 3P 18.5KW
</t>
    </r>
    <r>
      <rPr>
        <i/>
        <sz val="10"/>
        <color indexed="12"/>
        <rFont val="Times New Roman"/>
        <family val="1"/>
      </rPr>
      <t>Control S/D 3P 18.5KW</t>
    </r>
  </si>
  <si>
    <r>
      <t xml:space="preserve">Relay nhiệt 30-40A
</t>
    </r>
    <r>
      <rPr>
        <i/>
        <sz val="10"/>
        <color indexed="12"/>
        <rFont val="Times New Roman"/>
        <family val="1"/>
      </rPr>
      <t>Overload relay 30-40A</t>
    </r>
  </si>
  <si>
    <t>CP-R-EAF</t>
  </si>
  <si>
    <r>
      <t xml:space="preserve">Điều khiển DOL 3P 2.2KW
</t>
    </r>
    <r>
      <rPr>
        <i/>
        <sz val="10"/>
        <color indexed="12"/>
        <rFont val="Times New Roman"/>
        <family val="1"/>
      </rPr>
      <t>Control DOL 3P 2.2KW</t>
    </r>
  </si>
  <si>
    <r>
      <t xml:space="preserve">Relay chạy luân phiên
</t>
    </r>
    <r>
      <rPr>
        <i/>
        <sz val="10"/>
        <color indexed="12"/>
        <rFont val="Times New Roman"/>
        <family val="1"/>
      </rPr>
      <t>Relay alternative operation</t>
    </r>
  </si>
  <si>
    <r>
      <t xml:space="preserve">Điều khiển DOL 3P 1.1KW
</t>
    </r>
    <r>
      <rPr>
        <i/>
        <sz val="10"/>
        <color indexed="12"/>
        <rFont val="Times New Roman"/>
        <family val="1"/>
      </rPr>
      <t>Control DOL 3P 1.1KW</t>
    </r>
  </si>
  <si>
    <t>CP-FC (DB-FC)</t>
  </si>
  <si>
    <t>AC-G-BB</t>
  </si>
  <si>
    <t>AC-G-LE</t>
  </si>
  <si>
    <t>AC-G-LIB</t>
  </si>
  <si>
    <t>AC-G-GLM</t>
  </si>
  <si>
    <t>AC-G-TR.1</t>
  </si>
  <si>
    <t>AC-G-FAC</t>
  </si>
  <si>
    <t>AC-G-ELV</t>
  </si>
  <si>
    <t>AC-G-CHO</t>
  </si>
  <si>
    <t>AC-G-DR</t>
  </si>
  <si>
    <t>AC-GF (AC-G)</t>
  </si>
  <si>
    <t>MCCB 3P 75A 25KA</t>
  </si>
  <si>
    <t>AC-2-VA</t>
  </si>
  <si>
    <t>AC-2-MS</t>
  </si>
  <si>
    <t>AC-2-CL.1: AC-2-CL.2; AC-2-CL.5</t>
  </si>
  <si>
    <t>AC-2-CL.3</t>
  </si>
  <si>
    <t>AC-2-CL.4</t>
  </si>
  <si>
    <t>AC-2-LS</t>
  </si>
  <si>
    <t>AC-2-SL</t>
  </si>
  <si>
    <t>AC-2-DL</t>
  </si>
  <si>
    <t>AC-2-HC</t>
  </si>
  <si>
    <t>AC-3-DAN</t>
  </si>
  <si>
    <t>AC-3-CL.1; AC-3-CL.2; AC-3-CL.5</t>
  </si>
  <si>
    <t>AC-3-CL.3</t>
  </si>
  <si>
    <t>AC-3-CL.4</t>
  </si>
  <si>
    <t>AC-3-LS</t>
  </si>
  <si>
    <t>AC-3-SL</t>
  </si>
  <si>
    <t>AC-3-PE</t>
  </si>
  <si>
    <t>AC-4-DRA</t>
  </si>
  <si>
    <t>AC-4-CL.1; AC-4-CL.2; AC-4-CL.5</t>
  </si>
  <si>
    <t>AC-4-CL.3</t>
  </si>
  <si>
    <t>AC-4-CL.4</t>
  </si>
  <si>
    <t>AC-4-LS</t>
  </si>
  <si>
    <t>AC-4-SL</t>
  </si>
  <si>
    <t>AC-4-CO</t>
  </si>
  <si>
    <t>ODU-R</t>
  </si>
  <si>
    <t>MCCB 3P 350A 25KA</t>
  </si>
  <si>
    <r>
      <t xml:space="preserve">Đồng hồ Ampe 400A, Class 1.5, 96x96
</t>
    </r>
    <r>
      <rPr>
        <i/>
        <sz val="10"/>
        <color indexed="12"/>
        <rFont val="Times New Roman"/>
        <family val="1"/>
      </rPr>
      <t>Voltmeter</t>
    </r>
  </si>
  <si>
    <t>MCB 3P 25A 6KA</t>
  </si>
  <si>
    <t>ACB 3P 800A 50KA. Fixed</t>
  </si>
  <si>
    <t>MCCB 3P 320A 25KA</t>
  </si>
  <si>
    <r>
      <t xml:space="preserve">Điều khiển VSD 3P 18.5KW
</t>
    </r>
    <r>
      <rPr>
        <i/>
        <sz val="10"/>
        <color indexed="12"/>
        <rFont val="Times New Roman"/>
        <family val="1"/>
      </rPr>
      <t>Control  3P 18.5KW</t>
    </r>
  </si>
  <si>
    <r>
      <t xml:space="preserve">Biến tần 3P 18.5KW
</t>
    </r>
    <r>
      <rPr>
        <i/>
        <sz val="10"/>
        <color indexed="12"/>
        <rFont val="Times New Roman"/>
        <family val="1"/>
      </rPr>
      <t>Inverter 3P-18.5kW</t>
    </r>
  </si>
  <si>
    <r>
      <t xml:space="preserve">Điều khiển S/D 3P 15KW
</t>
    </r>
    <r>
      <rPr>
        <i/>
        <sz val="10"/>
        <color indexed="12"/>
        <rFont val="Times New Roman"/>
        <family val="1"/>
      </rPr>
      <t>Control  S/D 3P 15KW</t>
    </r>
  </si>
  <si>
    <t>CP-AHU</t>
  </si>
  <si>
    <r>
      <t xml:space="preserve">Biến tần 3P 15KW
</t>
    </r>
    <r>
      <rPr>
        <i/>
        <sz val="10"/>
        <color indexed="12"/>
        <rFont val="Times New Roman"/>
        <family val="1"/>
      </rPr>
      <t>Inverter 3P-15kW</t>
    </r>
  </si>
  <si>
    <r>
      <t xml:space="preserve">Hệ thống điều khiển cho Chiller, FCU, PAU, AHU
</t>
    </r>
    <r>
      <rPr>
        <b/>
        <i/>
        <sz val="10"/>
        <color indexed="12"/>
        <rFont val="Times New Roman"/>
        <family val="1"/>
      </rPr>
      <t>Control systemfor Chiller , FCU, PAU, AHU</t>
    </r>
  </si>
  <si>
    <r>
      <t xml:space="preserve">Hộp relay gồm phụ kiện
</t>
    </r>
    <r>
      <rPr>
        <sz val="10"/>
        <color indexed="12"/>
        <rFont val="Times New Roman"/>
        <family val="1"/>
      </rPr>
      <t>Relay box with Accessories</t>
    </r>
  </si>
  <si>
    <r>
      <t xml:space="preserve">Cáp tín hiệu điều khiển bao gồm ống luồn, máng cáp 
</t>
    </r>
    <r>
      <rPr>
        <i/>
        <sz val="10"/>
        <color indexed="12"/>
        <rFont val="Times New Roman"/>
        <family val="1"/>
      </rPr>
      <t xml:space="preserve">Signal cable c/w conduit, trunking  </t>
    </r>
  </si>
  <si>
    <r>
      <t xml:space="preserve">Tủ điều khiển AHU
</t>
    </r>
    <r>
      <rPr>
        <i/>
        <sz val="10"/>
        <color indexed="12"/>
        <rFont val="Times New Roman"/>
        <family val="1"/>
      </rPr>
      <t>Air handing unit controller panel</t>
    </r>
  </si>
  <si>
    <r>
      <t xml:space="preserve">Cảm biến nồng độ CO2
</t>
    </r>
    <r>
      <rPr>
        <i/>
        <sz val="10"/>
        <color indexed="12"/>
        <rFont val="Times New Roman"/>
        <family val="1"/>
      </rPr>
      <t>CO2 sensor</t>
    </r>
  </si>
  <si>
    <r>
      <t xml:space="preserve">Lập trình, kiểm tra và vận hành bàn giao
</t>
    </r>
    <r>
      <rPr>
        <i/>
        <sz val="10"/>
        <color indexed="12"/>
        <rFont val="Times New Roman"/>
        <family val="1"/>
      </rPr>
      <t xml:space="preserve">Programming, testing and commissioning &amp; handover.  </t>
    </r>
  </si>
  <si>
    <r>
      <t xml:space="preserve">Tủ điều khiển báo cháy địa chỉ  8 loop
</t>
    </r>
    <r>
      <rPr>
        <i/>
        <sz val="10"/>
        <color indexed="12"/>
        <rFont val="Times New Roman"/>
        <family val="1"/>
      </rPr>
      <t xml:space="preserve">Addressable Fire Alarm Control Panel 8 loops </t>
    </r>
  </si>
  <si>
    <r>
      <t xml:space="preserve">Tủ hiển thị phụ &amp; Bảng hiển thị led (48 LED)
</t>
    </r>
    <r>
      <rPr>
        <i/>
        <sz val="10"/>
        <color indexed="12"/>
        <rFont val="Times New Roman"/>
        <family val="1"/>
      </rPr>
      <t>Repeater panel &amp; Led annunciator module (48 LED)</t>
    </r>
  </si>
  <si>
    <r>
      <t xml:space="preserve">Đầu báo Beam 
</t>
    </r>
    <r>
      <rPr>
        <i/>
        <sz val="10"/>
        <color indexed="12"/>
        <rFont val="Times New Roman"/>
        <family val="1"/>
      </rPr>
      <t>Beam detector</t>
    </r>
  </si>
  <si>
    <r>
      <t xml:space="preserve">Module giám sát đầu báo beam
</t>
    </r>
    <r>
      <rPr>
        <i/>
        <sz val="10"/>
        <color indexed="12"/>
        <rFont val="Times New Roman"/>
        <family val="1"/>
      </rPr>
      <t>Monitoring module for beam detector</t>
    </r>
  </si>
  <si>
    <r>
      <t xml:space="preserve">Ống luồn dây điện PVC D20
</t>
    </r>
    <r>
      <rPr>
        <i/>
        <sz val="10"/>
        <color indexed="12"/>
        <rFont val="Times New Roman"/>
        <family val="1"/>
      </rPr>
      <t>PVC conduit D20</t>
    </r>
  </si>
  <si>
    <r>
      <t xml:space="preserve">Ống ruột gà lõi thép GI D20 
</t>
    </r>
    <r>
      <rPr>
        <i/>
        <sz val="10"/>
        <color indexed="12"/>
        <rFont val="Times New Roman"/>
        <family val="1"/>
      </rPr>
      <t>GI Flexible conduit D20</t>
    </r>
  </si>
  <si>
    <r>
      <t xml:space="preserve">Phụ kiện cho ống luồn dây  (Box, kèm nắp, nối trơn, nối răng, bọ,...)
</t>
    </r>
    <r>
      <rPr>
        <i/>
        <sz val="10"/>
        <color indexed="12"/>
        <rFont val="Times New Roman"/>
        <family val="1"/>
      </rPr>
      <t>Accessories for conduit (Box, connect, support…)</t>
    </r>
  </si>
  <si>
    <r>
      <t xml:space="preserve">Hệ thống chữa cháy hydrant, sprinkler &amp; drencher
</t>
    </r>
    <r>
      <rPr>
        <b/>
        <i/>
        <sz val="10"/>
        <color indexed="12"/>
        <rFont val="Times New Roman"/>
        <family val="1"/>
      </rPr>
      <t>Fire hydrant system, sprinkler system &amp;Drencher system</t>
    </r>
  </si>
  <si>
    <r>
      <t xml:space="preserve">Phòng bơm </t>
    </r>
    <r>
      <rPr>
        <b/>
        <i/>
        <sz val="10"/>
        <rFont val="Times New Roman"/>
        <family val="1"/>
      </rPr>
      <t xml:space="preserve">
</t>
    </r>
    <r>
      <rPr>
        <b/>
        <i/>
        <sz val="10"/>
        <color indexed="12"/>
        <rFont val="Times New Roman"/>
        <family val="1"/>
      </rPr>
      <t>Pump room</t>
    </r>
  </si>
  <si>
    <r>
      <t xml:space="preserve">Bơm chữa cháy trục ngang đường đặc tính tuân theo QCVN02:2020 Q=407(m3/h), H=75(m)
</t>
    </r>
    <r>
      <rPr>
        <i/>
        <sz val="10"/>
        <color indexed="12"/>
        <rFont val="Times New Roman"/>
        <family val="1"/>
      </rPr>
      <t>Electric fire pump totally comply with QCVN02:2020 Q=407(m3/h), H=75(m)</t>
    </r>
  </si>
  <si>
    <r>
      <t xml:space="preserve">Bơm bù Q=5(m3/h),  H=80(m)
</t>
    </r>
    <r>
      <rPr>
        <i/>
        <sz val="10"/>
        <color indexed="12"/>
        <rFont val="Times New Roman"/>
        <family val="1"/>
      </rPr>
      <t>Jockey pump Q=5(m3/h),  H=80(m)</t>
    </r>
  </si>
  <si>
    <r>
      <t xml:space="preserve">Bình tích áp 100L kèm van  và các phụ kiện 
</t>
    </r>
    <r>
      <rPr>
        <i/>
        <sz val="10"/>
        <color indexed="12"/>
        <rFont val="Times New Roman"/>
        <family val="1"/>
      </rPr>
      <t xml:space="preserve">Pressurize tank 100L c/w valve and fitting </t>
    </r>
  </si>
  <si>
    <r>
      <t xml:space="preserve">Chống sét lan truyền. 3P+N Imax 100kA
</t>
    </r>
    <r>
      <rPr>
        <i/>
        <sz val="10"/>
        <color indexed="12"/>
        <rFont val="Times New Roman"/>
        <family val="1"/>
      </rPr>
      <t>Surge Protector 100kA 3P+N 385V</t>
    </r>
    <r>
      <rPr>
        <sz val="10"/>
        <rFont val="Times New Roman"/>
        <family val="1"/>
      </rPr>
      <t xml:space="preserve">
</t>
    </r>
  </si>
  <si>
    <t>MCCB-3P-25A</t>
  </si>
  <si>
    <t>MCCB-3P 25A 25KA</t>
  </si>
  <si>
    <t>MCB-1P-16A,6KA</t>
  </si>
  <si>
    <r>
      <t xml:space="preserve">Dây cáp cấp nguồn điều khiển bơm
</t>
    </r>
    <r>
      <rPr>
        <i/>
        <sz val="10"/>
        <color indexed="12"/>
        <rFont val="Times New Roman"/>
        <family val="1"/>
      </rPr>
      <t>Electric cable from control panel to pump</t>
    </r>
  </si>
  <si>
    <r>
      <t xml:space="preserve">Tấm chống xoáy nước inox DN300
</t>
    </r>
    <r>
      <rPr>
        <i/>
        <sz val="10"/>
        <color indexed="12"/>
        <rFont val="Times New Roman"/>
        <family val="1"/>
      </rPr>
      <t>Stainless steel anti vortex  platev DN300</t>
    </r>
  </si>
  <si>
    <r>
      <t xml:space="preserve">Van cổng ty nổi OS&amp;Y DN300
</t>
    </r>
    <r>
      <rPr>
        <i/>
        <sz val="10"/>
        <color indexed="12"/>
        <rFont val="Times New Roman"/>
        <family val="1"/>
      </rPr>
      <t>Gate valve OS&amp;Y DN300</t>
    </r>
  </si>
  <si>
    <r>
      <t xml:space="preserve">Van cổng ty nổi OS&amp;Y kèm công tắc giám sát DN250
</t>
    </r>
    <r>
      <rPr>
        <i/>
        <sz val="10"/>
        <color indexed="12"/>
        <rFont val="Times New Roman"/>
        <family val="1"/>
      </rPr>
      <t>Gate valve  OS&amp;Y with supervisory switch DN250</t>
    </r>
  </si>
  <si>
    <r>
      <t xml:space="preserve">Y lọc DN250
</t>
    </r>
    <r>
      <rPr>
        <i/>
        <sz val="10"/>
        <color indexed="12"/>
        <rFont val="Times New Roman"/>
        <family val="1"/>
      </rPr>
      <t>Y- Straine DN250</t>
    </r>
  </si>
  <si>
    <r>
      <t xml:space="preserve">Nối mềm thép không rỉ DN250
</t>
    </r>
    <r>
      <rPr>
        <i/>
        <sz val="10"/>
        <color indexed="12"/>
        <rFont val="Times New Roman"/>
        <family val="1"/>
      </rPr>
      <t>Stainless steel flexible connector DN250</t>
    </r>
  </si>
  <si>
    <r>
      <t xml:space="preserve">Van một chiều DN200
</t>
    </r>
    <r>
      <rPr>
        <i/>
        <sz val="10"/>
        <color indexed="12"/>
        <rFont val="Times New Roman"/>
        <family val="1"/>
      </rPr>
      <t>Check Valve DN200</t>
    </r>
  </si>
  <si>
    <r>
      <t xml:space="preserve">Vật tư phụ...
</t>
    </r>
    <r>
      <rPr>
        <i/>
        <sz val="10"/>
        <color indexed="12"/>
        <rFont val="Times New Roman"/>
        <family val="1"/>
      </rPr>
      <t>Accessories…..</t>
    </r>
  </si>
  <si>
    <r>
      <t>Thiết bị chính</t>
    </r>
    <r>
      <rPr>
        <b/>
        <i/>
        <sz val="10"/>
        <rFont val="Times New Roman"/>
        <family val="1"/>
      </rPr>
      <t xml:space="preserve">
</t>
    </r>
    <r>
      <rPr>
        <b/>
        <i/>
        <sz val="10"/>
        <color indexed="12"/>
        <rFont val="Times New Roman"/>
        <family val="1"/>
      </rPr>
      <t>Material</t>
    </r>
  </si>
  <si>
    <r>
      <t xml:space="preserve">Chụp inox bảo vệ đầu phun 
</t>
    </r>
    <r>
      <rPr>
        <i/>
        <sz val="10"/>
        <color indexed="12"/>
        <rFont val="Times New Roman"/>
        <family val="1"/>
      </rPr>
      <t xml:space="preserve">Stainless steel sprinkler guard </t>
    </r>
  </si>
  <si>
    <r>
      <t xml:space="preserve">Tủ chữa cháy trong nhà dày 1.4mm, H1100 x W700 x D200mm
</t>
    </r>
    <r>
      <rPr>
        <i/>
        <sz val="10"/>
        <color indexed="12"/>
        <rFont val="Times New Roman"/>
        <family val="1"/>
      </rPr>
      <t>Indoor Fire hydrant cabinet (thickness 1.4mmm) H1100 x W700 x D200mm</t>
    </r>
  </si>
  <si>
    <r>
      <t xml:space="preserve">Cuộn vòi + ngàm  nối DN50x20m
</t>
    </r>
    <r>
      <rPr>
        <i/>
        <sz val="10"/>
        <color indexed="12"/>
        <rFont val="Times New Roman"/>
        <family val="1"/>
      </rPr>
      <t>Fire Hose + Bracing DN50x20m</t>
    </r>
  </si>
  <si>
    <r>
      <t xml:space="preserve">Bình chữa cháy xách tay CO2 5 Kg 
</t>
    </r>
    <r>
      <rPr>
        <i/>
        <sz val="10"/>
        <color indexed="12"/>
        <rFont val="Times New Roman"/>
        <family val="1"/>
      </rPr>
      <t>Fire extinguisher powder CO2 5 Kg</t>
    </r>
  </si>
  <si>
    <r>
      <t xml:space="preserve">Bình chữa cháy tự động ABC 6Kg
</t>
    </r>
    <r>
      <rPr>
        <i/>
        <sz val="10"/>
        <color indexed="12"/>
        <rFont val="Times New Roman"/>
        <family val="1"/>
      </rPr>
      <t>Automatic dry powder units ABC 6Kg</t>
    </r>
  </si>
  <si>
    <r>
      <t xml:space="preserve">Bình chữa cháy tự động ABC 9Kg
</t>
    </r>
    <r>
      <rPr>
        <i/>
        <sz val="10"/>
        <color indexed="12"/>
        <rFont val="Times New Roman"/>
        <family val="1"/>
      </rPr>
      <t>Automatic dry powder units ABC 9Kg</t>
    </r>
  </si>
  <si>
    <r>
      <t>Van</t>
    </r>
    <r>
      <rPr>
        <b/>
        <i/>
        <sz val="10"/>
        <rFont val="Times New Roman"/>
        <family val="1"/>
      </rPr>
      <t xml:space="preserve">
</t>
    </r>
    <r>
      <rPr>
        <b/>
        <i/>
        <sz val="10"/>
        <color indexed="12"/>
        <rFont val="Times New Roman"/>
        <family val="1"/>
      </rPr>
      <t>Valve</t>
    </r>
  </si>
  <si>
    <r>
      <t xml:space="preserve">Van cổng ty nổi OS&amp;Y kèm công tắc giám sát DN125
</t>
    </r>
    <r>
      <rPr>
        <i/>
        <sz val="10"/>
        <color indexed="12"/>
        <rFont val="Times New Roman"/>
        <family val="1"/>
      </rPr>
      <t>Gate valve  OS&amp;Y with supervisory switch DN125</t>
    </r>
  </si>
  <si>
    <r>
      <t xml:space="preserve">Cụm van báo động DN150 bao gồm:
+ 1 Van báo động DN150 kèm công tắc áp suất
+ 1 Van cổng ty nổi OS&amp;Y kèm công tắc giám sát DN150 </t>
    </r>
    <r>
      <rPr>
        <i/>
        <sz val="10"/>
        <rFont val="Times New Roman"/>
        <family val="1"/>
      </rPr>
      <t xml:space="preserve">
</t>
    </r>
    <r>
      <rPr>
        <i/>
        <sz val="10"/>
        <color indexed="12"/>
        <rFont val="Times New Roman"/>
        <family val="1"/>
      </rPr>
      <t xml:space="preserve"> Alarm check valve including: 
+ 1x  Alarm check valve DN150, with monitoring switch
+ 1 x Gate valve OS&amp;Y with supervisory switch  DN150</t>
    </r>
  </si>
  <si>
    <r>
      <t>Cụm van giảm áp DN50 cho tủ vách tường, bao gồm:
+ 1 van giảm áp DN50
+ 3 van cổng DN50</t>
    </r>
    <r>
      <rPr>
        <i/>
        <sz val="10"/>
        <rFont val="Times New Roman"/>
        <family val="1"/>
      </rPr>
      <t xml:space="preserve">
</t>
    </r>
    <r>
      <rPr>
        <i/>
        <sz val="10"/>
        <color indexed="12"/>
        <rFont val="Times New Roman"/>
        <family val="1"/>
      </rPr>
      <t>Pressure reducing valve for indoor hose cabinet including:
+ 1 Nos Pressure reducing valve DN50
+ 3 Nos Gate valve DN50</t>
    </r>
  </si>
  <si>
    <r>
      <t>Cụm van xả tràn drencher DN 100 bao gồm:
+ 1 Van xả tràn DN100
+ 1  Van bướm kèm công tắc giám sát DN100</t>
    </r>
    <r>
      <rPr>
        <i/>
        <sz val="10"/>
        <rFont val="Times New Roman"/>
        <family val="1"/>
      </rPr>
      <t xml:space="preserve">
</t>
    </r>
    <r>
      <rPr>
        <i/>
        <sz val="10"/>
        <color indexed="12"/>
        <rFont val="Times New Roman"/>
        <family val="1"/>
      </rPr>
      <t xml:space="preserve"> Drencher valve DN 100 including:
+ 1 Nos Drencher valve DN100
+1 Nos Butterfly valve with supervisory switch  DN100</t>
    </r>
  </si>
  <si>
    <r>
      <t xml:space="preserve">Cụm van giám sát vùng DN80 bao gồm:
+ 1 Van cổng ty nổi OS&amp;Y kèm công tắc giám sát DN80
+ 1 Công tắc dòng chảy
+ 1 Đồng hồ đo áp suất kèm van bi, si phong
+ 1 Kính quan sát DN25
+ 2 Van cổng DN25
+ 2 Rắc co DN25
</t>
    </r>
    <r>
      <rPr>
        <i/>
        <sz val="10"/>
        <color indexed="12"/>
        <rFont val="Times New Roman"/>
        <family val="1"/>
      </rPr>
      <t>Zone control valve DN80 including:
+ 1 Nos  Gate valve OS&amp;Y with supervisory switch  DN80
+ 1 Nos Flow switch
+ 1 Nos Pressure gauge c/w ball valve &amp;syphon
+ 1 Nos Sight glass DN25
+ 2 Nos Ball valve DN25
+ 2 Nos Threaded union  DN25</t>
    </r>
  </si>
  <si>
    <r>
      <t xml:space="preserve">Cụm van giám sát vùng DN125 bao gồm:
+ 1 Van cổng ty nổi OS&amp;Y kèm công tắc giám sát DN125
+ 1 Công tắc dòng chảy
+ 1 Đồng hồ đo áp suất kèm van bi, si phong
+ 1 Kính quan sát DN25
+ 2 Van cổng DN25
+ 2 Rắc co DN25
</t>
    </r>
    <r>
      <rPr>
        <i/>
        <sz val="10"/>
        <color indexed="12"/>
        <rFont val="Times New Roman"/>
        <family val="1"/>
      </rPr>
      <t>Zone control valve DN125 including:
+ 1 Nos  Gate valve OS&amp;Y with supervisory switch  DN125
+ 1 Nos Flow switch
+ 1 Nos Pressure gauge c/w ball valve &amp;syphon
+ 1 Nos Sight glass DN25
+ 2 Nos Ball valve DN25
+ 2 Nos Threaded union  DN25</t>
    </r>
  </si>
  <si>
    <r>
      <t xml:space="preserve">Cụm van giám sát vùng DN150 bao gồm:
+ 1 Van cổng ty nổi OS&amp;Y kèm công tắc giám sát DN150
+ 1 Công tắc dòng chảy
+ 1 Đồng hồ đo áp suất kèm van bi, si phong
+ 1 Kính quan sát DN25
+ 2 Van cổng DN25
+ 2 Rắc co DN25
</t>
    </r>
    <r>
      <rPr>
        <i/>
        <sz val="10"/>
        <color indexed="12"/>
        <rFont val="Times New Roman"/>
        <family val="1"/>
      </rPr>
      <t>Zone control valve DN150 including:
+ 1 Nos  Gate valve OS&amp;Y with supervisory switch  DN150
+ 1 Nos Flow switch
+ 1 Nos Pressure gauge c/w ball valve &amp;syphon
+ 1 Nos Sight glass DN25
+ 2 Nos Ball valve DN25
+ 2 Nos Threaded union  DN25</t>
    </r>
  </si>
  <si>
    <r>
      <t xml:space="preserve">Mặt bích DN300
</t>
    </r>
    <r>
      <rPr>
        <i/>
        <sz val="10"/>
        <color indexed="12"/>
        <rFont val="Times New Roman"/>
        <family val="1"/>
      </rPr>
      <t>Flange DN300</t>
    </r>
  </si>
  <si>
    <r>
      <t xml:space="preserve">Mặt bích DN125
</t>
    </r>
    <r>
      <rPr>
        <i/>
        <sz val="10"/>
        <color indexed="12"/>
        <rFont val="Times New Roman"/>
        <family val="1"/>
      </rPr>
      <t>Flange DN125</t>
    </r>
  </si>
  <si>
    <r>
      <t xml:space="preserve">Mặt bích DN80
</t>
    </r>
    <r>
      <rPr>
        <i/>
        <sz val="10"/>
        <color indexed="12"/>
        <rFont val="Times New Roman"/>
        <family val="1"/>
      </rPr>
      <t>Flange DN80</t>
    </r>
  </si>
  <si>
    <r>
      <t xml:space="preserve">Mặt bích mù DN200
</t>
    </r>
    <r>
      <rPr>
        <i/>
        <sz val="10"/>
        <color indexed="12"/>
        <rFont val="Times New Roman"/>
        <family val="1"/>
      </rPr>
      <t>Blind flange DN200</t>
    </r>
  </si>
  <si>
    <r>
      <t xml:space="preserve">Mặt bích mù DN300
</t>
    </r>
    <r>
      <rPr>
        <i/>
        <sz val="10"/>
        <color indexed="12"/>
        <rFont val="Times New Roman"/>
        <family val="1"/>
      </rPr>
      <t>Blind flange DN300</t>
    </r>
  </si>
  <si>
    <r>
      <t xml:space="preserve">Vật tư phụ….
</t>
    </r>
    <r>
      <rPr>
        <i/>
        <sz val="10"/>
        <color indexed="12"/>
        <rFont val="Times New Roman"/>
        <family val="1"/>
      </rPr>
      <t>Accessories……</t>
    </r>
  </si>
  <si>
    <r>
      <t xml:space="preserve">Ống thép và phụ kiện của ống thép
</t>
    </r>
    <r>
      <rPr>
        <b/>
        <i/>
        <sz val="10"/>
        <color indexed="12"/>
        <rFont val="Times New Roman"/>
        <family val="1"/>
      </rPr>
      <t>Steel pipe &amp; fitting for pipe</t>
    </r>
  </si>
  <si>
    <r>
      <t xml:space="preserve">Ống thép đenDN150 dày 5.0mm
</t>
    </r>
    <r>
      <rPr>
        <i/>
        <sz val="10"/>
        <color indexed="12"/>
        <rFont val="Times New Roman"/>
        <family val="1"/>
      </rPr>
      <t>Black steel pipe DN150, thickness 5.0mm</t>
    </r>
  </si>
  <si>
    <r>
      <t xml:space="preserve">Ống thép đenDN125 dày 5.0mm
</t>
    </r>
    <r>
      <rPr>
        <i/>
        <sz val="10"/>
        <color indexed="12"/>
        <rFont val="Times New Roman"/>
        <family val="1"/>
      </rPr>
      <t>Black steel pipe DN125, thickness 5.0mm</t>
    </r>
  </si>
  <si>
    <r>
      <t xml:space="preserve">Ống thép đenDN100 dày 3.6mm
</t>
    </r>
    <r>
      <rPr>
        <i/>
        <sz val="10"/>
        <color indexed="12"/>
        <rFont val="Times New Roman"/>
        <family val="1"/>
      </rPr>
      <t>Black steel pipe DN100, thickness 3.6mm</t>
    </r>
  </si>
  <si>
    <r>
      <t xml:space="preserve">Ống thép đenDN80 dày 3.2mm
</t>
    </r>
    <r>
      <rPr>
        <i/>
        <sz val="10"/>
        <color indexed="12"/>
        <rFont val="Times New Roman"/>
        <family val="1"/>
      </rPr>
      <t>Black steel pipe DN80, thickness 3.2mm</t>
    </r>
  </si>
  <si>
    <r>
      <t xml:space="preserve">Ống thép đenDN65 dày 3.2mm
</t>
    </r>
    <r>
      <rPr>
        <i/>
        <sz val="10"/>
        <color indexed="12"/>
        <rFont val="Times New Roman"/>
        <family val="1"/>
      </rPr>
      <t>Black steel pipe DN65, thickness 3.2mm</t>
    </r>
  </si>
  <si>
    <r>
      <t xml:space="preserve">Ống thép đenDN50 dày 2.9mm
</t>
    </r>
    <r>
      <rPr>
        <i/>
        <sz val="10"/>
        <color indexed="12"/>
        <rFont val="Times New Roman"/>
        <family val="1"/>
      </rPr>
      <t>Black steel pipe DN50, thickness 2.9mm</t>
    </r>
  </si>
  <si>
    <r>
      <t xml:space="preserve">Ống thép đenDN40 dày 2.9mm
</t>
    </r>
    <r>
      <rPr>
        <i/>
        <sz val="10"/>
        <color indexed="12"/>
        <rFont val="Times New Roman"/>
        <family val="1"/>
      </rPr>
      <t>Black steel pipe DN40, thickness 2.9mm</t>
    </r>
  </si>
  <si>
    <r>
      <t xml:space="preserve">Ống thép đenDN32 dày 2.6mm
</t>
    </r>
    <r>
      <rPr>
        <i/>
        <sz val="10"/>
        <color indexed="12"/>
        <rFont val="Times New Roman"/>
        <family val="1"/>
      </rPr>
      <t>Black steel pipe DN32, thickness 2.6mm</t>
    </r>
  </si>
  <si>
    <r>
      <t xml:space="preserve">Ống thép đenDN25 dày 2.6mm
</t>
    </r>
    <r>
      <rPr>
        <i/>
        <sz val="10"/>
        <color indexed="12"/>
        <rFont val="Times New Roman"/>
        <family val="1"/>
      </rPr>
      <t>Black steel pipe DN25, thickness 2.6mm</t>
    </r>
  </si>
  <si>
    <r>
      <t xml:space="preserve">Ống thép tráng kẽm DN300 dày 6.35mm
</t>
    </r>
    <r>
      <rPr>
        <i/>
        <sz val="10"/>
        <color indexed="12"/>
        <rFont val="Times New Roman"/>
        <family val="1"/>
      </rPr>
      <t>Galvanised steel pipe DN300, thickness 6.35mm</t>
    </r>
  </si>
  <si>
    <r>
      <t xml:space="preserve">Ống thép tráng kẽm DN250 dày 6.35mm
</t>
    </r>
    <r>
      <rPr>
        <i/>
        <sz val="10"/>
        <color indexed="12"/>
        <rFont val="Times New Roman"/>
        <family val="1"/>
      </rPr>
      <t>Galvanised steel pipe DN250, thickness 6.35mm</t>
    </r>
  </si>
  <si>
    <r>
      <t xml:space="preserve">Ống thép tráng kẽm DN200 dày 6.35mm
</t>
    </r>
    <r>
      <rPr>
        <i/>
        <sz val="10"/>
        <color indexed="12"/>
        <rFont val="Times New Roman"/>
        <family val="1"/>
      </rPr>
      <t>Galvanised steel pipe DN200, thickness 6.35mm</t>
    </r>
  </si>
  <si>
    <r>
      <t xml:space="preserve">Ống thép tráng kẽm DN50 dày 2.9mm
</t>
    </r>
    <r>
      <rPr>
        <i/>
        <sz val="10"/>
        <color indexed="12"/>
        <rFont val="Times New Roman"/>
        <family val="1"/>
      </rPr>
      <t>Galvanised steel pipe DN50, thickness 2.9mm</t>
    </r>
  </si>
  <si>
    <r>
      <t xml:space="preserve">Ống thép tráng kẽm DN40 dày 2.9mm
</t>
    </r>
    <r>
      <rPr>
        <i/>
        <sz val="10"/>
        <color indexed="12"/>
        <rFont val="Times New Roman"/>
        <family val="1"/>
      </rPr>
      <t>Galvanised steel pipe DN40, thickness 2.9mm</t>
    </r>
  </si>
  <si>
    <r>
      <t xml:space="preserve">Ống Inox  DN300 dày 6.55mm
</t>
    </r>
    <r>
      <rPr>
        <i/>
        <sz val="10"/>
        <color indexed="12"/>
        <rFont val="Times New Roman"/>
        <family val="1"/>
      </rPr>
      <t xml:space="preserve">Stainless steel pipe DN300 thick 6.5mm  </t>
    </r>
  </si>
  <si>
    <r>
      <t xml:space="preserve">Phụ kiện cho ống inox 
</t>
    </r>
    <r>
      <rPr>
        <i/>
        <sz val="10"/>
        <color indexed="12"/>
        <rFont val="Times New Roman"/>
        <family val="1"/>
      </rPr>
      <t>Fitting for Stainless  steel pipe</t>
    </r>
  </si>
  <si>
    <r>
      <t xml:space="preserve">Hố ga (bằng gạch: 1000L*1000W*1200H)
</t>
    </r>
    <r>
      <rPr>
        <i/>
        <sz val="10"/>
        <color indexed="12"/>
        <rFont val="Times New Roman"/>
        <family val="1"/>
      </rPr>
      <t>Manhold (by brick: 1000L*1000W*1200H)</t>
    </r>
  </si>
  <si>
    <r>
      <t xml:space="preserve">Ống STK D125
</t>
    </r>
    <r>
      <rPr>
        <i/>
        <sz val="10"/>
        <color indexed="12"/>
        <rFont val="Times New Roman"/>
        <family val="1"/>
      </rPr>
      <t>GI pipe D125</t>
    </r>
  </si>
  <si>
    <r>
      <t xml:space="preserve">Vận chuyển đất đá
</t>
    </r>
    <r>
      <rPr>
        <i/>
        <sz val="10"/>
        <rFont val="Times New Roman"/>
        <family val="1"/>
      </rPr>
      <t>Move out of soil</t>
    </r>
  </si>
  <si>
    <r>
      <t xml:space="preserve">Cát san lấp
</t>
    </r>
    <r>
      <rPr>
        <i/>
        <sz val="10"/>
        <color indexed="12"/>
        <rFont val="Times New Roman"/>
        <family val="1"/>
      </rPr>
      <t>Back filling sand</t>
    </r>
  </si>
  <si>
    <r>
      <t xml:space="preserve">Ống lồng loại chống thấm
</t>
    </r>
    <r>
      <rPr>
        <i/>
        <sz val="10"/>
        <color indexed="12"/>
        <rFont val="Times New Roman"/>
        <family val="1"/>
      </rPr>
      <t>Water proof sleeves DN125x600mm</t>
    </r>
  </si>
  <si>
    <r>
      <t xml:space="preserve">Hệ thống cấp thoát nước ngoài nhà
</t>
    </r>
    <r>
      <rPr>
        <b/>
        <sz val="10"/>
        <color indexed="12"/>
        <rFont val="Times New Roman"/>
        <family val="1"/>
      </rPr>
      <t>Plumbing system - outdoor</t>
    </r>
  </si>
  <si>
    <r>
      <t xml:space="preserve">Hệ thống cấp nước lạnh
</t>
    </r>
    <r>
      <rPr>
        <i/>
        <sz val="10"/>
        <color indexed="12"/>
        <rFont val="Times New Roman"/>
        <family val="1"/>
      </rPr>
      <t>Cold water supply system</t>
    </r>
  </si>
  <si>
    <r>
      <t xml:space="preserve">Ống HDPE D100 - PN10
</t>
    </r>
    <r>
      <rPr>
        <i/>
        <sz val="10"/>
        <color indexed="12"/>
        <rFont val="Times New Roman"/>
        <family val="1"/>
      </rPr>
      <t>HDPE Pipe D100-PN10</t>
    </r>
  </si>
  <si>
    <r>
      <t xml:space="preserve">Đồng hồ D65
</t>
    </r>
    <r>
      <rPr>
        <i/>
        <sz val="10"/>
        <color indexed="12"/>
        <rFont val="Times New Roman"/>
        <family val="1"/>
      </rPr>
      <t>Water meter D65</t>
    </r>
  </si>
  <si>
    <r>
      <t xml:space="preserve">Van 1 chiều DN80 
</t>
    </r>
    <r>
      <rPr>
        <i/>
        <sz val="10"/>
        <color indexed="12"/>
        <rFont val="Times New Roman"/>
        <family val="1"/>
      </rPr>
      <t>Check valve DN80</t>
    </r>
  </si>
  <si>
    <r>
      <t xml:space="preserve">Công tác đấu nối tại vị trí đấu  nối
</t>
    </r>
    <r>
      <rPr>
        <i/>
        <sz val="10"/>
        <color indexed="12"/>
        <rFont val="Times New Roman"/>
        <family val="1"/>
      </rPr>
      <t>Connection work at the connection location</t>
    </r>
  </si>
  <si>
    <r>
      <t xml:space="preserve">Hệ thống thoát nước mưa
</t>
    </r>
    <r>
      <rPr>
        <i/>
        <sz val="10"/>
        <color indexed="12"/>
        <rFont val="Times New Roman"/>
        <family val="1"/>
      </rPr>
      <t>Rainwater drainage system</t>
    </r>
  </si>
  <si>
    <r>
      <t xml:space="preserve">Ống HDPE DN200-PN10
</t>
    </r>
    <r>
      <rPr>
        <i/>
        <sz val="10"/>
        <color indexed="12"/>
        <rFont val="Times New Roman"/>
        <family val="1"/>
      </rPr>
      <t>HDPE Pipe DN200-PN10</t>
    </r>
  </si>
  <si>
    <r>
      <t xml:space="preserve">Ống HDPE DN150-PN10
</t>
    </r>
    <r>
      <rPr>
        <i/>
        <sz val="10"/>
        <color indexed="12"/>
        <rFont val="Times New Roman"/>
        <family val="1"/>
      </rPr>
      <t>HDPE Pipe DN150-PN10</t>
    </r>
  </si>
  <si>
    <r>
      <t xml:space="preserve">Ống HDPE DN50-PN10
</t>
    </r>
    <r>
      <rPr>
        <i/>
        <sz val="10"/>
        <color indexed="12"/>
        <rFont val="Times New Roman"/>
        <family val="1"/>
      </rPr>
      <t>HDPE Pipe DN50-PN10</t>
    </r>
  </si>
  <si>
    <r>
      <t xml:space="preserve">Phụ kiện ống HDPE (co, tê, lơi...)
</t>
    </r>
    <r>
      <rPr>
        <i/>
        <sz val="10"/>
        <color indexed="12"/>
        <rFont val="Times New Roman"/>
        <family val="1"/>
      </rPr>
      <t xml:space="preserve">Fitting ( elbow, reducer...)  for HDPE pipe </t>
    </r>
  </si>
  <si>
    <r>
      <t xml:space="preserve">Hố ga thu nước mưa
</t>
    </r>
    <r>
      <rPr>
        <i/>
        <sz val="10"/>
        <color indexed="12"/>
        <rFont val="Times New Roman"/>
        <family val="1"/>
      </rPr>
      <t xml:space="preserve">Rain water manhole </t>
    </r>
  </si>
  <si>
    <r>
      <t xml:space="preserve">Hô ga thu nước mưa  bao gồm lưới chắn rác bằng gang
</t>
    </r>
    <r>
      <rPr>
        <i/>
        <sz val="10"/>
        <color indexed="12"/>
        <rFont val="Times New Roman"/>
        <family val="1"/>
      </rPr>
      <t>Rain water manhole c/w including garbage screen</t>
    </r>
  </si>
  <si>
    <r>
      <t xml:space="preserve">Cừ tràm
</t>
    </r>
    <r>
      <rPr>
        <sz val="10"/>
        <color indexed="12"/>
        <rFont val="Times New Roman"/>
        <family val="1"/>
      </rPr>
      <t xml:space="preserve">Wooden pile:L=4m; d = 80~100mm </t>
    </r>
  </si>
  <si>
    <r>
      <t xml:space="preserve">Hệ thống thoát nước thải
</t>
    </r>
    <r>
      <rPr>
        <i/>
        <sz val="10"/>
        <color indexed="12"/>
        <rFont val="Times New Roman"/>
        <family val="1"/>
      </rPr>
      <t>Sewerage system</t>
    </r>
  </si>
  <si>
    <r>
      <t xml:space="preserve">Ống PVC DN80-PN9
</t>
    </r>
    <r>
      <rPr>
        <i/>
        <sz val="10"/>
        <color indexed="12"/>
        <rFont val="Times New Roman"/>
        <family val="1"/>
      </rPr>
      <t>PVC Pipe DN80-PN9</t>
    </r>
  </si>
  <si>
    <r>
      <t xml:space="preserve">Cải tạo tuyến ống cấp nước tưới cây
</t>
    </r>
    <r>
      <rPr>
        <b/>
        <i/>
        <sz val="10"/>
        <color indexed="12"/>
        <rFont val="Times New Roman"/>
        <family val="1"/>
      </rPr>
      <t>Diversion existing underground irrigation water supply pipe</t>
    </r>
  </si>
  <si>
    <r>
      <t xml:space="preserve"> Tháo dỡ  tuyến ống cây xanh hiện hữu  trong khu vực Building A6
</t>
    </r>
    <r>
      <rPr>
        <i/>
        <sz val="10"/>
        <color indexed="12"/>
        <rFont val="Times New Roman"/>
        <family val="1"/>
      </rPr>
      <t>Dismantling the existing irrigation supply line in the Building A6 's area</t>
    </r>
  </si>
  <si>
    <r>
      <t xml:space="preserve">Bịt đường ống hiện hữa sau khi tháo dỡ ống hiện hữu
</t>
    </r>
    <r>
      <rPr>
        <i/>
        <sz val="10"/>
        <color indexed="12"/>
        <rFont val="Times New Roman"/>
        <family val="1"/>
      </rPr>
      <t>Completing existing pipeline after dismantling</t>
    </r>
  </si>
  <si>
    <t>Ống gió và các phụ kiện
Air duct &amp; Accessories</t>
  </si>
  <si>
    <t xml:space="preserve">Tấm tôn tráng kẽm dày 0.6mm (0.58mm) 
Galvanized tole sheet thick 0.6mm (0.58mm) </t>
  </si>
  <si>
    <t>Hệ thống điện cho hệ thống ACMV
Electric system for ACMV</t>
  </si>
  <si>
    <t>Ống PVC D20
PVC conduit D20</t>
  </si>
  <si>
    <t>m</t>
  </si>
  <si>
    <t>Ống PVC D40
PVC conduit D40</t>
  </si>
  <si>
    <t>Ruột gà D20</t>
  </si>
  <si>
    <t>lô
lot</t>
  </si>
  <si>
    <t>Certificate Duct EI 45, EI 30, EI 60, EI 120 / Kiểm định ống gió EI45, EI30, EI 60, EI 120</t>
  </si>
  <si>
    <t>end</t>
  </si>
  <si>
    <t>A3</t>
  </si>
  <si>
    <t>A6+A3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</si>
</sst>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_ * #,##0_ ;_ * \-#,##0_ ;_ * &quot;-&quot;??_ ;_ @_ "/>
    <numFmt numFmtId="166" formatCode="_(* #,##0_);_(* \(#,##0\);_(* &quot;-&quot;??_);_(@_)"/>
    <numFmt numFmtId="167" formatCode="000,000"/>
    <numFmt numFmtId="168" formatCode="&quot;$&quot;#,##0.00;[Red]\-&quot;$&quot;#,##0.00"/>
    <numFmt numFmtId="169" formatCode="_-* #,##0.00_-;\-* #,##0.00_-;_-* &quot;-&quot;??_-;_-@_-"/>
  </numFmts>
  <fonts count="53">
    <font>
      <sz val="11"/>
      <color theme="1"/>
      <name val="Arial"/>
      <family val="2"/>
    </font>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0"/>
      <color rgb="FFFF0000"/>
      <name val="Times New Roman"/>
      <family val="1"/>
    </font>
    <font>
      <b/>
      <sz val="12"/>
      <name val="Times New Roman"/>
      <family val="1"/>
    </font>
    <font>
      <sz val="10"/>
      <name val="MS Sans Serif"/>
      <family val="2"/>
    </font>
    <font>
      <b/>
      <sz val="10"/>
      <name val="Times New Roman"/>
      <family val="1"/>
    </font>
    <font>
      <sz val="10"/>
      <name val="Times New Roman"/>
      <family val="1"/>
    </font>
    <font>
      <sz val="11"/>
      <color indexed="8"/>
      <name val="Calibri"/>
      <family val="2"/>
    </font>
    <font>
      <sz val="10"/>
      <color theme="1"/>
      <name val="Arial"/>
      <family val="2"/>
    </font>
    <font>
      <sz val="12"/>
      <name val="Times New Roman"/>
      <family val="1"/>
    </font>
    <font>
      <b/>
      <i/>
      <sz val="10"/>
      <color indexed="12"/>
      <name val="Times New Roman"/>
      <family val="1"/>
    </font>
    <font>
      <i/>
      <sz val="10"/>
      <color indexed="12"/>
      <name val="Times New Roman"/>
      <family val="1"/>
    </font>
    <font>
      <b/>
      <sz val="10"/>
      <color rgb="FFFF0000"/>
      <name val="Times New Roman"/>
      <family val="1"/>
    </font>
    <font>
      <sz val="10"/>
      <name val="Arial"/>
      <family val="2"/>
    </font>
    <font>
      <i/>
      <sz val="10"/>
      <name val="Times New Roman"/>
      <family val="1"/>
    </font>
    <font>
      <b/>
      <i/>
      <sz val="10"/>
      <name val="Times New Roman"/>
      <family val="1"/>
    </font>
    <font>
      <sz val="10"/>
      <color rgb="FF0000FF"/>
      <name val="Times New Roman"/>
      <family val="1"/>
    </font>
    <font>
      <sz val="10"/>
      <color theme="1"/>
      <name val="Calibri"/>
      <family val="2"/>
    </font>
    <font>
      <sz val="10"/>
      <color indexed="12"/>
      <name val="Times New Roman"/>
      <family val="1"/>
    </font>
    <font>
      <sz val="12"/>
      <color indexed="8"/>
      <name val="Tahoma"/>
      <family val="2"/>
    </font>
    <font>
      <sz val="10"/>
      <name val="VNI-Times"/>
    </font>
    <font>
      <i/>
      <sz val="10"/>
      <color indexed="30"/>
      <name val="Times New Roman"/>
      <family val="1"/>
    </font>
    <font>
      <i/>
      <sz val="10"/>
      <color indexed="56"/>
      <name val="Times New Roman"/>
      <family val="1"/>
    </font>
    <font>
      <i/>
      <sz val="10"/>
      <color indexed="62"/>
      <name val="Times New Roman"/>
      <family val="1"/>
    </font>
    <font>
      <i/>
      <sz val="10"/>
      <color indexed="49"/>
      <name val="Times New Roman"/>
      <family val="1"/>
    </font>
    <font>
      <i/>
      <sz val="10"/>
      <color rgb="FFFF0000"/>
      <name val="Times New Roman"/>
      <family val="1"/>
    </font>
    <font>
      <sz val="10"/>
      <name val="Helv"/>
      <family val="2"/>
    </font>
    <font>
      <i/>
      <sz val="10"/>
      <color indexed="18"/>
      <name val="Times New Roman"/>
      <family val="1"/>
    </font>
    <font>
      <sz val="12"/>
      <name val="VNI-Times"/>
    </font>
    <font>
      <b/>
      <vertAlign val="superscript"/>
      <sz val="10"/>
      <name val="Times New Roman"/>
      <family val="1"/>
    </font>
    <font>
      <b/>
      <i/>
      <vertAlign val="superscript"/>
      <sz val="10"/>
      <color indexed="12"/>
      <name val="Times New Roman"/>
      <family val="1"/>
    </font>
    <font>
      <i/>
      <sz val="10"/>
      <color indexed="21"/>
      <name val="Times New Roman"/>
      <family val="1"/>
    </font>
    <font>
      <b/>
      <sz val="10"/>
      <color indexed="12"/>
      <name val="Times New Roman"/>
      <family val="1"/>
    </font>
    <font>
      <sz val="10"/>
      <color theme="1"/>
      <name val="Times New Roman"/>
      <family val="1"/>
    </font>
    <font>
      <sz val="10"/>
      <color indexed="8"/>
      <name val="Arial"/>
      <family val="2"/>
    </font>
    <font>
      <b/>
      <u/>
      <sz val="10"/>
      <color rgb="FF0000FF"/>
      <name val="Times New Roman"/>
      <family val="1"/>
    </font>
    <font>
      <b/>
      <sz val="11"/>
      <name val="Times New Roman"/>
      <family val="1"/>
    </font>
    <font>
      <sz val="11"/>
      <name val="Times New Roman"/>
      <family val="1"/>
    </font>
    <font>
      <b/>
      <i/>
      <sz val="10"/>
      <color rgb="FFFF0000"/>
      <name val="Times New Roman"/>
      <family val="1"/>
    </font>
    <font>
      <i/>
      <sz val="10"/>
      <color indexed="12"/>
      <name val="Calibri"/>
      <family val="2"/>
    </font>
    <font>
      <i/>
      <sz val="10"/>
      <name val="Calibri"/>
      <family val="2"/>
    </font>
    <font>
      <sz val="10"/>
      <color indexed="8"/>
      <name val="Times New Roman"/>
      <family val="1"/>
    </font>
    <font>
      <b/>
      <sz val="10"/>
      <color rgb="FF0033CC"/>
      <name val="Times New Roman"/>
      <family val="1"/>
    </font>
    <font>
      <b/>
      <u val="singleAccounting"/>
      <sz val="10"/>
      <color rgb="FF0033CC"/>
      <name val="Times New Roman"/>
      <family val="1"/>
    </font>
    <font>
      <b/>
      <u val="singleAccounting"/>
      <sz val="10"/>
      <color rgb="FFFF0000"/>
      <name val="Times New Roman"/>
      <family val="1"/>
    </font>
    <font>
      <u val="singleAccounting"/>
      <sz val="10"/>
      <color rgb="FFFF0000"/>
      <name val="Times New Roman"/>
      <family val="1"/>
    </font>
    <font>
      <b/>
      <u/>
      <sz val="10"/>
      <color rgb="FFFF0000"/>
      <name val="Times New Roman"/>
      <family val="1"/>
    </font>
    <font>
      <sz val="10"/>
      <color rgb="FF000000"/>
      <name val="Times New Roman"/>
    </font>
    <font>
      <i/>
      <sz val="10"/>
      <color rgb="FF0000FF"/>
      <name val="Times New Roman"/>
    </font>
    <font>
      <sz val="10"/>
      <name val="Times New Roman"/>
    </font>
  </fonts>
  <fills count="15">
    <fill>
      <patternFill patternType="none"/>
    </fill>
    <fill>
      <patternFill patternType="gray125"/>
    </fill>
    <fill>
      <patternFill patternType="solid">
        <fgColor theme="0"/>
        <bgColor indexed="64"/>
      </patternFill>
    </fill>
    <fill>
      <patternFill patternType="solid">
        <fgColor indexed="27"/>
        <bgColor indexed="64"/>
      </patternFill>
    </fill>
    <fill>
      <patternFill patternType="solid">
        <fgColor theme="9" tint="0.79998168889431442"/>
        <bgColor indexed="64"/>
      </patternFill>
    </fill>
    <fill>
      <patternFill patternType="solid">
        <fgColor theme="9" tint="0.79995117038483843"/>
        <bgColor indexed="64"/>
      </patternFill>
    </fill>
    <fill>
      <patternFill patternType="solid">
        <fgColor theme="6" tint="0.79998168889431442"/>
        <bgColor indexed="64"/>
      </patternFill>
    </fill>
    <fill>
      <patternFill patternType="solid">
        <fgColor theme="6" tint="0.79995117038483843"/>
        <bgColor indexed="64"/>
      </patternFill>
    </fill>
    <fill>
      <patternFill patternType="solid">
        <fgColor theme="9" tint="0.79992065187536243"/>
        <bgColor indexed="64"/>
      </patternFill>
    </fill>
    <fill>
      <patternFill patternType="solid">
        <fgColor theme="6" tint="0.7999206518753624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CC"/>
        <bgColor indexed="64"/>
      </patternFill>
    </fill>
    <fill>
      <patternFill patternType="solid">
        <fgColor rgb="FFCCFFFF"/>
        <bgColor indexed="64"/>
      </patternFill>
    </fill>
    <fill>
      <patternFill patternType="solid">
        <fgColor rgb="FFFFFF00"/>
        <bgColor indexed="64"/>
      </patternFill>
    </fill>
  </fills>
  <borders count="40">
    <border>
      <left/>
      <right/>
      <top/>
      <bottom/>
      <diagonal/>
    </border>
    <border>
      <left style="medium">
        <color auto="1"/>
      </left>
      <right style="thin">
        <color indexed="64"/>
      </right>
      <top style="medium">
        <color auto="1"/>
      </top>
      <bottom/>
      <diagonal/>
    </border>
    <border>
      <left style="thin">
        <color auto="1"/>
      </left>
      <right style="thin">
        <color indexed="64"/>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diagonalUp="1" diagonalDown="1">
      <left style="thin">
        <color indexed="64"/>
      </left>
      <right style="thin">
        <color indexed="64"/>
      </right>
      <top style="hair">
        <color indexed="64"/>
      </top>
      <bottom style="hair">
        <color indexed="64"/>
      </bottom>
      <diagonal style="thin">
        <color indexed="64"/>
      </diagonal>
    </border>
    <border>
      <left style="medium">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top/>
      <bottom style="hair">
        <color indexed="64"/>
      </bottom>
      <diagonal/>
    </border>
    <border>
      <left style="hair">
        <color indexed="64"/>
      </left>
      <right/>
      <top style="hair">
        <color indexed="64"/>
      </top>
      <bottom style="hair">
        <color indexed="64"/>
      </bottom>
      <diagonal/>
    </border>
    <border>
      <left style="thin">
        <color auto="1"/>
      </left>
      <right/>
      <top style="hair">
        <color auto="1"/>
      </top>
      <bottom/>
      <diagonal/>
    </border>
    <border>
      <left style="thin">
        <color auto="1"/>
      </left>
      <right style="thin">
        <color auto="1"/>
      </right>
      <top style="hair">
        <color auto="1"/>
      </top>
      <bottom style="hair">
        <color auto="1"/>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diagonal/>
    </border>
    <border>
      <left/>
      <right style="thin">
        <color indexed="64"/>
      </right>
      <top style="hair">
        <color indexed="64"/>
      </top>
      <bottom style="hair">
        <color indexed="64"/>
      </bottom>
      <diagonal/>
    </border>
    <border>
      <left style="thin">
        <color indexed="64"/>
      </left>
      <right style="thin">
        <color indexed="64"/>
      </right>
      <top style="dotted">
        <color indexed="64"/>
      </top>
      <bottom style="dotted">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8"/>
      </left>
      <right/>
      <top style="hair">
        <color indexed="8"/>
      </top>
      <bottom style="hair">
        <color indexed="8"/>
      </bottom>
      <diagonal/>
    </border>
    <border>
      <left style="thin">
        <color auto="1"/>
      </left>
      <right style="thin">
        <color auto="1"/>
      </right>
      <top style="hair">
        <color auto="1"/>
      </top>
      <bottom style="hair">
        <color auto="1"/>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s>
  <cellStyleXfs count="39">
    <xf numFmtId="0" fontId="0" fillId="0" borderId="0"/>
    <xf numFmtId="9" fontId="4" fillId="0" borderId="0" applyFont="0" applyFill="0" applyBorder="0" applyAlignment="0" applyProtection="0"/>
    <xf numFmtId="0" fontId="7" fillId="0" borderId="0"/>
    <xf numFmtId="164" fontId="10" fillId="0" borderId="0" applyFont="0" applyFill="0" applyBorder="0" applyAlignment="0" applyProtection="0">
      <alignment vertical="center"/>
    </xf>
    <xf numFmtId="0" fontId="11" fillId="0" borderId="0"/>
    <xf numFmtId="0" fontId="11" fillId="0" borderId="0"/>
    <xf numFmtId="0" fontId="7" fillId="0" borderId="0"/>
    <xf numFmtId="0" fontId="2" fillId="0" borderId="0"/>
    <xf numFmtId="0" fontId="16" fillId="0" borderId="0"/>
    <xf numFmtId="164" fontId="10" fillId="0" borderId="0" applyFont="0" applyFill="0" applyBorder="0" applyAlignment="0" applyProtection="0">
      <alignment vertical="center"/>
    </xf>
    <xf numFmtId="0" fontId="20" fillId="0" borderId="0"/>
    <xf numFmtId="0" fontId="16" fillId="0" borderId="0"/>
    <xf numFmtId="43" fontId="22" fillId="0" borderId="0" applyFont="0" applyFill="0" applyBorder="0" applyAlignment="0" applyProtection="0"/>
    <xf numFmtId="0" fontId="23" fillId="0" borderId="0">
      <alignment vertical="center"/>
    </xf>
    <xf numFmtId="43" fontId="22" fillId="0" borderId="0" applyFont="0" applyFill="0" applyBorder="0" applyAlignment="0" applyProtection="0"/>
    <xf numFmtId="0" fontId="29" fillId="0" borderId="0"/>
    <xf numFmtId="43" fontId="12" fillId="0" borderId="0" applyFont="0" applyFill="0" applyBorder="0" applyAlignment="0" applyProtection="0"/>
    <xf numFmtId="0" fontId="3" fillId="0" borderId="0" applyNumberFormat="0" applyFill="0" applyBorder="0" applyAlignment="0" applyProtection="0"/>
    <xf numFmtId="0" fontId="2" fillId="0" borderId="0">
      <alignment vertical="center"/>
    </xf>
    <xf numFmtId="0" fontId="16" fillId="0" borderId="0">
      <alignment vertical="center"/>
    </xf>
    <xf numFmtId="0" fontId="31" fillId="0" borderId="0">
      <alignment vertical="center"/>
    </xf>
    <xf numFmtId="0" fontId="31" fillId="0" borderId="0"/>
    <xf numFmtId="43" fontId="22" fillId="0" borderId="0" applyFont="0" applyFill="0" applyBorder="0" applyAlignment="0" applyProtection="0"/>
    <xf numFmtId="0" fontId="16" fillId="0" borderId="0"/>
    <xf numFmtId="165" fontId="10" fillId="0" borderId="0" applyFont="0" applyFill="0" applyBorder="0" applyAlignment="0" applyProtection="0">
      <alignment vertical="center"/>
    </xf>
    <xf numFmtId="0" fontId="16" fillId="0" borderId="0"/>
    <xf numFmtId="0" fontId="16" fillId="0" borderId="0"/>
    <xf numFmtId="0" fontId="16" fillId="0" borderId="0"/>
    <xf numFmtId="168" fontId="2" fillId="0" borderId="0"/>
    <xf numFmtId="0" fontId="2" fillId="0" borderId="0"/>
    <xf numFmtId="43" fontId="37" fillId="0" borderId="0" applyFont="0" applyFill="0" applyBorder="0" applyAlignment="0" applyProtection="0"/>
    <xf numFmtId="0" fontId="1" fillId="0" borderId="0"/>
    <xf numFmtId="0" fontId="31" fillId="0" borderId="0">
      <alignment vertical="center"/>
    </xf>
    <xf numFmtId="0" fontId="31" fillId="0" borderId="0"/>
    <xf numFmtId="9" fontId="10" fillId="0" borderId="0" applyFont="0" applyFill="0" applyBorder="0" applyAlignment="0" applyProtection="0"/>
    <xf numFmtId="0" fontId="1" fillId="0" borderId="0">
      <alignment vertical="center"/>
    </xf>
    <xf numFmtId="168" fontId="1" fillId="0" borderId="0"/>
    <xf numFmtId="169" fontId="4" fillId="0" borderId="0" applyFont="0" applyFill="0" applyBorder="0" applyAlignment="0" applyProtection="0"/>
    <xf numFmtId="43" fontId="4" fillId="0" borderId="0" applyFont="0" applyFill="0" applyBorder="0" applyAlignment="0" applyProtection="0"/>
  </cellStyleXfs>
  <cellXfs count="457">
    <xf numFmtId="0" fontId="0" fillId="0" borderId="0" xfId="0"/>
    <xf numFmtId="0" fontId="5" fillId="2" borderId="0" xfId="0" applyFont="1" applyFill="1" applyAlignment="1">
      <alignment horizontal="center" vertical="center"/>
    </xf>
    <xf numFmtId="0" fontId="6" fillId="0" borderId="0" xfId="0" applyFont="1" applyAlignment="1">
      <alignment horizontal="left" vertical="center"/>
    </xf>
    <xf numFmtId="4" fontId="8" fillId="0" borderId="0" xfId="2" applyNumberFormat="1" applyFont="1" applyAlignment="1">
      <alignment vertical="center" wrapText="1"/>
    </xf>
    <xf numFmtId="0" fontId="9" fillId="0" borderId="0" xfId="2" applyFont="1" applyAlignment="1">
      <alignment horizontal="center" vertical="center"/>
    </xf>
    <xf numFmtId="164" fontId="9" fillId="0" borderId="0" xfId="3" applyFont="1" applyFill="1" applyBorder="1" applyAlignment="1">
      <alignment horizontal="center" vertical="center"/>
    </xf>
    <xf numFmtId="3" fontId="9" fillId="0" borderId="0" xfId="3" applyNumberFormat="1" applyFont="1" applyFill="1" applyAlignment="1"/>
    <xf numFmtId="3" fontId="8" fillId="0" borderId="0" xfId="3" applyNumberFormat="1" applyFont="1" applyFill="1" applyAlignment="1"/>
    <xf numFmtId="0" fontId="5" fillId="0" borderId="0" xfId="0" applyFont="1"/>
    <xf numFmtId="0" fontId="9" fillId="0" borderId="0" xfId="0" applyFont="1"/>
    <xf numFmtId="0" fontId="6" fillId="0" borderId="0" xfId="4" applyFont="1" applyAlignment="1">
      <alignment horizontal="left"/>
    </xf>
    <xf numFmtId="0" fontId="8" fillId="0" borderId="0" xfId="2" applyFont="1" applyAlignment="1">
      <alignment vertical="center" wrapText="1"/>
    </xf>
    <xf numFmtId="0" fontId="12" fillId="0" borderId="0" xfId="0" applyFont="1" applyAlignment="1">
      <alignment horizontal="left" vertical="center"/>
    </xf>
    <xf numFmtId="0" fontId="8" fillId="0" borderId="0" xfId="2" applyFont="1" applyAlignment="1">
      <alignment vertical="center"/>
    </xf>
    <xf numFmtId="0" fontId="5" fillId="2" borderId="0" xfId="5" applyFont="1" applyFill="1" applyAlignment="1">
      <alignment horizontal="center" vertical="center"/>
    </xf>
    <xf numFmtId="0" fontId="5" fillId="0" borderId="0" xfId="5" applyFont="1" applyAlignment="1">
      <alignment vertical="center"/>
    </xf>
    <xf numFmtId="0" fontId="9" fillId="0" borderId="0" xfId="5" applyFont="1" applyAlignment="1">
      <alignment vertical="center"/>
    </xf>
    <xf numFmtId="4" fontId="8" fillId="0" borderId="9" xfId="2" applyNumberFormat="1" applyFont="1" applyBorder="1" applyAlignment="1">
      <alignment horizontal="center" vertical="center" wrapText="1"/>
    </xf>
    <xf numFmtId="0" fontId="8" fillId="0" borderId="10" xfId="6" applyFont="1" applyBorder="1" applyAlignment="1" applyProtection="1">
      <alignment vertical="top" wrapText="1"/>
      <protection locked="0"/>
    </xf>
    <xf numFmtId="0" fontId="8" fillId="0" borderId="10" xfId="2" applyFont="1" applyBorder="1" applyAlignment="1">
      <alignment horizontal="center" vertical="center" wrapText="1"/>
    </xf>
    <xf numFmtId="164" fontId="8" fillId="0" borderId="10" xfId="3" applyFont="1" applyFill="1" applyBorder="1" applyAlignment="1">
      <alignment horizontal="center" vertical="center"/>
    </xf>
    <xf numFmtId="3" fontId="8" fillId="0" borderId="10" xfId="3" applyNumberFormat="1" applyFont="1" applyFill="1" applyBorder="1" applyAlignment="1">
      <alignment horizontal="center" vertical="center" wrapText="1"/>
    </xf>
    <xf numFmtId="165" fontId="8" fillId="0" borderId="10" xfId="3" applyNumberFormat="1" applyFont="1" applyFill="1" applyBorder="1" applyAlignment="1">
      <alignment horizontal="center" vertical="center" wrapText="1"/>
    </xf>
    <xf numFmtId="3" fontId="8" fillId="0" borderId="11" xfId="3" applyNumberFormat="1" applyFont="1" applyFill="1" applyBorder="1" applyAlignment="1">
      <alignment horizontal="center" vertical="center" wrapText="1"/>
    </xf>
    <xf numFmtId="4" fontId="8" fillId="0" borderId="12" xfId="2" applyNumberFormat="1" applyFont="1" applyBorder="1" applyAlignment="1">
      <alignment horizontal="center" vertical="center" wrapText="1"/>
    </xf>
    <xf numFmtId="3" fontId="8" fillId="0" borderId="13" xfId="3" applyNumberFormat="1" applyFont="1" applyFill="1" applyBorder="1" applyAlignment="1">
      <alignment horizontal="center" vertical="center" wrapText="1"/>
    </xf>
    <xf numFmtId="0" fontId="8" fillId="4" borderId="12" xfId="2" applyFont="1" applyFill="1" applyBorder="1" applyAlignment="1">
      <alignment horizontal="center" vertical="center" wrapText="1"/>
    </xf>
    <xf numFmtId="3" fontId="8" fillId="4" borderId="13" xfId="3" applyNumberFormat="1" applyFont="1" applyFill="1" applyBorder="1" applyAlignment="1">
      <alignment horizontal="center" vertical="center" wrapText="1"/>
    </xf>
    <xf numFmtId="0" fontId="8" fillId="6" borderId="12" xfId="2" applyFont="1" applyFill="1" applyBorder="1" applyAlignment="1">
      <alignment horizontal="center" vertical="center" wrapText="1"/>
    </xf>
    <xf numFmtId="166" fontId="8" fillId="6" borderId="13" xfId="3" applyNumberFormat="1" applyFont="1" applyFill="1" applyBorder="1" applyAlignment="1">
      <alignment horizontal="center" vertical="center" wrapText="1"/>
    </xf>
    <xf numFmtId="0" fontId="8" fillId="0" borderId="12" xfId="2" applyFont="1" applyBorder="1" applyAlignment="1">
      <alignment horizontal="center" vertical="center" wrapText="1"/>
    </xf>
    <xf numFmtId="49" fontId="8" fillId="0" borderId="13" xfId="2" applyNumberFormat="1" applyFont="1" applyBorder="1" applyAlignment="1">
      <alignment horizontal="left" vertical="center" wrapText="1"/>
    </xf>
    <xf numFmtId="0" fontId="15" fillId="0" borderId="0" xfId="5" applyFont="1" applyAlignment="1">
      <alignment vertical="center"/>
    </xf>
    <xf numFmtId="0" fontId="8" fillId="0" borderId="0" xfId="5" applyFont="1" applyAlignment="1">
      <alignment vertical="center"/>
    </xf>
    <xf numFmtId="0" fontId="15" fillId="2" borderId="0" xfId="5" applyFont="1" applyFill="1" applyAlignment="1">
      <alignment horizontal="center" vertical="center"/>
    </xf>
    <xf numFmtId="1" fontId="9" fillId="0" borderId="12" xfId="5" applyNumberFormat="1" applyFont="1" applyBorder="1" applyAlignment="1" applyProtection="1">
      <alignment horizontal="center" vertical="center"/>
      <protection locked="0"/>
    </xf>
    <xf numFmtId="3" fontId="9" fillId="0" borderId="13" xfId="3" applyNumberFormat="1" applyFont="1" applyFill="1" applyBorder="1" applyAlignment="1">
      <alignment horizontal="center" vertical="center" wrapText="1"/>
    </xf>
    <xf numFmtId="3" fontId="17" fillId="0" borderId="13" xfId="3" applyNumberFormat="1" applyFont="1" applyFill="1" applyBorder="1" applyAlignment="1">
      <alignment horizontal="center" vertical="center" wrapText="1"/>
    </xf>
    <xf numFmtId="1" fontId="18" fillId="0" borderId="12" xfId="5" applyNumberFormat="1" applyFont="1" applyBorder="1" applyAlignment="1" applyProtection="1">
      <alignment horizontal="center" vertical="center"/>
      <protection locked="0"/>
    </xf>
    <xf numFmtId="166" fontId="9" fillId="0" borderId="13" xfId="3" applyNumberFormat="1" applyFont="1" applyFill="1" applyBorder="1" applyAlignment="1">
      <alignment vertical="center"/>
    </xf>
    <xf numFmtId="1" fontId="8" fillId="0" borderId="12" xfId="5" applyNumberFormat="1" applyFont="1" applyBorder="1" applyAlignment="1" applyProtection="1">
      <alignment horizontal="center" vertical="center"/>
      <protection locked="0"/>
    </xf>
    <xf numFmtId="166" fontId="8" fillId="0" borderId="13" xfId="3" applyNumberFormat="1" applyFont="1" applyFill="1" applyBorder="1" applyAlignment="1">
      <alignment vertical="center"/>
    </xf>
    <xf numFmtId="1" fontId="17" fillId="0" borderId="12" xfId="5" applyNumberFormat="1" applyFont="1" applyBorder="1" applyAlignment="1" applyProtection="1">
      <alignment horizontal="center" vertical="center"/>
      <protection locked="0"/>
    </xf>
    <xf numFmtId="166" fontId="17" fillId="0" borderId="13" xfId="3" applyNumberFormat="1" applyFont="1" applyFill="1" applyBorder="1" applyAlignment="1">
      <alignment vertical="center"/>
    </xf>
    <xf numFmtId="166" fontId="9" fillId="0" borderId="13" xfId="3" applyNumberFormat="1" applyFont="1" applyFill="1" applyBorder="1" applyAlignment="1">
      <alignment vertical="center" wrapText="1"/>
    </xf>
    <xf numFmtId="166" fontId="8" fillId="0" borderId="13" xfId="3" applyNumberFormat="1" applyFont="1" applyFill="1" applyBorder="1" applyAlignment="1">
      <alignment vertical="center" wrapText="1"/>
    </xf>
    <xf numFmtId="49" fontId="9" fillId="0" borderId="13" xfId="3" applyNumberFormat="1" applyFont="1" applyFill="1" applyBorder="1" applyAlignment="1">
      <alignment vertical="center" wrapText="1"/>
    </xf>
    <xf numFmtId="166" fontId="8" fillId="0" borderId="13" xfId="3" applyNumberFormat="1" applyFont="1" applyFill="1" applyBorder="1" applyAlignment="1">
      <alignment horizontal="center" vertical="center" wrapText="1"/>
    </xf>
    <xf numFmtId="166" fontId="8" fillId="0" borderId="13" xfId="9" applyNumberFormat="1" applyFont="1" applyFill="1" applyBorder="1" applyAlignment="1">
      <alignment horizontal="center" vertical="center" wrapText="1"/>
    </xf>
    <xf numFmtId="0" fontId="8" fillId="0" borderId="12" xfId="15" applyFont="1" applyBorder="1" applyAlignment="1">
      <alignment horizontal="center" vertical="center" wrapText="1"/>
    </xf>
    <xf numFmtId="3" fontId="8" fillId="0" borderId="13" xfId="9" applyNumberFormat="1" applyFont="1" applyFill="1" applyBorder="1" applyAlignment="1">
      <alignment vertical="center"/>
    </xf>
    <xf numFmtId="0" fontId="9" fillId="0" borderId="12" xfId="15" applyFont="1" applyBorder="1" applyAlignment="1">
      <alignment horizontal="center" vertical="center" wrapText="1"/>
    </xf>
    <xf numFmtId="43" fontId="9" fillId="0" borderId="13" xfId="17" applyNumberFormat="1" applyFont="1" applyFill="1" applyBorder="1" applyAlignment="1">
      <alignment horizontal="center" vertical="center" wrapText="1"/>
    </xf>
    <xf numFmtId="165" fontId="8" fillId="0" borderId="14" xfId="3" applyNumberFormat="1" applyFont="1" applyFill="1" applyBorder="1" applyAlignment="1">
      <alignment horizontal="center" vertical="center" wrapText="1"/>
    </xf>
    <xf numFmtId="3" fontId="9" fillId="0" borderId="13" xfId="9" applyNumberFormat="1" applyFont="1" applyFill="1" applyBorder="1" applyAlignment="1">
      <alignment vertical="center" wrapText="1"/>
    </xf>
    <xf numFmtId="0" fontId="18" fillId="0" borderId="12" xfId="15" applyFont="1" applyBorder="1" applyAlignment="1">
      <alignment horizontal="center" vertical="center" wrapText="1"/>
    </xf>
    <xf numFmtId="3" fontId="18" fillId="0" borderId="13" xfId="9" applyNumberFormat="1" applyFont="1" applyFill="1" applyBorder="1" applyAlignment="1">
      <alignment vertical="center"/>
    </xf>
    <xf numFmtId="1" fontId="18" fillId="0" borderId="12" xfId="0" applyNumberFormat="1" applyFont="1" applyBorder="1" applyAlignment="1" applyProtection="1">
      <alignment horizontal="center" vertical="center"/>
      <protection locked="0"/>
    </xf>
    <xf numFmtId="1" fontId="9" fillId="0" borderId="12" xfId="0" applyNumberFormat="1" applyFont="1" applyBorder="1" applyAlignment="1" applyProtection="1">
      <alignment horizontal="center" vertical="center"/>
      <protection locked="0"/>
    </xf>
    <xf numFmtId="1" fontId="8" fillId="0" borderId="12" xfId="0" applyNumberFormat="1" applyFont="1" applyBorder="1" applyAlignment="1" applyProtection="1">
      <alignment horizontal="center" vertical="center"/>
      <protection locked="0"/>
    </xf>
    <xf numFmtId="49" fontId="9" fillId="0" borderId="13" xfId="3" applyNumberFormat="1" applyFont="1" applyFill="1" applyBorder="1" applyAlignment="1">
      <alignment horizontal="center" vertical="center" wrapText="1"/>
    </xf>
    <xf numFmtId="3" fontId="9" fillId="0" borderId="13" xfId="9" applyNumberFormat="1" applyFont="1" applyFill="1" applyBorder="1" applyAlignment="1">
      <alignment vertical="center"/>
    </xf>
    <xf numFmtId="0" fontId="5" fillId="0" borderId="0" xfId="0" applyFont="1" applyAlignment="1">
      <alignment vertical="center"/>
    </xf>
    <xf numFmtId="0" fontId="9" fillId="0" borderId="0" xfId="0" applyFont="1" applyAlignment="1">
      <alignment vertical="center"/>
    </xf>
    <xf numFmtId="3" fontId="9" fillId="0" borderId="13" xfId="3" applyNumberFormat="1" applyFont="1" applyFill="1" applyBorder="1" applyAlignment="1">
      <alignment vertical="center"/>
    </xf>
    <xf numFmtId="3" fontId="9" fillId="0" borderId="13" xfId="9" applyNumberFormat="1" applyFont="1" applyFill="1" applyBorder="1" applyAlignment="1">
      <alignment horizontal="center" vertical="center"/>
    </xf>
    <xf numFmtId="1" fontId="9" fillId="0" borderId="12" xfId="29" applyNumberFormat="1" applyFont="1" applyBorder="1" applyAlignment="1" applyProtection="1">
      <alignment horizontal="center" vertical="center"/>
      <protection locked="0"/>
    </xf>
    <xf numFmtId="3" fontId="9" fillId="0" borderId="13" xfId="9" applyNumberFormat="1" applyFont="1" applyFill="1" applyBorder="1" applyAlignment="1">
      <alignment horizontal="center" vertical="center" wrapText="1"/>
    </xf>
    <xf numFmtId="166" fontId="9" fillId="0" borderId="13" xfId="3" applyNumberFormat="1" applyFont="1" applyFill="1" applyBorder="1" applyAlignment="1">
      <alignment horizontal="center" vertical="center" wrapText="1"/>
    </xf>
    <xf numFmtId="9" fontId="9" fillId="0" borderId="13" xfId="1" applyFont="1" applyFill="1" applyBorder="1" applyAlignment="1">
      <alignment horizontal="center" vertical="center" wrapText="1"/>
    </xf>
    <xf numFmtId="0" fontId="8" fillId="0" borderId="0" xfId="15" applyFont="1" applyAlignment="1">
      <alignment horizontal="center" vertical="center" wrapText="1"/>
    </xf>
    <xf numFmtId="0" fontId="8" fillId="0" borderId="0" xfId="16" applyNumberFormat="1" applyFont="1" applyFill="1" applyBorder="1" applyAlignment="1">
      <alignment horizontal="left" vertical="center" wrapText="1"/>
    </xf>
    <xf numFmtId="0" fontId="8" fillId="0" borderId="0" xfId="0" applyFont="1" applyAlignment="1">
      <alignment horizontal="center" vertical="center"/>
    </xf>
    <xf numFmtId="164" fontId="8" fillId="0" borderId="0" xfId="3" applyFont="1" applyFill="1" applyBorder="1" applyAlignment="1">
      <alignment horizontal="center" vertical="center"/>
    </xf>
    <xf numFmtId="3" fontId="8" fillId="0" borderId="0" xfId="3" applyNumberFormat="1" applyFont="1" applyFill="1" applyBorder="1" applyAlignment="1">
      <alignment horizontal="center" vertical="center"/>
    </xf>
    <xf numFmtId="3" fontId="8" fillId="0" borderId="0" xfId="3" applyNumberFormat="1" applyFont="1" applyFill="1" applyBorder="1" applyAlignment="1">
      <alignment vertical="center"/>
    </xf>
    <xf numFmtId="165" fontId="8" fillId="0" borderId="0" xfId="3" applyNumberFormat="1" applyFont="1" applyFill="1" applyBorder="1" applyAlignment="1">
      <alignment horizontal="center" vertical="center"/>
    </xf>
    <xf numFmtId="0" fontId="9" fillId="0" borderId="0" xfId="0" applyFont="1" applyAlignment="1">
      <alignment horizontal="center" vertical="center"/>
    </xf>
    <xf numFmtId="164" fontId="9" fillId="0" borderId="0" xfId="3" applyFont="1" applyFill="1" applyAlignment="1">
      <alignment horizontal="center" vertical="center"/>
    </xf>
    <xf numFmtId="3" fontId="9" fillId="0" borderId="0" xfId="3" applyNumberFormat="1" applyFont="1" applyFill="1">
      <alignment vertical="center"/>
    </xf>
    <xf numFmtId="165" fontId="9" fillId="0" borderId="0" xfId="3" applyNumberFormat="1" applyFont="1" applyFill="1" applyAlignment="1">
      <alignment horizontal="center" vertical="center"/>
    </xf>
    <xf numFmtId="0" fontId="39" fillId="0" borderId="0" xfId="0" applyFont="1" applyAlignment="1">
      <alignment horizontal="left" vertical="center"/>
    </xf>
    <xf numFmtId="49" fontId="8" fillId="0" borderId="0" xfId="2" applyNumberFormat="1" applyFont="1" applyAlignment="1">
      <alignment vertical="center" wrapText="1"/>
    </xf>
    <xf numFmtId="4" fontId="8" fillId="0" borderId="0" xfId="2" applyNumberFormat="1" applyFont="1" applyAlignment="1">
      <alignment horizontal="left" vertical="center" wrapText="1"/>
    </xf>
    <xf numFmtId="164" fontId="9" fillId="0" borderId="0" xfId="9" applyFont="1" applyFill="1" applyBorder="1" applyAlignment="1">
      <alignment horizontal="center" vertical="center"/>
    </xf>
    <xf numFmtId="166" fontId="9" fillId="0" borderId="0" xfId="0" applyNumberFormat="1" applyFont="1" applyAlignment="1">
      <alignment vertical="center"/>
    </xf>
    <xf numFmtId="0" fontId="8" fillId="0" borderId="0" xfId="2" applyFont="1" applyAlignment="1">
      <alignment horizontal="left" vertical="center" wrapText="1"/>
    </xf>
    <xf numFmtId="165" fontId="9" fillId="0" borderId="0" xfId="9" applyNumberFormat="1" applyFont="1" applyFill="1" applyAlignment="1">
      <alignment vertical="center"/>
    </xf>
    <xf numFmtId="165" fontId="9" fillId="0" borderId="0" xfId="0" applyNumberFormat="1" applyFont="1" applyAlignment="1">
      <alignment vertical="center"/>
    </xf>
    <xf numFmtId="0" fontId="40" fillId="0" borderId="0" xfId="0" applyFont="1" applyAlignment="1">
      <alignment horizontal="left" vertical="center"/>
    </xf>
    <xf numFmtId="0" fontId="8" fillId="0" borderId="0" xfId="2" applyFont="1" applyAlignment="1">
      <alignment horizontal="left" vertical="center"/>
    </xf>
    <xf numFmtId="0" fontId="9" fillId="0" borderId="0" xfId="5" applyFont="1" applyAlignment="1">
      <alignment horizontal="center" vertical="center"/>
    </xf>
    <xf numFmtId="4" fontId="8" fillId="0" borderId="15" xfId="2" applyNumberFormat="1" applyFont="1" applyBorder="1" applyAlignment="1">
      <alignment horizontal="center" vertical="center" wrapText="1"/>
    </xf>
    <xf numFmtId="0" fontId="8" fillId="0" borderId="16" xfId="6" applyFont="1" applyBorder="1" applyAlignment="1" applyProtection="1">
      <alignment vertical="center" wrapText="1"/>
      <protection locked="0"/>
    </xf>
    <xf numFmtId="0" fontId="8" fillId="0" borderId="17" xfId="2" applyFont="1" applyBorder="1" applyAlignment="1">
      <alignment horizontal="center" vertical="center" wrapText="1"/>
    </xf>
    <xf numFmtId="164" fontId="8" fillId="0" borderId="17" xfId="9" applyFont="1" applyFill="1" applyBorder="1" applyAlignment="1">
      <alignment horizontal="center" vertical="center"/>
    </xf>
    <xf numFmtId="3" fontId="8" fillId="0" borderId="18" xfId="9" applyNumberFormat="1" applyFont="1" applyFill="1" applyBorder="1" applyAlignment="1">
      <alignment horizontal="center" vertical="center" wrapText="1"/>
    </xf>
    <xf numFmtId="3" fontId="8" fillId="0" borderId="17" xfId="9" applyNumberFormat="1" applyFont="1" applyFill="1" applyBorder="1" applyAlignment="1">
      <alignment horizontal="center" vertical="center" wrapText="1"/>
    </xf>
    <xf numFmtId="165" fontId="8" fillId="0" borderId="17" xfId="9" applyNumberFormat="1" applyFont="1" applyFill="1" applyBorder="1" applyAlignment="1">
      <alignment horizontal="center" vertical="center" wrapText="1"/>
    </xf>
    <xf numFmtId="3" fontId="8" fillId="0" borderId="19" xfId="9" applyNumberFormat="1" applyFont="1" applyFill="1" applyBorder="1" applyAlignment="1">
      <alignment horizontal="center" vertical="center" wrapText="1"/>
    </xf>
    <xf numFmtId="0" fontId="8" fillId="0" borderId="0" xfId="5" applyFont="1" applyAlignment="1">
      <alignment horizontal="center" vertical="center"/>
    </xf>
    <xf numFmtId="0" fontId="8" fillId="11" borderId="12" xfId="2" applyFont="1" applyFill="1" applyBorder="1" applyAlignment="1">
      <alignment horizontal="center" vertical="center" wrapText="1"/>
    </xf>
    <xf numFmtId="166" fontId="8" fillId="11" borderId="13" xfId="9" applyNumberFormat="1" applyFont="1" applyFill="1" applyBorder="1" applyAlignment="1">
      <alignment horizontal="center" vertical="center" wrapText="1"/>
    </xf>
    <xf numFmtId="165" fontId="8" fillId="6" borderId="13" xfId="9" applyNumberFormat="1" applyFont="1" applyFill="1" applyBorder="1" applyAlignment="1">
      <alignment horizontal="center" vertical="center" wrapText="1"/>
    </xf>
    <xf numFmtId="49" fontId="8" fillId="0" borderId="20" xfId="2" applyNumberFormat="1" applyFont="1" applyBorder="1" applyAlignment="1">
      <alignment horizontal="left" vertical="center" wrapText="1"/>
    </xf>
    <xf numFmtId="164" fontId="8" fillId="0" borderId="16" xfId="9" applyFont="1" applyFill="1" applyBorder="1" applyAlignment="1">
      <alignment horizontal="center" vertical="center" wrapText="1"/>
    </xf>
    <xf numFmtId="0" fontId="18" fillId="0" borderId="12" xfId="2" applyFont="1" applyBorder="1" applyAlignment="1">
      <alignment horizontal="center" vertical="center" wrapText="1"/>
    </xf>
    <xf numFmtId="166" fontId="18" fillId="0" borderId="13" xfId="9" applyNumberFormat="1" applyFont="1" applyFill="1" applyBorder="1" applyAlignment="1">
      <alignment horizontal="center" vertical="center" wrapText="1"/>
    </xf>
    <xf numFmtId="166" fontId="9" fillId="0" borderId="13" xfId="9" applyNumberFormat="1" applyFont="1" applyFill="1" applyBorder="1" applyAlignment="1">
      <alignment vertical="center"/>
    </xf>
    <xf numFmtId="0" fontId="18" fillId="0" borderId="0" xfId="5" applyFont="1" applyAlignment="1">
      <alignment horizontal="center" vertical="center"/>
    </xf>
    <xf numFmtId="0" fontId="18" fillId="0" borderId="0" xfId="5" applyFont="1" applyAlignment="1">
      <alignment vertical="center"/>
    </xf>
    <xf numFmtId="166" fontId="18" fillId="0" borderId="13" xfId="9" applyNumberFormat="1" applyFont="1" applyFill="1" applyBorder="1" applyAlignment="1">
      <alignment vertical="center"/>
    </xf>
    <xf numFmtId="49" fontId="17" fillId="0" borderId="20" xfId="0" applyNumberFormat="1" applyFont="1" applyBorder="1" applyAlignment="1">
      <alignment horizontal="left" vertical="center" wrapText="1"/>
    </xf>
    <xf numFmtId="164" fontId="9" fillId="0" borderId="16" xfId="9" applyFont="1" applyFill="1" applyBorder="1" applyAlignment="1">
      <alignment horizontal="center" vertical="center"/>
    </xf>
    <xf numFmtId="49" fontId="9" fillId="0" borderId="20" xfId="0" applyNumberFormat="1" applyFont="1" applyBorder="1" applyAlignment="1">
      <alignment horizontal="left" vertical="center" wrapText="1"/>
    </xf>
    <xf numFmtId="166" fontId="8" fillId="0" borderId="13" xfId="9" applyNumberFormat="1" applyFont="1" applyFill="1" applyBorder="1" applyAlignment="1">
      <alignment vertical="center"/>
    </xf>
    <xf numFmtId="166" fontId="17" fillId="0" borderId="13" xfId="9" applyNumberFormat="1" applyFont="1" applyFill="1" applyBorder="1" applyAlignment="1">
      <alignment vertical="center"/>
    </xf>
    <xf numFmtId="49" fontId="9" fillId="0" borderId="0" xfId="0" applyNumberFormat="1" applyFont="1" applyAlignment="1">
      <alignment vertical="center" wrapText="1"/>
    </xf>
    <xf numFmtId="49" fontId="9" fillId="0" borderId="21" xfId="0" applyNumberFormat="1" applyFont="1" applyBorder="1" applyAlignment="1">
      <alignment vertical="center" wrapText="1"/>
    </xf>
    <xf numFmtId="49" fontId="5" fillId="0" borderId="21" xfId="0" applyNumberFormat="1" applyFont="1" applyBorder="1" applyAlignment="1">
      <alignment vertical="center" wrapText="1"/>
    </xf>
    <xf numFmtId="3" fontId="8" fillId="0" borderId="13" xfId="9" applyNumberFormat="1" applyFont="1" applyFill="1" applyBorder="1" applyAlignment="1">
      <alignment horizontal="center" vertical="center" wrapText="1"/>
    </xf>
    <xf numFmtId="166" fontId="8" fillId="0" borderId="13" xfId="9" applyNumberFormat="1" applyFont="1" applyFill="1" applyBorder="1" applyAlignment="1">
      <alignment vertical="center" wrapText="1"/>
    </xf>
    <xf numFmtId="166" fontId="9" fillId="0" borderId="13" xfId="9" applyNumberFormat="1" applyFont="1" applyFill="1" applyBorder="1" applyAlignment="1">
      <alignment vertical="center" wrapText="1"/>
    </xf>
    <xf numFmtId="49" fontId="9" fillId="0" borderId="20" xfId="2" applyNumberFormat="1" applyFont="1" applyBorder="1" applyAlignment="1">
      <alignment horizontal="left" vertical="center" wrapText="1"/>
    </xf>
    <xf numFmtId="0" fontId="17" fillId="0" borderId="0" xfId="5" applyFont="1" applyAlignment="1">
      <alignment horizontal="center" vertical="center"/>
    </xf>
    <xf numFmtId="0" fontId="17" fillId="0" borderId="0" xfId="5" applyFont="1" applyAlignment="1">
      <alignment vertical="center"/>
    </xf>
    <xf numFmtId="0" fontId="9" fillId="0" borderId="16" xfId="16" applyNumberFormat="1" applyFont="1" applyFill="1" applyBorder="1" applyAlignment="1">
      <alignment horizontal="left" vertical="center" wrapText="1"/>
    </xf>
    <xf numFmtId="165" fontId="8" fillId="0" borderId="14" xfId="9" applyNumberFormat="1" applyFont="1" applyFill="1" applyBorder="1" applyAlignment="1">
      <alignment horizontal="center" vertical="center" wrapText="1"/>
    </xf>
    <xf numFmtId="0" fontId="9" fillId="0" borderId="20" xfId="16" applyNumberFormat="1" applyFont="1" applyFill="1" applyBorder="1" applyAlignment="1">
      <alignment horizontal="left" vertical="center" wrapText="1"/>
    </xf>
    <xf numFmtId="49" fontId="9" fillId="0" borderId="22" xfId="0" applyNumberFormat="1" applyFont="1" applyBorder="1" applyAlignment="1">
      <alignment vertical="center" wrapText="1"/>
    </xf>
    <xf numFmtId="164" fontId="18" fillId="0" borderId="16" xfId="9" applyFont="1" applyFill="1" applyBorder="1" applyAlignment="1">
      <alignment horizontal="center" vertical="center" wrapText="1"/>
    </xf>
    <xf numFmtId="0" fontId="17" fillId="0" borderId="12" xfId="0" applyFont="1" applyBorder="1" applyAlignment="1">
      <alignment horizontal="center" vertical="center" wrapText="1"/>
    </xf>
    <xf numFmtId="0" fontId="17" fillId="0" borderId="12" xfId="15" applyFont="1" applyBorder="1" applyAlignment="1">
      <alignment horizontal="center" vertical="center" wrapText="1"/>
    </xf>
    <xf numFmtId="164" fontId="9" fillId="0" borderId="16" xfId="9" applyFont="1" applyFill="1" applyBorder="1" applyAlignment="1">
      <alignment horizontal="center" vertical="center" wrapText="1"/>
    </xf>
    <xf numFmtId="49" fontId="9" fillId="0" borderId="13" xfId="9" applyNumberFormat="1" applyFont="1" applyFill="1" applyBorder="1" applyAlignment="1">
      <alignment horizontal="center" vertical="center" wrapText="1"/>
    </xf>
    <xf numFmtId="49" fontId="9" fillId="0" borderId="22" xfId="0" applyNumberFormat="1" applyFont="1" applyBorder="1" applyAlignment="1">
      <alignment horizontal="left" vertical="center" wrapText="1"/>
    </xf>
    <xf numFmtId="1" fontId="9" fillId="0" borderId="23" xfId="5" applyNumberFormat="1" applyFont="1" applyBorder="1" applyAlignment="1" applyProtection="1">
      <alignment horizontal="center" vertical="center" wrapText="1"/>
      <protection locked="0"/>
    </xf>
    <xf numFmtId="164" fontId="9" fillId="0" borderId="23" xfId="9" applyFont="1" applyFill="1" applyBorder="1" applyAlignment="1">
      <alignment horizontal="center" vertical="center"/>
    </xf>
    <xf numFmtId="166" fontId="9" fillId="0" borderId="23" xfId="9" applyNumberFormat="1" applyFont="1" applyFill="1" applyBorder="1" applyAlignment="1">
      <alignment vertical="center"/>
    </xf>
    <xf numFmtId="49" fontId="9" fillId="0" borderId="24" xfId="0" applyNumberFormat="1" applyFont="1" applyBorder="1" applyAlignment="1">
      <alignment horizontal="left" vertical="center" wrapText="1"/>
    </xf>
    <xf numFmtId="164" fontId="9" fillId="0" borderId="25" xfId="9" applyFont="1" applyFill="1" applyBorder="1" applyAlignment="1">
      <alignment horizontal="center" vertical="center"/>
    </xf>
    <xf numFmtId="49" fontId="9" fillId="0" borderId="24" xfId="2" applyNumberFormat="1" applyFont="1" applyBorder="1" applyAlignment="1">
      <alignment horizontal="left" vertical="center" wrapText="1"/>
    </xf>
    <xf numFmtId="49" fontId="9" fillId="0" borderId="24" xfId="0" applyNumberFormat="1" applyFont="1" applyBorder="1" applyAlignment="1">
      <alignment horizontal="left" vertical="center"/>
    </xf>
    <xf numFmtId="49" fontId="17" fillId="0" borderId="24" xfId="0" applyNumberFormat="1" applyFont="1" applyBorder="1" applyAlignment="1">
      <alignment vertical="center" wrapText="1"/>
    </xf>
    <xf numFmtId="49" fontId="17" fillId="0" borderId="24" xfId="2" applyNumberFormat="1" applyFont="1" applyBorder="1" applyAlignment="1">
      <alignment horizontal="left" vertical="center" wrapText="1"/>
    </xf>
    <xf numFmtId="49" fontId="9" fillId="0" borderId="26" xfId="0" applyNumberFormat="1" applyFont="1" applyBorder="1" applyAlignment="1">
      <alignment horizontal="left" vertical="center" wrapText="1"/>
    </xf>
    <xf numFmtId="49" fontId="9" fillId="0" borderId="24" xfId="0" applyNumberFormat="1" applyFont="1" applyBorder="1" applyAlignment="1">
      <alignment vertical="center" wrapText="1"/>
    </xf>
    <xf numFmtId="49" fontId="18" fillId="0" borderId="16" xfId="2" applyNumberFormat="1" applyFont="1" applyBorder="1" applyAlignment="1">
      <alignment horizontal="left" vertical="center" wrapText="1"/>
    </xf>
    <xf numFmtId="0" fontId="8" fillId="0" borderId="16" xfId="2" applyFont="1" applyBorder="1" applyAlignment="1">
      <alignment horizontal="center" vertical="center" wrapText="1"/>
    </xf>
    <xf numFmtId="0" fontId="9" fillId="0" borderId="16" xfId="2" applyFont="1" applyBorder="1" applyAlignment="1">
      <alignment horizontal="center" vertical="center" wrapText="1"/>
    </xf>
    <xf numFmtId="0" fontId="9" fillId="0" borderId="28" xfId="0" applyFont="1" applyBorder="1" applyAlignment="1">
      <alignment vertical="center" wrapText="1"/>
    </xf>
    <xf numFmtId="0" fontId="9" fillId="0" borderId="16" xfId="26" applyFont="1" applyBorder="1" applyAlignment="1">
      <alignment vertical="center" wrapText="1"/>
    </xf>
    <xf numFmtId="0" fontId="9" fillId="0" borderId="16" xfId="27" applyFont="1" applyBorder="1" applyAlignment="1">
      <alignment horizontal="left" vertical="center" wrapText="1"/>
    </xf>
    <xf numFmtId="49" fontId="8" fillId="0" borderId="16" xfId="2" applyNumberFormat="1" applyFont="1" applyBorder="1" applyAlignment="1">
      <alignment horizontal="left" vertical="center" wrapText="1"/>
    </xf>
    <xf numFmtId="49" fontId="9" fillId="0" borderId="16" xfId="2" applyNumberFormat="1" applyFont="1" applyBorder="1" applyAlignment="1">
      <alignment horizontal="left" vertical="center" wrapText="1"/>
    </xf>
    <xf numFmtId="49" fontId="8" fillId="6" borderId="24" xfId="2" applyNumberFormat="1" applyFont="1" applyFill="1" applyBorder="1" applyAlignment="1">
      <alignment horizontal="left" vertical="center" wrapText="1"/>
    </xf>
    <xf numFmtId="49" fontId="9" fillId="0" borderId="24" xfId="12" applyNumberFormat="1" applyFont="1" applyFill="1" applyBorder="1" applyAlignment="1">
      <alignment vertical="center" wrapText="1"/>
    </xf>
    <xf numFmtId="9" fontId="9" fillId="0" borderId="13" xfId="34" applyFont="1" applyFill="1" applyBorder="1" applyAlignment="1">
      <alignment vertical="center"/>
    </xf>
    <xf numFmtId="49" fontId="8" fillId="0" borderId="24" xfId="12" applyNumberFormat="1" applyFont="1" applyFill="1" applyBorder="1" applyAlignment="1">
      <alignment vertical="center" wrapText="1"/>
    </xf>
    <xf numFmtId="164" fontId="9" fillId="0" borderId="13" xfId="9" applyFont="1" applyFill="1" applyBorder="1" applyAlignment="1">
      <alignment vertical="center"/>
    </xf>
    <xf numFmtId="49" fontId="9" fillId="0" borderId="26" xfId="16" applyNumberFormat="1" applyFont="1" applyFill="1" applyBorder="1" applyAlignment="1">
      <alignment horizontal="left" vertical="center" wrapText="1"/>
    </xf>
    <xf numFmtId="164" fontId="9" fillId="0" borderId="17" xfId="9" applyFont="1" applyFill="1" applyBorder="1" applyAlignment="1">
      <alignment horizontal="center" vertical="center"/>
    </xf>
    <xf numFmtId="3" fontId="9" fillId="0" borderId="19" xfId="9" applyNumberFormat="1" applyFont="1" applyFill="1" applyBorder="1" applyAlignment="1">
      <alignment vertical="center" wrapText="1"/>
    </xf>
    <xf numFmtId="49" fontId="8" fillId="11" borderId="24" xfId="2" applyNumberFormat="1" applyFont="1" applyFill="1" applyBorder="1" applyAlignment="1">
      <alignment horizontal="left" vertical="center" wrapText="1"/>
    </xf>
    <xf numFmtId="49" fontId="18" fillId="0" borderId="24" xfId="0" applyNumberFormat="1" applyFont="1" applyBorder="1" applyAlignment="1">
      <alignment horizontal="left" vertical="center" wrapText="1"/>
    </xf>
    <xf numFmtId="49" fontId="9" fillId="0" borderId="27" xfId="12" applyNumberFormat="1" applyFont="1" applyFill="1" applyBorder="1" applyAlignment="1">
      <alignment vertical="center" wrapText="1"/>
    </xf>
    <xf numFmtId="49" fontId="8" fillId="0" borderId="24" xfId="16" applyNumberFormat="1" applyFont="1" applyFill="1" applyBorder="1" applyAlignment="1">
      <alignment horizontal="left" vertical="center" wrapText="1"/>
    </xf>
    <xf numFmtId="49" fontId="9" fillId="0" borderId="13" xfId="9" applyNumberFormat="1" applyFont="1" applyFill="1" applyBorder="1" applyAlignment="1">
      <alignment vertical="center" wrapText="1"/>
    </xf>
    <xf numFmtId="3" fontId="8" fillId="4" borderId="13" xfId="9" applyNumberFormat="1" applyFont="1" applyFill="1" applyBorder="1" applyAlignment="1">
      <alignment horizontal="center" vertical="center" wrapText="1"/>
    </xf>
    <xf numFmtId="166" fontId="9" fillId="2" borderId="13" xfId="3" applyNumberFormat="1" applyFont="1" applyFill="1" applyBorder="1" applyAlignment="1">
      <alignment horizontal="center" vertical="center" wrapText="1"/>
    </xf>
    <xf numFmtId="0" fontId="36" fillId="10" borderId="29" xfId="0" applyFont="1" applyFill="1" applyBorder="1" applyAlignment="1">
      <alignment horizontal="center" vertical="center" wrapText="1"/>
    </xf>
    <xf numFmtId="0" fontId="8" fillId="10" borderId="30" xfId="0" applyFont="1" applyFill="1" applyBorder="1" applyAlignment="1">
      <alignment vertical="center" wrapText="1"/>
    </xf>
    <xf numFmtId="0" fontId="9" fillId="10" borderId="30" xfId="0" applyFont="1" applyFill="1" applyBorder="1" applyAlignment="1">
      <alignment horizontal="center" vertical="center" wrapText="1"/>
    </xf>
    <xf numFmtId="4" fontId="9" fillId="10" borderId="30" xfId="0" applyNumberFormat="1" applyFont="1" applyFill="1" applyBorder="1" applyAlignment="1">
      <alignment horizontal="center" vertical="center" wrapText="1"/>
    </xf>
    <xf numFmtId="3" fontId="9" fillId="10" borderId="30" xfId="0" applyNumberFormat="1" applyFont="1" applyFill="1" applyBorder="1" applyAlignment="1">
      <alignment horizontal="center" vertical="center" wrapText="1"/>
    </xf>
    <xf numFmtId="3" fontId="38" fillId="10" borderId="30" xfId="30" applyNumberFormat="1" applyFont="1" applyFill="1" applyBorder="1" applyAlignment="1">
      <alignment horizontal="right" vertical="center" wrapText="1"/>
    </xf>
    <xf numFmtId="49" fontId="9" fillId="0" borderId="0" xfId="5" applyNumberFormat="1" applyFont="1" applyAlignment="1">
      <alignment vertical="center"/>
    </xf>
    <xf numFmtId="0" fontId="9" fillId="0" borderId="0" xfId="5" applyFont="1" applyAlignment="1">
      <alignment horizontal="center" vertical="center" wrapText="1"/>
    </xf>
    <xf numFmtId="164" fontId="9" fillId="0" borderId="0" xfId="9" applyFont="1" applyFill="1" applyAlignment="1">
      <alignment horizontal="center" vertical="center"/>
    </xf>
    <xf numFmtId="0" fontId="8" fillId="3" borderId="7" xfId="0" applyFont="1" applyFill="1" applyBorder="1" applyAlignment="1">
      <alignment horizontal="center" vertical="center" wrapText="1"/>
    </xf>
    <xf numFmtId="165" fontId="8" fillId="0" borderId="23" xfId="3" applyNumberFormat="1" applyFont="1" applyFill="1" applyBorder="1" applyAlignment="1">
      <alignment horizontal="center" vertical="center" wrapText="1"/>
    </xf>
    <xf numFmtId="3" fontId="8" fillId="0" borderId="13" xfId="3" applyNumberFormat="1" applyFont="1" applyFill="1" applyBorder="1" applyAlignment="1">
      <alignment vertical="center" wrapText="1"/>
    </xf>
    <xf numFmtId="165" fontId="47" fillId="0" borderId="0" xfId="3" applyNumberFormat="1" applyFont="1" applyFill="1" applyBorder="1" applyAlignment="1">
      <alignment horizontal="center" vertical="center"/>
    </xf>
    <xf numFmtId="165" fontId="8" fillId="0" borderId="23" xfId="9" applyNumberFormat="1" applyFont="1" applyFill="1" applyBorder="1" applyAlignment="1">
      <alignment horizontal="center" vertical="center" wrapText="1"/>
    </xf>
    <xf numFmtId="165" fontId="5" fillId="0" borderId="0" xfId="5" applyNumberFormat="1" applyFont="1" applyAlignment="1">
      <alignment vertical="center"/>
    </xf>
    <xf numFmtId="165" fontId="15" fillId="6" borderId="13" xfId="9" applyNumberFormat="1" applyFont="1" applyFill="1" applyBorder="1" applyAlignment="1">
      <alignment horizontal="center" vertical="center" wrapText="1"/>
    </xf>
    <xf numFmtId="166" fontId="15" fillId="0" borderId="13" xfId="9" applyNumberFormat="1" applyFont="1" applyFill="1" applyBorder="1" applyAlignment="1">
      <alignment horizontal="center" vertical="center" wrapText="1"/>
    </xf>
    <xf numFmtId="165" fontId="9" fillId="0" borderId="0" xfId="5" applyNumberFormat="1" applyFont="1" applyAlignment="1">
      <alignment vertical="center"/>
    </xf>
    <xf numFmtId="43" fontId="5" fillId="0" borderId="0" xfId="5" applyNumberFormat="1" applyFont="1" applyAlignment="1">
      <alignment vertical="center"/>
    </xf>
    <xf numFmtId="3" fontId="15" fillId="0" borderId="0" xfId="3" applyNumberFormat="1" applyFont="1" applyFill="1" applyBorder="1" applyAlignment="1">
      <alignment horizontal="center" vertical="center"/>
    </xf>
    <xf numFmtId="3" fontId="15" fillId="0" borderId="0" xfId="5" applyNumberFormat="1" applyFont="1" applyAlignment="1">
      <alignment vertical="center"/>
    </xf>
    <xf numFmtId="43" fontId="47" fillId="0" borderId="0" xfId="38" applyFont="1" applyFill="1" applyBorder="1" applyAlignment="1">
      <alignment horizontal="center" vertical="center"/>
    </xf>
    <xf numFmtId="0" fontId="49" fillId="0" borderId="0" xfId="5" applyFont="1" applyAlignment="1">
      <alignment horizontal="center" vertical="center"/>
    </xf>
    <xf numFmtId="0" fontId="9" fillId="14" borderId="0" xfId="5" applyFont="1" applyFill="1" applyAlignment="1">
      <alignment horizontal="center" vertical="center"/>
    </xf>
    <xf numFmtId="1" fontId="9" fillId="14" borderId="12" xfId="5" applyNumberFormat="1" applyFont="1" applyFill="1" applyBorder="1" applyAlignment="1" applyProtection="1">
      <alignment horizontal="center" vertical="center"/>
      <protection locked="0"/>
    </xf>
    <xf numFmtId="166" fontId="8" fillId="14" borderId="13" xfId="9" applyNumberFormat="1" applyFont="1" applyFill="1" applyBorder="1" applyAlignment="1">
      <alignment vertical="center"/>
    </xf>
    <xf numFmtId="0" fontId="9" fillId="14" borderId="0" xfId="5" applyFont="1" applyFill="1" applyAlignment="1">
      <alignment vertical="center"/>
    </xf>
    <xf numFmtId="49" fontId="5" fillId="14" borderId="21" xfId="0" applyNumberFormat="1" applyFont="1" applyFill="1" applyBorder="1" applyAlignment="1">
      <alignment vertical="center" wrapText="1"/>
    </xf>
    <xf numFmtId="49" fontId="9" fillId="14" borderId="21" xfId="0" applyNumberFormat="1" applyFont="1" applyFill="1" applyBorder="1" applyAlignment="1">
      <alignment vertical="center" wrapText="1"/>
    </xf>
    <xf numFmtId="3" fontId="8" fillId="3" borderId="2" xfId="4" applyNumberFormat="1" applyFont="1" applyFill="1" applyBorder="1" applyAlignment="1">
      <alignment horizontal="center" vertical="center" wrapText="1"/>
    </xf>
    <xf numFmtId="3" fontId="8" fillId="3" borderId="7" xfId="4" applyNumberFormat="1"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7" xfId="0" applyNumberFormat="1" applyFont="1" applyFill="1" applyBorder="1" applyAlignment="1">
      <alignment horizontal="center" vertical="center" wrapText="1"/>
    </xf>
    <xf numFmtId="0" fontId="9" fillId="0" borderId="23" xfId="7" applyFont="1" applyBorder="1" applyAlignment="1">
      <alignment vertical="center" wrapText="1"/>
    </xf>
    <xf numFmtId="0" fontId="8" fillId="0" borderId="23" xfId="2" applyFont="1" applyBorder="1" applyAlignment="1">
      <alignment horizontal="center" vertical="center" wrapText="1"/>
    </xf>
    <xf numFmtId="164" fontId="8" fillId="0" borderId="23" xfId="3" applyFont="1" applyFill="1" applyBorder="1" applyAlignment="1">
      <alignment horizontal="center" vertical="center"/>
    </xf>
    <xf numFmtId="3" fontId="8" fillId="0" borderId="23" xfId="3" applyNumberFormat="1" applyFont="1" applyFill="1" applyBorder="1" applyAlignment="1">
      <alignment horizontal="center" vertical="center" wrapText="1"/>
    </xf>
    <xf numFmtId="0" fontId="8" fillId="4" borderId="23" xfId="2" applyFont="1" applyFill="1" applyBorder="1" applyAlignment="1">
      <alignment horizontal="left" vertical="center" wrapText="1"/>
    </xf>
    <xf numFmtId="0" fontId="9" fillId="4" borderId="23" xfId="2" applyFont="1" applyFill="1" applyBorder="1" applyAlignment="1">
      <alignment horizontal="center" vertical="center" wrapText="1"/>
    </xf>
    <xf numFmtId="164" fontId="9" fillId="4" borderId="23" xfId="3" applyFont="1" applyFill="1" applyBorder="1" applyAlignment="1">
      <alignment horizontal="center" vertical="center" wrapText="1"/>
    </xf>
    <xf numFmtId="3" fontId="9" fillId="5" borderId="23" xfId="3" applyNumberFormat="1" applyFont="1" applyFill="1" applyBorder="1" applyAlignment="1">
      <alignment horizontal="center" vertical="center" wrapText="1"/>
    </xf>
    <xf numFmtId="165" fontId="8" fillId="5" borderId="23" xfId="3" applyNumberFormat="1" applyFont="1" applyFill="1" applyBorder="1" applyAlignment="1">
      <alignment horizontal="center" vertical="center" wrapText="1"/>
    </xf>
    <xf numFmtId="49" fontId="8" fillId="6" borderId="23" xfId="2" applyNumberFormat="1" applyFont="1" applyFill="1" applyBorder="1" applyAlignment="1">
      <alignment horizontal="left" vertical="center" wrapText="1"/>
    </xf>
    <xf numFmtId="0" fontId="8" fillId="6" borderId="23" xfId="2" applyFont="1" applyFill="1" applyBorder="1" applyAlignment="1">
      <alignment horizontal="center" vertical="center" wrapText="1"/>
    </xf>
    <xf numFmtId="164" fontId="8" fillId="6" borderId="23" xfId="3" applyFont="1" applyFill="1" applyBorder="1" applyAlignment="1">
      <alignment horizontal="center" vertical="center" wrapText="1"/>
    </xf>
    <xf numFmtId="166" fontId="8" fillId="7" borderId="23" xfId="3" applyNumberFormat="1" applyFont="1" applyFill="1" applyBorder="1" applyAlignment="1">
      <alignment horizontal="center" vertical="center" wrapText="1"/>
    </xf>
    <xf numFmtId="165" fontId="8" fillId="7" borderId="23" xfId="3" applyNumberFormat="1" applyFont="1" applyFill="1" applyBorder="1" applyAlignment="1">
      <alignment horizontal="center" vertical="center" wrapText="1"/>
    </xf>
    <xf numFmtId="49" fontId="8" fillId="0" borderId="23" xfId="2" applyNumberFormat="1" applyFont="1" applyBorder="1" applyAlignment="1">
      <alignment horizontal="left" vertical="center" wrapText="1"/>
    </xf>
    <xf numFmtId="164" fontId="8" fillId="0" borderId="23" xfId="3" applyFont="1" applyFill="1" applyBorder="1" applyAlignment="1" applyProtection="1">
      <alignment horizontal="left" vertical="center" wrapText="1"/>
    </xf>
    <xf numFmtId="0" fontId="8" fillId="0" borderId="23" xfId="2" applyFont="1" applyBorder="1" applyAlignment="1">
      <alignment horizontal="left" vertical="center" wrapText="1"/>
    </xf>
    <xf numFmtId="164" fontId="8" fillId="0" borderId="23" xfId="3" applyFont="1" applyFill="1" applyBorder="1" applyAlignment="1">
      <alignment horizontal="center" vertical="center" wrapText="1"/>
    </xf>
    <xf numFmtId="0" fontId="9" fillId="0" borderId="23" xfId="2" applyFont="1" applyBorder="1" applyAlignment="1">
      <alignment horizontal="left" vertical="center" wrapText="1"/>
    </xf>
    <xf numFmtId="0" fontId="9" fillId="0" borderId="23" xfId="8" applyFont="1" applyBorder="1" applyAlignment="1" applyProtection="1">
      <alignment horizontal="center" vertical="center" wrapText="1"/>
      <protection locked="0"/>
    </xf>
    <xf numFmtId="164" fontId="9" fillId="0" borderId="23" xfId="3" applyFont="1" applyFill="1" applyBorder="1" applyAlignment="1">
      <alignment horizontal="center" vertical="center" wrapText="1"/>
    </xf>
    <xf numFmtId="166" fontId="9" fillId="0" borderId="23" xfId="9" applyNumberFormat="1" applyFont="1" applyFill="1" applyBorder="1" applyAlignment="1">
      <alignment horizontal="center" vertical="center"/>
    </xf>
    <xf numFmtId="0" fontId="9" fillId="0" borderId="23" xfId="2" applyFont="1" applyBorder="1" applyAlignment="1">
      <alignment horizontal="center" vertical="center" wrapText="1"/>
    </xf>
    <xf numFmtId="166" fontId="19" fillId="0" borderId="23" xfId="9" applyNumberFormat="1" applyFont="1" applyFill="1" applyBorder="1" applyAlignment="1">
      <alignment vertical="center"/>
    </xf>
    <xf numFmtId="0" fontId="9" fillId="0" borderId="23" xfId="10" applyFont="1" applyBorder="1" applyAlignment="1">
      <alignment horizontal="left" vertical="center" wrapText="1"/>
    </xf>
    <xf numFmtId="167" fontId="9" fillId="0" borderId="23" xfId="11" applyNumberFormat="1" applyFont="1" applyBorder="1" applyAlignment="1">
      <alignment horizontal="left" vertical="center" wrapText="1"/>
    </xf>
    <xf numFmtId="49" fontId="9" fillId="0" borderId="23" xfId="12" applyNumberFormat="1" applyFont="1" applyFill="1" applyBorder="1" applyAlignment="1">
      <alignment horizontal="left" vertical="center" wrapText="1"/>
    </xf>
    <xf numFmtId="0" fontId="9" fillId="0" borderId="23" xfId="13" applyFont="1" applyBorder="1" applyAlignment="1">
      <alignment horizontal="left" vertical="center" wrapText="1"/>
    </xf>
    <xf numFmtId="0" fontId="9" fillId="2" borderId="23" xfId="13" applyFont="1" applyFill="1" applyBorder="1" applyAlignment="1">
      <alignment horizontal="left" vertical="center" wrapText="1"/>
    </xf>
    <xf numFmtId="164" fontId="17" fillId="0" borderId="23" xfId="3" applyFont="1" applyFill="1" applyBorder="1" applyAlignment="1">
      <alignment horizontal="center" vertical="center" wrapText="1"/>
    </xf>
    <xf numFmtId="0" fontId="17" fillId="0" borderId="23" xfId="0" applyFont="1" applyBorder="1" applyAlignment="1">
      <alignment horizontal="left" vertical="center" wrapText="1"/>
    </xf>
    <xf numFmtId="0" fontId="9" fillId="0" borderId="23" xfId="0" applyFont="1" applyBorder="1" applyAlignment="1">
      <alignment horizontal="left" vertical="center" wrapText="1"/>
    </xf>
    <xf numFmtId="0" fontId="17" fillId="0" borderId="23" xfId="2" applyFont="1" applyBorder="1" applyAlignment="1">
      <alignment horizontal="left" vertical="center" wrapText="1"/>
    </xf>
    <xf numFmtId="0" fontId="9" fillId="0" borderId="23" xfId="0" applyFont="1" applyBorder="1" applyAlignment="1">
      <alignment horizontal="center" vertical="center" wrapText="1"/>
    </xf>
    <xf numFmtId="0" fontId="9" fillId="0" borderId="23" xfId="8" applyFont="1" applyBorder="1" applyAlignment="1" applyProtection="1">
      <alignment horizontal="left" vertical="center" wrapText="1"/>
      <protection locked="0"/>
    </xf>
    <xf numFmtId="49" fontId="9" fillId="0" borderId="23" xfId="8" applyNumberFormat="1" applyFont="1" applyBorder="1" applyAlignment="1" applyProtection="1">
      <alignment horizontal="left" vertical="center" wrapText="1"/>
      <protection locked="0"/>
    </xf>
    <xf numFmtId="164" fontId="9" fillId="0" borderId="23" xfId="3" applyFont="1" applyFill="1" applyBorder="1" applyAlignment="1">
      <alignment horizontal="center" vertical="center"/>
    </xf>
    <xf numFmtId="49" fontId="9" fillId="0" borderId="23" xfId="0" applyNumberFormat="1" applyFont="1" applyBorder="1" applyAlignment="1">
      <alignment horizontal="left" vertical="center" wrapText="1"/>
    </xf>
    <xf numFmtId="166" fontId="17" fillId="0" borderId="23" xfId="9" applyNumberFormat="1" applyFont="1" applyFill="1" applyBorder="1" applyAlignment="1">
      <alignment horizontal="center" vertical="center" wrapText="1"/>
    </xf>
    <xf numFmtId="166" fontId="9" fillId="0" borderId="23" xfId="3" applyNumberFormat="1" applyFont="1" applyFill="1" applyBorder="1" applyAlignment="1">
      <alignment vertical="center"/>
    </xf>
    <xf numFmtId="165" fontId="9" fillId="0" borderId="23" xfId="3" applyNumberFormat="1" applyFont="1" applyFill="1" applyBorder="1" applyAlignment="1">
      <alignment horizontal="center" vertical="center"/>
    </xf>
    <xf numFmtId="49" fontId="5" fillId="2" borderId="23" xfId="12" applyNumberFormat="1" applyFont="1" applyFill="1" applyBorder="1" applyAlignment="1">
      <alignment vertical="center" wrapText="1"/>
    </xf>
    <xf numFmtId="166" fontId="5" fillId="13" borderId="23" xfId="9" applyNumberFormat="1" applyFont="1" applyFill="1" applyBorder="1" applyAlignment="1">
      <alignment horizontal="center" vertical="center"/>
    </xf>
    <xf numFmtId="49" fontId="5" fillId="0" borderId="23" xfId="12" applyNumberFormat="1" applyFont="1" applyFill="1" applyBorder="1" applyAlignment="1">
      <alignment vertical="center" wrapText="1"/>
    </xf>
    <xf numFmtId="49" fontId="9" fillId="2" borderId="23" xfId="12" applyNumberFormat="1" applyFont="1" applyFill="1" applyBorder="1" applyAlignment="1">
      <alignment vertical="center" wrapText="1"/>
    </xf>
    <xf numFmtId="49" fontId="9" fillId="0" borderId="23" xfId="12" applyNumberFormat="1" applyFont="1" applyFill="1" applyBorder="1" applyAlignment="1">
      <alignment vertical="center" wrapText="1"/>
    </xf>
    <xf numFmtId="49" fontId="9" fillId="0" borderId="23" xfId="9" applyNumberFormat="1" applyFont="1" applyFill="1" applyBorder="1" applyAlignment="1">
      <alignment horizontal="center" vertical="center" wrapText="1"/>
    </xf>
    <xf numFmtId="166" fontId="8" fillId="0" borderId="23" xfId="3" applyNumberFormat="1" applyFont="1" applyFill="1" applyBorder="1" applyAlignment="1">
      <alignment vertical="center"/>
    </xf>
    <xf numFmtId="0" fontId="8" fillId="0" borderId="23" xfId="8" applyFont="1" applyBorder="1" applyAlignment="1" applyProtection="1">
      <alignment horizontal="center" vertical="center" wrapText="1"/>
      <protection locked="0"/>
    </xf>
    <xf numFmtId="165" fontId="8" fillId="0" borderId="23" xfId="3" applyNumberFormat="1" applyFont="1" applyFill="1" applyBorder="1" applyAlignment="1">
      <alignment horizontal="center" vertical="center"/>
    </xf>
    <xf numFmtId="49" fontId="17" fillId="0" borderId="23" xfId="0" applyNumberFormat="1" applyFont="1" applyBorder="1" applyAlignment="1">
      <alignment horizontal="left" vertical="center" wrapText="1"/>
    </xf>
    <xf numFmtId="0" fontId="17" fillId="0" borderId="23" xfId="8" applyFont="1" applyBorder="1" applyAlignment="1" applyProtection="1">
      <alignment horizontal="center" vertical="center" wrapText="1"/>
      <protection locked="0"/>
    </xf>
    <xf numFmtId="164" fontId="17" fillId="0" borderId="23" xfId="3" applyFont="1" applyFill="1" applyBorder="1" applyAlignment="1">
      <alignment horizontal="center" vertical="center"/>
    </xf>
    <xf numFmtId="166" fontId="17" fillId="0" borderId="23" xfId="3" applyNumberFormat="1" applyFont="1" applyFill="1" applyBorder="1" applyAlignment="1">
      <alignment vertical="center"/>
    </xf>
    <xf numFmtId="165" fontId="17" fillId="0" borderId="23" xfId="3" applyNumberFormat="1" applyFont="1" applyFill="1" applyBorder="1" applyAlignment="1">
      <alignment horizontal="center" vertical="center"/>
    </xf>
    <xf numFmtId="165" fontId="46" fillId="0" borderId="23" xfId="3" applyNumberFormat="1" applyFont="1" applyFill="1" applyBorder="1" applyAlignment="1">
      <alignment horizontal="center" vertical="center" wrapText="1"/>
    </xf>
    <xf numFmtId="49" fontId="8" fillId="0" borderId="23" xfId="0" applyNumberFormat="1" applyFont="1" applyBorder="1" applyAlignment="1">
      <alignment horizontal="left" vertical="center" wrapText="1"/>
    </xf>
    <xf numFmtId="49" fontId="8" fillId="0" borderId="23" xfId="8" applyNumberFormat="1" applyFont="1" applyBorder="1" applyAlignment="1" applyProtection="1">
      <alignment horizontal="center" vertical="center" wrapText="1"/>
      <protection locked="0"/>
    </xf>
    <xf numFmtId="49" fontId="52" fillId="0" borderId="23" xfId="12" applyNumberFormat="1" applyFont="1" applyFill="1" applyBorder="1" applyAlignment="1">
      <alignment vertical="center" wrapText="1"/>
    </xf>
    <xf numFmtId="166" fontId="5" fillId="0" borderId="23" xfId="9" applyNumberFormat="1" applyFont="1" applyFill="1" applyBorder="1" applyAlignment="1">
      <alignment vertical="center"/>
    </xf>
    <xf numFmtId="49" fontId="8" fillId="0" borderId="23" xfId="12" applyNumberFormat="1" applyFont="1" applyFill="1" applyBorder="1" applyAlignment="1">
      <alignment vertical="center" wrapText="1"/>
    </xf>
    <xf numFmtId="2" fontId="9" fillId="0" borderId="23" xfId="12" applyNumberFormat="1" applyFont="1" applyFill="1" applyBorder="1" applyAlignment="1">
      <alignment vertical="center" wrapText="1"/>
    </xf>
    <xf numFmtId="49" fontId="8" fillId="0" borderId="23" xfId="9" applyNumberFormat="1" applyFont="1" applyFill="1" applyBorder="1" applyAlignment="1">
      <alignment horizontal="center" vertical="center" wrapText="1"/>
    </xf>
    <xf numFmtId="0" fontId="9" fillId="0" borderId="23" xfId="0" applyFont="1" applyBorder="1" applyAlignment="1">
      <alignment vertical="center" wrapText="1"/>
    </xf>
    <xf numFmtId="49" fontId="9" fillId="0" borderId="23" xfId="8" applyNumberFormat="1" applyFont="1" applyBorder="1" applyAlignment="1" applyProtection="1">
      <alignment horizontal="center" vertical="center" wrapText="1"/>
      <protection locked="0"/>
    </xf>
    <xf numFmtId="166" fontId="8" fillId="0" borderId="23" xfId="9" applyNumberFormat="1" applyFont="1" applyFill="1" applyBorder="1" applyAlignment="1">
      <alignment horizontal="center" vertical="center" wrapText="1"/>
    </xf>
    <xf numFmtId="0" fontId="8" fillId="0" borderId="23" xfId="16" applyNumberFormat="1" applyFont="1" applyFill="1" applyBorder="1" applyAlignment="1">
      <alignment horizontal="left" vertical="center" wrapText="1"/>
    </xf>
    <xf numFmtId="0" fontId="8" fillId="0" borderId="23" xfId="0" applyFont="1" applyBorder="1" applyAlignment="1">
      <alignment horizontal="center" vertical="center" wrapText="1"/>
    </xf>
    <xf numFmtId="3" fontId="8" fillId="0" borderId="23" xfId="9" applyNumberFormat="1" applyFont="1" applyFill="1" applyBorder="1" applyAlignment="1">
      <alignment vertical="center"/>
    </xf>
    <xf numFmtId="0" fontId="9" fillId="0" borderId="23" xfId="16" applyNumberFormat="1" applyFont="1" applyFill="1" applyBorder="1" applyAlignment="1">
      <alignment horizontal="left" vertical="center" wrapText="1"/>
    </xf>
    <xf numFmtId="49" fontId="9" fillId="0" borderId="23" xfId="0" applyNumberFormat="1" applyFont="1" applyBorder="1" applyAlignment="1">
      <alignment vertical="center" wrapText="1"/>
    </xf>
    <xf numFmtId="3" fontId="9" fillId="0" borderId="23" xfId="9" applyNumberFormat="1" applyFont="1" applyFill="1" applyBorder="1" applyAlignment="1">
      <alignment vertical="center"/>
    </xf>
    <xf numFmtId="165" fontId="9" fillId="0" borderId="23" xfId="9" applyNumberFormat="1" applyFont="1" applyFill="1" applyBorder="1" applyAlignment="1">
      <alignment horizontal="center" vertical="center"/>
    </xf>
    <xf numFmtId="49" fontId="17" fillId="0" borderId="23" xfId="0" applyNumberFormat="1" applyFont="1" applyBorder="1" applyAlignment="1">
      <alignment vertical="center" wrapText="1"/>
    </xf>
    <xf numFmtId="0" fontId="18" fillId="0" borderId="23" xfId="0" applyFont="1" applyBorder="1" applyAlignment="1">
      <alignment horizontal="center" vertical="center" wrapText="1"/>
    </xf>
    <xf numFmtId="164" fontId="18" fillId="0" borderId="23" xfId="3" applyFont="1" applyFill="1" applyBorder="1" applyAlignment="1">
      <alignment horizontal="center" vertical="center"/>
    </xf>
    <xf numFmtId="3" fontId="18" fillId="0" borderId="23" xfId="9" applyNumberFormat="1" applyFont="1" applyFill="1" applyBorder="1" applyAlignment="1">
      <alignment vertical="center"/>
    </xf>
    <xf numFmtId="49" fontId="9" fillId="0" borderId="23" xfId="16" applyNumberFormat="1" applyFont="1" applyFill="1" applyBorder="1" applyAlignment="1">
      <alignment horizontal="left" vertical="center" wrapText="1"/>
    </xf>
    <xf numFmtId="49" fontId="9" fillId="0" borderId="23" xfId="0" applyNumberFormat="1" applyFont="1" applyBorder="1" applyAlignment="1">
      <alignment horizontal="left" vertical="center"/>
    </xf>
    <xf numFmtId="0" fontId="9" fillId="0" borderId="23" xfId="18" applyFont="1" applyBorder="1" applyAlignment="1">
      <alignment vertical="center" wrapText="1"/>
    </xf>
    <xf numFmtId="0" fontId="17" fillId="0" borderId="23" xfId="16" applyNumberFormat="1" applyFont="1" applyFill="1" applyBorder="1" applyAlignment="1">
      <alignment horizontal="left" vertical="center" wrapText="1"/>
    </xf>
    <xf numFmtId="49" fontId="9" fillId="0" borderId="23" xfId="2" applyNumberFormat="1" applyFont="1" applyBorder="1" applyAlignment="1">
      <alignment horizontal="left" vertical="center" wrapText="1"/>
    </xf>
    <xf numFmtId="0" fontId="8" fillId="0" borderId="23" xfId="8" applyFont="1" applyBorder="1" applyAlignment="1" applyProtection="1">
      <alignment horizontal="left" vertical="center" wrapText="1"/>
      <protection locked="0"/>
    </xf>
    <xf numFmtId="0" fontId="9" fillId="0" borderId="23" xfId="8" applyFont="1" applyBorder="1" applyAlignment="1" applyProtection="1">
      <alignment horizontal="center" vertical="center"/>
      <protection locked="0"/>
    </xf>
    <xf numFmtId="166" fontId="8" fillId="0" borderId="23" xfId="3" applyNumberFormat="1" applyFont="1" applyFill="1" applyBorder="1" applyAlignment="1">
      <alignment horizontal="center" vertical="center" wrapText="1"/>
    </xf>
    <xf numFmtId="0" fontId="18" fillId="0" borderId="23" xfId="8" applyFont="1" applyBorder="1" applyAlignment="1" applyProtection="1">
      <alignment horizontal="left" vertical="center" wrapText="1"/>
      <protection locked="0"/>
    </xf>
    <xf numFmtId="0" fontId="9" fillId="0" borderId="23" xfId="19" applyFont="1" applyBorder="1" applyAlignment="1">
      <alignment horizontal="left" vertical="center" wrapText="1"/>
    </xf>
    <xf numFmtId="0" fontId="9" fillId="0" borderId="23" xfId="20" quotePrefix="1" applyFont="1" applyBorder="1" applyAlignment="1">
      <alignment horizontal="left" vertical="center" wrapText="1"/>
    </xf>
    <xf numFmtId="164" fontId="9" fillId="0" borderId="23" xfId="3" applyFont="1" applyFill="1" applyBorder="1" applyAlignment="1">
      <alignment horizontal="center" vertical="top"/>
    </xf>
    <xf numFmtId="0" fontId="9" fillId="0" borderId="23" xfId="20" applyFont="1" applyBorder="1" applyAlignment="1">
      <alignment horizontal="left" vertical="center" wrapText="1"/>
    </xf>
    <xf numFmtId="49" fontId="9" fillId="0" borderId="23" xfId="19" applyNumberFormat="1" applyFont="1" applyBorder="1" applyAlignment="1">
      <alignment horizontal="left" vertical="center" wrapText="1"/>
    </xf>
    <xf numFmtId="0" fontId="8" fillId="0" borderId="23" xfId="20" quotePrefix="1" applyFont="1" applyBorder="1" applyAlignment="1">
      <alignment horizontal="left" vertical="center" wrapText="1"/>
    </xf>
    <xf numFmtId="0" fontId="8" fillId="0" borderId="23" xfId="0" applyFont="1" applyBorder="1" applyAlignment="1">
      <alignment horizontal="left" vertical="center" wrapText="1"/>
    </xf>
    <xf numFmtId="0" fontId="8" fillId="0" borderId="23" xfId="8" applyFont="1" applyBorder="1" applyAlignment="1" applyProtection="1">
      <alignment horizontal="center" vertical="center"/>
      <protection locked="0"/>
    </xf>
    <xf numFmtId="0" fontId="5" fillId="0" borderId="23" xfId="0" applyFont="1" applyBorder="1" applyAlignment="1">
      <alignment horizontal="left" vertical="center" wrapText="1"/>
    </xf>
    <xf numFmtId="49" fontId="18" fillId="0" borderId="23" xfId="8" applyNumberFormat="1" applyFont="1" applyBorder="1" applyAlignment="1" applyProtection="1">
      <alignment horizontal="left" vertical="center" wrapText="1"/>
      <protection locked="0"/>
    </xf>
    <xf numFmtId="166" fontId="9" fillId="13" borderId="23" xfId="9" applyNumberFormat="1" applyFont="1" applyFill="1" applyBorder="1" applyAlignment="1">
      <alignment horizontal="center" vertical="center"/>
    </xf>
    <xf numFmtId="3" fontId="9" fillId="0" borderId="23" xfId="0" applyNumberFormat="1" applyFont="1" applyBorder="1" applyAlignment="1">
      <alignment horizontal="left" vertical="center" wrapText="1"/>
    </xf>
    <xf numFmtId="0" fontId="9" fillId="0" borderId="23" xfId="21" applyFont="1" applyBorder="1" applyAlignment="1">
      <alignment horizontal="left" vertical="center" wrapText="1"/>
    </xf>
    <xf numFmtId="0" fontId="17" fillId="0" borderId="23" xfId="20" quotePrefix="1" applyFont="1" applyBorder="1" applyAlignment="1">
      <alignment horizontal="left" vertical="center" wrapText="1"/>
    </xf>
    <xf numFmtId="0" fontId="9" fillId="0" borderId="23" xfId="22" applyNumberFormat="1" applyFont="1" applyFill="1" applyBorder="1" applyAlignment="1">
      <alignment vertical="center" wrapText="1"/>
    </xf>
    <xf numFmtId="0" fontId="9" fillId="0" borderId="23" xfId="23" applyFont="1" applyBorder="1" applyAlignment="1" applyProtection="1">
      <alignment horizontal="left" vertical="center" wrapText="1"/>
      <protection locked="0"/>
    </xf>
    <xf numFmtId="49" fontId="9" fillId="0" borderId="23" xfId="24" applyNumberFormat="1" applyFont="1" applyFill="1" applyBorder="1" applyAlignment="1">
      <alignment horizontal="center" vertical="center" wrapText="1"/>
    </xf>
    <xf numFmtId="0" fontId="9" fillId="0" borderId="23" xfId="0" applyFont="1" applyBorder="1" applyAlignment="1">
      <alignment horizontal="left" vertical="center"/>
    </xf>
    <xf numFmtId="0" fontId="9" fillId="0" borderId="23" xfId="0" applyFont="1" applyBorder="1" applyAlignment="1">
      <alignment horizontal="center" vertical="center"/>
    </xf>
    <xf numFmtId="0" fontId="17" fillId="0" borderId="23" xfId="0" applyFont="1" applyBorder="1" applyAlignment="1">
      <alignment vertical="center" wrapText="1"/>
    </xf>
    <xf numFmtId="49" fontId="18" fillId="0" borderId="23" xfId="2" applyNumberFormat="1" applyFont="1" applyBorder="1" applyAlignment="1">
      <alignment horizontal="left" vertical="center" wrapText="1"/>
    </xf>
    <xf numFmtId="0" fontId="9" fillId="0" borderId="23" xfId="25" applyFont="1" applyBorder="1" applyAlignment="1">
      <alignment vertical="center" wrapText="1"/>
    </xf>
    <xf numFmtId="164" fontId="8" fillId="0" borderId="23" xfId="3" applyFont="1" applyFill="1" applyBorder="1" applyAlignment="1" applyProtection="1">
      <alignment horizontal="center" vertical="center"/>
    </xf>
    <xf numFmtId="164" fontId="9" fillId="0" borderId="23" xfId="3" applyFont="1" applyFill="1" applyBorder="1" applyAlignment="1" applyProtection="1">
      <alignment horizontal="center" vertical="center"/>
    </xf>
    <xf numFmtId="164" fontId="9" fillId="0" borderId="23" xfId="3" applyFont="1" applyFill="1" applyBorder="1" applyAlignment="1" applyProtection="1">
      <alignment horizontal="center" vertical="top"/>
    </xf>
    <xf numFmtId="0" fontId="9" fillId="0" borderId="23" xfId="26" applyFont="1" applyBorder="1" applyAlignment="1">
      <alignment vertical="top" wrapText="1"/>
    </xf>
    <xf numFmtId="0" fontId="9" fillId="0" borderId="23" xfId="0" applyFont="1" applyBorder="1" applyAlignment="1">
      <alignment horizontal="left" vertical="top" wrapText="1"/>
    </xf>
    <xf numFmtId="0" fontId="9" fillId="0" borderId="23" xfId="27" applyFont="1" applyBorder="1" applyAlignment="1">
      <alignment horizontal="left" vertical="top" wrapText="1"/>
    </xf>
    <xf numFmtId="49" fontId="18" fillId="0" borderId="23" xfId="12" applyNumberFormat="1" applyFont="1" applyFill="1" applyBorder="1" applyAlignment="1">
      <alignment vertical="center" wrapText="1"/>
    </xf>
    <xf numFmtId="166" fontId="18" fillId="0" borderId="23" xfId="9" applyNumberFormat="1" applyFont="1" applyFill="1" applyBorder="1" applyAlignment="1">
      <alignment horizontal="center" vertical="center" wrapText="1"/>
    </xf>
    <xf numFmtId="165" fontId="18" fillId="0" borderId="23" xfId="9" applyNumberFormat="1" applyFont="1" applyFill="1" applyBorder="1" applyAlignment="1">
      <alignment horizontal="center" vertical="center"/>
    </xf>
    <xf numFmtId="0" fontId="18" fillId="0" borderId="23" xfId="18" applyFont="1" applyBorder="1" applyAlignment="1">
      <alignment horizontal="left" vertical="center" wrapText="1"/>
    </xf>
    <xf numFmtId="0" fontId="9" fillId="0" borderId="23" xfId="18" applyFont="1" applyBorder="1" applyAlignment="1">
      <alignment horizontal="center" vertical="center" wrapText="1"/>
    </xf>
    <xf numFmtId="0" fontId="17" fillId="0" borderId="23" xfId="18" applyFont="1" applyBorder="1" applyAlignment="1">
      <alignment horizontal="left" vertical="center" wrapText="1"/>
    </xf>
    <xf numFmtId="3" fontId="9" fillId="0" borderId="23" xfId="3" applyNumberFormat="1" applyFont="1" applyFill="1" applyBorder="1" applyAlignment="1">
      <alignment vertical="center"/>
    </xf>
    <xf numFmtId="3" fontId="9" fillId="8" borderId="23" xfId="3" applyNumberFormat="1" applyFont="1" applyFill="1" applyBorder="1" applyAlignment="1">
      <alignment horizontal="center" vertical="center" wrapText="1"/>
    </xf>
    <xf numFmtId="166" fontId="8" fillId="9" borderId="23" xfId="3" applyNumberFormat="1" applyFont="1" applyFill="1" applyBorder="1" applyAlignment="1">
      <alignment horizontal="center" vertical="center" wrapText="1"/>
    </xf>
    <xf numFmtId="165" fontId="8" fillId="0" borderId="23" xfId="9" applyNumberFormat="1" applyFont="1" applyFill="1" applyBorder="1" applyAlignment="1">
      <alignment horizontal="center" vertical="center"/>
    </xf>
    <xf numFmtId="49" fontId="9" fillId="0" borderId="23" xfId="11" applyNumberFormat="1" applyFont="1" applyBorder="1" applyAlignment="1">
      <alignment horizontal="left" vertical="center" wrapText="1"/>
    </xf>
    <xf numFmtId="3" fontId="9" fillId="4" borderId="23" xfId="3" applyNumberFormat="1" applyFont="1" applyFill="1" applyBorder="1" applyAlignment="1">
      <alignment horizontal="center" vertical="center" wrapText="1"/>
    </xf>
    <xf numFmtId="165" fontId="8" fillId="4" borderId="23" xfId="3" applyNumberFormat="1" applyFont="1" applyFill="1" applyBorder="1" applyAlignment="1">
      <alignment horizontal="center" vertical="center" wrapText="1"/>
    </xf>
    <xf numFmtId="0" fontId="17" fillId="0" borderId="23" xfId="28" applyNumberFormat="1" applyFont="1" applyBorder="1" applyAlignment="1">
      <alignment vertical="center" wrapText="1"/>
    </xf>
    <xf numFmtId="166" fontId="8" fillId="0" borderId="23" xfId="9" applyNumberFormat="1" applyFont="1" applyFill="1" applyBorder="1" applyAlignment="1">
      <alignment vertical="center"/>
    </xf>
    <xf numFmtId="166" fontId="8" fillId="10" borderId="31" xfId="30" applyNumberFormat="1" applyFont="1" applyFill="1" applyBorder="1" applyAlignment="1">
      <alignment horizontal="right" vertical="center" wrapText="1"/>
    </xf>
    <xf numFmtId="0" fontId="9" fillId="0" borderId="23" xfId="31" applyFont="1" applyBorder="1" applyAlignment="1">
      <alignment vertical="center" wrapText="1"/>
    </xf>
    <xf numFmtId="0" fontId="8" fillId="11" borderId="23" xfId="2" applyFont="1" applyFill="1" applyBorder="1" applyAlignment="1">
      <alignment horizontal="center" vertical="center" wrapText="1"/>
    </xf>
    <xf numFmtId="164" fontId="8" fillId="11" borderId="23" xfId="9" applyFont="1" applyFill="1" applyBorder="1" applyAlignment="1">
      <alignment horizontal="center" vertical="center" wrapText="1"/>
    </xf>
    <xf numFmtId="166" fontId="8" fillId="11" borderId="23" xfId="9" applyNumberFormat="1" applyFont="1" applyFill="1" applyBorder="1" applyAlignment="1">
      <alignment horizontal="center" vertical="center" wrapText="1"/>
    </xf>
    <xf numFmtId="164" fontId="8" fillId="6" borderId="23" xfId="9" applyFont="1" applyFill="1" applyBorder="1" applyAlignment="1">
      <alignment horizontal="center" vertical="center" wrapText="1"/>
    </xf>
    <xf numFmtId="165" fontId="8" fillId="7" borderId="23" xfId="9" applyNumberFormat="1" applyFont="1" applyFill="1" applyBorder="1" applyAlignment="1">
      <alignment horizontal="center" vertical="center" wrapText="1"/>
    </xf>
    <xf numFmtId="49" fontId="18" fillId="0" borderId="24" xfId="2" applyNumberFormat="1" applyFont="1" applyBorder="1" applyAlignment="1">
      <alignment horizontal="left" vertical="center" wrapText="1"/>
    </xf>
    <xf numFmtId="0" fontId="18" fillId="0" borderId="23" xfId="2" applyFont="1" applyBorder="1" applyAlignment="1">
      <alignment horizontal="center" vertical="center" wrapText="1"/>
    </xf>
    <xf numFmtId="164" fontId="18" fillId="0" borderId="23" xfId="9" applyFont="1" applyFill="1" applyBorder="1" applyAlignment="1">
      <alignment horizontal="center" vertical="center" wrapText="1"/>
    </xf>
    <xf numFmtId="49" fontId="9" fillId="0" borderId="24" xfId="11" applyNumberFormat="1" applyFont="1" applyBorder="1" applyAlignment="1">
      <alignment horizontal="left" vertical="center" wrapText="1"/>
    </xf>
    <xf numFmtId="164" fontId="18" fillId="0" borderId="23" xfId="9" applyFont="1" applyFill="1" applyBorder="1" applyAlignment="1" applyProtection="1">
      <alignment horizontal="center" vertical="center"/>
    </xf>
    <xf numFmtId="164" fontId="18" fillId="0" borderId="23" xfId="9" applyFont="1" applyFill="1" applyBorder="1" applyAlignment="1">
      <alignment horizontal="center" vertical="center"/>
    </xf>
    <xf numFmtId="49" fontId="9" fillId="12" borderId="24" xfId="2" applyNumberFormat="1" applyFont="1" applyFill="1" applyBorder="1" applyAlignment="1">
      <alignment horizontal="left" vertical="center" wrapText="1"/>
    </xf>
    <xf numFmtId="1" fontId="9" fillId="12" borderId="23" xfId="5" applyNumberFormat="1" applyFont="1" applyFill="1" applyBorder="1" applyAlignment="1" applyProtection="1">
      <alignment horizontal="center" vertical="center" wrapText="1"/>
      <protection locked="0"/>
    </xf>
    <xf numFmtId="164" fontId="9" fillId="12" borderId="23" xfId="9" applyFont="1" applyFill="1" applyBorder="1" applyAlignment="1" applyProtection="1">
      <alignment horizontal="center" vertical="center"/>
    </xf>
    <xf numFmtId="166" fontId="9" fillId="12" borderId="23" xfId="9" applyNumberFormat="1" applyFont="1" applyFill="1" applyBorder="1" applyAlignment="1">
      <alignment vertical="center"/>
    </xf>
    <xf numFmtId="49" fontId="9" fillId="12" borderId="24" xfId="10" applyNumberFormat="1" applyFont="1" applyFill="1" applyBorder="1" applyAlignment="1">
      <alignment horizontal="left" vertical="center" wrapText="1"/>
    </xf>
    <xf numFmtId="49" fontId="9" fillId="0" borderId="24" xfId="12" applyNumberFormat="1" applyFont="1" applyFill="1" applyBorder="1" applyAlignment="1">
      <alignment horizontal="left" vertical="center" wrapText="1"/>
    </xf>
    <xf numFmtId="49" fontId="9" fillId="0" borderId="24" xfId="13" applyNumberFormat="1" applyFont="1" applyBorder="1" applyAlignment="1">
      <alignment horizontal="left" vertical="center" wrapText="1"/>
    </xf>
    <xf numFmtId="2" fontId="9" fillId="0" borderId="24" xfId="13" applyNumberFormat="1" applyFont="1" applyBorder="1" applyAlignment="1">
      <alignment horizontal="left" vertical="center" wrapText="1"/>
    </xf>
    <xf numFmtId="49" fontId="18" fillId="0" borderId="24" xfId="11" applyNumberFormat="1" applyFont="1" applyBorder="1" applyAlignment="1">
      <alignment horizontal="left" vertical="center" wrapText="1"/>
    </xf>
    <xf numFmtId="164" fontId="9" fillId="0" borderId="23" xfId="9" applyFont="1" applyFill="1" applyBorder="1" applyAlignment="1">
      <alignment horizontal="center" vertical="center" wrapText="1"/>
    </xf>
    <xf numFmtId="1" fontId="18" fillId="0" borderId="23" xfId="5" applyNumberFormat="1" applyFont="1" applyBorder="1" applyAlignment="1" applyProtection="1">
      <alignment horizontal="center" vertical="center" wrapText="1"/>
      <protection locked="0"/>
    </xf>
    <xf numFmtId="49" fontId="9" fillId="0" borderId="24" xfId="8" applyNumberFormat="1" applyFont="1" applyBorder="1" applyAlignment="1" applyProtection="1">
      <alignment horizontal="left" vertical="center" wrapText="1"/>
      <protection locked="0"/>
    </xf>
    <xf numFmtId="0" fontId="9" fillId="0" borderId="24" xfId="2" applyFont="1" applyBorder="1" applyAlignment="1">
      <alignment horizontal="left" vertical="center" wrapText="1"/>
    </xf>
    <xf numFmtId="49" fontId="18" fillId="0" borderId="24" xfId="8" applyNumberFormat="1" applyFont="1" applyBorder="1" applyAlignment="1" applyProtection="1">
      <alignment horizontal="left" vertical="center" wrapText="1"/>
      <protection locked="0"/>
    </xf>
    <xf numFmtId="166" fontId="18" fillId="0" borderId="23" xfId="9" applyNumberFormat="1" applyFont="1" applyFill="1" applyBorder="1" applyAlignment="1">
      <alignment vertical="center"/>
    </xf>
    <xf numFmtId="49" fontId="5" fillId="0" borderId="24" xfId="12" applyNumberFormat="1" applyFont="1" applyFill="1" applyBorder="1" applyAlignment="1">
      <alignment vertical="center" wrapText="1"/>
    </xf>
    <xf numFmtId="164" fontId="9" fillId="2" borderId="23" xfId="9" applyFont="1" applyFill="1" applyBorder="1" applyAlignment="1">
      <alignment horizontal="center" vertical="center"/>
    </xf>
    <xf numFmtId="49" fontId="9" fillId="2" borderId="24" xfId="12" applyNumberFormat="1" applyFont="1" applyFill="1" applyBorder="1" applyAlignment="1">
      <alignment vertical="center" wrapText="1"/>
    </xf>
    <xf numFmtId="49" fontId="17" fillId="0" borderId="24" xfId="0" applyNumberFormat="1" applyFont="1" applyBorder="1" applyAlignment="1">
      <alignment horizontal="left" vertical="center" wrapText="1"/>
    </xf>
    <xf numFmtId="1" fontId="17" fillId="0" borderId="23" xfId="5" applyNumberFormat="1" applyFont="1" applyBorder="1" applyAlignment="1" applyProtection="1">
      <alignment horizontal="center" vertical="center" wrapText="1"/>
      <protection locked="0"/>
    </xf>
    <xf numFmtId="164" fontId="17" fillId="0" borderId="23" xfId="9" applyFont="1" applyFill="1" applyBorder="1" applyAlignment="1">
      <alignment horizontal="center" vertical="center"/>
    </xf>
    <xf numFmtId="166" fontId="17" fillId="0" borderId="23" xfId="9" applyNumberFormat="1" applyFont="1" applyFill="1" applyBorder="1" applyAlignment="1">
      <alignment vertical="center"/>
    </xf>
    <xf numFmtId="166" fontId="9" fillId="0" borderId="24" xfId="12" applyNumberFormat="1" applyFont="1" applyFill="1" applyBorder="1" applyAlignment="1">
      <alignment vertical="center" wrapText="1"/>
    </xf>
    <xf numFmtId="165" fontId="45" fillId="0" borderId="23" xfId="3" applyNumberFormat="1" applyFont="1" applyFill="1" applyBorder="1" applyAlignment="1">
      <alignment horizontal="center" vertical="center" wrapText="1"/>
    </xf>
    <xf numFmtId="164" fontId="8" fillId="0" borderId="23" xfId="9" applyFont="1" applyFill="1" applyBorder="1" applyAlignment="1">
      <alignment horizontal="center" vertical="center"/>
    </xf>
    <xf numFmtId="49" fontId="9" fillId="14" borderId="24" xfId="12" applyNumberFormat="1" applyFont="1" applyFill="1" applyBorder="1" applyAlignment="1">
      <alignment vertical="center" wrapText="1"/>
    </xf>
    <xf numFmtId="1" fontId="9" fillId="14" borderId="23" xfId="5" applyNumberFormat="1" applyFont="1" applyFill="1" applyBorder="1" applyAlignment="1" applyProtection="1">
      <alignment horizontal="center" vertical="center" wrapText="1"/>
      <protection locked="0"/>
    </xf>
    <xf numFmtId="164" fontId="9" fillId="14" borderId="23" xfId="9" applyFont="1" applyFill="1" applyBorder="1" applyAlignment="1">
      <alignment horizontal="center" vertical="center"/>
    </xf>
    <xf numFmtId="166" fontId="9" fillId="14" borderId="23" xfId="9" applyNumberFormat="1" applyFont="1" applyFill="1" applyBorder="1" applyAlignment="1">
      <alignment horizontal="center" vertical="center"/>
    </xf>
    <xf numFmtId="166" fontId="9" fillId="14" borderId="23" xfId="9" applyNumberFormat="1" applyFont="1" applyFill="1" applyBorder="1" applyAlignment="1">
      <alignment vertical="center"/>
    </xf>
    <xf numFmtId="164" fontId="9" fillId="14" borderId="23" xfId="9" applyFont="1" applyFill="1" applyBorder="1" applyAlignment="1">
      <alignment horizontal="center" vertical="center" wrapText="1"/>
    </xf>
    <xf numFmtId="49" fontId="52" fillId="14" borderId="24" xfId="12" applyNumberFormat="1" applyFont="1" applyFill="1" applyBorder="1" applyAlignment="1">
      <alignment vertical="center" wrapText="1"/>
    </xf>
    <xf numFmtId="166" fontId="5" fillId="14" borderId="23" xfId="9" applyNumberFormat="1" applyFont="1" applyFill="1" applyBorder="1" applyAlignment="1">
      <alignment vertical="center"/>
    </xf>
    <xf numFmtId="1" fontId="8" fillId="0" borderId="23" xfId="5" applyNumberFormat="1" applyFont="1" applyBorder="1" applyAlignment="1" applyProtection="1">
      <alignment horizontal="center" vertical="center" wrapText="1"/>
      <protection locked="0"/>
    </xf>
    <xf numFmtId="49" fontId="17" fillId="0" borderId="24" xfId="12" applyNumberFormat="1" applyFont="1" applyFill="1" applyBorder="1" applyAlignment="1">
      <alignment vertical="center" wrapText="1"/>
    </xf>
    <xf numFmtId="2" fontId="9" fillId="0" borderId="24" xfId="12" applyNumberFormat="1" applyFont="1" applyFill="1" applyBorder="1" applyAlignment="1">
      <alignment vertical="center" wrapText="1"/>
    </xf>
    <xf numFmtId="49" fontId="18" fillId="0" borderId="24" xfId="12" applyNumberFormat="1" applyFont="1" applyFill="1" applyBorder="1" applyAlignment="1">
      <alignment vertical="center" wrapText="1"/>
    </xf>
    <xf numFmtId="164" fontId="8" fillId="0" borderId="23" xfId="9" applyFont="1" applyFill="1" applyBorder="1" applyAlignment="1">
      <alignment horizontal="center" vertical="center" wrapText="1"/>
    </xf>
    <xf numFmtId="49" fontId="15" fillId="0" borderId="24" xfId="12" applyNumberFormat="1" applyFont="1" applyFill="1" applyBorder="1" applyAlignment="1">
      <alignment vertical="center" wrapText="1"/>
    </xf>
    <xf numFmtId="49" fontId="8" fillId="0" borderId="24" xfId="0" applyNumberFormat="1" applyFont="1" applyBorder="1" applyAlignment="1">
      <alignment vertical="center" wrapText="1"/>
    </xf>
    <xf numFmtId="0" fontId="18" fillId="0" borderId="23" xfId="15" applyFont="1" applyBorder="1" applyAlignment="1">
      <alignment horizontal="center" vertical="center" wrapText="1"/>
    </xf>
    <xf numFmtId="0" fontId="17" fillId="0" borderId="23" xfId="0" applyFont="1" applyBorder="1" applyAlignment="1">
      <alignment horizontal="center" vertical="center" wrapText="1"/>
    </xf>
    <xf numFmtId="49" fontId="17" fillId="0" borderId="24" xfId="16" applyNumberFormat="1" applyFont="1" applyFill="1" applyBorder="1" applyAlignment="1">
      <alignment horizontal="left" vertical="center" wrapText="1"/>
    </xf>
    <xf numFmtId="0" fontId="17" fillId="0" borderId="23" xfId="15" applyFont="1" applyBorder="1" applyAlignment="1">
      <alignment horizontal="center" vertical="center" wrapText="1"/>
    </xf>
    <xf numFmtId="165" fontId="8" fillId="9" borderId="23" xfId="9" applyNumberFormat="1" applyFont="1" applyFill="1" applyBorder="1" applyAlignment="1">
      <alignment horizontal="center" vertical="center" wrapText="1"/>
    </xf>
    <xf numFmtId="0" fontId="9" fillId="0" borderId="24" xfId="8" applyFont="1" applyBorder="1" applyAlignment="1" applyProtection="1">
      <alignment horizontal="left" vertical="center" wrapText="1"/>
      <protection locked="0"/>
    </xf>
    <xf numFmtId="49" fontId="9" fillId="0" borderId="24" xfId="19" applyNumberFormat="1" applyFont="1" applyBorder="1" applyAlignment="1">
      <alignment horizontal="left" vertical="center" wrapText="1"/>
    </xf>
    <xf numFmtId="49" fontId="19" fillId="0" borderId="24" xfId="19" applyNumberFormat="1" applyFont="1" applyBorder="1" applyAlignment="1">
      <alignment horizontal="left" vertical="center" wrapText="1"/>
    </xf>
    <xf numFmtId="49" fontId="9" fillId="0" borderId="24" xfId="32" applyNumberFormat="1" applyFont="1" applyBorder="1" applyAlignment="1">
      <alignment horizontal="left" vertical="center" wrapText="1"/>
    </xf>
    <xf numFmtId="49" fontId="9" fillId="0" borderId="24" xfId="32" quotePrefix="1" applyNumberFormat="1" applyFont="1" applyBorder="1" applyAlignment="1">
      <alignment horizontal="left" vertical="center" wrapText="1"/>
    </xf>
    <xf numFmtId="1" fontId="9" fillId="0" borderId="23" xfId="0" applyNumberFormat="1" applyFont="1" applyBorder="1" applyAlignment="1" applyProtection="1">
      <alignment horizontal="center" vertical="center" wrapText="1"/>
      <protection locked="0"/>
    </xf>
    <xf numFmtId="1" fontId="18" fillId="0" borderId="23" xfId="0" applyNumberFormat="1" applyFont="1" applyBorder="1" applyAlignment="1" applyProtection="1">
      <alignment horizontal="center" vertical="center" wrapText="1"/>
      <protection locked="0"/>
    </xf>
    <xf numFmtId="166" fontId="48" fillId="13" borderId="23" xfId="9" applyNumberFormat="1" applyFont="1" applyFill="1" applyBorder="1" applyAlignment="1">
      <alignment horizontal="center" vertical="center"/>
    </xf>
    <xf numFmtId="3" fontId="9" fillId="0" borderId="24" xfId="0" applyNumberFormat="1" applyFont="1" applyBorder="1" applyAlignment="1">
      <alignment horizontal="left" vertical="center" wrapText="1"/>
    </xf>
    <xf numFmtId="49" fontId="9" fillId="0" borderId="32" xfId="0" applyNumberFormat="1" applyFont="1" applyBorder="1" applyAlignment="1">
      <alignment horizontal="left" vertical="center" wrapText="1"/>
    </xf>
    <xf numFmtId="1" fontId="9" fillId="0" borderId="33" xfId="5" applyNumberFormat="1" applyFont="1" applyBorder="1" applyAlignment="1" applyProtection="1">
      <alignment horizontal="center" vertical="center" wrapText="1"/>
      <protection locked="0"/>
    </xf>
    <xf numFmtId="164" fontId="9" fillId="0" borderId="33" xfId="9" applyFont="1" applyFill="1" applyBorder="1" applyAlignment="1">
      <alignment horizontal="center" vertical="center"/>
    </xf>
    <xf numFmtId="166" fontId="9" fillId="0" borderId="33" xfId="9" applyNumberFormat="1" applyFont="1" applyFill="1" applyBorder="1" applyAlignment="1">
      <alignment vertical="center"/>
    </xf>
    <xf numFmtId="49" fontId="9" fillId="0" borderId="34" xfId="0" applyNumberFormat="1" applyFont="1" applyBorder="1" applyAlignment="1">
      <alignment horizontal="left" vertical="center" wrapText="1"/>
    </xf>
    <xf numFmtId="3" fontId="9" fillId="0" borderId="33" xfId="0" applyNumberFormat="1" applyFont="1" applyBorder="1" applyAlignment="1">
      <alignment horizontal="left" vertical="center" wrapText="1"/>
    </xf>
    <xf numFmtId="0" fontId="9" fillId="0" borderId="33" xfId="8" applyFont="1" applyBorder="1" applyAlignment="1" applyProtection="1">
      <alignment horizontal="center" vertical="center"/>
      <protection locked="0"/>
    </xf>
    <xf numFmtId="49" fontId="9" fillId="0" borderId="34" xfId="33" applyNumberFormat="1" applyFont="1" applyBorder="1" applyAlignment="1">
      <alignment horizontal="left" vertical="center" wrapText="1"/>
    </xf>
    <xf numFmtId="0" fontId="9" fillId="0" borderId="33" xfId="21" applyFont="1" applyBorder="1" applyAlignment="1">
      <alignment horizontal="left" vertical="center" wrapText="1"/>
    </xf>
    <xf numFmtId="49" fontId="9" fillId="0" borderId="34" xfId="22" applyNumberFormat="1" applyFont="1" applyFill="1" applyBorder="1" applyAlignment="1">
      <alignment vertical="center" wrapText="1"/>
    </xf>
    <xf numFmtId="49" fontId="9" fillId="0" borderId="34" xfId="23" applyNumberFormat="1" applyFont="1" applyBorder="1" applyAlignment="1" applyProtection="1">
      <alignment horizontal="left" vertical="center" wrapText="1"/>
      <protection locked="0"/>
    </xf>
    <xf numFmtId="164" fontId="9" fillId="0" borderId="35" xfId="9" applyFont="1" applyFill="1" applyBorder="1" applyAlignment="1">
      <alignment horizontal="center" vertical="center"/>
    </xf>
    <xf numFmtId="49" fontId="9" fillId="0" borderId="34" xfId="2" applyNumberFormat="1" applyFont="1" applyBorder="1" applyAlignment="1">
      <alignment horizontal="left" vertical="center" wrapText="1"/>
    </xf>
    <xf numFmtId="49" fontId="9" fillId="0" borderId="34" xfId="0" applyNumberFormat="1" applyFont="1" applyBorder="1" applyAlignment="1">
      <alignment horizontal="left" vertical="center"/>
    </xf>
    <xf numFmtId="49" fontId="17" fillId="0" borderId="34" xfId="0" applyNumberFormat="1" applyFont="1" applyBorder="1" applyAlignment="1">
      <alignment vertical="center" wrapText="1"/>
    </xf>
    <xf numFmtId="49" fontId="17" fillId="0" borderId="34" xfId="2" applyNumberFormat="1" applyFont="1" applyBorder="1" applyAlignment="1">
      <alignment horizontal="left" vertical="center" wrapText="1"/>
    </xf>
    <xf numFmtId="49" fontId="9" fillId="0" borderId="34" xfId="0" applyNumberFormat="1" applyFont="1" applyBorder="1" applyAlignment="1">
      <alignment vertical="center" wrapText="1"/>
    </xf>
    <xf numFmtId="0" fontId="9" fillId="0" borderId="36" xfId="25" applyFont="1" applyBorder="1" applyAlignment="1">
      <alignment vertical="center" wrapText="1"/>
    </xf>
    <xf numFmtId="164" fontId="8" fillId="0" borderId="33" xfId="9" applyFont="1" applyFill="1" applyBorder="1" applyAlignment="1" applyProtection="1">
      <alignment horizontal="center" vertical="center"/>
    </xf>
    <xf numFmtId="164" fontId="9" fillId="0" borderId="33" xfId="9" applyFont="1" applyFill="1" applyBorder="1" applyAlignment="1" applyProtection="1">
      <alignment horizontal="center" vertical="center"/>
    </xf>
    <xf numFmtId="0" fontId="9" fillId="0" borderId="33" xfId="26" applyFont="1" applyBorder="1" applyAlignment="1">
      <alignment vertical="center" wrapText="1"/>
    </xf>
    <xf numFmtId="0" fontId="9" fillId="0" borderId="33" xfId="0" applyFont="1" applyBorder="1" applyAlignment="1">
      <alignment horizontal="left" vertical="center" wrapText="1"/>
    </xf>
    <xf numFmtId="0" fontId="9" fillId="0" borderId="33" xfId="27" applyFont="1" applyBorder="1" applyAlignment="1">
      <alignment horizontal="left" vertical="center" wrapText="1"/>
    </xf>
    <xf numFmtId="49" fontId="8" fillId="6" borderId="34" xfId="2" applyNumberFormat="1" applyFont="1" applyFill="1" applyBorder="1" applyAlignment="1">
      <alignment horizontal="left" vertical="center" wrapText="1"/>
    </xf>
    <xf numFmtId="49" fontId="9" fillId="0" borderId="34" xfId="12" applyNumberFormat="1" applyFont="1" applyFill="1" applyBorder="1" applyAlignment="1">
      <alignment vertical="center" wrapText="1"/>
    </xf>
    <xf numFmtId="49" fontId="8" fillId="0" borderId="34" xfId="12" applyNumberFormat="1" applyFont="1" applyFill="1" applyBorder="1" applyAlignment="1">
      <alignment vertical="center" wrapText="1"/>
    </xf>
    <xf numFmtId="0" fontId="9" fillId="0" borderId="23" xfId="35" applyFont="1" applyBorder="1" applyAlignment="1">
      <alignment horizontal="center" vertical="center" wrapText="1"/>
    </xf>
    <xf numFmtId="0" fontId="9" fillId="0" borderId="34" xfId="35" applyFont="1" applyBorder="1" applyAlignment="1">
      <alignment vertical="center" wrapText="1"/>
    </xf>
    <xf numFmtId="0" fontId="17" fillId="0" borderId="34" xfId="35" applyFont="1" applyBorder="1" applyAlignment="1">
      <alignment horizontal="left" vertical="center" wrapText="1"/>
    </xf>
    <xf numFmtId="0" fontId="9" fillId="0" borderId="34" xfId="35" applyFont="1" applyBorder="1" applyAlignment="1">
      <alignment horizontal="left" vertical="center" wrapText="1"/>
    </xf>
    <xf numFmtId="2" fontId="9" fillId="0" borderId="34" xfId="0" quotePrefix="1" applyNumberFormat="1" applyFont="1" applyBorder="1" applyAlignment="1">
      <alignment vertical="center" wrapText="1"/>
    </xf>
    <xf numFmtId="49" fontId="9" fillId="0" borderId="34" xfId="16" applyNumberFormat="1" applyFont="1" applyFill="1" applyBorder="1" applyAlignment="1">
      <alignment horizontal="left" vertical="center" wrapText="1"/>
    </xf>
    <xf numFmtId="49" fontId="8" fillId="11" borderId="34" xfId="2" applyNumberFormat="1" applyFont="1" applyFill="1" applyBorder="1" applyAlignment="1">
      <alignment horizontal="left" vertical="center" wrapText="1"/>
    </xf>
    <xf numFmtId="49" fontId="18" fillId="0" borderId="34" xfId="0" applyNumberFormat="1" applyFont="1" applyBorder="1" applyAlignment="1">
      <alignment horizontal="left" vertical="center" wrapText="1"/>
    </xf>
    <xf numFmtId="49" fontId="9" fillId="0" borderId="36" xfId="12" applyNumberFormat="1" applyFont="1" applyFill="1" applyBorder="1" applyAlignment="1">
      <alignment vertical="center" wrapText="1"/>
    </xf>
    <xf numFmtId="49" fontId="8" fillId="0" borderId="34" xfId="16" applyNumberFormat="1" applyFont="1" applyFill="1" applyBorder="1" applyAlignment="1">
      <alignment horizontal="left" vertical="center" wrapText="1"/>
    </xf>
    <xf numFmtId="0" fontId="8" fillId="0" borderId="23" xfId="15" applyFont="1" applyBorder="1" applyAlignment="1">
      <alignment horizontal="center" vertical="center" wrapText="1"/>
    </xf>
    <xf numFmtId="0" fontId="9" fillId="0" borderId="23" xfId="15" applyFont="1" applyBorder="1" applyAlignment="1">
      <alignment horizontal="center" vertical="center" wrapText="1"/>
    </xf>
    <xf numFmtId="166" fontId="9" fillId="0" borderId="35" xfId="9" applyNumberFormat="1" applyFont="1" applyFill="1" applyBorder="1" applyAlignment="1">
      <alignment vertical="center"/>
    </xf>
    <xf numFmtId="164" fontId="9" fillId="4" borderId="23" xfId="9" applyFont="1" applyFill="1" applyBorder="1" applyAlignment="1">
      <alignment horizontal="center" vertical="center" wrapText="1"/>
    </xf>
    <xf numFmtId="3" fontId="9" fillId="4" borderId="23" xfId="9" applyNumberFormat="1" applyFont="1" applyFill="1" applyBorder="1" applyAlignment="1">
      <alignment horizontal="center" vertical="center" wrapText="1"/>
    </xf>
    <xf numFmtId="165" fontId="8" fillId="4" borderId="23" xfId="9" applyNumberFormat="1" applyFont="1" applyFill="1" applyBorder="1" applyAlignment="1">
      <alignment horizontal="center" vertical="center" wrapText="1"/>
    </xf>
    <xf numFmtId="0" fontId="17" fillId="0" borderId="23" xfId="36" applyNumberFormat="1" applyFont="1" applyBorder="1" applyAlignment="1">
      <alignment vertical="center" wrapText="1"/>
    </xf>
    <xf numFmtId="0" fontId="36" fillId="10" borderId="37" xfId="0" applyFont="1" applyFill="1" applyBorder="1" applyAlignment="1">
      <alignment horizontal="center" vertical="center" wrapText="1"/>
    </xf>
    <xf numFmtId="0" fontId="8" fillId="10" borderId="38" xfId="0" applyFont="1" applyFill="1" applyBorder="1" applyAlignment="1">
      <alignment vertical="center" wrapText="1"/>
    </xf>
    <xf numFmtId="0" fontId="9" fillId="10" borderId="38" xfId="0" applyFont="1" applyFill="1" applyBorder="1" applyAlignment="1">
      <alignment horizontal="center" vertical="center" wrapText="1"/>
    </xf>
    <xf numFmtId="4" fontId="9" fillId="10" borderId="38" xfId="0" applyNumberFormat="1" applyFont="1" applyFill="1" applyBorder="1" applyAlignment="1">
      <alignment horizontal="center" vertical="center" wrapText="1"/>
    </xf>
    <xf numFmtId="3" fontId="9" fillId="10" borderId="38" xfId="0" applyNumberFormat="1" applyFont="1" applyFill="1" applyBorder="1" applyAlignment="1">
      <alignment horizontal="center" vertical="center" wrapText="1"/>
    </xf>
    <xf numFmtId="3" fontId="38" fillId="10" borderId="38" xfId="30" applyNumberFormat="1" applyFont="1" applyFill="1" applyBorder="1" applyAlignment="1">
      <alignment horizontal="right" vertical="center" wrapText="1"/>
    </xf>
    <xf numFmtId="166" fontId="15" fillId="10" borderId="39" xfId="30" applyNumberFormat="1" applyFont="1" applyFill="1" applyBorder="1" applyAlignment="1">
      <alignment horizontal="right" vertical="center" wrapText="1"/>
    </xf>
  </cellXfs>
  <cellStyles count="39">
    <cellStyle name="0,0 _x000a_NA _x000a_ 2" xfId="32" xr:uid="{00000000-0005-0000-0000-000000000000}"/>
    <cellStyle name="0,0 _x005f_x000a_NA _x005f_x000a_" xfId="20" xr:uid="{00000000-0005-0000-0000-000001000000}"/>
    <cellStyle name="0,0_x005f_x000d__x000a_NA_x005f_x000d__x000a_" xfId="33" xr:uid="{00000000-0005-0000-0000-000002000000}"/>
    <cellStyle name="0,0_x005f_x000d__x005f_x000a_NA_x005f_x000d__x005f_x000a_" xfId="21" xr:uid="{00000000-0005-0000-0000-000003000000}"/>
    <cellStyle name="Comma" xfId="38" builtinId="3"/>
    <cellStyle name="Comma 118 3" xfId="3" xr:uid="{00000000-0005-0000-0000-000005000000}"/>
    <cellStyle name="Comma 119 2" xfId="30" xr:uid="{00000000-0005-0000-0000-000006000000}"/>
    <cellStyle name="Comma 15 3" xfId="16" xr:uid="{00000000-0005-0000-0000-000007000000}"/>
    <cellStyle name="Comma 15 5" xfId="14" xr:uid="{00000000-0005-0000-0000-000008000000}"/>
    <cellStyle name="Comma 18 3 4" xfId="9" xr:uid="{00000000-0005-0000-0000-000009000000}"/>
    <cellStyle name="Comma 18 3 4 4 2 2" xfId="24" xr:uid="{00000000-0005-0000-0000-00000A000000}"/>
    <cellStyle name="Comma 2" xfId="37" xr:uid="{00000000-0005-0000-0000-00000B000000}"/>
    <cellStyle name="Comma 33" xfId="12" xr:uid="{00000000-0005-0000-0000-00000C000000}"/>
    <cellStyle name="Comma 33 5 2" xfId="22" xr:uid="{00000000-0005-0000-0000-00000D000000}"/>
    <cellStyle name="Normal" xfId="0" builtinId="0"/>
    <cellStyle name="Normal 11 2 4" xfId="26" xr:uid="{00000000-0005-0000-0000-00000F000000}"/>
    <cellStyle name="Normal 115" xfId="4" xr:uid="{00000000-0005-0000-0000-000010000000}"/>
    <cellStyle name="Normal 16 2 2" xfId="25" xr:uid="{00000000-0005-0000-0000-000011000000}"/>
    <cellStyle name="Normal 176 2 3 2" xfId="18" xr:uid="{00000000-0005-0000-0000-000012000000}"/>
    <cellStyle name="Normal 176 2 3 2 4" xfId="35" xr:uid="{00000000-0005-0000-0000-000013000000}"/>
    <cellStyle name="Normal 18" xfId="10" xr:uid="{00000000-0005-0000-0000-000014000000}"/>
    <cellStyle name="Normal 2 10 2 2" xfId="19" xr:uid="{00000000-0005-0000-0000-000015000000}"/>
    <cellStyle name="Normal 21 5 3 2 2" xfId="28" xr:uid="{00000000-0005-0000-0000-000016000000}"/>
    <cellStyle name="Normal 21 5 3 2 2 3" xfId="36" xr:uid="{00000000-0005-0000-0000-000017000000}"/>
    <cellStyle name="Normal 5 2 2 3" xfId="11" xr:uid="{00000000-0005-0000-0000-000018000000}"/>
    <cellStyle name="Normal 6" xfId="5" xr:uid="{00000000-0005-0000-0000-000019000000}"/>
    <cellStyle name="Normal 6 54 2 3 2" xfId="7" xr:uid="{00000000-0005-0000-0000-00001A000000}"/>
    <cellStyle name="Normal 6 54 2 3 2 4" xfId="31" xr:uid="{00000000-0005-0000-0000-00001B000000}"/>
    <cellStyle name="Normal 6 57" xfId="29" xr:uid="{00000000-0005-0000-0000-00001C000000}"/>
    <cellStyle name="Normal_04 (vn)SECC Bills of Quantities" xfId="2" xr:uid="{00000000-0005-0000-0000-00001D000000}"/>
    <cellStyle name="Normal_04 (vn)SECC Bills of Quantities 3 2" xfId="6" xr:uid="{00000000-0005-0000-0000-00001E000000}"/>
    <cellStyle name="Normal_Bao gia S1-2 (Water)28.08.2007 2 2" xfId="15" xr:uid="{00000000-0005-0000-0000-00001F000000}"/>
    <cellStyle name="Normal_BOQ 10-2010" xfId="27" xr:uid="{00000000-0005-0000-0000-000020000000}"/>
    <cellStyle name="Normal_cap" xfId="13" xr:uid="{00000000-0005-0000-0000-000021000000}"/>
    <cellStyle name="Normal_EN-VN 02  Tender Bills of Quantity v1 Hien" xfId="8" xr:uid="{00000000-0005-0000-0000-000022000000}"/>
    <cellStyle name="Normal_EN-VN 02  Tender Bills of Quantity v1 Hien 2 2" xfId="23" xr:uid="{00000000-0005-0000-0000-000023000000}"/>
    <cellStyle name="Percent" xfId="1" builtinId="5"/>
    <cellStyle name="Percent 10" xfId="34" xr:uid="{00000000-0005-0000-0000-000025000000}"/>
    <cellStyle name="Style 1 3" xfId="17" xr:uid="{00000000-0005-0000-0000-000026000000}"/>
  </cellStyles>
  <dxfs count="0"/>
  <tableStyles count="0" defaultTableStyle="TableStyleMedium2" defaultPivotStyle="PivotStyleLight16"/>
  <colors>
    <mruColors>
      <color rgb="FFCCFF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 Type="http://schemas.openxmlformats.org/officeDocument/2006/relationships/externalLink" Target="externalLinks/externalLink1.xml"/><Relationship Id="rId21" Type="http://schemas.openxmlformats.org/officeDocument/2006/relationships/styles" Target="styles.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calcChain" Target="calcChain.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iamdoc\a\A&amp;B-hong\quotation\nam%202002\nokia%20hcmc\My%20Documents\MINH%20NGUYET\My%20Documents\CTY%20586\P.KHKD\DINH\DONG%20THAP\CA%20GAO\DT-CAG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zhuhua\Local%20Settings\Temporary%20Internet%20Files\Content.IE5\VI096ZON\10-HIEN\fertiliser\SC-0858-15-4-2002\SE6380\TOP1\MISS_&#49688;\ORIGINAL\&#49688;_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y4\D\Documents%20and%20Settings\user1\Desktop\bi\t\TONG%20HOP%20HAO\HAO\PVKN\My%20Documents\Worldbank\DOT1\Excel\Data\Tinh%20tong%20hop%20du%20to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sang.tranxuan\AppData\Local\Microsoft\Windows\Temporary%20Internet%20Files\Content.Outlook\KJHOM4D0\Cost%20book%20052015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Users\colin.johnston\AppData\Local\Microsoft\Windows\Temporary%20Internet%20Files\Content.Outlook\56UTEO8Z\Basement%20tender%20BQ%20for%20Sunrise%20Central%20(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01.%20QS%20TEAM%201\P15.%20LUCKY%20PALACE%20(LPL.Q6)\D.%20GOI%20THAU%20%20PHONG%20QS\02.%20GOI%20THAU%20CHINH\10.%20Linh%20tinh\LEX%20-%20Prelim%20-%20assessmen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Documents%20and%20Settings\zhuhua\Local%20Settings\Temporary%20Internet%20Files\Content.IE5\VI096ZON\WINDOWS\TEMP\FERTILIZER3WAREHOUS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10%20%20%20%20Current%20Projects%20%20PMH\CR9\Budget\Concept%2017.12.21\CN%204-2%20Concept%20Budget%202021.06.01%20l&#432;u.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Documents%20and%20Settings\zhuhua\Local%20Settings\Temporary%20Internet%20Files\Content.IE5\VI096ZON\THUY\NKCTHANG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server\PROJECTS\C20\DRAWINGS\ARCHITECTURE\2019%20NEW%20DESIGN\02%20OUT\02%20SPCC\2020%2006%2009%20Budget%20V11\C20-Estimate%20cost%20V1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ay4\D\Documents%20and%20Settings\user1\Desktop\bi\t\TONG%20HOP%20HAO\HAO\PVKN\CANHAN\MUNG\THOP9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SSIS%20II\01.%20SSIS%20II\02.BOQ\02.%20Technical\A6%20Technical%202022%20Apr%202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Mai%20Thi%20Thu%20Ha\HA%20MAI\PROJECT%202022\01.%20SSIS%20II\02.BOQ\02.%20Technical\A3%20Technical%202022%20Apr%2019.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Mai%20Thi%20Thu%20Ha\Data1\PROJECT%202020\03%20C20\02%20Budget\BOQ\02%20Technical%20Budget\C20%20Technical%20Q.ty%20ARC%20V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Documents%20and%20Settings\zhuhua\Local%20Settings\Temporary%20Internet%20Files\Content.IE5\VI096ZON\TONGHOP\10-HIEN\fertiliser\SC-0858-15-4-2002\SE6380\TOP1\MISS_&#49688;\ORIGINAL\&#49688;_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thuthao\Local%20Settings\Temporary%20Internet%20Files\Content.Outlook\URM51U2J\&#20184;&#27454;&#33410;&#28857;\Mileston%20R15,R18%20SPCC%20Version\R18%20S.E.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GIAVLIEU"/>
      <sheetName val="XM"/>
      <sheetName val="NC"/>
      <sheetName val="LINHTINH"/>
      <sheetName val="PTDG"/>
      <sheetName val="PHAN-CAU"/>
      <sheetName val="TONGHOP1"/>
      <sheetName val="TT"/>
      <sheetName val="Sheet1"/>
      <sheetName val="XL4Poppy"/>
      <sheetName val="Package A"/>
      <sheetName val="Package B"/>
      <sheetName val="RI"/>
      <sheetName val="MA"/>
      <sheetName val="SAF"/>
      <sheetName val="조건표"/>
      <sheetName val="ptvt"/>
      <sheetName val="MTP"/>
      <sheetName val="Package_A"/>
      <sheetName val="Package_B"/>
      <sheetName val="tinh"/>
      <sheetName val="cctp"/>
      <sheetName val="Tongke"/>
      <sheetName val="dongia (2)"/>
      <sheetName val="LKVL-CK-HT-GD1"/>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D-XUAT"/>
      <sheetName val="dg-VTu"/>
      <sheetName val="gvl"/>
      <sheetName val="Don gia (khong in)"/>
      <sheetName val="Package_A1"/>
      <sheetName val="Package_B1"/>
      <sheetName val="Package_A2"/>
      <sheetName val="Package_B2"/>
      <sheetName val="6. KL hoan thien"/>
      <sheetName val="DT-CAGAO"/>
      <sheetName val="Earthwork"/>
      <sheetName val="Btra"/>
      <sheetName val="IBASE"/>
      <sheetName val="tifico"/>
      <sheetName val="SEX"/>
      <sheetName val="Sum"/>
      <sheetName val="Duc_bk"/>
      <sheetName val="RAB AR&amp;STR"/>
      <sheetName val="Budget_Cashflow"/>
      <sheetName val="Inputs_Sens"/>
      <sheetName val="IS_Sum_CM"/>
      <sheetName val="MB-D2"/>
      <sheetName val="MB-D3"/>
      <sheetName val="MB-D8"/>
      <sheetName val="MB-D9"/>
      <sheetName val="MB-D4"/>
      <sheetName val="MB-D12"/>
      <sheetName val="MB-D7"/>
      <sheetName val="MB-D6"/>
      <sheetName val="Pasir Panjang 100J"/>
      <sheetName val="SORT"/>
      <sheetName val="FA-LISTING"/>
      <sheetName val="MAIN GATE HOUSE"/>
      <sheetName val="LEGEND"/>
      <sheetName val="cot_xa"/>
      <sheetName val="TT DZ35"/>
      <sheetName val="VT-PK_ID"/>
      <sheetName val="VL"/>
      <sheetName val="TN"/>
      <sheetName val="ND"/>
      <sheetName val="bke7"/>
      <sheetName val="de xuat ket cau"/>
      <sheetName val="Đơn Giá "/>
      <sheetName val="BIDDING-SUM"/>
      <sheetName val="1.R18 BF"/>
      <sheetName val="A"/>
      <sheetName val="G"/>
      <sheetName val="F-B"/>
      <sheetName val="H-J"/>
      <sheetName val="6.External works-R18"/>
      <sheetName val="Dinh muc CP KTCB khac"/>
      <sheetName val="TH May TC"/>
      <sheetName val="KLDT DIEN"/>
      <sheetName val="TH kinh phi"/>
      <sheetName val="Thong ke thiet bi"/>
      <sheetName val="TH vat t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RAB AR&amp;STR"/>
      <sheetName val="BAOCHE A"/>
      <sheetName val="2. Planning Assignment"/>
      <sheetName val="Sheet2"/>
      <sheetName val="NKC6"/>
      <sheetName val="Quantity"/>
      <sheetName val="Sheet1"/>
      <sheetName val="LUAN CHUYEN"/>
      <sheetName val="Đơn Giá "/>
      <sheetName val="NOTE"/>
      <sheetName val="chiet tinh"/>
      <sheetName val="10.% Thanh toán"/>
      <sheetName val="9.Don gia"/>
      <sheetName val="8.Danh sach TP"/>
      <sheetName val="MTL$-INTER"/>
      <sheetName val="ESCON"/>
      <sheetName val="Share price data"/>
      <sheetName val="INDEX"/>
      <sheetName val="Annex B"/>
      <sheetName val="bang tien luong"/>
      <sheetName val="SCOPE OF WORK"/>
      <sheetName val="Đơn giá 2332"/>
      <sheetName val="Para"/>
      <sheetName val="TH kinh phi"/>
      <sheetName val="KLDT DIEN"/>
      <sheetName val="Dinh muc CP KTCB khac"/>
      <sheetName val="SEX"/>
      <sheetName val="GRAPH DATA"/>
      <sheetName val="BIDDING-SUM"/>
      <sheetName val="125x125"/>
      <sheetName val="PRI-LS"/>
      <sheetName val="D_MUC"/>
      <sheetName val="Gia VLNCMTC"/>
      <sheetName val="Scheme B Estimate "/>
      <sheetName val="ESTI."/>
      <sheetName val="DI-ESTI"/>
      <sheetName val="DT"/>
      <sheetName val="1.R18 BF"/>
      <sheetName val="A"/>
      <sheetName val="G"/>
      <sheetName val="F-B"/>
      <sheetName val="H-J"/>
      <sheetName val="6.External works-R18"/>
      <sheetName val="수_01"/>
      <sheetName val="NVL"/>
      <sheetName val="01.truongliencap"/>
      <sheetName val="DG3285"/>
      <sheetName val="Input"/>
      <sheetName val="TOSHIBA-Structure"/>
      <sheetName val="CDSPS"/>
      <sheetName val="NH-KY"/>
      <sheetName val="ptvt"/>
      <sheetName val="KL thanh toan-Xuan Dao"/>
      <sheetName val="DLDTLN"/>
      <sheetName val="DATA"/>
      <sheetName val="INFO"/>
      <sheetName val="Summary"/>
      <sheetName val="R1"/>
      <sheetName val="TK"/>
      <sheetName val="Areas"/>
      <sheetName val="GIAVLIEU"/>
      <sheetName val="Room"/>
      <sheetName val="6MONT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sheetName val="Quantity"/>
      <sheetName val="Sheet1"/>
      <sheetName val="Tinh%20tong%20hop%20du%20toan"/>
      <sheetName val="Tinh_tong_hop_du_toan"/>
      <sheetName val="\\May4\D\Documents and Settings"/>
      <sheetName val="LEGEND"/>
      <sheetName val="FINAL SUMMARY"/>
      <sheetName val="Bill 3 Towers"/>
      <sheetName val="BILL 3.1 - Brick works"/>
      <sheetName val="Summary of Bill 3.2"/>
      <sheetName val="Bill 3.2.1"/>
      <sheetName val="Bill 3.2.2"/>
      <sheetName val="Bill 3.2.3"/>
      <sheetName val="Bill 3.2.4"/>
      <sheetName val="Bill 3.2.5"/>
      <sheetName val="Bill 3.2.6"/>
      <sheetName val="Bill 3.2.7"/>
      <sheetName val="Bill 4 Basement"/>
      <sheetName val="Bill 5.1 Main Pav"/>
      <sheetName val="Bill 5.2 Convention"/>
      <sheetName val="Bill 5.3 Theater"/>
      <sheetName val="Bill 5.4 Pub&amp;Bar"/>
      <sheetName val="Bill 5.5 Sale Gal"/>
      <sheetName val="Bill 5.6 Food court"/>
      <sheetName val="Bill 6 - All day"/>
      <sheetName val="Bill 7 - Italian"/>
      <sheetName val="Bill 8 - Utility Building"/>
      <sheetName val="Bill 9.1 - Roads"/>
      <sheetName val="Bill 9.2 - Hardscape"/>
      <sheetName val="Yeu cau gia"/>
      <sheetName val="SOW"/>
      <sheetName val="BTH"/>
      <sheetName val="B-1"/>
      <sheetName val="B-2"/>
      <sheetName val="B-3"/>
      <sheetName val="B-4"/>
      <sheetName val="B-5"/>
      <sheetName val="B-6"/>
      <sheetName val="DMVT"/>
      <sheetName val="gia vtu, ncong"/>
      <sheetName val="Unit price"/>
      <sheetName val="Cost annalysis"/>
      <sheetName val="Gia"/>
      <sheetName val="Unt rate"/>
      <sheetName val="SITE-E"/>
      <sheetName val="Unit price(Updateting)"/>
      <sheetName val="LUAN CHUYEN"/>
      <sheetName val="__May4_D_Documents and Settings"/>
      <sheetName val="Đơn Giá "/>
      <sheetName val="Du_lieu"/>
      <sheetName val="ESTI."/>
      <sheetName val="DI-ESTI"/>
      <sheetName val="TDTKP (2)"/>
      <sheetName val="TONGKE3p"/>
      <sheetName val="CHITIET VL-NC-DDTT3PHA "/>
      <sheetName val="CHITIET VL-NC-TT1p"/>
      <sheetName val="우수공"/>
      <sheetName val="Du toan"/>
      <sheetName val="Keothep"/>
      <sheetName val="Re-bar"/>
      <sheetName val="빙장비사양"/>
      <sheetName val="THVT"/>
      <sheetName val="#REF!"/>
      <sheetName val="Tinh%20tong%20hop%20du%20toan.x"/>
      <sheetName val="QMCT"/>
      <sheetName val="DATA"/>
      <sheetName val="\\Ketoan\d\Data\HO SO\"/>
      <sheetName val="Auto Monthly Inputs "/>
      <sheetName val="CTKL"/>
      <sheetName val="Steel"/>
      <sheetName val="Tong hop 1,05"/>
      <sheetName val="Tong hop 1,1"/>
      <sheetName val="Tong hop WB"/>
      <sheetName val="34KHCB"/>
      <sheetName val="Module1"/>
      <sheetName val="Phu thu"/>
      <sheetName val="Tong hop"/>
      <sheetName val="nd316"/>
      <sheetName val="ad304"/>
      <sheetName val="ad301"/>
      <sheetName val="ad302"/>
      <sheetName val="nd116"/>
      <sheetName val="GD309"/>
      <sheetName val="GD110"/>
      <sheetName val="ad403"/>
      <sheetName val="ad404"/>
      <sheetName val="ND120"/>
      <sheetName val="ND119"/>
      <sheetName val="GD217"/>
      <sheetName val="KT"/>
      <sheetName val="Dai tu 99"/>
      <sheetName val="KHCB"/>
      <sheetName val="WB"/>
      <sheetName val="VAT"/>
      <sheetName val="CK90702"/>
      <sheetName val="CK90703"/>
      <sheetName val="Thu duc"/>
      <sheetName val="ad201"/>
      <sheetName val="Data PT"/>
      <sheetName val="NEW-PANEL"/>
      <sheetName val="HD-XUAT"/>
      <sheetName val="GiaVT"/>
      <sheetName val="dg-VTu"/>
      <sheetName val="KL-THO"/>
      <sheetName val="ptvt-dg"/>
      <sheetName val="Tinh tong hop du toan.xls"/>
      <sheetName val="factors"/>
      <sheetName val="DGchitiet "/>
      <sheetName val="PRI-LS"/>
      <sheetName val="SEX"/>
      <sheetName val="직공비"/>
      <sheetName val="10.% Thanh toán"/>
      <sheetName val="9.Don gia"/>
      <sheetName val="8.Danh sach TP"/>
      <sheetName val="CANDOI"/>
      <sheetName val="Nhap VT oto"/>
      <sheetName val="[Tinh tong hop du toan.xls]\\Ke"/>
      <sheetName val="[Tinh tong hop du toan.xls]\\Ma"/>
      <sheetName val="dg_tonghop"/>
      <sheetName val="MTO REV.0"/>
      <sheetName val="NVL"/>
      <sheetName val="__Ketoan_d_Data_HO SO_"/>
      <sheetName val="_Tinh tong hop du toan.xls___Ke"/>
      <sheetName val="_Tinh tong hop du toan.xls___Ma"/>
      <sheetName val="Selection"/>
      <sheetName val="B9_MEP"/>
      <sheetName val="Para"/>
      <sheetName val="proj"/>
      <sheetName val="Input"/>
      <sheetName val="BIDDING-SUM"/>
      <sheetName val="MAIN GATE HOUSE"/>
      <sheetName val="실행철강하도"/>
      <sheetName val="대비"/>
      <sheetName val="NKC6"/>
      <sheetName val="FitOutConfCentre"/>
      <sheetName val="집계표"/>
      <sheetName val="입찰안"/>
      <sheetName val="Giai trinh"/>
      <sheetName val="BG"/>
      <sheetName val="LE"/>
      <sheetName val="Don gia"/>
      <sheetName val="Gia du thau"/>
      <sheetName val="Unit Room"/>
      <sheetName val="GIAVLIEU"/>
    </sheetNames>
    <definedNames>
      <definedName name="cplhsmt" refersTo="#REF!"/>
      <definedName name="cptdhsmt" refersTo="#REF!"/>
      <definedName name="cptdtdt" refersTo="#REF!"/>
      <definedName name="cptdtkkt" refersTo="#REF!"/>
      <definedName name="gsktxd" refersTo="#REF!"/>
      <definedName name="qlda"/>
      <definedName name="tinhqt"/>
      <definedName name="tkp"/>
      <definedName name="tkpdt"/>
    </defined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sent to"/>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00000000"/>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Congty"/>
      <sheetName val="VPPN"/>
      <sheetName val="XN74"/>
      <sheetName val="XN54"/>
      <sheetName val="XN33"/>
      <sheetName val="NK96"/>
      <sheetName val="XL4Test5"/>
      <sheetName val="THCT"/>
      <sheetName val="cap cho cac DT"/>
      <sheetName val="Ung - hoan"/>
      <sheetName val="CP may"/>
      <sheetName val="SS"/>
      <sheetName val="NVL"/>
      <sheetName val="10000000"/>
      <sheetName val="XXXXXXXX"/>
      <sheetName val="MD"/>
      <sheetName val="ND"/>
      <sheetName val="CONG"/>
      <sheetName val="DGCT"/>
      <sheetName val="BC_KKTSCD"/>
      <sheetName val="Chitiet"/>
      <sheetName val="Sheet2 (2)"/>
      <sheetName val="Mau_BC_KKTSCD"/>
      <sheetName val="Chi tiet - Dv lap"/>
      <sheetName val="TH KHTC"/>
      <sheetName val="000"/>
      <sheetName val="KH 2003 (moi max)"/>
      <sheetName val="1"/>
      <sheetName val="Gia VL"/>
      <sheetName val="Bang gia ca may"/>
      <sheetName val="Bang luong CB"/>
      <sheetName val="Bang P.tich CT"/>
      <sheetName val="D.toan chi tiet"/>
      <sheetName val="Bang TH Dtoan"/>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KH12"/>
      <sheetName val="CN12"/>
      <sheetName val="HD12"/>
      <sheetName val="KH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DTHH"/>
      <sheetName val="Bang1"/>
      <sheetName val="TAI TRONG"/>
      <sheetName val="NOI LUC"/>
      <sheetName val="TINH DUYET THTT CHINH"/>
      <sheetName val="TDUYET THTT PHU"/>
      <sheetName val="TINH DAO DONG VA DO VONG"/>
      <sheetName val="TINH NEO"/>
      <sheetName val="Phu luc"/>
      <sheetName val="Gia trÞ"/>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tscd"/>
      <sheetName val="KM"/>
      <sheetName val="KHOANMUC"/>
      <sheetName val="CPQL"/>
      <sheetName val="SANLUONG"/>
      <sheetName val="SSCP-SL"/>
      <sheetName val="CPSX"/>
      <sheetName val="KQKD"/>
      <sheetName val="CDSL (2)"/>
      <sheetName val="Thep "/>
      <sheetName val="Chi tiet Khoi luong"/>
      <sheetName val="TH khoi luong"/>
      <sheetName val="Chiet tinh vat lieu "/>
      <sheetName val="TH KL VL"/>
      <sheetName val="CHIT"/>
      <sheetName val="THXH"/>
      <sheetName val="BHXH"/>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Quang Tri"/>
      <sheetName val="TTHue"/>
      <sheetName val="Da Nang"/>
      <sheetName val="Quang Nam"/>
      <sheetName val="Quang Ngai"/>
      <sheetName val="TH DH-QN"/>
      <sheetName val="KP HD"/>
      <sheetName val="DB HD"/>
      <sheetName val="dutoan1"/>
      <sheetName val="Anhtoan"/>
      <sheetName val="dutoan2"/>
      <sheetName val="vat tu"/>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Outlets"/>
      <sheetName val="PGs"/>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phan tich DG"/>
      <sheetName val="gia vat lieu"/>
      <sheetName val="gia xe may"/>
      <sheetName val="gia nhan cong"/>
      <sheetName val="01"/>
      <sheetName val="02"/>
      <sheetName val="03"/>
      <sheetName val="04"/>
      <sheetName val="05"/>
      <sheetName val="Sheet18"/>
      <sheetName val="Sheet19"/>
      <sheetName val="Sheet20"/>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cd viaK0-T6"/>
      <sheetName val="cdvia T6-Tc24"/>
      <sheetName val="cdvia Tc24-T46"/>
      <sheetName val="cdbtnL2ko-k0+361"/>
      <sheetName val="cd btnL2k0+361-T19"/>
      <sheetName val="cong Q2"/>
      <sheetName val="T.U luong Q1"/>
      <sheetName val="T.U luong Q2"/>
      <sheetName val="T.U luong Q3"/>
      <sheetName val="DT"/>
      <sheetName val="THND"/>
      <sheetName val="THMD"/>
      <sheetName val="Phtro1"/>
      <sheetName val="DTKS1"/>
      <sheetName val="CT1m"/>
      <sheetName val="Tong Thu"/>
      <sheetName val="Tong Chi"/>
      <sheetName val="Truong hoc"/>
      <sheetName val="Cty CP"/>
      <sheetName val="G.thau 3B"/>
      <sheetName val="T.Hop Thu-chi"/>
      <sheetName val="Quyet toan"/>
      <sheetName val="Thu hoi"/>
      <sheetName val="Lai vay"/>
      <sheetName val="Tien vay"/>
      <sheetName val="Cong no"/>
      <sheetName val="Cop pha"/>
      <sheetName val="20000000"/>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Q1-02"/>
      <sheetName val="Q2-02"/>
      <sheetName val="Q3-02"/>
      <sheetName val="KL VL"/>
      <sheetName val="KHCTiet"/>
      <sheetName val="QT 9-6"/>
      <sheetName val="Thuong luu HB"/>
      <sheetName val="QT03"/>
      <sheetName val="QT"/>
      <sheetName val="PTmay"/>
      <sheetName val="KK"/>
      <sheetName val="QT Ky T"/>
      <sheetName val="BCKT"/>
      <sheetName val="bc vt TON BAI"/>
      <sheetName val="XXXXXXX0"/>
      <sheetName val="Ke"/>
      <sheetName val="KLTong hop"/>
      <sheetName val="Lan can"/>
      <sheetName val="Ranh doc (2)"/>
      <sheetName val="Ranh doc"/>
      <sheetName val="CT xa"/>
      <sheetName val="binh do"/>
      <sheetName val="cot lieu"/>
      <sheetName val="van khuon"/>
      <sheetName val="CT BT"/>
      <sheetName val="lay mau"/>
      <sheetName val="mat ngoai goi"/>
      <sheetName val="coc tram-bt"/>
      <sheetName val="Phu luc HD"/>
      <sheetName val="Gia du thau"/>
      <sheetName val="PTDG"/>
      <sheetName val="Ca xe"/>
      <sheetName val="VAT TU NHAN TXQN"/>
      <sheetName val="bang tong ke khoi luong vat tu"/>
      <sheetName val="hcong tkhe"/>
      <sheetName val="VAT TU NHAN TKHE"/>
      <sheetName val="hcong qn"/>
      <sheetName val="VAT TU NHAN (2)"/>
      <sheetName val="TLGC"/>
      <sheetName val="BL"/>
      <sheetName val="tc"/>
      <sheetName val="TDT"/>
      <sheetName val="xl"/>
      <sheetName val="NN"/>
      <sheetName val="Tralaivay"/>
      <sheetName val="TBTN"/>
      <sheetName val="CPTV"/>
      <sheetName val="PCCHAY"/>
      <sheetName val="dtks"/>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Coc tieu"/>
      <sheetName val="Bien bao"/>
      <sheetName val="Nan tuyen"/>
      <sheetName val="Lan 1"/>
      <sheetName val="Lan  2"/>
      <sheetName val="Lan 3"/>
      <sheetName val="Gia tri"/>
      <sheetName val="Lan 5"/>
      <sheetName val="Caodo"/>
      <sheetName val="Dat"/>
      <sheetName val="A"/>
      <sheetName val="B"/>
      <sheetName val="C45A-BH"/>
      <sheetName val="C46A-BH"/>
      <sheetName val="C47A-BH"/>
      <sheetName val="C48A-BH"/>
      <sheetName val="S-53-1"/>
      <sheetName val="TM"/>
      <sheetName val="BU-gian"/>
      <sheetName val="Bu-Ha"/>
      <sheetName val="PTVT"/>
      <sheetName val="Gia DAN"/>
      <sheetName val="Dan"/>
      <sheetName val="Cuoc"/>
      <sheetName val="Bugia"/>
      <sheetName val="KL57"/>
      <sheetName val="THDT"/>
      <sheetName val="DM-Goc"/>
      <sheetName val="Gia-CT"/>
      <sheetName val="PTCP"/>
      <sheetName val="cphoi"/>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T1(T1)04"/>
      <sheetName val="HTSD6LD"/>
      <sheetName val="HTSDDNN"/>
      <sheetName val="Thang 12"/>
      <sheetName val="Thang 1"/>
      <sheetName val="moi"/>
      <sheetName val="Thang 12 (2)"/>
      <sheetName val="Thang 01"/>
      <sheetName val="KL-CTTK"/>
      <sheetName val="BTH"/>
      <sheetName val="XE DAU"/>
      <sheetName val="XE XANG"/>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Tien ung"/>
      <sheetName val="phi luong3"/>
      <sheetName val="Cau 2(3)"/>
      <sheetName val="XN79"/>
      <sheetName val="CTMT"/>
      <sheetName val="cong bien t10"/>
      <sheetName val="luong t9 "/>
      <sheetName val="bb t9"/>
      <sheetName val="XETT10-03"/>
      <sheetName val="bxet"/>
      <sheetName val="KH-2001"/>
      <sheetName val="KH-2002"/>
      <sheetName val="KH-2003"/>
      <sheetName val="DGTL"/>
      <sheetName val="®¬ngi¸"/>
      <sheetName val="dongle"/>
      <sheetName val="Dutoan"/>
      <sheetName val="congtac vien-uy"/>
      <sheetName val="Nhan luc2001"/>
      <sheetName val="Vattu2"/>
      <sheetName val="Vattu"/>
      <sheetName val="HTSDKT"/>
      <sheetName val="BD"/>
      <sheetName val="HTNT"/>
      <sheetName val="KH 200³ (moi max)"/>
      <sheetName val="Hat 1"/>
      <sheetName val="H9Bson"/>
      <sheetName val=" H8 duong"/>
      <sheetName val="VP"/>
      <sheetName val="Hat 7dg"/>
      <sheetName val="TH duong 1B"/>
      <sheetName val="TH cau 1B"/>
      <sheetName val="cauH9"/>
      <sheetName val="cauH7"/>
      <sheetName val="cau H1"/>
      <sheetName val="Clech"/>
      <sheetName val="CPVL"/>
      <sheetName val="Son dg"/>
      <sheetName val="h"/>
      <sheetName val="THKL37"/>
      <sheetName val="Cong37"/>
      <sheetName val="VTCY37"/>
      <sheetName val="CLVL37"/>
      <sheetName val="QTC37"/>
      <sheetName val="THKL.H9"/>
      <sheetName val="CongH9"/>
      <sheetName val="VTCYH9"/>
      <sheetName val="CLVTH9"/>
      <sheetName val="QTC9"/>
      <sheetName val="BTCPLT"/>
      <sheetName val="GVL1134"/>
      <sheetName val="BGDHT"/>
      <sheetName val="CongH4"/>
      <sheetName val="THKL.H4"/>
      <sheetName val="VTCYH4"/>
      <sheetName val="CLVLH4"/>
      <sheetName val="QTCCH4"/>
      <sheetName val="Cong13"/>
      <sheetName val="THKL13"/>
      <sheetName val="VTCY13"/>
      <sheetName val="CLVL13"/>
      <sheetName val="QTC13"/>
      <sheetName val="THKLA10"/>
      <sheetName val="CongA10"/>
      <sheetName val="VTCYA10"/>
      <sheetName val="CLVLA10"/>
      <sheetName val="QTA10"/>
      <sheetName val="THKL1"/>
      <sheetName val="Cong1"/>
      <sheetName val="VTCY1"/>
      <sheetName val="CLVL1"/>
      <sheetName val="QTCC1"/>
      <sheetName val="T1"/>
      <sheetName val="N1111"/>
      <sheetName val="C1111"/>
      <sheetName val="1121"/>
      <sheetName val="daura"/>
      <sheetName val="dauvao"/>
      <sheetName val="CHART"/>
      <sheetName val="HTDT"/>
      <sheetName val="HTSDD"/>
      <sheetName val="DGXDCB"/>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H du toan "/>
      <sheetName val="Du toan "/>
      <sheetName val="C.Tinh"/>
      <sheetName val="TK_cap"/>
      <sheetName val="MLDV"/>
      <sheetName val="catongcu"/>
      <sheetName val="BC"/>
      <sheetName val="NNCONGNHAN"/>
      <sheetName val="bangtonghop"/>
      <sheetName val="B T HOP"/>
      <sheetName val="HT HE DUONG"/>
      <sheetName val="MLPP"/>
      <sheetName val="DH D1,2"/>
      <sheetName val="Tro giup"/>
      <sheetName val="BB NT GD H-thanh"/>
      <sheetName val="BB NT KL"/>
      <sheetName val="Goi2"/>
      <sheetName val="THpp"/>
      <sheetName val="pp"/>
      <sheetName val="CL PP"/>
      <sheetName val="TH DgPP"/>
      <sheetName val="Dg PP"/>
      <sheetName val="CL DgPP"/>
      <sheetName val="TH DDau"/>
      <sheetName val="DDau"/>
      <sheetName val="GT3PP"/>
      <sheetName val="CLDD"/>
      <sheetName val="GT3DD"/>
      <sheetName val="TH DVu"/>
      <sheetName val="Dichvu"/>
      <sheetName val="CL Dvu"/>
      <sheetName val="TH DgDvu"/>
      <sheetName val="Dg DV"/>
      <sheetName val="PTDdv"/>
      <sheetName val="CLDdv"/>
      <sheetName val="GT3DV"/>
      <sheetName val="TH-CO"/>
      <sheetName val="C.O"/>
      <sheetName val="TH dg OC"/>
      <sheetName val="DCO"/>
      <sheetName val="CL CatOng"/>
      <sheetName val="Bang qui cach Vtu"/>
      <sheetName val="CT 03"/>
      <sheetName val="TH 03"/>
      <sheetName val="clvl"/>
      <sheetName val="Chenh lech"/>
      <sheetName val="Kinh phí"/>
      <sheetName val="Level"/>
      <sheetName val="DEM"/>
      <sheetName val="KHOILUONG"/>
      <sheetName val="DONGIA"/>
      <sheetName val="CPKSTK"/>
      <sheetName val="THIETBI"/>
      <sheetName val="VC1"/>
      <sheetName val="VC2"/>
      <sheetName val="VC3"/>
      <sheetName val="VC4"/>
      <sheetName val="VC5"/>
      <sheetName val="BaoCao"/>
      <sheetName val="TT"/>
      <sheetName val="CO SO DU LIEU PTVL"/>
      <sheetName val="00000005"/>
      <sheetName val="00000006"/>
      <sheetName val=""/>
      <sheetName val="QT Duoc (Hai)"/>
      <sheetName val="Cua"/>
      <sheetName val="NS"/>
      <sheetName val="SILICATE"/>
      <sheetName val="기계시공"/>
      <sheetName val="TH mau moi tu T10"/>
      <sheetName val="Tong hop Quy IV"/>
      <sheetName val="BLR 1"/>
      <sheetName val="GEN"/>
      <sheetName val="GAS"/>
      <sheetName val="DEAE"/>
      <sheetName val="BLR2"/>
      <sheetName val="BLR3"/>
      <sheetName val="BLR4"/>
      <sheetName val="BLR5"/>
      <sheetName val="SAM"/>
      <sheetName val="CHEM"/>
      <sheetName val="COP"/>
      <sheetName val="bugiatheùpmong"/>
      <sheetName val="gia phan mong"/>
      <sheetName val="SILICAT_x0005_"/>
      <sheetName val="NAM 2004"/>
      <sheetName val="huy dong von"/>
      <sheetName val="Lai vayxd"/>
      <sheetName val="Lai vayphaitra"/>
      <sheetName val="Lai vay "/>
      <sheetName val="tra von"/>
      <sheetName val="KH chi tiet"/>
      <sheetName val="nguyen lieu"/>
      <sheetName val="soi tho soi det"/>
      <sheetName val="soi thuong"/>
      <sheetName val="ni"/>
      <sheetName val="vai det"/>
      <sheetName val="chi phi 1tan"/>
      <sheetName val="von luu dong"/>
      <sheetName val="thue VAT"/>
      <sheetName val="doanh thu"/>
      <sheetName val="doanh thu loi nhuan"/>
      <sheetName val="dong tien"/>
      <sheetName val="thu hoi von"/>
      <sheetName val="ND13-13+374"/>
      <sheetName val="MTO REV.0"/>
      <sheetName val="CostBook"/>
      <sheetName val="BANGMTC"/>
      <sheetName val="Bang gia NC"/>
      <sheetName val="TIEN"/>
      <sheetName val="PHUONG"/>
      <sheetName val="ANH"/>
      <sheetName val="HUYNH"/>
      <sheetName val="TONKHO"/>
      <sheetName val="BANLE"/>
      <sheetName val="NHAPKHO"/>
      <sheetName val="THDZ0,4"/>
      <sheetName val="TH DZ35"/>
      <sheetName val="THTram"/>
      <sheetName val="D.Da0"/>
      <sheetName val="Muavao6"/>
      <sheetName val="Muavao7"/>
      <sheetName val="hoan von"/>
      <sheetName val="dothi npv"/>
      <sheetName val="diem hoa von"/>
      <sheetName val="nop ngan sach"/>
      <sheetName val="chi tieu"/>
      <sheetName val="T9"/>
      <sheetName val="T6"/>
      <sheetName val="B3D"/>
      <sheetName val="DTCT"/>
      <sheetName val="402"/>
      <sheetName val="Div. A"/>
      <sheetName val="CTTSCD"/>
      <sheetName val="TSCD ko dung"/>
      <sheetName val="Tong vat tu"/>
      <sheetName val="VT luu"/>
      <sheetName val="VTu1"/>
      <sheetName val="Vtu u dong"/>
      <sheetName val="TSLD khac"/>
      <sheetName val="CC da pbo het"/>
      <sheetName val="Phaitra"/>
      <sheetName val="nphuၯck"/>
      <sheetName val="26+960-27+050.9"/>
      <sheetName val="luong thang 10"/>
      <sheetName val="tong hop thang 10"/>
      <sheetName val="loung11"/>
      <sheetName val="TH 11"/>
      <sheetName val="T122"/>
      <sheetName val="T121"/>
      <sheetName val="px khai thac 2"/>
      <sheetName val="dao lo so 2"/>
      <sheetName val="luong vp thang 10"/>
      <sheetName val="tuan"/>
      <sheetName val="Du thau"/>
      <sheetName val="Phan tich don gia (doc)"/>
      <sheetName val="Pipe"/>
      <sheetName val="T12"/>
      <sheetName val="T11"/>
      <sheetName val="T10"/>
      <sheetName val="T8"/>
      <sheetName val="T7"/>
      <sheetName val="T5"/>
      <sheetName val="T4"/>
      <sheetName val="T3"/>
      <sheetName val="T2"/>
      <sheetName val="Summary"/>
      <sheetName val="Dec3X"/>
      <sheetName val="Du toan"/>
      <sheetName val="DGCT1"/>
      <sheetName val="Chenh lech vat tu"/>
      <sheetName val="Phan tich vat tu"/>
      <sheetName val="Tong hop vat tu"/>
      <sheetName val="Gia tri vat tu"/>
      <sheetName val="Chi phi van chuyen"/>
      <sheetName val="Don gia chi tiet"/>
      <sheetName val="Tong hop kinh phi"/>
      <sheetName val="Tu van Thiet ke"/>
      <sheetName val="Tien do thi cong"/>
      <sheetName val="Bia du toan"/>
      <sheetName val="Config"/>
      <sheetName val="DU_LIEU"/>
      <sheetName val="L D1704"/>
      <sheetName val="T_x0003__x0000_ong dip nhan danh hieu AHL§"/>
      <sheetName val="THV CHI 6"/>
      <sheetName val="27+500-700.4(k85)"/>
      <sheetName val="n`nh"/>
      <sheetName val="MD03-4"/>
      <sheetName val="UBi"/>
      <sheetName val="GVL"/>
      <sheetName val="DATA"/>
      <sheetName val="TK331A"/>
      <sheetName val="TK131B"/>
      <sheetName val="TK131A"/>
      <sheetName val="TK 331c1"/>
      <sheetName val="TK331C"/>
      <sheetName val="CT331-2003"/>
      <sheetName val="CT 331"/>
      <sheetName val="CT131-2003"/>
      <sheetName val="CT 131"/>
      <sheetName val="TK331B"/>
      <sheetName val="28+!60-28+420.5K95"/>
      <sheetName val="Thi sinh"/>
      <sheetName val="SPS"/>
      <sheetName val="DSNV"/>
      <sheetName val="Cham cong"/>
      <sheetName val="Bang luong"/>
      <sheetName val="LCB"/>
      <sheetName val="CN131"/>
      <sheetName val="STH 152"/>
      <sheetName val="CN 331"/>
      <sheetName val="VLSPHH"/>
      <sheetName val="DVKH"/>
      <sheetName val="Kho"/>
      <sheetName val="THGTXL"/>
      <sheetName val="Kenh"/>
      <sheetName val="BVCkenh"/>
      <sheetName val="THKenh"/>
      <sheetName val="congn140"/>
      <sheetName val="BVCc40"/>
      <sheetName val="cong30"/>
      <sheetName val="BVCcong30"/>
      <sheetName val="congQD"/>
      <sheetName val="BVCCQD"/>
      <sheetName val="tran"/>
      <sheetName val="Bvctran"/>
      <sheetName val="KTCB"/>
      <sheetName val="PXL+TB"/>
      <sheetName val="klctiet"/>
      <sheetName val="THVT"/>
      <sheetName val="VC MONG"/>
      <sheetName val="LUONG NC"/>
      <sheetName val="30000000"/>
      <sheetName val="BKE CT GOC"/>
      <sheetName val="BK-CT"/>
      <sheetName val="CTGS10"/>
      <sheetName val="BKE CT GOC (2)"/>
      <sheetName val="CTGS10 (2)"/>
      <sheetName val="11"/>
      <sheetName val="THop"/>
      <sheetName val="PIPE-03E.XLS"/>
      <sheetName val="B9_SCL (2)"/>
      <sheetName val="T-9"/>
      <sheetName val="Thang 7-05"/>
      <sheetName val="Bia dvi"/>
      <sheetName val="B3_Tonghop thang"/>
      <sheetName val="B4_TTG"/>
      <sheetName val="B7_TaiNan"/>
      <sheetName val="B8_DongDien"/>
      <sheetName val="B9_SCL"/>
      <sheetName val="B10_SCTX"/>
      <sheetName val="B11_XTM"/>
      <sheetName val="B12_TBDC"/>
      <sheetName val="B13_LanKT"/>
      <sheetName val="K"/>
      <sheetName val="COT"/>
      <sheetName val="MONG"/>
      <sheetName val="Liệt kê"/>
      <sheetName val="CLVC"/>
      <sheetName val="CHIET TINH TBA"/>
      <sheetName val="CHIET TINH DZ 0,4"/>
      <sheetName val="CHIET TINH CCT"/>
      <sheetName val="C"/>
      <sheetName val="D"/>
      <sheetName val="F"/>
      <sheetName val="G"/>
      <sheetName val="I"/>
      <sheetName val="L"/>
      <sheetName val="M"/>
      <sheetName val="N"/>
      <sheetName val="O"/>
      <sheetName val="P"/>
      <sheetName val="S"/>
      <sheetName val="U"/>
      <sheetName val="T"/>
      <sheetName val="XNT"/>
      <sheetName val="BBKKT11"/>
      <sheetName val="GIAVLIEU"/>
      <sheetName val="Tong hop gia"/>
      <sheetName val="cong bien t1&lt;"/>
      <sheetName val="Bang 2B"/>
      <sheetName val="GiaVL"/>
      <sheetName val="DG"/>
      <sheetName val="Dgia vat tu"/>
      <sheetName val="Don gia_III"/>
      <sheetName val="Dgia VT"/>
      <sheetName val="dnc4"/>
      <sheetName val="LUAN_CHUYEN"/>
      <sheetName val="KE_QUY"/>
      <sheetName val="LUONGGIAN_TIEP"/>
      <sheetName val="VAY_VON"/>
      <sheetName val="O_THAO"/>
      <sheetName val="Q_TRUNG"/>
      <sheetName val="Y_THANH"/>
      <sheetName val="Gia_VL"/>
      <sheetName val="Bang_gia_ca_may"/>
      <sheetName val="Bang_luong_CB"/>
      <sheetName val="Bang_P_tich_CT"/>
      <sheetName val="D_toan_chi_tiet"/>
      <sheetName val="Bang_TH_Dtoan"/>
      <sheetName val="Interim_payment"/>
      <sheetName val="Bid_Sum"/>
      <sheetName val="Item_B"/>
      <sheetName val="Dg_A"/>
      <sheetName val="Dg_B&amp;C"/>
      <sheetName val="Material_at_site"/>
      <sheetName val="KL_XL2000"/>
      <sheetName val="Chiet_tinh"/>
      <sheetName val="Van_chuyen"/>
      <sheetName val="THKP_(2)"/>
      <sheetName val="T_Bi"/>
      <sheetName val="Thiet_ke"/>
      <sheetName val="K_luong"/>
      <sheetName val="TT_L2"/>
      <sheetName val="TT_L1"/>
      <sheetName val="Thue_Ngoai"/>
      <sheetName val="Sheet2_(2)"/>
      <sheetName val="KH_2003_(moi_max)"/>
      <sheetName val="Quang_Tri"/>
      <sheetName val="Da_Nang"/>
      <sheetName val="Quang_Nam"/>
      <sheetName val="Quang_Ngai"/>
      <sheetName val="TH_DH-QN"/>
      <sheetName val="KP_HD"/>
      <sheetName val="DB_HD"/>
      <sheetName val="BCC_(2)"/>
      <sheetName val="Bao_cao"/>
      <sheetName val="Bao_cao_2"/>
      <sheetName val="Khoi_luong"/>
      <sheetName val="Khoi_luong_mat"/>
      <sheetName val="Bang_ke"/>
      <sheetName val="T_HopKL"/>
      <sheetName val="S_Luong"/>
      <sheetName val="D_Dap"/>
      <sheetName val="Q_Toan"/>
      <sheetName val="Phan_tich_chi_phi"/>
      <sheetName val="Chi_phi_nen_theo_BVTC"/>
      <sheetName val="nhan_cong_phu"/>
      <sheetName val="nhan_cong_Hung"/>
      <sheetName val="Nhan_cong"/>
      <sheetName val="Khoi_luong_nen_theo_BVTC"/>
      <sheetName val="Chi_tiet_-_Dv_lap"/>
      <sheetName val="TH_KHTC"/>
      <sheetName val="CDTHU_CHI_T1"/>
      <sheetName val="THUCHI_2"/>
      <sheetName val="THU_CHI3"/>
      <sheetName val="THU_CHI_4"/>
      <sheetName val="THU_CHI5"/>
      <sheetName val="THU_CHI_6"/>
      <sheetName val="TU_CHI_7"/>
      <sheetName val="THU_CHI9"/>
      <sheetName val="THU_CHI_8"/>
      <sheetName val="THU_CHI_10"/>
      <sheetName val="THU_CHI_11"/>
      <sheetName val="THU_CHI_12"/>
      <sheetName val="tong_hop_thanh_toan_thue"/>
      <sheetName val="bang_ke_nop_thue"/>
      <sheetName val="Tonh_hop_chi_phi"/>
      <sheetName val="BK_chi_phi"/>
      <sheetName val="KTra_DS_va_thue_GTGT"/>
      <sheetName val="Kiãøm_tra_DS_thue_GTGT"/>
      <sheetName val="XUAT(gia_von)"/>
      <sheetName val="Xuat_(gia_ban)"/>
      <sheetName val="Dchinh_TH_N-X-T"/>
      <sheetName val="Tong_hop_N-X-T"/>
      <sheetName val="thue_TH"/>
      <sheetName val="tong_hop_2001"/>
      <sheetName val="qUYET_TOAN_THUE"/>
      <sheetName val="DG_SOC"/>
      <sheetName val="DG_HQ"/>
      <sheetName val="Bot_Giat_C"/>
      <sheetName val="Bot_Giat_P_"/>
      <sheetName val="THAY_THUNG_H"/>
      <sheetName val="thi_nghiem"/>
      <sheetName val="BU_CTPH"/>
      <sheetName val="BU_tran3+360_22"/>
      <sheetName val="Tran3+360_22"/>
      <sheetName val="BU_tran2+386_4"/>
      <sheetName val="Tran2+386_4"/>
      <sheetName val="DTcong_4-5"/>
      <sheetName val="Bu_1-2"/>
      <sheetName val="Bu_12-13"/>
      <sheetName val="DTcong_12-13"/>
      <sheetName val="DT_cong13-13+"/>
      <sheetName val="BU-_nhanh"/>
      <sheetName val="dtcong_nh1-2"/>
      <sheetName val="dtcong_nh0-1"/>
      <sheetName val="BU_11-12"/>
      <sheetName val="DTcong_11-12"/>
      <sheetName val="Pr-_CC"/>
      <sheetName val="MD_3-4"/>
      <sheetName val="ND_3-4"/>
      <sheetName val="MD_1-2"/>
      <sheetName val="ND_1-2"/>
      <sheetName val="MD_0-1"/>
      <sheetName val="ND_0-1"/>
      <sheetName val="Tong_hop"/>
      <sheetName val="KL_tong"/>
      <sheetName val="AC_PC"/>
      <sheetName val="Bang_VL"/>
      <sheetName val="VL(No_V-c)"/>
      <sheetName val="He_so"/>
      <sheetName val="PL_Vua"/>
      <sheetName val="Chitieu-dam_cac_loai"/>
      <sheetName val="DG_Dam"/>
      <sheetName val="DG_chung"/>
      <sheetName val="VL-dac_chung"/>
      <sheetName val="CT_1md_&amp;_dau_cong"/>
      <sheetName val="CT_cong"/>
      <sheetName val="dg_cong"/>
      <sheetName val="Dong_Dau"/>
      <sheetName val="Dong_Dau_(2)"/>
      <sheetName val="Sau_dong"/>
      <sheetName val="Ma_xa"/>
      <sheetName val="My_dinh"/>
      <sheetName val="Tong_cong"/>
      <sheetName val="__"/>
      <sheetName val="san_vuon"/>
      <sheetName val="khu_phu_tro"/>
      <sheetName val="26+180-400_2"/>
      <sheetName val="26+180_Sub1"/>
      <sheetName val="26+180_Sub4"/>
      <sheetName val="26+180-400_5(k95)"/>
      <sheetName val="26+400-620_3(k95)"/>
      <sheetName val="26+400-640_1(k95)"/>
      <sheetName val="26+960-27+150_9"/>
      <sheetName val="26+960-27+150_10"/>
      <sheetName val="26+960-27+150_11"/>
      <sheetName val="26+960-27+150_12"/>
      <sheetName val="26+960-27+150_5(k95)"/>
      <sheetName val="26+960-27+150_4(k95)"/>
      <sheetName val="26+960-27+150_1(k95)"/>
      <sheetName val="27+500-700_5(k95)"/>
      <sheetName val="27+500-700_4(k95)"/>
      <sheetName val="27+500-700_3(k95)"/>
      <sheetName val="27+500-700_1(k95)"/>
      <sheetName val="27+740-920_3(k95)"/>
      <sheetName val="27+740-920_21"/>
      <sheetName val="27+920-28+040_6,7"/>
      <sheetName val="27+920-28+040_10"/>
      <sheetName val="27+920-28+160_Su3"/>
      <sheetName val="28+160-28+420_5K95"/>
      <sheetName val="28+430-657_7"/>
      <sheetName val="Km28+430-657_8"/>
      <sheetName val="28+430-657_9"/>
      <sheetName val="28+430-667_10"/>
      <sheetName val="28+430-657_11"/>
      <sheetName val="28+430-657_4k95"/>
      <sheetName val="28+500-657_18"/>
      <sheetName val="28+520-657_19"/>
      <sheetName val="be_tong"/>
      <sheetName val="Tong_hop_thep"/>
      <sheetName val="Thuyet_minh"/>
      <sheetName val="TAI_TRONG"/>
      <sheetName val="NOI_LUC"/>
      <sheetName val="TINH_DUYET_THTT_CHINH"/>
      <sheetName val="TDUYET_THTT_PHU"/>
      <sheetName val="TINH_DAO_DONG_VA_DO_VONG"/>
      <sheetName val="TINH_NEO"/>
      <sheetName val="Phu_luc"/>
      <sheetName val="Gia_trÞ"/>
      <sheetName val="TH_(T1-6)"/>
      <sheetName val="_NL"/>
      <sheetName val="_NL_(2)"/>
      <sheetName val="CDTHCT_(3)"/>
      <sheetName val="thkl_(2)"/>
      <sheetName val="long_tec"/>
      <sheetName val="CDSL_(2)"/>
      <sheetName val="Thep_"/>
      <sheetName val="Chi_tiet_Khoi_luong"/>
      <sheetName val="TH_khoi_luong"/>
      <sheetName val="Chiet_tinh_vat_lieu_"/>
      <sheetName val="TH_KL_VL"/>
      <sheetName val="DS_them_luong_qui_4-2002"/>
      <sheetName val="Phuc_loi_2-9-02"/>
      <sheetName val="Thuong_nhan_dip_21-12-02"/>
      <sheetName val="Thuong_dip_nhan_danh_hieu_AHL§"/>
      <sheetName val="Thang_luong_thu_13_nam_2002"/>
      <sheetName val="Luong_SX#_dip_Tet_Qui_Mui(dong)"/>
      <sheetName val="cap_cho_cac_DT"/>
      <sheetName val="Ung_-_hoan"/>
      <sheetName val="CP_may"/>
      <sheetName val="vat_tu"/>
      <sheetName val="sent_to"/>
      <sheetName val="CT_Duong"/>
      <sheetName val="D_gia"/>
      <sheetName val="T_hop"/>
      <sheetName val="CtP_tro"/>
      <sheetName val="Nha_moi"/>
      <sheetName val="TT-T_Tron_So_2"/>
      <sheetName val="Ct_Dam_"/>
      <sheetName val="Ct_Duoi"/>
      <sheetName val="Ct_Tren"/>
      <sheetName val="D_giaMay"/>
      <sheetName val="C_TIEU"/>
      <sheetName val="T_Luong"/>
      <sheetName val="T_HAO"/>
      <sheetName val="DT_TUYEN"/>
      <sheetName val="DT_GIA"/>
      <sheetName val="KHDT_(2)"/>
      <sheetName val="CL_"/>
      <sheetName val="KQ_(2)"/>
      <sheetName val="phan_tich_DG"/>
      <sheetName val="gia_vat_lieu"/>
      <sheetName val="gia_xe_may"/>
      <sheetName val="gia_nhan_cong"/>
      <sheetName val="cd_viaK0-T6"/>
      <sheetName val="cdvia_T6-Tc24"/>
      <sheetName val="cdvia_Tc24-T46"/>
      <sheetName val="cd_btnL2k0+361-T19"/>
      <sheetName val="Dc_Dau"/>
      <sheetName val="_o_to_Hien_8"/>
      <sheetName val="_o_to_Hien9"/>
      <sheetName val="_o_to_Hien10"/>
      <sheetName val="_o_to_Hien11"/>
      <sheetName val="_o_to_Hien12)"/>
      <sheetName val="_o_to_Hien1"/>
      <sheetName val="_o_to_Hien2"/>
      <sheetName val="_o_to_Hien3"/>
      <sheetName val="_o_to_Hien4"/>
      <sheetName val="_o_to_Hien5"/>
      <sheetName val="_o_to_Phong_8"/>
      <sheetName val="_o_to_Phong9"/>
      <sheetName val="_o_to_Phong10"/>
      <sheetName val="_o_to_Phong11"/>
      <sheetName val="_o_to_Phong12)"/>
      <sheetName val="_o_to_Phong1"/>
      <sheetName val="_o_to_Phong2"/>
      <sheetName val="_o_to_Phong3"/>
      <sheetName val="_o_to_Phong4"/>
      <sheetName val="_o_to_Phong5"/>
      <sheetName val="_o_to_Dung_8_"/>
      <sheetName val="_D_tt_dau8"/>
      <sheetName val="_o_to_Dung_9"/>
      <sheetName val="_D9_tt_dau"/>
      <sheetName val="_D10_tt_dau"/>
      <sheetName val="_o_to_Dung_10"/>
      <sheetName val="_o_to_Dung_11"/>
      <sheetName val="_o_to_Dung_12)"/>
      <sheetName val="_o_to_Dung_1"/>
      <sheetName val="_o_to_Dung2"/>
      <sheetName val="_o_to_Dung3"/>
      <sheetName val="_o_to_Dung4"/>
      <sheetName val="_o_totrongT10-12"/>
      <sheetName val="_o_totrongT2"/>
      <sheetName val="_o_totrungT10-12"/>
      <sheetName val="_o_toMinhT10-12_"/>
      <sheetName val="_o_toMinhT2"/>
      <sheetName val="_o_toTrieuT10-12__"/>
      <sheetName val="Luong_8_SP"/>
      <sheetName val="Luong_9_SP_"/>
      <sheetName val="Luong_10_SP_"/>
      <sheetName val="Luong_11_SP_"/>
      <sheetName val="Luong_12_SP"/>
      <sheetName val="Luong_1_SP1"/>
      <sheetName val="Luong_2_SP2"/>
      <sheetName val="Luong_3_SP3"/>
      <sheetName val="Luong_4_SP4"/>
      <sheetName val="Luong_4_SP5"/>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cong_Q2"/>
      <sheetName val="T_U_luong_Q1"/>
      <sheetName val="T_U_luong_Q2"/>
      <sheetName val="T_U_luong_Q3"/>
      <sheetName val="Xep_hang_201"/>
      <sheetName val="toan_Cty"/>
      <sheetName val="Cong_ty"/>
      <sheetName val="XN_2"/>
      <sheetName val="XN_ong_CHi"/>
      <sheetName val="N_XDCT&amp;_XKLD"/>
      <sheetName val="CN_HCM"/>
      <sheetName val="TT_XKLD(Nhan)"/>
      <sheetName val="Ong_Hong"/>
      <sheetName val="CN_hung_yen"/>
      <sheetName val="Dong_nai"/>
      <sheetName val="Gia_DAN"/>
      <sheetName val="KLTong_hop"/>
      <sheetName val="Lan_can"/>
      <sheetName val="Ranh_doc_(2)"/>
      <sheetName val="Ranh_doc"/>
      <sheetName val="Coc_tieu"/>
      <sheetName val="Bien_bao"/>
      <sheetName val="Nan_tuyen"/>
      <sheetName val="Lan_1"/>
      <sheetName val="Lan__2"/>
      <sheetName val="Lan_3"/>
      <sheetName val="Gia_tri"/>
      <sheetName val="Lan_5"/>
      <sheetName val="KL_VL"/>
      <sheetName val="QT_9-6"/>
      <sheetName val="Thuong_luu_HB"/>
      <sheetName val="QT_Ky_T"/>
      <sheetName val="bc_vt_TON_BAI"/>
      <sheetName val="binh_do"/>
      <sheetName val="cot_lieu"/>
      <sheetName val="van_khuon"/>
      <sheetName val="CT_BT"/>
      <sheetName val="lay_mau"/>
      <sheetName val="mat_ngoai_goi"/>
      <sheetName val="coc_tram-bt"/>
      <sheetName val="Cong_hop"/>
      <sheetName val="kldukien_(107)"/>
      <sheetName val="qui1_(2)"/>
      <sheetName val="Phu_luc_HD"/>
      <sheetName val="Gia_du_thau"/>
      <sheetName val="Ca_xe"/>
      <sheetName val="Cau_2(3)"/>
      <sheetName val="Quyet_toan"/>
      <sheetName val="Thu_hoi"/>
      <sheetName val="Lai_vay"/>
      <sheetName val="Tien_vay"/>
      <sheetName val="Cong_no"/>
      <sheetName val="Cop_pha"/>
      <sheetName val="Tien_ung"/>
      <sheetName val="phi_luong3"/>
      <sheetName val="CT_xa"/>
      <sheetName val="Hat_1"/>
      <sheetName val="_H8_duong"/>
      <sheetName val="Hat_7dg"/>
      <sheetName val="TH_duong_1B"/>
      <sheetName val="TH_cau_1B"/>
      <sheetName val="cau_H1"/>
      <sheetName val="Son_dg"/>
      <sheetName val="THKL_H9"/>
      <sheetName val="THKL_H4"/>
      <sheetName val="TH_du_toan_"/>
      <sheetName val="Du_toan_"/>
      <sheetName val="C_Tinh"/>
      <sheetName val="KH_200³_(moi_max)"/>
      <sheetName val="KL_Tram_Cty"/>
      <sheetName val="Gam_may_Cty"/>
      <sheetName val="KL_tram_KH"/>
      <sheetName val="Gam_may_KH"/>
      <sheetName val="Cach_dien"/>
      <sheetName val="Mang_tai"/>
      <sheetName val="KL_DDK"/>
      <sheetName val="Mang_tai_DDK"/>
      <sheetName val="KL_DDK0,4"/>
      <sheetName val="TT_Ky_thuat"/>
      <sheetName val="CT_moi"/>
      <sheetName val="Tu_dien"/>
      <sheetName val="May_cat"/>
      <sheetName val="Dao_Cly"/>
      <sheetName val="Dao_Ptai"/>
      <sheetName val="Tu_RMU"/>
      <sheetName val="C_set"/>
      <sheetName val="Sco_Cap"/>
      <sheetName val="Sco_TB"/>
      <sheetName val="THVT_T5"/>
      <sheetName val="XL1_t5"/>
      <sheetName val="XL2_T5"/>
      <sheetName val="XL3_T5"/>
      <sheetName val="XL5_T5"/>
      <sheetName val="CC_XL1"/>
      <sheetName val="KKTS_04"/>
      <sheetName val="nha_kct"/>
      <sheetName val="TN_tram"/>
      <sheetName val="TN_C_set"/>
      <sheetName val="TN_TD_DDay"/>
      <sheetName val="Phan_chung"/>
      <sheetName val="cap_so_lan_2"/>
      <sheetName val="cap_so_BHXH"/>
      <sheetName val="tru_tien"/>
      <sheetName val="yt_q2"/>
      <sheetName val="c45_t3"/>
      <sheetName val="c45_t6"/>
      <sheetName val="BHYT_Q3_2003"/>
      <sheetName val="C45_t7"/>
      <sheetName val="C47-t07_2003"/>
      <sheetName val="C45_t8"/>
      <sheetName val="C47-t08_2003"/>
      <sheetName val="C45_t09"/>
      <sheetName val="C47-t09_2003"/>
      <sheetName val="C47_T12"/>
      <sheetName val="BHYT_Q4-2003"/>
      <sheetName val="C45_T10"/>
      <sheetName val="cong_bien_t10"/>
      <sheetName val="luong_t9_"/>
      <sheetName val="bb_t9"/>
      <sheetName val="XE_DAU"/>
      <sheetName val="XE_XANG"/>
      <sheetName val="Thang_12"/>
      <sheetName val="Thang_1"/>
      <sheetName val="Thang_12_(2)"/>
      <sheetName val="Thang_01"/>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CO_SO_DU_LIEU_PTVL"/>
      <sheetName val="huy_dong_von"/>
      <sheetName val="Lai_vayxd"/>
      <sheetName val="Lai_vayphaitra"/>
      <sheetName val="Lai_vay_"/>
      <sheetName val="tra_von"/>
      <sheetName val="KH_chi_tiet"/>
      <sheetName val="nguyen_lieu"/>
      <sheetName val="soi_tho_soi_det"/>
      <sheetName val="soi_thuong"/>
      <sheetName val="vai_det"/>
      <sheetName val="chi_phi_1tan"/>
      <sheetName val="von_luu_dong"/>
      <sheetName val="thue_VAT"/>
      <sheetName val="doanh_thu"/>
      <sheetName val="doanh_thu_loi_nhuan"/>
      <sheetName val="dong_tien"/>
      <sheetName val="thu_hoi_von"/>
      <sheetName val="hoan_von"/>
      <sheetName val="dothi_npv"/>
      <sheetName val="diem_hoa_von"/>
      <sheetName val="nop_ngan_sach"/>
      <sheetName val="chi_tieu"/>
      <sheetName val="congtac_vien-uy"/>
      <sheetName val="Nhan_luc2001"/>
      <sheetName val="CT_03"/>
      <sheetName val="TH_03"/>
      <sheetName val="Chenh_lech"/>
      <sheetName val="Kinh_phí"/>
      <sheetName val="NAM_2004"/>
      <sheetName val="Cong doan"/>
      <sheetName val="T01"/>
      <sheetName val="T04"/>
      <sheetName val="THGT"/>
      <sheetName val="BU6-_x0005_"/>
      <sheetName val="VËt liÖu"/>
      <sheetName val="THVL"/>
      <sheetName val="K_L­¬ng "/>
      <sheetName val="GTDT "/>
      <sheetName val="Bï VL "/>
      <sheetName val="Tæng Hîp"/>
      <sheetName val="Kinh PhÝ"/>
      <sheetName val="T kÕ"/>
      <sheetName val="chiettinhkenh"/>
      <sheetName val="tÝnh VL"/>
      <sheetName val="thuyetminh"/>
      <sheetName val="KL ®Ëp"/>
      <sheetName val="Lµng Lµ"/>
      <sheetName val="ND13-1_x0013_+334"/>
      <sheetName val="Sheet耵"/>
      <sheetName val="26+960-27+150.5(k95!"/>
      <sheetName val="TH du toanþ"/>
      <sheetName val="PTS䁌"/>
      <sheetName val="LM"/>
      <sheetName val="START"/>
      <sheetName val="INPUT"/>
      <sheetName val="THDN MBA phu tai"/>
      <sheetName val="TBA CC"/>
      <sheetName val="Purchase Order"/>
      <sheetName val="Customize Your Purchase Order"/>
      <sheetName val="Comparison"/>
      <sheetName val="A .Building  "/>
      <sheetName val="Qty-(Arc )"/>
      <sheetName val="#REF"/>
      <sheetName val="GHKII"/>
      <sheetName val="TH K II"/>
      <sheetName val="TH K I"/>
      <sheetName val="phieu-dgio"/>
      <sheetName val="Electrical Breakdown"/>
      <sheetName val="Group"/>
      <sheetName val="_x0002__x0001_"/>
      <sheetName val="_x0000__x0000__x0005__x0000_"/>
      <sheetName val="B-B"/>
      <sheetName val="bANG THANH TOAN LUONG SC"/>
      <sheetName val="DON GIA TIEN LUONG SXCB"/>
      <sheetName val="bang ke luong sc"/>
      <sheetName val="DICH VU"/>
      <sheetName val="BD LE TET"/>
      <sheetName val="BANG THANH TOAN LUONG TO SO CHE"/>
      <sheetName val="BANG TONG HOP LUONG SP"/>
      <sheetName val="Bang ke tien luong O phong"/>
      <sheetName val="bang ke luong SP"/>
      <sheetName val="tam ung luong ky I"/>
      <sheetName val="bao cao BHXH 6 thang"/>
      <sheetName val="CDԀ"/>
      <sheetName val="TH du toan¸"/>
      <sheetName val="TH du toann"/>
      <sheetName val="XXXXXXX_x0018_"/>
      <sheetName val="DGchitiet "/>
      <sheetName val="LUAN_CHUYEN1"/>
      <sheetName val="KE_QUY1"/>
      <sheetName val="LUONGGIAN_TIEP1"/>
      <sheetName val="VAY_VON1"/>
      <sheetName val="O_THAO1"/>
      <sheetName val="Q_TRUNG1"/>
      <sheetName val="Y_THANH1"/>
      <sheetName val="Interim_payment1"/>
      <sheetName val="Bid_Sum1"/>
      <sheetName val="Item_B1"/>
      <sheetName val="Dg_A1"/>
      <sheetName val="Dg_B&amp;C1"/>
      <sheetName val="Material_at_site1"/>
      <sheetName val="KL_XL20001"/>
      <sheetName val="Chiet_tinh1"/>
      <sheetName val="Van_chuyen1"/>
      <sheetName val="THKP_(2)1"/>
      <sheetName val="T_Bi1"/>
      <sheetName val="Thiet_ke1"/>
      <sheetName val="K_luong1"/>
      <sheetName val="TT_L21"/>
      <sheetName val="TT_L11"/>
      <sheetName val="Thue_Ngoai1"/>
      <sheetName val="Chi_tiet_-_Dv_lap1"/>
      <sheetName val="TH_KHTC1"/>
      <sheetName val="be_tong1"/>
      <sheetName val="Tong_hop_thep1"/>
      <sheetName val="Sheet2_(2)1"/>
      <sheetName val="KH_2003_(moi_max)1"/>
      <sheetName val="Dong_Dau1"/>
      <sheetName val="Dong_Dau_(2)1"/>
      <sheetName val="Sau_dong1"/>
      <sheetName val="Ma_xa1"/>
      <sheetName val="My_dinh1"/>
      <sheetName val="Tong_cong1"/>
      <sheetName val="BCC_(2)1"/>
      <sheetName val="Bao_cao1"/>
      <sheetName val="Bao_cao_21"/>
      <sheetName val="Khoi_luong1"/>
      <sheetName val="Khoi_luong_mat1"/>
      <sheetName val="Bang_ke1"/>
      <sheetName val="T_HopKL1"/>
      <sheetName val="S_Luong1"/>
      <sheetName val="D_Dap1"/>
      <sheetName val="Q_Toan1"/>
      <sheetName val="Phan_tich_chi_phi1"/>
      <sheetName val="Chi_phi_nen_theo_BVTC1"/>
      <sheetName val="nhan_cong_phu1"/>
      <sheetName val="nhan_cong_Hung1"/>
      <sheetName val="Nhan_cong1"/>
      <sheetName val="Khoi_luong_nen_theo_BVTC1"/>
      <sheetName val="Bang_VL1"/>
      <sheetName val="VL(No_V-c)1"/>
      <sheetName val="He_so1"/>
      <sheetName val="PL_Vua1"/>
      <sheetName val="Chitieu-dam_cac_loai1"/>
      <sheetName val="DG_Dam1"/>
      <sheetName val="DG_chung1"/>
      <sheetName val="VL-dac_chung1"/>
      <sheetName val="CT_1md_&amp;_dau_cong1"/>
      <sheetName val="Tong_hop1"/>
      <sheetName val="CT_cong1"/>
      <sheetName val="dg_cong1"/>
      <sheetName val="Gia_VL1"/>
      <sheetName val="Bang_gia_ca_may1"/>
      <sheetName val="Bang_luong_CB1"/>
      <sheetName val="Bang_P_tich_CT1"/>
      <sheetName val="D_toan_chi_tiet1"/>
      <sheetName val="Bang_TH_Dtoan1"/>
      <sheetName val="BU_CTPH1"/>
      <sheetName val="BU_tran3+360_221"/>
      <sheetName val="Tran3+360_221"/>
      <sheetName val="BU_tran2+386_41"/>
      <sheetName val="Tran2+386_41"/>
      <sheetName val="DTcong_4-51"/>
      <sheetName val="Bu_1-21"/>
      <sheetName val="Bu_12-131"/>
      <sheetName val="DTcong_12-131"/>
      <sheetName val="DT_cong13-13+1"/>
      <sheetName val="BU-_nhanh1"/>
      <sheetName val="dtcong_nh1-21"/>
      <sheetName val="dtcong_nh0-11"/>
      <sheetName val="BU_11-121"/>
      <sheetName val="DTcong_11-121"/>
      <sheetName val="Pr-_CC1"/>
      <sheetName val="MD_3-41"/>
      <sheetName val="ND_3-41"/>
      <sheetName val="MD_1-21"/>
      <sheetName val="ND_1-21"/>
      <sheetName val="MD_0-11"/>
      <sheetName val="ND_0-11"/>
      <sheetName val="KL_tong1"/>
      <sheetName val="AC_PC1"/>
      <sheetName val="cd_viaK0-T61"/>
      <sheetName val="cdvia_T6-Tc241"/>
      <sheetName val="cdvia_Tc24-T461"/>
      <sheetName val="cd_btnL2k0+361-T191"/>
      <sheetName val="TAI_TRONG1"/>
      <sheetName val="NOI_LUC1"/>
      <sheetName val="TINH_DUYET_THTT_CHINH1"/>
      <sheetName val="TDUYET_THTT_PHU1"/>
      <sheetName val="TINH_DAO_DONG_VA_DO_VONG1"/>
      <sheetName val="TINH_NEO1"/>
      <sheetName val="26+180-400_21"/>
      <sheetName val="26+180_Sub11"/>
      <sheetName val="26+180_Sub41"/>
      <sheetName val="26+180-400_5(k95)1"/>
      <sheetName val="26+400-620_3(k95)1"/>
      <sheetName val="26+400-640_1(k95)1"/>
      <sheetName val="26+960-27+150_91"/>
      <sheetName val="26+960-27+150_101"/>
      <sheetName val="26+960-27+150_111"/>
      <sheetName val="26+960-27+150_121"/>
      <sheetName val="26+960-27+150_5(k95)1"/>
      <sheetName val="26+960-27+150_4(k95)1"/>
      <sheetName val="26+960-27+150_1(k95)1"/>
      <sheetName val="27+500-700_5(k95)1"/>
      <sheetName val="27+500-700_4(k95)1"/>
      <sheetName val="27+500-700_3(k95)1"/>
      <sheetName val="27+500-700_1(k95)1"/>
      <sheetName val="27+740-920_3(k95)1"/>
      <sheetName val="27+740-920_211"/>
      <sheetName val="27+920-28+040_6,71"/>
      <sheetName val="27+920-28+040_101"/>
      <sheetName val="27+920-28+160_Su31"/>
      <sheetName val="28+160-28+420_5K951"/>
      <sheetName val="28+430-657_71"/>
      <sheetName val="Km28+430-657_81"/>
      <sheetName val="28+430-657_91"/>
      <sheetName val="28+430-667_101"/>
      <sheetName val="28+430-657_111"/>
      <sheetName val="28+430-657_4k951"/>
      <sheetName val="28+500-657_181"/>
      <sheetName val="28+520-657_191"/>
      <sheetName val="__1"/>
      <sheetName val="san_vuon1"/>
      <sheetName val="khu_phu_tro1"/>
      <sheetName val="Thuyet_minh1"/>
      <sheetName val="Quang_Tri1"/>
      <sheetName val="Da_Nang1"/>
      <sheetName val="Quang_Nam1"/>
      <sheetName val="Quang_Ngai1"/>
      <sheetName val="TH_DH-QN1"/>
      <sheetName val="KP_HD1"/>
      <sheetName val="DB_HD1"/>
      <sheetName val="Phu_luc1"/>
      <sheetName val="Gia_trÞ1"/>
      <sheetName val="thkl_(2)1"/>
      <sheetName val="long_tec1"/>
      <sheetName val="DS_them_luong_qui_4-20021"/>
      <sheetName val="Phuc_loi_2-9-021"/>
      <sheetName val="Thuong_nhan_dip_21-12-021"/>
      <sheetName val="Thuong_dip_nhan_danh_hieu_AHL§1"/>
      <sheetName val="Thang_luong_thu_13_nam_20021"/>
      <sheetName val="Luong_SX#_dip_Tet_Qui_Mui(dong1"/>
      <sheetName val="vat_tu1"/>
      <sheetName val="CDSL_(2)1"/>
      <sheetName val="cap_cho_cac_DT1"/>
      <sheetName val="Ung_-_hoan1"/>
      <sheetName val="CP_may1"/>
      <sheetName val="CT_xa1"/>
      <sheetName val="CT_Duong1"/>
      <sheetName val="D_gia1"/>
      <sheetName val="T_hop1"/>
      <sheetName val="CtP_tro1"/>
      <sheetName val="Nha_moi1"/>
      <sheetName val="TT-T_Tron_So_21"/>
      <sheetName val="Ct_Dam_1"/>
      <sheetName val="Ct_Duoi1"/>
      <sheetName val="Ct_Tren1"/>
      <sheetName val="D_giaMay1"/>
      <sheetName val="Dc_Dau1"/>
      <sheetName val="_o_to_Hien_81"/>
      <sheetName val="_o_to_Hien91"/>
      <sheetName val="_o_to_Hien101"/>
      <sheetName val="_o_to_Hien111"/>
      <sheetName val="_o_to_Hien12)1"/>
      <sheetName val="_o_to_Hien12"/>
      <sheetName val="_o_to_Hien21"/>
      <sheetName val="_o_to_Hien31"/>
      <sheetName val="_o_to_Hien41"/>
      <sheetName val="_o_to_Hien51"/>
      <sheetName val="_o_to_Phong_81"/>
      <sheetName val="_o_to_Phong91"/>
      <sheetName val="_o_to_Phong101"/>
      <sheetName val="_o_to_Phong111"/>
      <sheetName val="_o_to_Phong12)1"/>
      <sheetName val="_o_to_Phong12"/>
      <sheetName val="_o_to_Phong21"/>
      <sheetName val="_o_to_Phong31"/>
      <sheetName val="_o_to_Phong41"/>
      <sheetName val="_o_to_Phong51"/>
      <sheetName val="_o_to_Dung_8_1"/>
      <sheetName val="_D_tt_dau81"/>
      <sheetName val="_o_to_Dung_91"/>
      <sheetName val="_D9_tt_dau1"/>
      <sheetName val="_D10_tt_dau1"/>
      <sheetName val="_o_to_Dung_101"/>
      <sheetName val="_o_to_Dung_111"/>
      <sheetName val="_o_to_Dung_12)1"/>
      <sheetName val="_o_to_Dung_12"/>
      <sheetName val="_o_to_Dung21"/>
      <sheetName val="_o_to_Dung31"/>
      <sheetName val="_o_to_Dung41"/>
      <sheetName val="_o_totrongT10-121"/>
      <sheetName val="_o_totrongT21"/>
      <sheetName val="_o_totrungT10-121"/>
      <sheetName val="_o_toMinhT10-12_1"/>
      <sheetName val="_o_toMinhT21"/>
      <sheetName val="_o_toTrieuT10-12__1"/>
      <sheetName val="Luong_8_SP1"/>
      <sheetName val="Luong_9_SP_1"/>
      <sheetName val="Luong_10_SP_1"/>
      <sheetName val="Luong_11_SP_1"/>
      <sheetName val="Luong_12_SP1"/>
      <sheetName val="Luong_1_SP11"/>
      <sheetName val="Luong_2_SP21"/>
      <sheetName val="Luong_3_SP31"/>
      <sheetName val="Luong_4_SP41"/>
      <sheetName val="Luong_4_SP51"/>
      <sheetName val="TH_(T1-6)1"/>
      <sheetName val="_NL1"/>
      <sheetName val="_NL_(2)1"/>
      <sheetName val="CDTHCT_(3)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tong_hop_thanh_toan_thue1"/>
      <sheetName val="bang_ke_nop_thue1"/>
      <sheetName val="Tonh_hop_chi_phi1"/>
      <sheetName val="BK_chi_phi1"/>
      <sheetName val="KTra_DS_va_thue_GTGT1"/>
      <sheetName val="Kiãøm_tra_DS_thue_GTGT1"/>
      <sheetName val="XUAT(gia_von)1"/>
      <sheetName val="Xuat_(gia_ban)1"/>
      <sheetName val="Dchinh_TH_N-X-T1"/>
      <sheetName val="Tong_hop_N-X-T1"/>
      <sheetName val="thue_TH1"/>
      <sheetName val="tong_hop_20011"/>
      <sheetName val="qUYET_TOAN_THUE1"/>
      <sheetName val="Thep_1"/>
      <sheetName val="Chi_tiet_Khoi_luong1"/>
      <sheetName val="TH_khoi_luong1"/>
      <sheetName val="Chiet_tinh_vat_lieu_1"/>
      <sheetName val="TH_KL_VL1"/>
      <sheetName val="Cong_hop1"/>
      <sheetName val="kldukien_(107)1"/>
      <sheetName val="qui1_(2)1"/>
      <sheetName val="Gia_DAN1"/>
      <sheetName val="KLTong_hop1"/>
      <sheetName val="Lan_can1"/>
      <sheetName val="Ranh_doc_(2)1"/>
      <sheetName val="Ranh_doc1"/>
      <sheetName val="Coc_tieu1"/>
      <sheetName val="Bien_bao1"/>
      <sheetName val="Nan_tuyen1"/>
      <sheetName val="Lan_11"/>
      <sheetName val="Lan__21"/>
      <sheetName val="Lan_31"/>
      <sheetName val="Gia_tri1"/>
      <sheetName val="Lan_51"/>
      <sheetName val="phan_tich_DG1"/>
      <sheetName val="gia_vat_lieu1"/>
      <sheetName val="gia_xe_may1"/>
      <sheetName val="gia_nhan_cong1"/>
      <sheetName val="KL_VL1"/>
      <sheetName val="QT_9-61"/>
      <sheetName val="Thuong_luu_HB1"/>
      <sheetName val="QT_Ky_T1"/>
      <sheetName val="bc_vt_TON_BAI1"/>
      <sheetName val="cong_Q21"/>
      <sheetName val="T_U_luong_Q11"/>
      <sheetName val="T_U_luong_Q21"/>
      <sheetName val="T_U_luong_Q31"/>
      <sheetName val="sent_to1"/>
      <sheetName val="CDTHU_CHI_T11"/>
      <sheetName val="THUCHI_21"/>
      <sheetName val="THU_CHI31"/>
      <sheetName val="THU_CHI_41"/>
      <sheetName val="THU_CHI51"/>
      <sheetName val="THU_CHI_61"/>
      <sheetName val="TU_CHI_71"/>
      <sheetName val="THU_CHI91"/>
      <sheetName val="THU_CHI_81"/>
      <sheetName val="THU_CHI_101"/>
      <sheetName val="THU_CHI_111"/>
      <sheetName val="THU_CHI_121"/>
      <sheetName val="Tien_ung1"/>
      <sheetName val="phi_luong31"/>
      <sheetName val="binh_do1"/>
      <sheetName val="cot_lieu1"/>
      <sheetName val="van_khuon1"/>
      <sheetName val="CT_BT1"/>
      <sheetName val="lay_mau1"/>
      <sheetName val="mat_ngoai_goi1"/>
      <sheetName val="coc_tram-bt1"/>
      <sheetName val="Quyet_toan1"/>
      <sheetName val="Thu_hoi1"/>
      <sheetName val="Lai_vay1"/>
      <sheetName val="Tien_vay1"/>
      <sheetName val="Cong_no1"/>
      <sheetName val="Cop_pha1"/>
      <sheetName val="KL_Tram_Cty1"/>
      <sheetName val="Gam_may_Cty1"/>
      <sheetName val="KL_tram_KH1"/>
      <sheetName val="Gam_may_KH1"/>
      <sheetName val="Cach_dien1"/>
      <sheetName val="Mang_tai1"/>
      <sheetName val="KL_DDK1"/>
      <sheetName val="Mang_tai_DDK1"/>
      <sheetName val="KL_DDK0,41"/>
      <sheetName val="TT_Ky_thuat1"/>
      <sheetName val="CT_moi1"/>
      <sheetName val="Tu_dien1"/>
      <sheetName val="May_cat1"/>
      <sheetName val="Dao_Cly1"/>
      <sheetName val="Dao_Ptai1"/>
      <sheetName val="Tu_RMU1"/>
      <sheetName val="C_set1"/>
      <sheetName val="Sco_Cap1"/>
      <sheetName val="Sco_TB1"/>
      <sheetName val="TN_tram1"/>
      <sheetName val="TN_C_set1"/>
      <sheetName val="TN_TD_DDay1"/>
      <sheetName val="Phan_chung1"/>
      <sheetName val="THVT_T51"/>
      <sheetName val="XL1_t51"/>
      <sheetName val="XL2_T51"/>
      <sheetName val="XL3_T51"/>
      <sheetName val="XL5_T51"/>
      <sheetName val="CC_XL11"/>
      <sheetName val="KKTS_041"/>
      <sheetName val="nha_kct1"/>
      <sheetName val="Xep_hang_2011"/>
      <sheetName val="Thang_121"/>
      <sheetName val="Thang_11"/>
      <sheetName val="Thang_12_(2)1"/>
      <sheetName val="Thang_011"/>
      <sheetName val="XE_DAU1"/>
      <sheetName val="XE_XANG1"/>
      <sheetName val="toan_Cty1"/>
      <sheetName val="Cong_ty1"/>
      <sheetName val="XN_21"/>
      <sheetName val="XN_ong_CHi1"/>
      <sheetName val="N_XDCT&amp;_XKLD1"/>
      <sheetName val="CN_HCM1"/>
      <sheetName val="TT_XKLD(Nhan)1"/>
      <sheetName val="Ong_Hong1"/>
      <sheetName val="CN_hung_yen1"/>
      <sheetName val="Dong_nai1"/>
      <sheetName val="Phu_luc_HD1"/>
      <sheetName val="Gia_du_thau1"/>
      <sheetName val="Ca_xe1"/>
      <sheetName val="Cau_2(3)1"/>
      <sheetName val="cap_so_lan_21"/>
      <sheetName val="cap_so_BHXH1"/>
      <sheetName val="tru_tien1"/>
      <sheetName val="yt_q21"/>
      <sheetName val="c45_t31"/>
      <sheetName val="c45_t61"/>
      <sheetName val="BHYT_Q3_20031"/>
      <sheetName val="C45_t71"/>
      <sheetName val="C47-t07_20031"/>
      <sheetName val="C45_t81"/>
      <sheetName val="C47-t08_20031"/>
      <sheetName val="C45_t091"/>
      <sheetName val="C47-t09_20031"/>
      <sheetName val="C47_T121"/>
      <sheetName val="BHYT_Q4-20031"/>
      <sheetName val="C45_T101"/>
      <sheetName val="C_TIEU1"/>
      <sheetName val="T_Luong1"/>
      <sheetName val="T_HAO1"/>
      <sheetName val="DT_TUYEN1"/>
      <sheetName val="DT_GIA1"/>
      <sheetName val="KHDT_(2)1"/>
      <sheetName val="CL_1"/>
      <sheetName val="KQ_(2)1"/>
      <sheetName val="cong_bien_t101"/>
      <sheetName val="luong_t9_1"/>
      <sheetName val="bb_t91"/>
      <sheetName val="congtac_vien-uy1"/>
      <sheetName val="Nhan_luc20011"/>
      <sheetName val="Tong_Thu"/>
      <sheetName val="Tong_Chi"/>
      <sheetName val="Truong_hoc"/>
      <sheetName val="Cty_CP"/>
      <sheetName val="G_thau_3B"/>
      <sheetName val="T_Hop_Thu-chi"/>
      <sheetName val="KH_200³_(moi_max)1"/>
      <sheetName val="DG_SOC1"/>
      <sheetName val="DG_HQ1"/>
      <sheetName val="Hat_11"/>
      <sheetName val="_H8_duong1"/>
      <sheetName val="Hat_7dg1"/>
      <sheetName val="TH_duong_1B1"/>
      <sheetName val="TH_cau_1B1"/>
      <sheetName val="cau_H11"/>
      <sheetName val="Son_dg1"/>
      <sheetName val="THKL_H91"/>
      <sheetName val="THKL_H4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phuong_an_chon1"/>
      <sheetName val="bang_so_sanh_tong_hop_(_PA_cho1"/>
      <sheetName val="dang_ap_dung1"/>
      <sheetName val="bang_tong_hop_(dang_huong)1"/>
      <sheetName val="TH_du_toan_1"/>
      <sheetName val="Du_toan_1"/>
      <sheetName val="C_Tinh1"/>
      <sheetName val="B_T_HOP"/>
      <sheetName val="HT_HE_DUONG"/>
      <sheetName val="DH_D1,2"/>
      <sheetName val="Tro_giup"/>
      <sheetName val="BB_NT_GD_H-thanh"/>
      <sheetName val="BB_NT_KL"/>
      <sheetName val="CL_PP"/>
      <sheetName val="TH_DgPP"/>
      <sheetName val="Dg_PP"/>
      <sheetName val="CL_DgPP"/>
      <sheetName val="TH_DDau"/>
      <sheetName val="TH_DVu"/>
      <sheetName val="CL_Dvu"/>
      <sheetName val="TH_DgDvu"/>
      <sheetName val="Dg_DV"/>
      <sheetName val="C_O"/>
      <sheetName val="TH_dg_OC"/>
      <sheetName val="CL_CatOng"/>
      <sheetName val="Bang_qui_cach_Vtu"/>
      <sheetName val="CT_031"/>
      <sheetName val="TH_031"/>
      <sheetName val="Chenh_lech1"/>
      <sheetName val="Kinh_phí1"/>
      <sheetName val="VAT_TU_NHAN_TXQN"/>
      <sheetName val="bang_tong_ke_khoi_luong_vat_tu"/>
      <sheetName val="hcong_tkhe"/>
      <sheetName val="VAT_TU_NHAN_TKHE"/>
      <sheetName val="hcong_qn"/>
      <sheetName val="VAT_TU_NHAN_(2)"/>
      <sheetName val="CO_SO_DU_LIEU_PTVL1"/>
      <sheetName val="QT_Duoc_(Hai)"/>
      <sheetName val="TH_mau_moi_tu_T10"/>
      <sheetName val="Tong_hop_Quy_IV"/>
      <sheetName val="Bot_Giat_C1"/>
      <sheetName val="Bot_Giat_P_1"/>
      <sheetName val="THAY_THUNG_H1"/>
      <sheetName val="thi_nghiem1"/>
      <sheetName val="BLR_1"/>
      <sheetName val="gia_phan_mong"/>
      <sheetName val="SILICAT"/>
      <sheetName val="NAM_20041"/>
      <sheetName val="huy_dong_von1"/>
      <sheetName val="Lai_vayxd1"/>
      <sheetName val="Lai_vayphaitra1"/>
      <sheetName val="Lai_vay_1"/>
      <sheetName val="tra_von1"/>
      <sheetName val="KH_chi_tiet1"/>
      <sheetName val="nguyen_lieu1"/>
      <sheetName val="soi_tho_soi_det1"/>
      <sheetName val="soi_thuong1"/>
      <sheetName val="vai_det1"/>
      <sheetName val="chi_phi_1tan1"/>
      <sheetName val="von_luu_dong1"/>
      <sheetName val="thue_VAT1"/>
      <sheetName val="doanh_thu1"/>
      <sheetName val="doanh_thu_loi_nhuan1"/>
      <sheetName val="dong_tien1"/>
      <sheetName val="thu_hoi_von1"/>
      <sheetName val="MTO_REV_0"/>
      <sheetName val="Bang_gia_NC"/>
      <sheetName val="TH_DZ35"/>
      <sheetName val="D_Da0"/>
      <sheetName val="hoan_von1"/>
      <sheetName val="dothi_npv1"/>
      <sheetName val="diem_hoa_von1"/>
      <sheetName val="nop_ngan_sach1"/>
      <sheetName val="chi_tieu1"/>
      <sheetName val="Div__A"/>
      <sheetName val="TSCD_ko_dung"/>
      <sheetName val="Tong_vat_tu"/>
      <sheetName val="VT_luu"/>
      <sheetName val="Vtu_u_dong"/>
      <sheetName val="TSLD_khac"/>
      <sheetName val="CC_da_pbo_het"/>
      <sheetName val="26+960-27+050_9"/>
      <sheetName val="luong_thang_10"/>
      <sheetName val="tong_hop_thang_10"/>
      <sheetName val="TH_11"/>
      <sheetName val="px_khai_thac_2"/>
      <sheetName val="dao_lo_so_2"/>
      <sheetName val="luong_vp_thang_10"/>
      <sheetName val="Du_thau"/>
      <sheetName val="Phan_tich_don_gia_(doc)"/>
      <sheetName val="Tong_dip_nhan_danh_hieu_AHL§"/>
      <sheetName val="THV_CHI_6"/>
      <sheetName val="27+500-700_4(k85)"/>
      <sheetName val="CHIET_TINH_TBA"/>
      <sheetName val="CHIET_TINH_DZ_0,4"/>
      <sheetName val="CHIET_TINH_CCT"/>
      <sheetName val="Du_toan"/>
      <sheetName val="Phan_tich_vat_tu"/>
      <sheetName val="Tong_hop_vat_tu"/>
      <sheetName val="Tong_hop_gia"/>
      <sheetName val="TK_331c1"/>
      <sheetName val="cong_bien_t1&lt;"/>
      <sheetName val="Bang_2B"/>
      <sheetName val="Dgia_vat_tu"/>
      <sheetName val="Don_gia_III"/>
      <sheetName val="Dgia_VT"/>
      <sheetName val="Chenh_lech_vat_tu"/>
      <sheetName val="Gia_tri_vat_tu"/>
      <sheetName val="Chi_phi_van_chuyen"/>
      <sheetName val="Don_gia_chi_tiet"/>
      <sheetName val="Tong_hop_kinh_phi"/>
      <sheetName val="Tu_van_Thiet_ke"/>
      <sheetName val="Tien_do_thi_cong"/>
      <sheetName val="Bia_du_toan"/>
      <sheetName val="L_D1704"/>
      <sheetName val="CT_331"/>
      <sheetName val="CT_131"/>
      <sheetName val="28+!60-28+420_5K95"/>
      <sheetName val="Thi_sinh"/>
      <sheetName val="Cham_cong"/>
      <sheetName val="Bang_luong"/>
      <sheetName val="STH_152"/>
      <sheetName val="CN_331"/>
      <sheetName val="VC_MONG"/>
      <sheetName val="LUONG_NC"/>
      <sheetName val="BKE_CT_GOC"/>
      <sheetName val="BKE_CT_GOC_(2)"/>
      <sheetName val="CTGS10_(2)"/>
      <sheetName val="PIPE-03E_XLS"/>
      <sheetName val="Cong_doan"/>
      <sheetName val="B9_SCL_(2)"/>
      <sheetName val="Thang_7-05"/>
      <sheetName val="Bia_dvi"/>
      <sheetName val="B3_Tonghop_thang"/>
      <sheetName val="Assumptions"/>
      <sheetName val="DTcojg 4-5"/>
      <sheetName val="P.LIST"/>
      <sheetName val="INSPECTION"/>
      <sheetName val="INVOICE"/>
      <sheetName val="BOOKING"/>
      <sheetName val="MAKING BILL"/>
      <sheetName val="CO FORM A"/>
      <sheetName val="EC"/>
      <sheetName val="HOI PHIEU"/>
      <sheetName val="YEU CAU TT TECH (LC)"/>
      <sheetName val="beneficiary"/>
      <sheetName val="shipping advice"/>
      <sheetName val="SAMPLE"/>
      <sheetName val="ch"/>
      <sheetName val="cv019"/>
      <sheetName val="cv013"/>
      <sheetName val="cv012"/>
      <sheetName val="cv010"/>
      <sheetName val="cv09"/>
      <sheetName val="May thi cong"/>
      <sheetName val="Chi phi chung"/>
      <sheetName val="CAT_5"/>
      <sheetName val="단면가정"/>
      <sheetName val="ITB COST"/>
      <sheetName val="costing_CV"/>
      <sheetName val="costing_ESDV"/>
      <sheetName val="costing_FE"/>
      <sheetName val="costing_Misc"/>
      <sheetName val="costing_MOV"/>
      <sheetName val="costing_Press"/>
      <sheetName val="표지"/>
      <sheetName val="TIEN GOI"/>
      <sheetName val="TB-내역서"/>
      <sheetName val="NHAT KY THU TIEN T.GOI"/>
      <sheetName val="LUONG GIAN TIEP"/>
      <sheetName val="NHAT KY THU TIEN TM"/>
      <sheetName val="UOC THUC HIEN THUE TNDN"/>
      <sheetName val="QUY TM"/>
      <sheetName val="131"/>
      <sheetName val="NKCT - 01"/>
      <sheetName val="w't table"/>
      <sheetName val="LAI - LO"/>
      <sheetName val="TO KHAI CHI TIET"/>
      <sheetName val="THUE PII"/>
      <sheetName val="THUE PIII"/>
      <sheetName val="QUYET TOAN THUE TNDN"/>
      <sheetName val="BANG CAN DOI RUT GON"/>
      <sheetName val="BANG CAN DOI"/>
      <sheetName val="NHAT KY CHI TIEN"/>
      <sheetName val="LAI LO"/>
      <sheetName val="TO KHAI THUE DT -TNDN- CP"/>
      <sheetName val="QUYET TOAN THUE- CAC KHOAN"/>
      <sheetName val="GIA THANH"/>
      <sheetName val="BAI DUNG "/>
      <sheetName val="BIA NAM"/>
      <sheetName val="TM BAO CAO"/>
      <sheetName val="SXKD"/>
      <sheetName val="Y-WORK"/>
      <sheetName val="기계锼_x0013_"/>
      <sheetName val="기계ᰖ〚"/>
      <sheetName val="기계灼_x0013_"/>
      <sheetName val="CPcttam"/>
      <sheetName val="CPTB"/>
      <sheetName val="\MGT-DRT\MGT-IMPR\MGT-SC@\BA039"/>
      <sheetName val="\N\MGT-DRT\MGT-IMPR\MGT-SC@\BA0"/>
      <sheetName val="WH-CPTP,Todoi"/>
      <sheetName val="20.9.05"/>
      <sheetName val="Thanh toan"/>
      <sheetName val="B11B"/>
      <sheetName val="B11C"/>
      <sheetName val="B 11D "/>
      <sheetName val="Gia tr?"/>
      <sheetName val="Ki??m tra DS thue GTGT"/>
      <sheetName val="Thuong dip nhan danh hieu AHL?"/>
      <sheetName val="ctbetong"/>
      <sheetName val="Main"/>
      <sheetName val="Annual_CFs_Asset"/>
      <sheetName val="DMVT1 (2)"/>
      <sheetName val="DTGG1"/>
      <sheetName val="DTBB1"/>
      <sheetName val="DTK1"/>
      <sheetName val="TH1"/>
      <sheetName val="DMVT1"/>
      <sheetName val="LB"/>
      <sheetName val="Chiet tinh 6at lieu "/>
      <sheetName val="gia vat ,ieu"/>
      <sheetName val="Ki泺m tra DS thue GTGT"/>
      <sheetName val="27+740-820.3(k95)"/>
      <sheetName val="Tojg hop thep"/>
      <sheetName val="T_x0003_"/>
      <sheetName val="dtxl"/>
      <sheetName val="C45A-BÈ"/>
      <sheetName val="pt0-1"/>
      <sheetName val="kp0-1"/>
      <sheetName val="0-1"/>
      <sheetName val="pt2-3"/>
      <sheetName val="thkp2-3"/>
      <sheetName val="2-3"/>
      <sheetName val="cl1-2"/>
      <sheetName val="thkp1-2"/>
      <sheetName val="clvl1-2"/>
      <sheetName val="1-2"/>
      <sheetName val="Bang luong _x0011_"/>
      <sheetName val="Quantity"/>
      <sheetName val="Keothep"/>
      <sheetName val="Re-bar"/>
      <sheetName val="tph AAHSTOT27"/>
      <sheetName val="TPH10x20"/>
      <sheetName val="TPH5x10"/>
      <sheetName val="TPH0x5"/>
      <sheetName val="TPHCVang"/>
      <sheetName val="TPHBDa"/>
      <sheetName val="Gia"/>
      <sheetName val="MTL$-INTER"/>
      <sheetName val="合成単価作成表-BLDG"/>
      <sheetName val="Rate"/>
      <sheetName val="LEGEND"/>
      <sheetName val="정렬"/>
      <sheetName val="뜃맟뭁돽띿맟?-BLDG"/>
      <sheetName val="LABTOTAL"/>
      <sheetName val="CN"/>
      <sheetName val="배부율"/>
      <sheetName val="SOURCE"/>
      <sheetName val="COA-17"/>
      <sheetName val="C-18"/>
      <sheetName val="WORK"/>
      <sheetName val="간접비내역-1"/>
      <sheetName val="Form A.1.III"/>
      <sheetName val="Form A.1"/>
      <sheetName val="Form A.1.1"/>
      <sheetName val="BOM Indirect"/>
      <sheetName val="Form A.1.II.1"/>
      <sheetName val="Form A.1.II.2"/>
      <sheetName val="Rekap-Base Price"/>
      <sheetName val="AILC004"/>
      <sheetName val="Curves"/>
      <sheetName val="Tables"/>
      <sheetName val="주요물량"/>
      <sheetName val="총괄표"/>
      <sheetName val="KH-200_x0005_"/>
      <sheetName val="Building"/>
      <sheetName val="General Data"/>
      <sheetName val="부표총괄"/>
      <sheetName val="하수처리장"/>
      <sheetName val="Architecture Work"/>
      <sheetName val="CostDB"/>
      <sheetName val="예산M11A"/>
      <sheetName val="BU6-虘"/>
      <sheetName val="clvÕ"/>
      <sheetName val="clv¨"/>
      <sheetName val="clvþ"/>
      <sheetName val="clv"/>
      <sheetName val="DF"/>
      <sheetName val="PBS"/>
      <sheetName val="인6월"/>
      <sheetName val="을"/>
      <sheetName val="마감물량3"/>
      <sheetName val="BQ_Equip_Pipe"/>
      <sheetName val="PipWT"/>
      <sheetName val="견적조건"/>
      <sheetName val="기계๿〚"/>
      <sheetName val="기계헾】"/>
      <sheetName val="기계_x0005__x0000_"/>
      <sheetName val="piping"/>
      <sheetName val="Data_ST"/>
      <sheetName val="D &amp; B Summary"/>
      <sheetName val="Summary Sheets"/>
      <sheetName val="C45T1X"/>
      <sheetName val="steel-gr"/>
      <sheetName val="Data - Codes"/>
      <sheetName val="Cover"/>
      <sheetName val="기둥(원형)"/>
      <sheetName val="계약ITEM"/>
      <sheetName val="UNIT"/>
      <sheetName val="resp"/>
      <sheetName val="Code03"/>
      <sheetName val="Activity(new)"/>
      <sheetName val="공사내역"/>
      <sheetName val=" ｹ-ﾌﾞﾙ"/>
      <sheetName val="당초"/>
      <sheetName val="내역서 "/>
      <sheetName val="내역"/>
      <sheetName val="PUMP"/>
      <sheetName val="van phong Quy 1"/>
      <sheetName val="Cong ty Quy 1"/>
      <sheetName val="[PIPE-03E.XLSÝ26+960-27+150.4(k"/>
      <sheetName val="Buy vs. Lease Car"/>
      <sheetName val="TH_CPTB"/>
      <sheetName val="CP Khac cuoc VC"/>
      <sheetName val="T.KE CP1"/>
      <sheetName val="Summary (1)"/>
      <sheetName val="List of Houses"/>
      <sheetName val="B1-General"/>
      <sheetName val="B2.SITE WORKS"/>
      <sheetName val="B3.CONCRETE WORKS"/>
      <sheetName val="B4.MASONRY WORKS"/>
      <sheetName val="B5.METAL WORKS"/>
      <sheetName val="B6.THERMAL&amp;MOITURE"/>
      <sheetName val="B7.ALU.GLASS D&amp;W"/>
      <sheetName val="B8.FINISHING WORKS"/>
      <sheetName val="B12.EXTERNAL WORKS"/>
      <sheetName val="DMVT - 2"/>
      <sheetName val="B. Additional items"/>
      <sheetName val="C. VE items Add1"/>
      <sheetName val="F. VE items Updated Add1"/>
      <sheetName val="G. Duplicated items"/>
      <sheetName val="CTG"/>
      <sheetName val="PH 5"/>
      <sheetName val="Chung tu"/>
      <sheetName val="So cai"/>
      <sheetName val="Can doi"/>
      <sheetName val="Phat sinh"/>
      <sheetName val="ten"/>
      <sheetName val="nphuo"/>
      <sheetName val="CQuan"/>
      <sheetName val="28+160-&quot;8+420,17Top"/>
      <sheetName val="KHo152"/>
      <sheetName val="Kho153"/>
      <sheetName val="@.Dap"/>
      <sheetName val="LUU"/>
      <sheetName val="BAONO"/>
      <sheetName val="BAONOCHUAXONG"/>
      <sheetName val="PHI"/>
      <sheetName val="DMCP"/>
      <sheetName val="XE DA("/>
      <sheetName val="CAU 1"/>
      <sheetName val="CAU3"/>
      <sheetName val="CAU5 A Thu"/>
      <sheetName val="yen lenh"/>
      <sheetName val="CAU5"/>
      <sheetName val="CAU5 (1+2)"/>
      <sheetName val="CAU 7 (O Hien)"/>
      <sheetName val="CAU 7"/>
      <sheetName val="CKCT"/>
      <sheetName val="TCCG ( NH)"/>
      <sheetName val="TCCG"/>
      <sheetName val="Cau 9"/>
      <sheetName val="Cau 11"/>
      <sheetName val="480"/>
      <sheetName val="khen thuong (2)"/>
      <sheetName val="khen thuong"/>
      <sheetName val="Thuong"/>
      <sheetName val="San luong"/>
      <sheetName val="Thu nhap"/>
      <sheetName val="MAIN GATE HOUSE"/>
      <sheetName val="Du lieu"/>
      <sheetName val="30개월기준대비표 아랍택)"/>
      <sheetName val="총괄표 (2)"/>
      <sheetName val="project management"/>
      <sheetName val="공통가설"/>
      <sheetName val="1.우편집중내역서"/>
      <sheetName val="Metode"/>
      <sheetName val="inter"/>
      <sheetName val="Project Brief"/>
      <sheetName val="TOEC"/>
      <sheetName val="지원사무소원가배부내역"/>
      <sheetName val="품셈1-26"/>
      <sheetName val="4.주별물량Table"/>
      <sheetName val="FORCE"/>
      <sheetName val="ITEM"/>
      <sheetName val="HVAC"/>
      <sheetName val="CAL."/>
      <sheetName val="PRICE-COMP"/>
      <sheetName val="THDG_x0002_"/>
      <sheetName val="EquipPOR"/>
      <sheetName val="CBL.Termination"/>
      <sheetName val="적용환율"/>
      <sheetName val="FINAL"/>
      <sheetName val="Uhde Equip List"/>
      <sheetName val="MotorsData"/>
      <sheetName val="BOQ_TOTAL"/>
      <sheetName val="기계丵〒"/>
      <sheetName val="Caod&lt;"/>
      <sheetName val="P3"/>
      <sheetName val="BQMPALOC"/>
      <sheetName val="전체"/>
      <sheetName val="보온자재단가표"/>
      <sheetName val="기초자료"/>
      <sheetName val="견적집계표"/>
      <sheetName val="&lt;&lt;380V&gt;&gt; "/>
      <sheetName val="Definitions"/>
      <sheetName val="NDOCBT"/>
      <sheetName val="말뚝물량"/>
      <sheetName val="3희질산"/>
      <sheetName val="환율"/>
      <sheetName val=" Est "/>
      <sheetName val="2.2 띠장의 설계"/>
      <sheetName val="TYPE-7"/>
      <sheetName val="sc0314 Index"/>
      <sheetName val="인6丵"/>
      <sheetName val="FAB별"/>
      <sheetName val="UEC영화관본공사내역"/>
      <sheetName val="code"/>
      <sheetName val="Trans"/>
      <sheetName val="Definitionen"/>
      <sheetName val="COMP"/>
      <sheetName val="Cover Sheet"/>
      <sheetName val="FORM2-123"/>
      <sheetName val="BREAK DOWN"/>
      <sheetName val="RFP-003A"/>
      <sheetName val="EQFRM2"/>
      <sheetName val="Index"/>
      <sheetName val="Instr'n"/>
      <sheetName val="RFP002"/>
      <sheetName val="RFP003"/>
      <sheetName val="RFP004"/>
      <sheetName val="RFP005"/>
      <sheetName val="RFP006"/>
      <sheetName val="RFP007"/>
      <sheetName val="RFP008"/>
      <sheetName val="RFP009"/>
      <sheetName val="RFP010"/>
      <sheetName val="RFP012"/>
      <sheetName val="RFP013"/>
      <sheetName val="RFP014"/>
      <sheetName val="RFP015"/>
      <sheetName val="RFP11(2)"/>
      <sheetName val="RFP11(3)"/>
      <sheetName val="Pengalaman Per"/>
      <sheetName val="PRO_A"/>
      <sheetName val="PRO"/>
      <sheetName val="EQUIPMENT"/>
      <sheetName val="THDG_x001c_"/>
      <sheetName val="Engineering Forecast"/>
      <sheetName val="GM 000"/>
      <sheetName val="MATERIALS"/>
      <sheetName val="粉刷"/>
      <sheetName val="Code 02"/>
      <sheetName val="Code 03"/>
      <sheetName val="Code 04"/>
      <sheetName val="Code 05"/>
      <sheetName val="Code 06"/>
      <sheetName val="Code 07"/>
      <sheetName val="Code 09"/>
      <sheetName val="건축집계"/>
      <sheetName val="도"/>
      <sheetName val="HRSG PRINT"/>
      <sheetName val="PO Contabilizado 31-12-04"/>
      <sheetName val="Hoja1"/>
      <sheetName val="기계徸〒"/>
      <sheetName val="Settings"/>
      <sheetName val="갑지"/>
      <sheetName val="Y_WORK"/>
      <sheetName val="danga"/>
      <sheetName val="ilch"/>
      <sheetName val="대비내역"/>
      <sheetName val="정보매체A동"/>
      <sheetName val="현장업무"/>
      <sheetName val="estm_mech"/>
      <sheetName val="CAL(1)."/>
      <sheetName val="PIP"/>
      <sheetName val="ELEC_MCI"/>
      <sheetName val="INST_MCI"/>
      <sheetName val="MECH_MCI"/>
      <sheetName val="TITLES"/>
      <sheetName val="Al-suwaidi"/>
      <sheetName val="Cable_Data_CP5"/>
      <sheetName val="master"/>
      <sheetName val="Cable Data CP5"/>
      <sheetName val="Calc"/>
      <sheetName val="R&amp;P"/>
      <sheetName val="공사비 내역 (가)"/>
      <sheetName val="KP1590_E"/>
      <sheetName val="Price Sheet"/>
      <sheetName val="2"/>
      <sheetName val="3"/>
      <sheetName val="4"/>
      <sheetName val="5"/>
      <sheetName val="6"/>
      <sheetName val="7"/>
      <sheetName val="8"/>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작성기준"/>
      <sheetName val="Resumen Prestamos"/>
      <sheetName val="Pipe_Nozzle"/>
      <sheetName val="Articoli da prezziario"/>
      <sheetName val="Dchinh(chinhthuc)"/>
      <sheetName val="THDÃ"/>
      <sheetName val="Ca.D"/>
      <sheetName val="H.long"/>
      <sheetName val="C.Mong"/>
      <sheetName val="M.Phu"/>
      <sheetName val="T.Son"/>
      <sheetName val="V.Don"/>
      <sheetName val="Y.Kien"/>
      <sheetName val="V.Quang"/>
      <sheetName val="Q.Lam"/>
      <sheetName val="P.Thu"/>
      <sheetName val="T.Coc"/>
      <sheetName val="D.Nghia"/>
      <sheetName val="TT.DH"/>
      <sheetName val="P.Phu"/>
      <sheetName val="P.Lai"/>
      <sheetName val="N.Xuyen"/>
      <sheetName val="H.quan"/>
      <sheetName val="S.Dang"/>
      <sheetName val="N.Quan"/>
      <sheetName val="C.Dam"/>
      <sheetName val="B.luan"/>
      <sheetName val="M.Luong"/>
      <sheetName val="B.Doan"/>
      <sheetName val="H.Do"/>
      <sheetName val="D.Khe"/>
      <sheetName val="P.Trung"/>
      <sheetName val="V.du"/>
      <sheetName val="THD_x0010_"/>
      <sheetName val="THDm"/>
      <sheetName val="THD_x0008_"/>
      <sheetName val="CỘT HỐ PIT"/>
      <sheetName val="Don gia"/>
      <sheetName val="Mucluc"/>
      <sheetName val="TMDT"/>
      <sheetName val="PBVDT"/>
      <sheetName val="LPS"/>
      <sheetName val="VONTB"/>
      <sheetName val="KHTN"/>
      <sheetName val="GT"/>
      <sheetName val="Chart5"/>
      <sheetName val="LL"/>
      <sheetName val="CDTN"/>
      <sheetName val="HV"/>
      <sheetName val="lUONGTIEN"/>
      <sheetName val="Chart3"/>
      <sheetName val="Chart4"/>
      <sheetName val="Chart6"/>
      <sheetName val="DN"/>
      <sheetName val="CSDV"/>
      <sheetName val="PTKT"/>
      <sheetName val="ၔonghop"/>
      <sheetName val="Analysis"/>
      <sheetName val="C-C"/>
      <sheetName val="D-D"/>
      <sheetName val="??-BLDG"/>
      <sheetName val="Jan"/>
      <sheetName val="Dulieu"/>
      <sheetName val="ﾃｽﾄﾃﾞｰﾀ一覧"/>
      <sheetName val="HS"/>
      <sheetName val="SL"/>
      <sheetName val="Cước CG"/>
      <sheetName val="gia tri theo phong"/>
      <sheetName val="PS-Labour_M"/>
      <sheetName val="QG"/>
      <sheetName val="Unit price"/>
      <sheetName val="gia vtu, ncong"/>
      <sheetName val="CPV"/>
      <sheetName val="dao dat"/>
      <sheetName val="chong tham"/>
      <sheetName val="Yeu cau gia"/>
      <sheetName val="B0_SUM"/>
      <sheetName val="Phan chia tien ich"/>
      <sheetName val="Prelim HP5-ham"/>
      <sheetName val="BPTC"/>
      <sheetName val="B3_Mong&amp;ham "/>
      <sheetName val="Prelim HP5-than"/>
      <sheetName val="B4_Than&amp;Hoan thien"/>
      <sheetName val="VK"/>
      <sheetName val="DMVT"/>
      <sheetName val="sort2"/>
      <sheetName val="Hệ sô K"/>
      <sheetName val="BC t×nh h×nh thùc hiÖn qu©n sè"/>
      <sheetName val="Chi tiet so du Tai khoan"/>
      <sheetName val="BC t×nh h×nh nhËn vµ quyÕt KP"/>
      <sheetName val="BC-QT nghiÖp vô +TXuyªn- 2002"/>
      <sheetName val="bao cao thuc hien NS bao dam "/>
      <sheetName val="Bc TQT chi BHXH - 2002"/>
      <sheetName val="BC QT gi¸ trÞ hiÖn vËt"/>
      <sheetName val="BCKP XD cong trinh PT"/>
      <sheetName val="bao cao thuc hien KH TMat"/>
      <sheetName val="B¶ng kiÓm kª quÜ tiÒn mÆt"/>
      <sheetName val="BC KQua HDong co thu"/>
      <sheetName val="THop chi phi  SXKD"/>
      <sheetName val="B¶ng tæng hîp KHMM TBÞ"/>
      <sheetName val="Qui cq -A4"/>
      <sheetName val="B¸o c¸o thu chi quÜ c¬ quan"/>
      <sheetName val="BC quyet to¸n KPXDCB"/>
      <sheetName val="QT KPhi - a4"/>
      <sheetName val="Phan tich hieu qua"/>
      <sheetName val="PLuc TH CPhi DAXN"/>
      <sheetName val="BCQT DAXNeo"/>
      <sheetName val="BC QT chi tro cap co cong CM"/>
      <sheetName val="D.HopKL"/>
      <sheetName val="KT CUA "/>
      <sheetName val="DM LD"/>
      <sheetName val="cot_xa"/>
      <sheetName val="COAT&amp;WRAP-QIOT-#3"/>
      <sheetName val="PNT-QUOT-#3"/>
      <sheetName val="AC equipment"/>
      <sheetName val="TONG HOP VL-NC"/>
      <sheetName val="DM 67"/>
      <sheetName val="gia vt,nc,may"/>
      <sheetName val="To declare"/>
      <sheetName val="CT Thang Mo"/>
      <sheetName val="CT  PL"/>
      <sheetName val="BANRA"/>
      <sheetName val="Phan tich"/>
      <sheetName val="TinhGiaMTC"/>
      <sheetName val="TH MTC"/>
      <sheetName val="TH N.Cong"/>
      <sheetName val="TinhGiaNC"/>
      <sheetName val="Bang KL"/>
      <sheetName val="TH Vat tu"/>
      <sheetName val="TONG HOP "/>
      <sheetName val="THU TIEN QUI"/>
      <sheetName val="UFA&amp;NRA"/>
      <sheetName val="GFA"/>
      <sheetName val="tra-vat-lieu"/>
      <sheetName val="PXuaÀ"/>
      <sheetName val="PXua°"/>
      <sheetName val="Dieuchinh"/>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3.BANG CT"/>
      <sheetName val="14.MMUS GIUA NHIP"/>
      <sheetName val="4.HSPBngang"/>
      <sheetName val="6.Tinh tai"/>
      <sheetName val="2 NSl"/>
      <sheetName val="17.US CHU tho a_b"/>
      <sheetName val="15.MMUS GOI"/>
      <sheetName val="5.BANG I"/>
      <sheetName val="Đơn Giá "/>
      <sheetName val="T_x0003__x0000_ong dip nhan dan"/>
      <sheetName val="Gia tr_"/>
      <sheetName val="Ki__m tra DS thue GTGT"/>
      <sheetName val="Thuong dip nhan danh hieu AHL_"/>
      <sheetName val="1.R18 BF"/>
      <sheetName val="F-B"/>
      <sheetName val="H-J"/>
      <sheetName val="6.External works-R18"/>
      <sheetName val="PRI-LS"/>
      <sheetName val="Harga ME "/>
      <sheetName val="ESCON"/>
      <sheetName val=" 03"/>
      <sheetName val="06"/>
      <sheetName val="07"/>
      <sheetName val="08"/>
      <sheetName val="09"/>
      <sheetName val="ThongKe"/>
      <sheetName val="DM.ChiPhi"/>
      <sheetName val="1F"/>
      <sheetName val="PT BEAM 3F"/>
      <sheetName val="PT BEAM 2F"/>
      <sheetName val="07.THDZ"/>
      <sheetName val="Structure data"/>
      <sheetName val="de xuat ket cau"/>
      <sheetName val="計算条件"/>
      <sheetName val="A6,MAY"/>
      <sheetName val="DG Cong C1,C2,C3,C4,C5"/>
      <sheetName val="CFA Sumary"/>
      <sheetName val="VA_code"/>
      <sheetName val="Tþ"/>
      <sheetName val="PRECAST lightconc-II"/>
      <sheetName val="PO List"/>
      <sheetName val="Subcon Status - Sum New Format"/>
      <sheetName val="outstanding"/>
      <sheetName val="Subcontract Status - Sum all $"/>
      <sheetName val="C45A-B"/>
      <sheetName val="P"/>
      <sheetName val="NAMES"/>
      <sheetName val="slab"/>
      <sheetName val="SD (1)"/>
      <sheetName val="C45A-B_x0000_"/>
      <sheetName val="C45A-Bþ"/>
      <sheetName val="SummaryMonthly"/>
      <sheetName val="COST SUMM"/>
      <sheetName val="Pþ"/>
      <sheetName val="P"/>
      <sheetName val="name"/>
      <sheetName val="C45A-B"/>
      <sheetName val="C45A-Bx"/>
      <sheetName val="C45A-B8"/>
      <sheetName val="C45A-B_x0005_"/>
      <sheetName val="PaintBreak"/>
      <sheetName val="INSSUBCON"/>
      <sheetName val="C45A-B_x0010_"/>
      <sheetName val="AssumptionValue"/>
      <sheetName val="Notes"/>
      <sheetName val="ALVXXL01"/>
      <sheetName val="CC Down load 0716"/>
      <sheetName val="내역(전체)"/>
      <sheetName val="DailyReportTemplate"/>
      <sheetName val="Menu"/>
      <sheetName val="Basic"/>
      <sheetName val="조명시설"/>
      <sheetName val="ENG_prog"/>
      <sheetName val="단가대비"/>
      <sheetName val="List"/>
      <sheetName val="LinerWt"/>
      <sheetName val="1CD"/>
      <sheetName val="DI-ESTI"/>
      <sheetName val="ﾄﾞﾊﾞｲFUEL GAS追見"/>
      <sheetName val="Condition"/>
      <sheetName val="산근"/>
      <sheetName val="계장공사"/>
      <sheetName val="전차선로 물량표"/>
      <sheetName val="Gravel in pond"/>
      <sheetName val="\\Kaefer-delhi\general$\MGT-DRT"/>
      <sheetName val="BASE MET"/>
      <sheetName val="견적대비 견적서"/>
      <sheetName val="LOAD-46"/>
      <sheetName val="수량산출"/>
      <sheetName val="우배수"/>
      <sheetName val="용기"/>
      <sheetName val="교각1"/>
      <sheetName val="대운산출"/>
      <sheetName val="BSD (2)"/>
      <sheetName val="COPING"/>
      <sheetName val="간접인원 급료산출"/>
      <sheetName val="Proposal"/>
      <sheetName val="DAILY"/>
      <sheetName val="CARBOLINE분석"/>
      <sheetName val="IN"/>
      <sheetName val="SC"/>
      <sheetName val="단가"/>
      <sheetName val="파일의이용"/>
      <sheetName val="내역및총괄"/>
      <sheetName val="Caod_x0014_"/>
      <sheetName val="clv_x0014_"/>
      <sheetName val="THDGØ"/>
      <sheetName val="THDG_x0005_"/>
      <sheetName val="THDG¸"/>
      <sheetName val="S0"/>
      <sheetName val="CBS"/>
      <sheetName val="6월실적"/>
      <sheetName val="손익분석"/>
      <sheetName val="XZLC004_PART2"/>
      <sheetName val="ME"/>
      <sheetName val="NONS  60"/>
      <sheetName val="見積金内訳書"/>
      <sheetName val="Janr"/>
      <sheetName val="GASATAGG.XLS"/>
      <sheetName val="Informasi"/>
      <sheetName val="Cash2"/>
      <sheetName val="Z"/>
      <sheetName val="DESIGN CRITERIA"/>
      <sheetName val="#3E1_GCR"/>
      <sheetName val="BU롃⍿ﰀ"/>
      <sheetName val="역T형"/>
      <sheetName val="guard(mac)"/>
      <sheetName val="단가비교표"/>
      <sheetName val="VALVE LIST"/>
      <sheetName val="갑지1"/>
      <sheetName val="Option"/>
      <sheetName val="Build Up"/>
      <sheetName val="공사비증감"/>
      <sheetName val="울진견적"/>
      <sheetName val="1.설계조건"/>
      <sheetName val="맨홀수량산출"/>
      <sheetName val="암거공"/>
      <sheetName val="실행엔기"/>
      <sheetName val="현장식당(1)"/>
      <sheetName val="Status"/>
      <sheetName val="SALA-002"/>
      <sheetName val="Cost Report"/>
      <sheetName val="co-no.2"/>
      <sheetName val="Sum"/>
      <sheetName val="database"/>
      <sheetName val="INFOR-ST"/>
      <sheetName val="Design"/>
      <sheetName val="Budget Code"/>
      <sheetName val="Purchased Goods Detail"/>
      <sheetName val="6MONTHS"/>
      <sheetName val="Loading"/>
      <sheetName val="Check C"/>
      <sheetName val="DGG"/>
      <sheetName val="_MGT-DRT_MGT-IMPR_MGT-SC@_BA039"/>
      <sheetName val="_N_MGT-DRT_MGT-IMPR_MGT-SC@_BA0"/>
      <sheetName val="_PIPE-03E.XLSÝ26+960-27+150.4(k"/>
      <sheetName val="뜃맟뭁돽띿맟_-BLDG"/>
      <sheetName val="__-BLDG"/>
      <sheetName val="ME BOQ"/>
      <sheetName val="PP BOQ"/>
      <sheetName val="Sum BoQ"/>
      <sheetName val="1&amp;2"/>
      <sheetName val="11&amp;12"/>
      <sheetName val="5&amp;17"/>
      <sheetName val="000R"/>
      <sheetName val="000D"/>
      <sheetName val="000F"/>
      <sheetName val="000S"/>
      <sheetName val="000E"/>
      <sheetName val="000T"/>
      <sheetName val="000K"/>
      <sheetName val="Gia giao VL den HT"/>
      <sheetName val="Gia VL den HT"/>
      <sheetName val="CTKL"/>
      <sheetName val="QMCT"/>
      <sheetName val="Phan tho"/>
      <sheetName val="BIDDING-SUM"/>
      <sheetName val="factors"/>
      <sheetName val="Chiet tinh dz22"/>
      <sheetName val="기계_x0005_"/>
      <sheetName val="Dept"/>
      <sheetName val="C45A-B"/>
      <sheetName val="125x125"/>
      <sheetName val="TOSHIBA-Structure"/>
      <sheetName val="VL-NC-M"/>
      <sheetName val="입찰안"/>
      <sheetName val="NOTE"/>
      <sheetName val="NKC6"/>
      <sheetName val="CDԀ_x0000__x0000__x0000_"/>
      <sheetName val="_x0005_"/>
      <sheetName val="DRUM"/>
      <sheetName val="Thuong nhan dip 2԰"/>
      <sheetName val="Thuong nhan dip 2԰_x0000__x0000__x0000_Ā_x0000__x0000_"/>
      <sheetName val="Currency"/>
      <sheetName val="Attachment-3 Chem"/>
      <sheetName val="SheetA"/>
      <sheetName val="손익계산서"/>
      <sheetName val="대차대조표"/>
      <sheetName val="폐토수익화 "/>
      <sheetName val="APP-9"/>
      <sheetName val="[PIPE-03E.XLS塅䕃⹌塅E hop thep"/>
      <sheetName val="RE9604"/>
      <sheetName val="현장관리비"/>
      <sheetName val="노임이"/>
      <sheetName val="설계내역서"/>
      <sheetName val="cal"/>
      <sheetName val="Total"/>
      <sheetName val="BEND LOSS"/>
      <sheetName val="공통(20-91)"/>
      <sheetName val="Mech_1030"/>
      <sheetName val="BOM(CCW)"/>
      <sheetName val="CM 1"/>
      <sheetName val="상세출력"/>
      <sheetName val="실행내역서(DCU)"/>
      <sheetName val="내역서"/>
      <sheetName val="불용코드"/>
      <sheetName val="15100"/>
      <sheetName val="6.Base"/>
      <sheetName val="tank list"/>
      <sheetName val="jobhist"/>
      <sheetName val="REF.ONLY"/>
      <sheetName val="BQ List"/>
      <sheetName val="Block#1-DVU.CDU"/>
      <sheetName val="Append. 4.1. Cash Flow Input"/>
      <sheetName val="Append 5.1. Costing Sheet"/>
      <sheetName val="Lookup"/>
      <sheetName val="Append 5.5. Labour Cost "/>
      <sheetName val="Append 5.1. Unit Rates"/>
      <sheetName val="Append 5.4. Site Staff "/>
      <sheetName val="Append. 5.3. SiteEstablishment"/>
      <sheetName val="Append 3. Investments"/>
      <sheetName val="Append 5.2. Material Summary "/>
      <sheetName val="TIEN_GOI"/>
      <sheetName val="NHAT_KY_THU_TIEN_T_GOI"/>
      <sheetName val="LUONG_GIAN_TIEP"/>
      <sheetName val="NHAT_KY_THU_TIEN_TM"/>
      <sheetName val="UOC_THUC_HIEN_THUE_TNDN"/>
      <sheetName val="QUY_TM"/>
      <sheetName val="NKCT_-_01"/>
      <sheetName val="BU6-"/>
      <sheetName val="Form_A_1_III"/>
      <sheetName val="Form_A_1"/>
      <sheetName val="Form_A_1_1"/>
      <sheetName val="BOM_Indirect"/>
      <sheetName val="Form_A_1_II_1"/>
      <sheetName val="Form_A_1_II_2"/>
      <sheetName val="Rekap-Base_Price"/>
      <sheetName val="ITB_COST"/>
      <sheetName val="General_Data"/>
      <sheetName val="_ｹ-ﾌﾞﾙ"/>
      <sheetName val="기계"/>
      <sheetName val="내역서_"/>
      <sheetName val="KH-200"/>
      <sheetName val="LAI_-_LO"/>
      <sheetName val="TO_KHAI_CHI_TIET"/>
      <sheetName val="THUE_PII"/>
      <sheetName val="THUE_PIII"/>
      <sheetName val="Architecture_Work"/>
      <sheetName val="HRSG_PRINT"/>
      <sheetName val="PO_Contabilizado_31-12-04"/>
      <sheetName val="4_주별물량Table"/>
      <sheetName val="w't_table"/>
      <sheetName val="QUYET_TOAN_THUE_TNDN"/>
      <sheetName val="BANG_CAN_DOI_RUT_GON"/>
      <sheetName val="BANG_CAN_DOI"/>
      <sheetName val="NHAT_KY_CHI_TIEN"/>
      <sheetName val="LAI_LO"/>
      <sheetName val="TO_KHAI_THUE_DT_-TNDN-_CP"/>
      <sheetName val="QUYET_TOAN_THUE-_CAC_KHOAN"/>
      <sheetName val="GIA_THANH"/>
      <sheetName val="BAI_DUNG_"/>
      <sheetName val="BIA_NAM"/>
      <sheetName val="TM_BAO_CAO"/>
      <sheetName val="기계锼"/>
      <sheetName val="기계灼"/>
      <sheetName val="D_&amp;_B_Summary"/>
      <sheetName val="Summary_Sheets"/>
      <sheetName val="Data_-_Codes"/>
      <sheetName val="CAL_"/>
      <sheetName val="Resumen_Prestamos"/>
      <sheetName val="Cable_Data_CP51"/>
      <sheetName val="공사비_내역_(가)"/>
      <sheetName val="_Est_"/>
      <sheetName val="&lt;&lt;380V&gt;&gt;_"/>
      <sheetName val="2_2_띠장의_설계"/>
      <sheetName val="Price_Sheet"/>
      <sheetName val="ACTDATA"/>
      <sheetName val="Macro"/>
      <sheetName val="Taux"/>
      <sheetName val="Repo Date"/>
      <sheetName val="Insulation_Utl_Off"/>
      <sheetName val="Note_Piping"/>
      <sheetName val="eq_data"/>
      <sheetName val="입찰내역 발주처 양식"/>
      <sheetName val="cashflow"/>
      <sheetName val="输煤冲洗水泵房"/>
      <sheetName val="sum(D)"/>
      <sheetName val="MTO"/>
      <sheetName val="Q5434 EQ LIST"/>
      <sheetName val="motor power"/>
      <sheetName val="EX-RATE"/>
      <sheetName val="THDGÄ"/>
      <sheetName val="THDG5"/>
      <sheetName val="THDG$"/>
      <sheetName val="THDG´"/>
      <sheetName val="THDG¤"/>
      <sheetName val="THDGt"/>
      <sheetName val="THDG_x0004_"/>
      <sheetName val="THDG_x0014_"/>
      <sheetName val="THDGd"/>
      <sheetName val="THDGÔ"/>
      <sheetName val="LME-Cu"/>
      <sheetName val="인원"/>
      <sheetName val="Macro(ST)"/>
      <sheetName val="Macro(AT)"/>
      <sheetName val="A1 Thru A11- LUMP SUM CONSTR"/>
      <sheetName val="Process Piping"/>
      <sheetName val="Insulation"/>
      <sheetName val="OCT.FDN"/>
      <sheetName val="33628-Rev. A"/>
      <sheetName val="기계㔀቎"/>
      <sheetName val="spec"/>
      <sheetName val="program"/>
      <sheetName val="studbolt no."/>
      <sheetName val="studbolt size"/>
      <sheetName val="item sort no"/>
      <sheetName val="CONSTRUCTION"/>
      <sheetName val="뜃맟뭁돽띿ᘀ᨜԰_x0000_缀_x0000__x0000_"/>
      <sheetName val="일위대가표"/>
      <sheetName val="cd_x0001_viaK0-T6"/>
      <sheetName val="analiz(exc. VAT )"/>
      <sheetName val="cong_bien_t102"/>
      <sheetName val="luong_t9_2"/>
      <sheetName val="bb_t92"/>
      <sheetName val="KL_XL20002"/>
      <sheetName val="Chiet_tinh2"/>
      <sheetName val="Van_chuyen2"/>
      <sheetName val="THKP_(2)2"/>
      <sheetName val="T_Bi2"/>
      <sheetName val="Thiet_ke2"/>
      <sheetName val="K_luong2"/>
      <sheetName val="TT_L22"/>
      <sheetName val="TT_L12"/>
      <sheetName val="Thue_Ngoai2"/>
      <sheetName val="Dong_Dau2"/>
      <sheetName val="Dong_Dau_(2)2"/>
      <sheetName val="Sau_dong2"/>
      <sheetName val="Ma_xa2"/>
      <sheetName val="My_dinh2"/>
      <sheetName val="Tong_cong2"/>
      <sheetName val="Chi_tiet_-_Dv_lap2"/>
      <sheetName val="TH_KHTC2"/>
      <sheetName val="Gia_VL2"/>
      <sheetName val="Bang_gia_ca_may2"/>
      <sheetName val="Bang_luong_CB2"/>
      <sheetName val="Bang_P_tich_CT2"/>
      <sheetName val="D_toan_chi_tiet2"/>
      <sheetName val="Bang_TH_Dtoan2"/>
      <sheetName val="LUAN_CHUYEN2"/>
      <sheetName val="KE_QUY2"/>
      <sheetName val="LUONGGIAN_TIEP2"/>
      <sheetName val="VAY_VON2"/>
      <sheetName val="O_THAO2"/>
      <sheetName val="Q_TRUNG2"/>
      <sheetName val="Y_THANH2"/>
      <sheetName val="Sheet2_(2)2"/>
      <sheetName val="KH_2003_(moi_max)2"/>
      <sheetName val="Interim_payment2"/>
      <sheetName val="Bid_Sum2"/>
      <sheetName val="Item_B2"/>
      <sheetName val="Dg_A2"/>
      <sheetName val="Dg_B&amp;C2"/>
      <sheetName val="Material_at_site2"/>
      <sheetName val="Bang_VL2"/>
      <sheetName val="VL(No_V-c)2"/>
      <sheetName val="He_so2"/>
      <sheetName val="PL_Vua2"/>
      <sheetName val="Chitieu-dam_cac_loai2"/>
      <sheetName val="DG_Dam2"/>
      <sheetName val="DG_chung2"/>
      <sheetName val="VL-dac_chung2"/>
      <sheetName val="CT_1md_&amp;_dau_cong2"/>
      <sheetName val="Tong_hop2"/>
      <sheetName val="CT_cong2"/>
      <sheetName val="dg_cong2"/>
      <sheetName val="CDSL_(2)2"/>
      <sheetName val="__2"/>
      <sheetName val="san_vuon2"/>
      <sheetName val="khu_phu_tro2"/>
      <sheetName val="Thuyet_minh2"/>
      <sheetName val="be_tong2"/>
      <sheetName val="Tong_hop_thep2"/>
      <sheetName val="phan_tich_DG2"/>
      <sheetName val="gia_vat_lieu2"/>
      <sheetName val="gia_xe_may2"/>
      <sheetName val="gia_nhan_cong2"/>
      <sheetName val="BCC_(2)2"/>
      <sheetName val="Bao_cao2"/>
      <sheetName val="Bao_cao_22"/>
      <sheetName val="Khoi_luong2"/>
      <sheetName val="Khoi_luong_mat2"/>
      <sheetName val="Bang_ke2"/>
      <sheetName val="T_HopKL2"/>
      <sheetName val="S_Luong2"/>
      <sheetName val="D_Dap2"/>
      <sheetName val="Q_Toan2"/>
      <sheetName val="Phan_tich_chi_phi2"/>
      <sheetName val="Chi_phi_nen_theo_BVTC2"/>
      <sheetName val="nhan_cong_phu2"/>
      <sheetName val="nhan_cong_Hung2"/>
      <sheetName val="Nhan_cong2"/>
      <sheetName val="Khoi_luong_nen_theo_BVTC2"/>
      <sheetName val="cap_cho_cac_DT2"/>
      <sheetName val="Ung_-_hoan2"/>
      <sheetName val="CP_may2"/>
      <sheetName val="Phu_luc2"/>
      <sheetName val="Gia_trÞ2"/>
      <sheetName val="DS_them_luong_qui_4-20022"/>
      <sheetName val="Phuc_loi_2-9-022"/>
      <sheetName val="Thuong_nhan_dip_21-12-022"/>
      <sheetName val="Thuong_dip_nhan_danh_hieu_AHL§2"/>
      <sheetName val="Thang_luong_thu_13_nam_20022"/>
      <sheetName val="Luong_SX#_dip_Tet_Qui_Mui(dong2"/>
      <sheetName val="CT_Duong2"/>
      <sheetName val="D_gia2"/>
      <sheetName val="T_hop2"/>
      <sheetName val="CtP_tro2"/>
      <sheetName val="Nha_moi2"/>
      <sheetName val="TT-T_Tron_So_22"/>
      <sheetName val="Ct_Dam_2"/>
      <sheetName val="Ct_Duoi2"/>
      <sheetName val="Ct_Tren2"/>
      <sheetName val="D_giaMay2"/>
      <sheetName val="26+180-400_22"/>
      <sheetName val="26+180_Sub12"/>
      <sheetName val="26+180_Sub42"/>
      <sheetName val="26+180-400_5(k95)2"/>
      <sheetName val="26+400-620_3(k95)2"/>
      <sheetName val="26+400-640_1(k95)2"/>
      <sheetName val="26+960-27+150_92"/>
      <sheetName val="26+960-27+150_102"/>
      <sheetName val="26+960-27+150_112"/>
      <sheetName val="26+960-27+150_122"/>
      <sheetName val="26+960-27+150_5(k95)2"/>
      <sheetName val="26+960-27+150_4(k95)2"/>
      <sheetName val="26+960-27+150_1(k95)2"/>
      <sheetName val="27+500-700_5(k95)2"/>
      <sheetName val="27+500-700_4(k95)2"/>
      <sheetName val="27+500-700_3(k95)2"/>
      <sheetName val="27+500-700_1(k95)2"/>
      <sheetName val="27+740-920_3(k95)2"/>
      <sheetName val="27+740-920_212"/>
      <sheetName val="27+920-28+040_6,72"/>
      <sheetName val="27+920-28+040_102"/>
      <sheetName val="27+920-28+160_Su32"/>
      <sheetName val="28+160-28+420_5K952"/>
      <sheetName val="28+430-657_72"/>
      <sheetName val="Km28+430-657_82"/>
      <sheetName val="28+430-657_92"/>
      <sheetName val="28+430-667_102"/>
      <sheetName val="28+430-657_112"/>
      <sheetName val="28+430-657_4k952"/>
      <sheetName val="28+500-657_182"/>
      <sheetName val="28+520-657_192"/>
      <sheetName val="C_TIEU2"/>
      <sheetName val="T_Luong2"/>
      <sheetName val="T_HAO2"/>
      <sheetName val="DT_TUYEN2"/>
      <sheetName val="DT_GIA2"/>
      <sheetName val="KHDT_(2)2"/>
      <sheetName val="CL_2"/>
      <sheetName val="KQ_(2)2"/>
      <sheetName val="Quang_Tri2"/>
      <sheetName val="Da_Nang2"/>
      <sheetName val="Quang_Nam2"/>
      <sheetName val="Quang_Ngai2"/>
      <sheetName val="TH_DH-QN2"/>
      <sheetName val="KP_HD2"/>
      <sheetName val="DB_HD2"/>
      <sheetName val="vat_tu2"/>
      <sheetName val="Thep_2"/>
      <sheetName val="Chi_tiet_Khoi_luong2"/>
      <sheetName val="TH_khoi_luong2"/>
      <sheetName val="Chiet_tinh_vat_lieu_2"/>
      <sheetName val="TH_KL_VL2"/>
      <sheetName val="AC_PC2"/>
      <sheetName val="TAI_TRONG2"/>
      <sheetName val="NOI_LUC2"/>
      <sheetName val="TINH_DUYET_THTT_CHINH2"/>
      <sheetName val="TDUYET_THTT_PHU2"/>
      <sheetName val="TINH_DAO_DONG_VA_DO_VONG2"/>
      <sheetName val="TINH_NEO2"/>
      <sheetName val="tong_hop_thanh_toan_thue2"/>
      <sheetName val="bang_ke_nop_thue2"/>
      <sheetName val="Tonh_hop_chi_phi2"/>
      <sheetName val="BK_chi_phi2"/>
      <sheetName val="KTra_DS_va_thue_GTGT2"/>
      <sheetName val="Kiãøm_tra_DS_thue_GTGT2"/>
      <sheetName val="XUAT(gia_von)2"/>
      <sheetName val="Xuat_(gia_ban)2"/>
      <sheetName val="Dchinh_TH_N-X-T2"/>
      <sheetName val="Tong_hop_N-X-T2"/>
      <sheetName val="thue_TH2"/>
      <sheetName val="tong_hop_20012"/>
      <sheetName val="qUYET_TOAN_THUE2"/>
      <sheetName val="BU_CTPH2"/>
      <sheetName val="BU_tran3+360_222"/>
      <sheetName val="Tran3+360_222"/>
      <sheetName val="BU_tran2+386_42"/>
      <sheetName val="Tran2+386_42"/>
      <sheetName val="DTcong_4-52"/>
      <sheetName val="Bu_1-22"/>
      <sheetName val="Bu_12-132"/>
      <sheetName val="DTcong_12-132"/>
      <sheetName val="DT_cong13-13+2"/>
      <sheetName val="BU-_nhanh2"/>
      <sheetName val="dtcong_nh1-22"/>
      <sheetName val="dtcong_nh0-12"/>
      <sheetName val="BU_11-122"/>
      <sheetName val="DTcong_11-122"/>
      <sheetName val="Pr-_CC2"/>
      <sheetName val="MD_3-42"/>
      <sheetName val="ND_3-42"/>
      <sheetName val="MD_1-22"/>
      <sheetName val="ND_1-22"/>
      <sheetName val="MD_0-12"/>
      <sheetName val="ND_0-12"/>
      <sheetName val="KL_tong2"/>
      <sheetName val="TH_(T1-6)2"/>
      <sheetName val="_NL2"/>
      <sheetName val="_NL_(2)2"/>
      <sheetName val="CDTHCT_(3)2"/>
      <sheetName val="thkl_(2)2"/>
      <sheetName val="long_tec2"/>
      <sheetName val="cd_viaK0-T62"/>
      <sheetName val="cdvia_T6-Tc242"/>
      <sheetName val="cdvia_Tc24-T462"/>
      <sheetName val="cd_btnL2k0+361-T192"/>
      <sheetName val="CT_xa2"/>
      <sheetName val="CDTHU_CHI_T12"/>
      <sheetName val="THUCHI_22"/>
      <sheetName val="THU_CHI32"/>
      <sheetName val="THU_CHI_42"/>
      <sheetName val="THU_CHI52"/>
      <sheetName val="THU_CHI_62"/>
      <sheetName val="TU_CHI_72"/>
      <sheetName val="THU_CHI92"/>
      <sheetName val="THU_CHI_82"/>
      <sheetName val="THU_CHI_102"/>
      <sheetName val="THU_CHI_112"/>
      <sheetName val="THU_CHI_122"/>
      <sheetName val="Xep_hang_2012"/>
      <sheetName val="toan_Cty2"/>
      <sheetName val="Cong_ty2"/>
      <sheetName val="XN_22"/>
      <sheetName val="XN_ong_CHi2"/>
      <sheetName val="N_XDCT&amp;_XKLD2"/>
      <sheetName val="CN_HCM2"/>
      <sheetName val="TT_XKLD(Nhan)2"/>
      <sheetName val="Ong_Hong2"/>
      <sheetName val="CN_hung_yen2"/>
      <sheetName val="Dong_nai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L_Tram_Cty2"/>
      <sheetName val="Gam_may_Cty2"/>
      <sheetName val="KL_tram_KH2"/>
      <sheetName val="Gam_may_KH2"/>
      <sheetName val="Cach_dien2"/>
      <sheetName val="Mang_tai2"/>
      <sheetName val="KL_DDK2"/>
      <sheetName val="Mang_tai_DDK2"/>
      <sheetName val="KL_DDK0,42"/>
      <sheetName val="TT_Ky_thuat2"/>
      <sheetName val="CT_moi2"/>
      <sheetName val="Tu_dien2"/>
      <sheetName val="May_cat2"/>
      <sheetName val="Dao_Cly2"/>
      <sheetName val="Dao_Ptai2"/>
      <sheetName val="Tu_RMU2"/>
      <sheetName val="C_set2"/>
      <sheetName val="Sco_Cap2"/>
      <sheetName val="Sco_TB2"/>
      <sheetName val="TN_tram2"/>
      <sheetName val="TN_C_set2"/>
      <sheetName val="TN_TD_DDay2"/>
      <sheetName val="Phan_chung2"/>
      <sheetName val="cong_Q22"/>
      <sheetName val="T_U_luong_Q12"/>
      <sheetName val="T_U_luong_Q22"/>
      <sheetName val="T_U_luong_Q32"/>
      <sheetName val="Quyet_toan2"/>
      <sheetName val="Thu_hoi2"/>
      <sheetName val="Lai_vay2"/>
      <sheetName val="Tien_vay2"/>
      <sheetName val="Cong_no2"/>
      <sheetName val="Cop_pha2"/>
      <sheetName val="Gia_DAN2"/>
      <sheetName val="Phu_luc_HD2"/>
      <sheetName val="Gia_du_thau2"/>
      <sheetName val="Ca_xe2"/>
      <sheetName val="Dc_Dau2"/>
      <sheetName val="_o_to_Hien_82"/>
      <sheetName val="_o_to_Hien92"/>
      <sheetName val="_o_to_Hien102"/>
      <sheetName val="_o_to_Hien112"/>
      <sheetName val="_o_to_Hien12)2"/>
      <sheetName val="_o_to_Hien13"/>
      <sheetName val="_o_to_Hien22"/>
      <sheetName val="_o_to_Hien32"/>
      <sheetName val="_o_to_Hien42"/>
      <sheetName val="_o_to_Hien52"/>
      <sheetName val="_o_to_Phong_82"/>
      <sheetName val="_o_to_Phong92"/>
      <sheetName val="_o_to_Phong102"/>
      <sheetName val="_o_to_Phong112"/>
      <sheetName val="_o_to_Phong12)2"/>
      <sheetName val="_o_to_Phong13"/>
      <sheetName val="_o_to_Phong22"/>
      <sheetName val="_o_to_Phong32"/>
      <sheetName val="_o_to_Phong42"/>
      <sheetName val="_o_to_Phong52"/>
      <sheetName val="_o_to_Dung_8_2"/>
      <sheetName val="_D_tt_dau82"/>
      <sheetName val="_o_to_Dung_92"/>
      <sheetName val="_D9_tt_dau2"/>
      <sheetName val="_D10_tt_dau2"/>
      <sheetName val="_o_to_Dung_102"/>
      <sheetName val="_o_to_Dung_112"/>
      <sheetName val="_o_to_Dung_12)2"/>
      <sheetName val="_o_to_Dung_13"/>
      <sheetName val="_o_to_Dung22"/>
      <sheetName val="_o_to_Dung32"/>
      <sheetName val="_o_to_Dung42"/>
      <sheetName val="_o_totrongT10-122"/>
      <sheetName val="_o_totrongT22"/>
      <sheetName val="_o_totrungT10-122"/>
      <sheetName val="_o_toMinhT10-12_2"/>
      <sheetName val="_o_toMinhT22"/>
      <sheetName val="_o_toTrieuT10-12__2"/>
      <sheetName val="Luong_8_SP2"/>
      <sheetName val="Luong_9_SP_2"/>
      <sheetName val="Luong_10_SP_2"/>
      <sheetName val="Luong_11_SP_2"/>
      <sheetName val="Luong_12_SP2"/>
      <sheetName val="Luong_1_SP12"/>
      <sheetName val="Luong_2_SP22"/>
      <sheetName val="Luong_3_SP32"/>
      <sheetName val="Luong_4_SP42"/>
      <sheetName val="Luong_4_SP52"/>
      <sheetName val="KL_VL2"/>
      <sheetName val="QT_9-62"/>
      <sheetName val="Thuong_luu_HB2"/>
      <sheetName val="QT_Ky_T2"/>
      <sheetName val="bc_vt_TON_BAI2"/>
      <sheetName val="QT_Duoc_(Hai)2"/>
      <sheetName val="sent_to2"/>
      <sheetName val="KLTong_hop2"/>
      <sheetName val="Lan_can2"/>
      <sheetName val="Ranh_doc_(2)2"/>
      <sheetName val="Ranh_doc2"/>
      <sheetName val="Coc_tieu2"/>
      <sheetName val="Bien_bao2"/>
      <sheetName val="Nan_tuyen2"/>
      <sheetName val="Lan_12"/>
      <sheetName val="Lan__22"/>
      <sheetName val="Lan_32"/>
      <sheetName val="Gia_tri2"/>
      <sheetName val="Lan_52"/>
      <sheetName val="Cong_hop2"/>
      <sheetName val="kldukien_(107)2"/>
      <sheetName val="qui1_(2)2"/>
      <sheetName val="cap_so_lan_22"/>
      <sheetName val="cap_so_BHXH2"/>
      <sheetName val="tru_tien2"/>
      <sheetName val="yt_q22"/>
      <sheetName val="c45_t32"/>
      <sheetName val="c45_t62"/>
      <sheetName val="BHYT_Q3_20032"/>
      <sheetName val="C45_t72"/>
      <sheetName val="C47-t07_20032"/>
      <sheetName val="C45_t82"/>
      <sheetName val="C47-t08_20032"/>
      <sheetName val="C45_t092"/>
      <sheetName val="C47-t09_20032"/>
      <sheetName val="C47_T122"/>
      <sheetName val="BHYT_Q4-20032"/>
      <sheetName val="C45_T102"/>
      <sheetName val="binh_do2"/>
      <sheetName val="cot_lieu2"/>
      <sheetName val="van_khuon2"/>
      <sheetName val="CT_BT2"/>
      <sheetName val="lay_mau2"/>
      <sheetName val="mat_ngoai_goi2"/>
      <sheetName val="coc_tram-bt2"/>
      <sheetName val="QT_Duoc_(Hai)1"/>
      <sheetName val="cong_bien_t103"/>
      <sheetName val="luong_t9_3"/>
      <sheetName val="bb_t93"/>
      <sheetName val="KL_XL20003"/>
      <sheetName val="Chiet_tinh3"/>
      <sheetName val="Van_chuyen3"/>
      <sheetName val="THKP_(2)3"/>
      <sheetName val="T_Bi3"/>
      <sheetName val="Thiet_ke3"/>
      <sheetName val="K_luong3"/>
      <sheetName val="TT_L23"/>
      <sheetName val="TT_L13"/>
      <sheetName val="Thue_Ngoai3"/>
      <sheetName val="Dong_Dau3"/>
      <sheetName val="Dong_Dau_(2)3"/>
      <sheetName val="Sau_dong3"/>
      <sheetName val="Ma_xa3"/>
      <sheetName val="My_dinh3"/>
      <sheetName val="Tong_cong3"/>
      <sheetName val="Chi_tiet_-_Dv_lap3"/>
      <sheetName val="TH_KHTC3"/>
      <sheetName val="Gia_VL3"/>
      <sheetName val="Bang_gia_ca_may3"/>
      <sheetName val="Bang_luong_CB3"/>
      <sheetName val="Bang_P_tich_CT3"/>
      <sheetName val="D_toan_chi_tiet3"/>
      <sheetName val="Bang_TH_Dtoan3"/>
      <sheetName val="LUAN_CHUYEN3"/>
      <sheetName val="KE_QUY3"/>
      <sheetName val="LUONGGIAN_TIEP3"/>
      <sheetName val="VAY_VON3"/>
      <sheetName val="O_THAO3"/>
      <sheetName val="Q_TRUNG3"/>
      <sheetName val="Y_THANH3"/>
      <sheetName val="Sheet2_(2)3"/>
      <sheetName val="KH_2003_(moi_max)3"/>
      <sheetName val="Interim_payment3"/>
      <sheetName val="Bid_Sum3"/>
      <sheetName val="Item_B3"/>
      <sheetName val="Dg_A3"/>
      <sheetName val="Dg_B&amp;C3"/>
      <sheetName val="Material_at_site3"/>
      <sheetName val="Bang_VL3"/>
      <sheetName val="VL(No_V-c)3"/>
      <sheetName val="He_so3"/>
      <sheetName val="PL_Vua3"/>
      <sheetName val="Chitieu-dam_cac_loai3"/>
      <sheetName val="DG_Dam3"/>
      <sheetName val="DG_chung3"/>
      <sheetName val="VL-dac_chung3"/>
      <sheetName val="CT_1md_&amp;_dau_cong3"/>
      <sheetName val="Tong_hop3"/>
      <sheetName val="CT_cong3"/>
      <sheetName val="dg_cong3"/>
      <sheetName val="CDSL_(2)3"/>
      <sheetName val="__3"/>
      <sheetName val="san_vuon3"/>
      <sheetName val="khu_phu_tro3"/>
      <sheetName val="Thuyet_minh3"/>
      <sheetName val="be_tong3"/>
      <sheetName val="Tong_hop_thep3"/>
      <sheetName val="phan_tich_DG3"/>
      <sheetName val="gia_vat_lieu3"/>
      <sheetName val="gia_xe_may3"/>
      <sheetName val="gia_nhan_cong3"/>
      <sheetName val="BCC_(2)3"/>
      <sheetName val="Bao_cao3"/>
      <sheetName val="Bao_cao_23"/>
      <sheetName val="Khoi_luong3"/>
      <sheetName val="Khoi_luong_mat3"/>
      <sheetName val="Bang_ke3"/>
      <sheetName val="T_HopKL3"/>
      <sheetName val="S_Luong3"/>
      <sheetName val="D_Dap3"/>
      <sheetName val="Q_Toan3"/>
      <sheetName val="Phan_tich_chi_phi3"/>
      <sheetName val="Chi_phi_nen_theo_BVTC3"/>
      <sheetName val="nhan_cong_phu3"/>
      <sheetName val="nhan_cong_Hung3"/>
      <sheetName val="Nhan_cong3"/>
      <sheetName val="Khoi_luong_nen_theo_BVTC3"/>
      <sheetName val="cap_cho_cac_DT3"/>
      <sheetName val="Ung_-_hoan3"/>
      <sheetName val="CP_may3"/>
      <sheetName val="Phu_luc3"/>
      <sheetName val="Gia_trÞ3"/>
      <sheetName val="DS_them_luong_qui_4-20023"/>
      <sheetName val="Phuc_loi_2-9-023"/>
      <sheetName val="Thuong_nhan_dip_21-12-023"/>
      <sheetName val="Thuong_dip_nhan_danh_hieu_AHL§3"/>
      <sheetName val="Thang_luong_thu_13_nam_20023"/>
      <sheetName val="Luong_SX#_dip_Tet_Qui_Mui(dong3"/>
      <sheetName val="CT_Duong3"/>
      <sheetName val="D_gia3"/>
      <sheetName val="T_hop3"/>
      <sheetName val="CtP_tro3"/>
      <sheetName val="Nha_moi3"/>
      <sheetName val="TT-T_Tron_So_23"/>
      <sheetName val="Ct_Dam_3"/>
      <sheetName val="Ct_Duoi3"/>
      <sheetName val="Ct_Tren3"/>
      <sheetName val="D_giaMay3"/>
      <sheetName val="26+180-400_23"/>
      <sheetName val="26+180_Sub13"/>
      <sheetName val="26+180_Sub43"/>
      <sheetName val="26+180-400_5(k95)3"/>
      <sheetName val="26+400-620_3(k95)3"/>
      <sheetName val="26+400-640_1(k95)3"/>
      <sheetName val="26+960-27+150_93"/>
      <sheetName val="26+960-27+150_103"/>
      <sheetName val="26+960-27+150_113"/>
      <sheetName val="26+960-27+150_123"/>
      <sheetName val="26+960-27+150_5(k95)3"/>
      <sheetName val="26+960-27+150_4(k95)3"/>
      <sheetName val="26+960-27+150_1(k95)3"/>
      <sheetName val="27+500-700_5(k95)3"/>
      <sheetName val="27+500-700_4(k95)3"/>
      <sheetName val="27+500-700_3(k95)3"/>
      <sheetName val="27+500-700_1(k95)3"/>
      <sheetName val="27+740-920_3(k95)3"/>
      <sheetName val="27+740-920_213"/>
      <sheetName val="27+920-28+040_6,73"/>
      <sheetName val="27+920-28+040_103"/>
      <sheetName val="27+920-28+160_Su33"/>
      <sheetName val="28+160-28+420_5K953"/>
      <sheetName val="28+430-657_73"/>
      <sheetName val="Km28+430-657_83"/>
      <sheetName val="28+430-657_93"/>
      <sheetName val="28+430-667_103"/>
      <sheetName val="28+430-657_113"/>
      <sheetName val="28+430-657_4k953"/>
      <sheetName val="28+500-657_183"/>
      <sheetName val="28+520-657_193"/>
      <sheetName val="C_TIEU3"/>
      <sheetName val="T_Luong3"/>
      <sheetName val="T_HAO3"/>
      <sheetName val="DT_TUYEN3"/>
      <sheetName val="DT_GIA3"/>
      <sheetName val="KHDT_(2)3"/>
      <sheetName val="CL_3"/>
      <sheetName val="KQ_(2)3"/>
      <sheetName val="Quang_Tri3"/>
      <sheetName val="Da_Nang3"/>
      <sheetName val="Quang_Nam3"/>
      <sheetName val="Quang_Ngai3"/>
      <sheetName val="TH_DH-QN3"/>
      <sheetName val="KP_HD3"/>
      <sheetName val="DB_HD3"/>
      <sheetName val="vat_tu3"/>
      <sheetName val="Thep_3"/>
      <sheetName val="Chi_tiet_Khoi_luong3"/>
      <sheetName val="TH_khoi_luong3"/>
      <sheetName val="Chiet_tinh_vat_lieu_3"/>
      <sheetName val="TH_KL_VL3"/>
      <sheetName val="AC_PC3"/>
      <sheetName val="TAI_TRONG3"/>
      <sheetName val="NOI_LUC3"/>
      <sheetName val="TINH_DUYET_THTT_CHINH3"/>
      <sheetName val="TDUYET_THTT_PHU3"/>
      <sheetName val="TINH_DAO_DONG_VA_DO_VONG3"/>
      <sheetName val="TINH_NEO3"/>
      <sheetName val="tong_hop_thanh_toan_thue3"/>
      <sheetName val="bang_ke_nop_thue3"/>
      <sheetName val="Tonh_hop_chi_phi3"/>
      <sheetName val="BK_chi_phi3"/>
      <sheetName val="KTra_DS_va_thue_GTGT3"/>
      <sheetName val="Kiãøm_tra_DS_thue_GTGT3"/>
      <sheetName val="XUAT(gia_von)3"/>
      <sheetName val="Xuat_(gia_ban)3"/>
      <sheetName val="Dchinh_TH_N-X-T3"/>
      <sheetName val="Tong_hop_N-X-T3"/>
      <sheetName val="thue_TH3"/>
      <sheetName val="tong_hop_20013"/>
      <sheetName val="qUYET_TOAN_THUE3"/>
      <sheetName val="BU_CTPH3"/>
      <sheetName val="BU_tran3+360_223"/>
      <sheetName val="Tran3+360_223"/>
      <sheetName val="BU_tran2+386_43"/>
      <sheetName val="Tran2+386_43"/>
      <sheetName val="DTcong_4-53"/>
      <sheetName val="Bu_1-23"/>
      <sheetName val="Bu_12-133"/>
      <sheetName val="DTcong_12-133"/>
      <sheetName val="DT_cong13-13+3"/>
      <sheetName val="BU-_nhanh3"/>
      <sheetName val="dtcong_nh1-23"/>
      <sheetName val="dtcong_nh0-13"/>
      <sheetName val="BU_11-123"/>
      <sheetName val="DTcong_11-123"/>
      <sheetName val="Pr-_CC3"/>
      <sheetName val="MD_3-43"/>
      <sheetName val="ND_3-43"/>
      <sheetName val="MD_1-23"/>
      <sheetName val="ND_1-23"/>
      <sheetName val="MD_0-13"/>
      <sheetName val="ND_0-13"/>
      <sheetName val="KL_tong3"/>
      <sheetName val="TH_(T1-6)3"/>
      <sheetName val="_NL3"/>
      <sheetName val="_NL_(2)3"/>
      <sheetName val="CDTHCT_(3)3"/>
      <sheetName val="thkl_(2)3"/>
      <sheetName val="long_tec3"/>
      <sheetName val="cd_viaK0-T63"/>
      <sheetName val="cdvia_T6-Tc243"/>
      <sheetName val="cdvia_Tc24-T463"/>
      <sheetName val="cd_btnL2k0+361-T193"/>
      <sheetName val="CT_xa3"/>
      <sheetName val="CDTHU_CHI_T13"/>
      <sheetName val="THUCHI_23"/>
      <sheetName val="THU_CHI33"/>
      <sheetName val="THU_CHI_43"/>
      <sheetName val="THU_CHI53"/>
      <sheetName val="THU_CHI_63"/>
      <sheetName val="TU_CHI_73"/>
      <sheetName val="THU_CHI93"/>
      <sheetName val="THU_CHI_83"/>
      <sheetName val="THU_CHI_103"/>
      <sheetName val="THU_CHI_113"/>
      <sheetName val="THU_CHI_123"/>
      <sheetName val="Xep_hang_2013"/>
      <sheetName val="toan_Cty3"/>
      <sheetName val="Cong_ty3"/>
      <sheetName val="XN_23"/>
      <sheetName val="XN_ong_CHi3"/>
      <sheetName val="N_XDCT&amp;_XKLD3"/>
      <sheetName val="CN_HCM3"/>
      <sheetName val="TT_XKLD(Nhan)3"/>
      <sheetName val="Ong_Hong3"/>
      <sheetName val="CN_hung_yen3"/>
      <sheetName val="Dong_nai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KL_Tram_Cty3"/>
      <sheetName val="Gam_may_Cty3"/>
      <sheetName val="KL_tram_KH3"/>
      <sheetName val="Gam_may_KH3"/>
      <sheetName val="Cach_dien3"/>
      <sheetName val="Mang_tai3"/>
      <sheetName val="KL_DDK3"/>
      <sheetName val="Mang_tai_DDK3"/>
      <sheetName val="KL_DDK0,43"/>
      <sheetName val="TT_Ky_thuat3"/>
      <sheetName val="CT_moi3"/>
      <sheetName val="Tu_dien3"/>
      <sheetName val="May_cat3"/>
      <sheetName val="Dao_Cly3"/>
      <sheetName val="Dao_Ptai3"/>
      <sheetName val="Tu_RMU3"/>
      <sheetName val="C_set3"/>
      <sheetName val="Sco_Cap3"/>
      <sheetName val="Sco_TB3"/>
      <sheetName val="TN_tram3"/>
      <sheetName val="TN_C_set3"/>
      <sheetName val="TN_TD_DDay3"/>
      <sheetName val="Phan_chung3"/>
      <sheetName val="cong_Q23"/>
      <sheetName val="T_U_luong_Q13"/>
      <sheetName val="T_U_luong_Q23"/>
      <sheetName val="T_U_luong_Q33"/>
      <sheetName val="Quyet_toan3"/>
      <sheetName val="Thu_hoi3"/>
      <sheetName val="Lai_vay3"/>
      <sheetName val="Tien_vay3"/>
      <sheetName val="Cong_no3"/>
      <sheetName val="Cop_pha3"/>
      <sheetName val="Gia_DAN3"/>
      <sheetName val="Phu_luc_HD3"/>
      <sheetName val="Gia_du_thau3"/>
      <sheetName val="Ca_xe3"/>
      <sheetName val="Dc_Dau3"/>
      <sheetName val="_o_to_Hien_83"/>
      <sheetName val="_o_to_Hien93"/>
      <sheetName val="_o_to_Hien103"/>
      <sheetName val="_o_to_Hien113"/>
      <sheetName val="_o_to_Hien12)3"/>
      <sheetName val="_o_to_Hien14"/>
      <sheetName val="_o_to_Hien23"/>
      <sheetName val="_o_to_Hien33"/>
      <sheetName val="_o_to_Hien43"/>
      <sheetName val="_o_to_Hien53"/>
      <sheetName val="_o_to_Phong_83"/>
      <sheetName val="_o_to_Phong93"/>
      <sheetName val="_o_to_Phong103"/>
      <sheetName val="_o_to_Phong113"/>
      <sheetName val="_o_to_Phong12)3"/>
      <sheetName val="_o_to_Phong14"/>
      <sheetName val="_o_to_Phong23"/>
      <sheetName val="_o_to_Phong33"/>
      <sheetName val="_o_to_Phong43"/>
      <sheetName val="_o_to_Phong53"/>
      <sheetName val="_o_to_Dung_8_3"/>
      <sheetName val="_D_tt_dau83"/>
      <sheetName val="_o_to_Dung_93"/>
      <sheetName val="_D9_tt_dau3"/>
      <sheetName val="_D10_tt_dau3"/>
      <sheetName val="_o_to_Dung_103"/>
      <sheetName val="_o_to_Dung_113"/>
      <sheetName val="_o_to_Dung_12)3"/>
      <sheetName val="_o_to_Dung_14"/>
      <sheetName val="_o_to_Dung23"/>
      <sheetName val="_o_to_Dung33"/>
      <sheetName val="_o_to_Dung43"/>
      <sheetName val="_o_totrongT10-123"/>
      <sheetName val="_o_totrongT23"/>
      <sheetName val="_o_totrungT10-123"/>
      <sheetName val="_o_toMinhT10-12_3"/>
      <sheetName val="_o_toMinhT23"/>
      <sheetName val="_o_toTrieuT10-12__3"/>
      <sheetName val="Luong_8_SP3"/>
      <sheetName val="Luong_9_SP_3"/>
      <sheetName val="Luong_10_SP_3"/>
      <sheetName val="Luong_11_SP_3"/>
      <sheetName val="Luong_12_SP3"/>
      <sheetName val="Luong_1_SP13"/>
      <sheetName val="Luong_2_SP23"/>
      <sheetName val="Luong_3_SP33"/>
      <sheetName val="Luong_4_SP43"/>
      <sheetName val="Luong_4_SP53"/>
      <sheetName val="KL_VL3"/>
      <sheetName val="QT_9-63"/>
      <sheetName val="Thuong_luu_HB3"/>
      <sheetName val="QT_Ky_T3"/>
      <sheetName val="bc_vt_TON_BAI3"/>
      <sheetName val="QT_Duoc_(Hai)3"/>
      <sheetName val="sent_to3"/>
      <sheetName val="KLTong_hop3"/>
      <sheetName val="Lan_can3"/>
      <sheetName val="Ranh_doc_(2)3"/>
      <sheetName val="Ranh_doc3"/>
      <sheetName val="Coc_tieu3"/>
      <sheetName val="Bien_bao3"/>
      <sheetName val="Nan_tuyen3"/>
      <sheetName val="Lan_13"/>
      <sheetName val="Lan__23"/>
      <sheetName val="Lan_33"/>
      <sheetName val="Gia_tri3"/>
      <sheetName val="Lan_53"/>
      <sheetName val="Cong_hop3"/>
      <sheetName val="kldukien_(107)3"/>
      <sheetName val="qui1_(2)3"/>
      <sheetName val="cap_so_lan_23"/>
      <sheetName val="cap_so_BHXH3"/>
      <sheetName val="tru_tien3"/>
      <sheetName val="yt_q23"/>
      <sheetName val="c45_t33"/>
      <sheetName val="c45_t63"/>
      <sheetName val="BHYT_Q3_20033"/>
      <sheetName val="C45_t73"/>
      <sheetName val="C47-t07_20033"/>
      <sheetName val="C45_t83"/>
      <sheetName val="C47-t08_20033"/>
      <sheetName val="C45_t093"/>
      <sheetName val="C47-t09_20033"/>
      <sheetName val="C47_T123"/>
      <sheetName val="BHYT_Q4-20033"/>
      <sheetName val="C45_T103"/>
      <sheetName val="binh_do3"/>
      <sheetName val="cot_lieu3"/>
      <sheetName val="van_khuon3"/>
      <sheetName val="CT_BT3"/>
      <sheetName val="lay_mau3"/>
      <sheetName val="mat_ngoai_goi3"/>
      <sheetName val="coc_tram-bt3"/>
      <sheetName val="cong_bien_t105"/>
      <sheetName val="luong_t9_5"/>
      <sheetName val="bb_t95"/>
      <sheetName val="KL_XL20005"/>
      <sheetName val="Chiet_tinh5"/>
      <sheetName val="Van_chuyen5"/>
      <sheetName val="THKP_(2)5"/>
      <sheetName val="T_Bi5"/>
      <sheetName val="Thiet_ke5"/>
      <sheetName val="K_luong5"/>
      <sheetName val="TT_L25"/>
      <sheetName val="TT_L15"/>
      <sheetName val="Thue_Ngoai5"/>
      <sheetName val="Dong_Dau5"/>
      <sheetName val="Dong_Dau_(2)5"/>
      <sheetName val="Sau_dong5"/>
      <sheetName val="Ma_xa5"/>
      <sheetName val="My_dinh5"/>
      <sheetName val="Tong_cong5"/>
      <sheetName val="Chi_tiet_-_Dv_lap5"/>
      <sheetName val="TH_KHTC5"/>
      <sheetName val="Gia_VL5"/>
      <sheetName val="Bang_gia_ca_may5"/>
      <sheetName val="Bang_luong_CB5"/>
      <sheetName val="Bang_P_tich_CT5"/>
      <sheetName val="D_toan_chi_tiet5"/>
      <sheetName val="Bang_TH_Dtoan5"/>
      <sheetName val="LUAN_CHUYEN5"/>
      <sheetName val="KE_QUY5"/>
      <sheetName val="LUONGGIAN_TIEP5"/>
      <sheetName val="VAY_VON5"/>
      <sheetName val="O_THAO5"/>
      <sheetName val="Q_TRUNG5"/>
      <sheetName val="Y_THANH5"/>
      <sheetName val="Sheet2_(2)5"/>
      <sheetName val="KH_2003_(moi_max)5"/>
      <sheetName val="Interim_payment5"/>
      <sheetName val="Bid_Sum5"/>
      <sheetName val="Item_B5"/>
      <sheetName val="Dg_A5"/>
      <sheetName val="Dg_B&amp;C5"/>
      <sheetName val="Material_at_site5"/>
      <sheetName val="Bang_VL5"/>
      <sheetName val="VL(No_V-c)5"/>
      <sheetName val="He_so5"/>
      <sheetName val="PL_Vua5"/>
      <sheetName val="Chitieu-dam_cac_loai5"/>
      <sheetName val="DG_Dam5"/>
      <sheetName val="DG_chung5"/>
      <sheetName val="VL-dac_chung5"/>
      <sheetName val="CT_1md_&amp;_dau_cong5"/>
      <sheetName val="Tong_hop5"/>
      <sheetName val="CT_cong5"/>
      <sheetName val="dg_cong5"/>
      <sheetName val="CDSL_(2)5"/>
      <sheetName val="__5"/>
      <sheetName val="san_vuon5"/>
      <sheetName val="khu_phu_tro5"/>
      <sheetName val="Thuyet_minh5"/>
      <sheetName val="be_tong5"/>
      <sheetName val="Tong_hop_thep5"/>
      <sheetName val="phan_tich_DG5"/>
      <sheetName val="gia_vat_lieu5"/>
      <sheetName val="gia_xe_may5"/>
      <sheetName val="gia_nhan_cong5"/>
      <sheetName val="BCC_(2)5"/>
      <sheetName val="Bao_cao5"/>
      <sheetName val="Bao_cao_25"/>
      <sheetName val="Khoi_luong5"/>
      <sheetName val="Khoi_luong_mat5"/>
      <sheetName val="Bang_ke5"/>
      <sheetName val="T_HopKL5"/>
      <sheetName val="S_Luong5"/>
      <sheetName val="D_Dap5"/>
      <sheetName val="Q_Toan5"/>
      <sheetName val="Phan_tich_chi_phi5"/>
      <sheetName val="Chi_phi_nen_theo_BVTC5"/>
      <sheetName val="nhan_cong_phu5"/>
      <sheetName val="nhan_cong_Hung5"/>
      <sheetName val="Nhan_cong5"/>
      <sheetName val="Khoi_luong_nen_theo_BVTC5"/>
      <sheetName val="cap_cho_cac_DT5"/>
      <sheetName val="Ung_-_hoan5"/>
      <sheetName val="CP_may5"/>
      <sheetName val="Phu_luc5"/>
      <sheetName val="Gia_trÞ5"/>
      <sheetName val="DS_them_luong_qui_4-20025"/>
      <sheetName val="Phuc_loi_2-9-025"/>
      <sheetName val="Thuong_nhan_dip_21-12-025"/>
      <sheetName val="Thuong_dip_nhan_danh_hieu_AHL§5"/>
      <sheetName val="Thang_luong_thu_13_nam_20025"/>
      <sheetName val="Luong_SX#_dip_Tet_Qui_Mui(dong5"/>
      <sheetName val="CT_Duong5"/>
      <sheetName val="D_gia5"/>
      <sheetName val="T_hop5"/>
      <sheetName val="CtP_tro5"/>
      <sheetName val="Nha_moi5"/>
      <sheetName val="TT-T_Tron_So_25"/>
      <sheetName val="Ct_Dam_5"/>
      <sheetName val="Ct_Duoi5"/>
      <sheetName val="Ct_Tren5"/>
      <sheetName val="D_giaMay5"/>
      <sheetName val="26+180-400_25"/>
      <sheetName val="26+180_Sub15"/>
      <sheetName val="26+180_Sub45"/>
      <sheetName val="26+180-400_5(k95)5"/>
      <sheetName val="26+400-620_3(k95)5"/>
      <sheetName val="26+400-640_1(k95)5"/>
      <sheetName val="26+960-27+150_95"/>
      <sheetName val="26+960-27+150_105"/>
      <sheetName val="26+960-27+150_115"/>
      <sheetName val="26+960-27+150_125"/>
      <sheetName val="26+960-27+150_5(k95)5"/>
      <sheetName val="26+960-27+150_4(k95)5"/>
      <sheetName val="26+960-27+150_1(k95)5"/>
      <sheetName val="27+500-700_5(k95)5"/>
      <sheetName val="27+500-700_4(k95)5"/>
      <sheetName val="27+500-700_3(k95)5"/>
      <sheetName val="27+500-700_1(k95)5"/>
      <sheetName val="27+740-920_3(k95)5"/>
      <sheetName val="27+740-920_215"/>
      <sheetName val="27+920-28+040_6,75"/>
      <sheetName val="27+920-28+040_105"/>
      <sheetName val="27+920-28+160_Su35"/>
      <sheetName val="28+160-28+420_5K955"/>
      <sheetName val="28+430-657_75"/>
      <sheetName val="Km28+430-657_85"/>
      <sheetName val="28+430-657_95"/>
      <sheetName val="28+430-667_105"/>
      <sheetName val="28+430-657_115"/>
      <sheetName val="28+430-657_4k955"/>
      <sheetName val="28+500-657_185"/>
      <sheetName val="28+520-657_195"/>
      <sheetName val="C_TIEU5"/>
      <sheetName val="T_Luong5"/>
      <sheetName val="T_HAO5"/>
      <sheetName val="DT_TUYEN5"/>
      <sheetName val="DT_GIA5"/>
      <sheetName val="KHDT_(2)5"/>
      <sheetName val="CL_5"/>
      <sheetName val="KQ_(2)5"/>
      <sheetName val="Quang_Tri5"/>
      <sheetName val="Da_Nang5"/>
      <sheetName val="Quang_Nam5"/>
      <sheetName val="Quang_Ngai5"/>
      <sheetName val="TH_DH-QN5"/>
      <sheetName val="KP_HD5"/>
      <sheetName val="DB_HD5"/>
      <sheetName val="vat_tu5"/>
      <sheetName val="Thep_5"/>
      <sheetName val="Chi_tiet_Khoi_luong5"/>
      <sheetName val="TH_khoi_luong5"/>
      <sheetName val="Chiet_tinh_vat_lieu_5"/>
      <sheetName val="TH_KL_VL5"/>
      <sheetName val="AC_PC5"/>
      <sheetName val="TAI_TRONG5"/>
      <sheetName val="NOI_LUC5"/>
      <sheetName val="TINH_DUYET_THTT_CHINH5"/>
      <sheetName val="TDUYET_THTT_PHU5"/>
      <sheetName val="TINH_DAO_DONG_VA_DO_VONG5"/>
      <sheetName val="TINH_NEO5"/>
      <sheetName val="tong_hop_thanh_toan_thue5"/>
      <sheetName val="bang_ke_nop_thue5"/>
      <sheetName val="Tonh_hop_chi_phi5"/>
      <sheetName val="BK_chi_phi5"/>
      <sheetName val="KTra_DS_va_thue_GTGT5"/>
      <sheetName val="Kiãøm_tra_DS_thue_GTGT5"/>
      <sheetName val="XUAT(gia_von)5"/>
      <sheetName val="Xuat_(gia_ban)5"/>
      <sheetName val="Dchinh_TH_N-X-T5"/>
      <sheetName val="Tong_hop_N-X-T5"/>
      <sheetName val="thue_TH5"/>
      <sheetName val="tong_hop_20015"/>
      <sheetName val="qUYET_TOAN_THUE5"/>
      <sheetName val="BU_CTPH5"/>
      <sheetName val="BU_tran3+360_225"/>
      <sheetName val="Tran3+360_225"/>
      <sheetName val="BU_tran2+386_45"/>
      <sheetName val="Tran2+386_45"/>
      <sheetName val="DTcong_4-55"/>
      <sheetName val="Bu_1-25"/>
      <sheetName val="Bu_12-135"/>
      <sheetName val="DTcong_12-135"/>
      <sheetName val="DT_cong13-13+5"/>
      <sheetName val="BU-_nhanh5"/>
      <sheetName val="dtcong_nh1-25"/>
      <sheetName val="dtcong_nh0-15"/>
      <sheetName val="BU_11-125"/>
      <sheetName val="DTcong_11-125"/>
      <sheetName val="Pr-_CC5"/>
      <sheetName val="MD_3-45"/>
      <sheetName val="ND_3-45"/>
      <sheetName val="MD_1-25"/>
      <sheetName val="ND_1-25"/>
      <sheetName val="MD_0-15"/>
      <sheetName val="ND_0-15"/>
      <sheetName val="KL_tong5"/>
      <sheetName val="TH_(T1-6)5"/>
      <sheetName val="_NL5"/>
      <sheetName val="_NL_(2)5"/>
      <sheetName val="CDTHCT_(3)5"/>
      <sheetName val="thkl_(2)5"/>
      <sheetName val="long_tec5"/>
      <sheetName val="cd_viaK0-T65"/>
      <sheetName val="cdvia_T6-Tc245"/>
      <sheetName val="cdvia_Tc24-T465"/>
      <sheetName val="cd_btnL2k0+361-T195"/>
      <sheetName val="CT_xa5"/>
      <sheetName val="CDTHU_CHI_T15"/>
      <sheetName val="THUCHI_25"/>
      <sheetName val="THU_CHI35"/>
      <sheetName val="THU_CHI_45"/>
      <sheetName val="THU_CHI55"/>
      <sheetName val="THU_CHI_65"/>
      <sheetName val="TU_CHI_75"/>
      <sheetName val="THU_CHI95"/>
      <sheetName val="THU_CHI_85"/>
      <sheetName val="THU_CHI_105"/>
      <sheetName val="THU_CHI_115"/>
      <sheetName val="THU_CHI_125"/>
      <sheetName val="Xep_hang_2015"/>
      <sheetName val="toan_Cty5"/>
      <sheetName val="Cong_ty5"/>
      <sheetName val="XN_25"/>
      <sheetName val="XN_ong_CHi5"/>
      <sheetName val="N_XDCT&amp;_XKLD5"/>
      <sheetName val="CN_HCM5"/>
      <sheetName val="TT_XKLD(Nhan)5"/>
      <sheetName val="Ong_Hong5"/>
      <sheetName val="CN_hung_yen5"/>
      <sheetName val="Dong_nai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KL_Tram_Cty5"/>
      <sheetName val="Gam_may_Cty5"/>
      <sheetName val="KL_tram_KH5"/>
      <sheetName val="Gam_may_KH5"/>
      <sheetName val="Cach_dien5"/>
      <sheetName val="Mang_tai5"/>
      <sheetName val="KL_DDK5"/>
      <sheetName val="Mang_tai_DDK5"/>
      <sheetName val="KL_DDK0,45"/>
      <sheetName val="TT_Ky_thuat5"/>
      <sheetName val="CT_moi5"/>
      <sheetName val="Tu_dien5"/>
      <sheetName val="May_cat5"/>
      <sheetName val="Dao_Cly5"/>
      <sheetName val="Dao_Ptai5"/>
      <sheetName val="Tu_RMU5"/>
      <sheetName val="C_set5"/>
      <sheetName val="Sco_Cap5"/>
      <sheetName val="Sco_TB5"/>
      <sheetName val="TN_tram5"/>
      <sheetName val="TN_C_set5"/>
      <sheetName val="TN_TD_DDay5"/>
      <sheetName val="Phan_chung5"/>
      <sheetName val="cong_Q25"/>
      <sheetName val="T_U_luong_Q15"/>
      <sheetName val="T_U_luong_Q25"/>
      <sheetName val="T_U_luong_Q35"/>
      <sheetName val="Quyet_toan5"/>
      <sheetName val="Thu_hoi5"/>
      <sheetName val="Lai_vay5"/>
      <sheetName val="Tien_vay5"/>
      <sheetName val="Cong_no5"/>
      <sheetName val="Cop_pha5"/>
      <sheetName val="Gia_DAN5"/>
      <sheetName val="Phu_luc_HD5"/>
      <sheetName val="Gia_du_thau5"/>
      <sheetName val="Ca_xe5"/>
      <sheetName val="Dc_Dau5"/>
      <sheetName val="_o_to_Hien_85"/>
      <sheetName val="_o_to_Hien95"/>
      <sheetName val="_o_to_Hien105"/>
      <sheetName val="_o_to_Hien115"/>
      <sheetName val="_o_to_Hien12)5"/>
      <sheetName val="_o_to_Hien16"/>
      <sheetName val="_o_to_Hien25"/>
      <sheetName val="_o_to_Hien35"/>
      <sheetName val="_o_to_Hien45"/>
      <sheetName val="_o_to_Hien55"/>
      <sheetName val="_o_to_Phong_85"/>
      <sheetName val="_o_to_Phong95"/>
      <sheetName val="_o_to_Phong105"/>
      <sheetName val="_o_to_Phong115"/>
      <sheetName val="_o_to_Phong12)5"/>
      <sheetName val="_o_to_Phong16"/>
      <sheetName val="_o_to_Phong25"/>
      <sheetName val="_o_to_Phong35"/>
      <sheetName val="_o_to_Phong45"/>
      <sheetName val="_o_to_Phong55"/>
      <sheetName val="_o_to_Dung_8_5"/>
      <sheetName val="_D_tt_dau85"/>
      <sheetName val="_o_to_Dung_95"/>
      <sheetName val="_D9_tt_dau5"/>
      <sheetName val="_D10_tt_dau5"/>
      <sheetName val="_o_to_Dung_105"/>
      <sheetName val="_o_to_Dung_115"/>
      <sheetName val="_o_to_Dung_12)5"/>
      <sheetName val="_o_to_Dung_16"/>
      <sheetName val="_o_to_Dung25"/>
      <sheetName val="_o_to_Dung35"/>
      <sheetName val="_o_to_Dung45"/>
      <sheetName val="_o_totrongT10-125"/>
      <sheetName val="_o_totrongT25"/>
      <sheetName val="_o_totrungT10-125"/>
      <sheetName val="_o_toMinhT10-12_5"/>
      <sheetName val="_o_toMinhT25"/>
      <sheetName val="_o_toTrieuT10-12__5"/>
      <sheetName val="Luong_8_SP5"/>
      <sheetName val="Luong_9_SP_5"/>
      <sheetName val="Luong_10_SP_5"/>
      <sheetName val="Luong_11_SP_5"/>
      <sheetName val="Luong_12_SP5"/>
      <sheetName val="Luong_1_SP15"/>
      <sheetName val="Luong_2_SP25"/>
      <sheetName val="Luong_3_SP35"/>
      <sheetName val="Luong_4_SP45"/>
      <sheetName val="Luong_4_SP55"/>
      <sheetName val="KL_VL5"/>
      <sheetName val="QT_9-65"/>
      <sheetName val="Thuong_luu_HB5"/>
      <sheetName val="QT_Ky_T5"/>
      <sheetName val="bc_vt_TON_BAI5"/>
      <sheetName val="QT_Duoc_(Hai)5"/>
      <sheetName val="sent_to5"/>
      <sheetName val="KLTong_hop5"/>
      <sheetName val="Lan_can5"/>
      <sheetName val="Ranh_doc_(2)5"/>
      <sheetName val="Ranh_doc5"/>
      <sheetName val="Coc_tieu5"/>
      <sheetName val="Bien_bao5"/>
      <sheetName val="Nan_tuyen5"/>
      <sheetName val="Lan_15"/>
      <sheetName val="Lan__25"/>
      <sheetName val="Lan_35"/>
      <sheetName val="Gia_tri5"/>
      <sheetName val="Lan_55"/>
      <sheetName val="Cong_hop5"/>
      <sheetName val="kldukien_(107)5"/>
      <sheetName val="qui1_(2)5"/>
      <sheetName val="cap_so_lan_25"/>
      <sheetName val="cap_so_BHXH5"/>
      <sheetName val="tru_tien5"/>
      <sheetName val="yt_q25"/>
      <sheetName val="c45_t35"/>
      <sheetName val="c45_t65"/>
      <sheetName val="BHYT_Q3_20035"/>
      <sheetName val="C45_t75"/>
      <sheetName val="C47-t07_20035"/>
      <sheetName val="C45_t85"/>
      <sheetName val="C47-t08_20035"/>
      <sheetName val="C45_t095"/>
      <sheetName val="C47-t09_20035"/>
      <sheetName val="C47_T125"/>
      <sheetName val="BHYT_Q4-20035"/>
      <sheetName val="C45_T105"/>
      <sheetName val="binh_do5"/>
      <sheetName val="cot_lieu5"/>
      <sheetName val="van_khuon5"/>
      <sheetName val="CT_BT5"/>
      <sheetName val="lay_mau5"/>
      <sheetName val="mat_ngoai_goi5"/>
      <sheetName val="coc_tram-bt5"/>
      <sheetName val="cong_bien_t104"/>
      <sheetName val="luong_t9_4"/>
      <sheetName val="bb_t94"/>
      <sheetName val="KL_XL20004"/>
      <sheetName val="Chiet_tinh4"/>
      <sheetName val="Van_chuyen4"/>
      <sheetName val="THKP_(2)4"/>
      <sheetName val="T_Bi4"/>
      <sheetName val="Thiet_ke4"/>
      <sheetName val="K_luong4"/>
      <sheetName val="TT_L24"/>
      <sheetName val="TT_L14"/>
      <sheetName val="Thue_Ngoai4"/>
      <sheetName val="Dong_Dau4"/>
      <sheetName val="Dong_Dau_(2)4"/>
      <sheetName val="Sau_dong4"/>
      <sheetName val="Ma_xa4"/>
      <sheetName val="My_dinh4"/>
      <sheetName val="Tong_cong4"/>
      <sheetName val="Chi_tiet_-_Dv_lap4"/>
      <sheetName val="TH_KHTC4"/>
      <sheetName val="Gia_VL4"/>
      <sheetName val="Bang_gia_ca_may4"/>
      <sheetName val="Bang_luong_CB4"/>
      <sheetName val="Bang_P_tich_CT4"/>
      <sheetName val="D_toan_chi_tiet4"/>
      <sheetName val="Bang_TH_Dtoan4"/>
      <sheetName val="LUAN_CHUYEN4"/>
      <sheetName val="KE_QUY4"/>
      <sheetName val="LUONGGIAN_TIEP4"/>
      <sheetName val="VAY_VON4"/>
      <sheetName val="O_THAO4"/>
      <sheetName val="Q_TRUNG4"/>
      <sheetName val="Y_THANH4"/>
      <sheetName val="Sheet2_(2)4"/>
      <sheetName val="KH_2003_(moi_max)4"/>
      <sheetName val="Interim_payment4"/>
      <sheetName val="Bid_Sum4"/>
      <sheetName val="Item_B4"/>
      <sheetName val="Dg_A4"/>
      <sheetName val="Dg_B&amp;C4"/>
      <sheetName val="Material_at_site4"/>
      <sheetName val="Bang_VL4"/>
      <sheetName val="VL(No_V-c)4"/>
      <sheetName val="He_so4"/>
      <sheetName val="PL_Vua4"/>
      <sheetName val="Chitieu-dam_cac_loai4"/>
      <sheetName val="DG_Dam4"/>
      <sheetName val="DG_chung4"/>
      <sheetName val="VL-dac_chung4"/>
      <sheetName val="CT_1md_&amp;_dau_cong4"/>
      <sheetName val="Tong_hop4"/>
      <sheetName val="CT_cong4"/>
      <sheetName val="dg_cong4"/>
      <sheetName val="CDSL_(2)4"/>
      <sheetName val="__4"/>
      <sheetName val="san_vuon4"/>
      <sheetName val="khu_phu_tro4"/>
      <sheetName val="Thuyet_minh4"/>
      <sheetName val="be_tong4"/>
      <sheetName val="Tong_hop_thep4"/>
      <sheetName val="phan_tich_DG4"/>
      <sheetName val="gia_vat_lieu4"/>
      <sheetName val="gia_xe_may4"/>
      <sheetName val="gia_nhan_cong4"/>
      <sheetName val="BCC_(2)4"/>
      <sheetName val="Bao_cao4"/>
      <sheetName val="Bao_cao_24"/>
      <sheetName val="Khoi_luong4"/>
      <sheetName val="Khoi_luong_mat4"/>
      <sheetName val="Bang_ke4"/>
      <sheetName val="T_HopKL4"/>
      <sheetName val="S_Luong4"/>
      <sheetName val="D_Dap4"/>
      <sheetName val="Q_Toan4"/>
      <sheetName val="Phan_tich_chi_phi4"/>
      <sheetName val="Chi_phi_nen_theo_BVTC4"/>
      <sheetName val="nhan_cong_phu4"/>
      <sheetName val="nhan_cong_Hung4"/>
      <sheetName val="Nhan_cong4"/>
      <sheetName val="Khoi_luong_nen_theo_BVTC4"/>
      <sheetName val="cap_cho_cac_DT4"/>
      <sheetName val="Ung_-_hoan4"/>
      <sheetName val="CP_may4"/>
      <sheetName val="Phu_luc4"/>
      <sheetName val="Gia_trÞ4"/>
      <sheetName val="DS_them_luong_qui_4-20024"/>
      <sheetName val="Phuc_loi_2-9-024"/>
      <sheetName val="Thuong_nhan_dip_21-12-024"/>
      <sheetName val="Thuong_dip_nhan_danh_hieu_AHL§4"/>
      <sheetName val="Thang_luong_thu_13_nam_20024"/>
      <sheetName val="Luong_SX#_dip_Tet_Qui_Mui(dong4"/>
      <sheetName val="CT_Duong4"/>
      <sheetName val="D_gia4"/>
      <sheetName val="T_hop4"/>
      <sheetName val="CtP_tro4"/>
      <sheetName val="Nha_moi4"/>
      <sheetName val="TT-T_Tron_So_24"/>
      <sheetName val="Ct_Dam_4"/>
      <sheetName val="Ct_Duoi4"/>
      <sheetName val="Ct_Tren4"/>
      <sheetName val="D_giaMay4"/>
      <sheetName val="26+180-400_24"/>
      <sheetName val="26+180_Sub14"/>
      <sheetName val="26+180_Sub44"/>
      <sheetName val="26+180-400_5(k95)4"/>
      <sheetName val="26+400-620_3(k95)4"/>
      <sheetName val="26+400-640_1(k95)4"/>
      <sheetName val="26+960-27+150_94"/>
      <sheetName val="26+960-27+150_104"/>
      <sheetName val="26+960-27+150_114"/>
      <sheetName val="26+960-27+150_124"/>
      <sheetName val="26+960-27+150_5(k95)4"/>
      <sheetName val="26+960-27+150_4(k95)4"/>
      <sheetName val="26+960-27+150_1(k95)4"/>
      <sheetName val="27+500-700_5(k95)4"/>
      <sheetName val="27+500-700_4(k95)4"/>
      <sheetName val="27+500-700_3(k95)4"/>
      <sheetName val="27+500-700_1(k95)4"/>
      <sheetName val="27+740-920_3(k95)4"/>
      <sheetName val="27+740-920_214"/>
      <sheetName val="27+920-28+040_6,74"/>
      <sheetName val="27+920-28+040_104"/>
      <sheetName val="27+920-28+160_Su34"/>
      <sheetName val="28+160-28+420_5K954"/>
      <sheetName val="28+430-657_74"/>
      <sheetName val="Km28+430-657_84"/>
      <sheetName val="28+430-657_94"/>
      <sheetName val="28+430-667_104"/>
      <sheetName val="28+430-657_114"/>
      <sheetName val="28+430-657_4k954"/>
      <sheetName val="28+500-657_184"/>
      <sheetName val="28+520-657_194"/>
      <sheetName val="C_TIEU4"/>
      <sheetName val="T_Luong4"/>
      <sheetName val="T_HAO4"/>
      <sheetName val="DT_TUYEN4"/>
      <sheetName val="DT_GIA4"/>
      <sheetName val="KHDT_(2)4"/>
      <sheetName val="CL_4"/>
      <sheetName val="KQ_(2)4"/>
      <sheetName val="Quang_Tri4"/>
      <sheetName val="Da_Nang4"/>
      <sheetName val="Quang_Nam4"/>
      <sheetName val="Quang_Ngai4"/>
      <sheetName val="TH_DH-QN4"/>
      <sheetName val="KP_HD4"/>
      <sheetName val="DB_HD4"/>
      <sheetName val="vat_tu4"/>
      <sheetName val="Thep_4"/>
      <sheetName val="Chi_tiet_Khoi_luong4"/>
      <sheetName val="TH_khoi_luong4"/>
      <sheetName val="Chiet_tinh_vat_lieu_4"/>
      <sheetName val="TH_KL_VL4"/>
      <sheetName val="AC_PC4"/>
      <sheetName val="TAI_TRONG4"/>
      <sheetName val="NOI_LUC4"/>
      <sheetName val="TINH_DUYET_THTT_CHINH4"/>
      <sheetName val="TDUYET_THTT_PHU4"/>
      <sheetName val="TINH_DAO_DONG_VA_DO_VONG4"/>
      <sheetName val="TINH_NEO4"/>
      <sheetName val="tong_hop_thanh_toan_thue4"/>
      <sheetName val="bang_ke_nop_thue4"/>
      <sheetName val="Tonh_hop_chi_phi4"/>
      <sheetName val="BK_chi_phi4"/>
      <sheetName val="KTra_DS_va_thue_GTGT4"/>
      <sheetName val="Kiãøm_tra_DS_thue_GTGT4"/>
      <sheetName val="XUAT(gia_von)4"/>
      <sheetName val="Xuat_(gia_ban)4"/>
      <sheetName val="Dchinh_TH_N-X-T4"/>
      <sheetName val="Tong_hop_N-X-T4"/>
      <sheetName val="thue_TH4"/>
      <sheetName val="tong_hop_20014"/>
      <sheetName val="qUYET_TOAN_THUE4"/>
      <sheetName val="BU_CTPH4"/>
      <sheetName val="BU_tran3+360_224"/>
      <sheetName val="Tran3+360_224"/>
      <sheetName val="BU_tran2+386_44"/>
      <sheetName val="Tran2+386_44"/>
      <sheetName val="DTcong_4-54"/>
      <sheetName val="Bu_1-24"/>
      <sheetName val="Bu_12-134"/>
      <sheetName val="DTcong_12-134"/>
      <sheetName val="DT_cong13-13+4"/>
      <sheetName val="BU-_nhanh4"/>
      <sheetName val="dtcong_nh1-24"/>
      <sheetName val="dtcong_nh0-14"/>
      <sheetName val="BU_11-124"/>
      <sheetName val="DTcong_11-124"/>
      <sheetName val="Pr-_CC4"/>
      <sheetName val="MD_3-44"/>
      <sheetName val="ND_3-44"/>
      <sheetName val="MD_1-24"/>
      <sheetName val="ND_1-24"/>
      <sheetName val="MD_0-14"/>
      <sheetName val="ND_0-14"/>
      <sheetName val="KL_tong4"/>
      <sheetName val="TH_(T1-6)4"/>
      <sheetName val="_NL4"/>
      <sheetName val="_NL_(2)4"/>
      <sheetName val="CDTHCT_(3)4"/>
      <sheetName val="thkl_(2)4"/>
      <sheetName val="long_tec4"/>
      <sheetName val="cd_viaK0-T64"/>
      <sheetName val="cdvia_T6-Tc244"/>
      <sheetName val="cdvia_Tc24-T464"/>
      <sheetName val="cd_btnL2k0+361-T194"/>
      <sheetName val="CT_xa4"/>
      <sheetName val="CDTHU_CHI_T14"/>
      <sheetName val="THUCHI_24"/>
      <sheetName val="THU_CHI34"/>
      <sheetName val="THU_CHI_44"/>
      <sheetName val="THU_CHI54"/>
      <sheetName val="THU_CHI_64"/>
      <sheetName val="TU_CHI_74"/>
      <sheetName val="THU_CHI94"/>
      <sheetName val="THU_CHI_84"/>
      <sheetName val="THU_CHI_104"/>
      <sheetName val="THU_CHI_114"/>
      <sheetName val="THU_CHI_124"/>
      <sheetName val="Xep_hang_2014"/>
      <sheetName val="toan_Cty4"/>
      <sheetName val="Cong_ty4"/>
      <sheetName val="XN_24"/>
      <sheetName val="XN_ong_CHi4"/>
      <sheetName val="N_XDCT&amp;_XKLD4"/>
      <sheetName val="CN_HCM4"/>
      <sheetName val="TT_XKLD(Nhan)4"/>
      <sheetName val="Ong_Hong4"/>
      <sheetName val="CN_hung_yen4"/>
      <sheetName val="Dong_nai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KL_Tram_Cty4"/>
      <sheetName val="Gam_may_Cty4"/>
      <sheetName val="KL_tram_KH4"/>
      <sheetName val="Gam_may_KH4"/>
      <sheetName val="Cach_dien4"/>
      <sheetName val="Mang_tai4"/>
      <sheetName val="KL_DDK4"/>
      <sheetName val="Mang_tai_DDK4"/>
      <sheetName val="KL_DDK0,44"/>
      <sheetName val="TT_Ky_thuat4"/>
      <sheetName val="CT_moi4"/>
      <sheetName val="Tu_dien4"/>
      <sheetName val="May_cat4"/>
      <sheetName val="Dao_Cly4"/>
      <sheetName val="Dao_Ptai4"/>
      <sheetName val="Tu_RMU4"/>
      <sheetName val="C_set4"/>
      <sheetName val="Sco_Cap4"/>
      <sheetName val="Sco_TB4"/>
      <sheetName val="TN_tram4"/>
      <sheetName val="TN_C_set4"/>
      <sheetName val="TN_TD_DDay4"/>
      <sheetName val="Phan_chung4"/>
      <sheetName val="cong_Q24"/>
      <sheetName val="T_U_luong_Q14"/>
      <sheetName val="T_U_luong_Q24"/>
      <sheetName val="T_U_luong_Q34"/>
      <sheetName val="Quyet_toan4"/>
      <sheetName val="Thu_hoi4"/>
      <sheetName val="Lai_vay4"/>
      <sheetName val="Tien_vay4"/>
      <sheetName val="Cong_no4"/>
      <sheetName val="Cop_pha4"/>
      <sheetName val="Gia_DAN4"/>
      <sheetName val="Phu_luc_HD4"/>
      <sheetName val="Gia_du_thau4"/>
      <sheetName val="Ca_xe4"/>
      <sheetName val="Dc_Dau4"/>
      <sheetName val="_o_to_Hien_84"/>
      <sheetName val="_o_to_Hien94"/>
      <sheetName val="_o_to_Hien104"/>
      <sheetName val="_o_to_Hien114"/>
      <sheetName val="_o_to_Hien12)4"/>
      <sheetName val="_o_to_Hien15"/>
      <sheetName val="_o_to_Hien24"/>
      <sheetName val="_o_to_Hien34"/>
      <sheetName val="_o_to_Hien44"/>
      <sheetName val="_o_to_Hien54"/>
      <sheetName val="_o_to_Phong_84"/>
      <sheetName val="_o_to_Phong94"/>
      <sheetName val="_o_to_Phong104"/>
      <sheetName val="_o_to_Phong114"/>
      <sheetName val="_o_to_Phong12)4"/>
      <sheetName val="_o_to_Phong15"/>
      <sheetName val="_o_to_Phong24"/>
      <sheetName val="_o_to_Phong34"/>
      <sheetName val="_o_to_Phong44"/>
      <sheetName val="_o_to_Phong54"/>
      <sheetName val="_o_to_Dung_8_4"/>
      <sheetName val="_D_tt_dau84"/>
      <sheetName val="_o_to_Dung_94"/>
      <sheetName val="_D9_tt_dau4"/>
      <sheetName val="_D10_tt_dau4"/>
      <sheetName val="_o_to_Dung_104"/>
      <sheetName val="_o_to_Dung_114"/>
      <sheetName val="_o_to_Dung_12)4"/>
      <sheetName val="_o_to_Dung_15"/>
      <sheetName val="_o_to_Dung24"/>
      <sheetName val="_o_to_Dung34"/>
      <sheetName val="_o_to_Dung44"/>
      <sheetName val="_o_totrongT10-124"/>
      <sheetName val="_o_totrongT24"/>
      <sheetName val="_o_totrungT10-124"/>
      <sheetName val="_o_toMinhT10-12_4"/>
      <sheetName val="_o_toMinhT24"/>
      <sheetName val="_o_toTrieuT10-12__4"/>
      <sheetName val="Luong_8_SP4"/>
      <sheetName val="Luong_9_SP_4"/>
      <sheetName val="Luong_10_SP_4"/>
      <sheetName val="Luong_11_SP_4"/>
      <sheetName val="Luong_12_SP4"/>
      <sheetName val="Luong_1_SP14"/>
      <sheetName val="Luong_2_SP24"/>
      <sheetName val="Luong_3_SP34"/>
      <sheetName val="Luong_4_SP44"/>
      <sheetName val="Luong_4_SP54"/>
      <sheetName val="KL_VL4"/>
      <sheetName val="QT_9-64"/>
      <sheetName val="Thuong_luu_HB4"/>
      <sheetName val="QT_Ky_T4"/>
      <sheetName val="bc_vt_TON_BAI4"/>
      <sheetName val="QT_Duoc_(Hai)4"/>
      <sheetName val="sent_to4"/>
      <sheetName val="KLTong_hop4"/>
      <sheetName val="Lan_can4"/>
      <sheetName val="Ranh_doc_(2)4"/>
      <sheetName val="Ranh_doc4"/>
      <sheetName val="Coc_tieu4"/>
      <sheetName val="Bien_bao4"/>
      <sheetName val="Nan_tuyen4"/>
      <sheetName val="Lan_14"/>
      <sheetName val="Lan__24"/>
      <sheetName val="Lan_34"/>
      <sheetName val="Gia_tri4"/>
      <sheetName val="Lan_54"/>
      <sheetName val="Cong_hop4"/>
      <sheetName val="kldukien_(107)4"/>
      <sheetName val="qui1_(2)4"/>
      <sheetName val="cap_so_lan_24"/>
      <sheetName val="cap_so_BHXH4"/>
      <sheetName val="tru_tien4"/>
      <sheetName val="yt_q24"/>
      <sheetName val="c45_t34"/>
      <sheetName val="c45_t64"/>
      <sheetName val="BHYT_Q3_20034"/>
      <sheetName val="C45_t74"/>
      <sheetName val="C47-t07_20034"/>
      <sheetName val="C45_t84"/>
      <sheetName val="C47-t08_20034"/>
      <sheetName val="C45_t094"/>
      <sheetName val="C47-t09_20034"/>
      <sheetName val="C47_T124"/>
      <sheetName val="BHYT_Q4-20034"/>
      <sheetName val="C45_T104"/>
      <sheetName val="binh_do4"/>
      <sheetName val="cot_lieu4"/>
      <sheetName val="van_khuon4"/>
      <sheetName val="CT_BT4"/>
      <sheetName val="lay_mau4"/>
      <sheetName val="mat_ngoai_goi4"/>
      <sheetName val="coc_tram-bt4"/>
      <sheetName val="cong_bien_t106"/>
      <sheetName val="luong_t9_6"/>
      <sheetName val="bb_t96"/>
      <sheetName val="KL_XL20006"/>
      <sheetName val="Chiet_tinh6"/>
      <sheetName val="Van_chuyen6"/>
      <sheetName val="THKP_(2)6"/>
      <sheetName val="T_Bi6"/>
      <sheetName val="Thiet_ke6"/>
      <sheetName val="K_luong6"/>
      <sheetName val="TT_L26"/>
      <sheetName val="TT_L16"/>
      <sheetName val="Thue_Ngoai6"/>
      <sheetName val="Dong_Dau6"/>
      <sheetName val="Dong_Dau_(2)6"/>
      <sheetName val="Sau_dong6"/>
      <sheetName val="Ma_xa6"/>
      <sheetName val="My_dinh6"/>
      <sheetName val="Tong_cong6"/>
      <sheetName val="Chi_tiet_-_Dv_lap6"/>
      <sheetName val="TH_KHTC6"/>
      <sheetName val="Gia_VL6"/>
      <sheetName val="Bang_gia_ca_may6"/>
      <sheetName val="Bang_luong_CB6"/>
      <sheetName val="Bang_P_tich_CT6"/>
      <sheetName val="D_toan_chi_tiet6"/>
      <sheetName val="Bang_TH_Dtoan6"/>
      <sheetName val="LUAN_CHUYEN6"/>
      <sheetName val="KE_QUY6"/>
      <sheetName val="LUONGGIAN_TIEP6"/>
      <sheetName val="VAY_VON6"/>
      <sheetName val="O_THAO6"/>
      <sheetName val="Q_TRUNG6"/>
      <sheetName val="Y_THANH6"/>
      <sheetName val="Sheet2_(2)6"/>
      <sheetName val="KH_2003_(moi_max)6"/>
      <sheetName val="Interim_payment6"/>
      <sheetName val="Bid_Sum6"/>
      <sheetName val="Item_B6"/>
      <sheetName val="Dg_A6"/>
      <sheetName val="Dg_B&amp;C6"/>
      <sheetName val="Material_at_site6"/>
      <sheetName val="Bang_VL6"/>
      <sheetName val="VL(No_V-c)6"/>
      <sheetName val="He_so6"/>
      <sheetName val="PL_Vua6"/>
      <sheetName val="Chitieu-dam_cac_loai6"/>
      <sheetName val="DG_Dam6"/>
      <sheetName val="DG_chung6"/>
      <sheetName val="VL-dac_chung6"/>
      <sheetName val="CT_1md_&amp;_dau_cong6"/>
      <sheetName val="Tong_hop6"/>
      <sheetName val="CT_cong6"/>
      <sheetName val="dg_cong6"/>
      <sheetName val="CDSL_(2)6"/>
      <sheetName val="__6"/>
      <sheetName val="san_vuon6"/>
      <sheetName val="khu_phu_tro6"/>
      <sheetName val="Thuyet_minh6"/>
      <sheetName val="be_tong6"/>
      <sheetName val="Tong_hop_thep6"/>
      <sheetName val="phan_tich_DG6"/>
      <sheetName val="gia_vat_lieu6"/>
      <sheetName val="gia_xe_may6"/>
      <sheetName val="gia_nhan_cong6"/>
      <sheetName val="BCC_(2)6"/>
      <sheetName val="Bao_cao6"/>
      <sheetName val="Bao_cao_26"/>
      <sheetName val="Khoi_luong6"/>
      <sheetName val="Khoi_luong_mat6"/>
      <sheetName val="Bang_ke6"/>
      <sheetName val="T_HopKL6"/>
      <sheetName val="S_Luong6"/>
      <sheetName val="D_Dap6"/>
      <sheetName val="Q_Toan6"/>
      <sheetName val="Phan_tich_chi_phi6"/>
      <sheetName val="Chi_phi_nen_theo_BVTC6"/>
      <sheetName val="nhan_cong_phu6"/>
      <sheetName val="nhan_cong_Hung6"/>
      <sheetName val="Nhan_cong6"/>
      <sheetName val="Khoi_luong_nen_theo_BVTC6"/>
      <sheetName val="cap_cho_cac_DT6"/>
      <sheetName val="Ung_-_hoan6"/>
      <sheetName val="CP_may6"/>
      <sheetName val="Phu_luc6"/>
      <sheetName val="Gia_trÞ6"/>
      <sheetName val="DS_them_luong_qui_4-20026"/>
      <sheetName val="Phuc_loi_2-9-026"/>
      <sheetName val="Thuong_nhan_dip_21-12-026"/>
      <sheetName val="Thuong_dip_nhan_danh_hieu_AHL§6"/>
      <sheetName val="Thang_luong_thu_13_nam_20026"/>
      <sheetName val="Luong_SX#_dip_Tet_Qui_Mui(dong6"/>
      <sheetName val="CT_Duong6"/>
      <sheetName val="D_gia6"/>
      <sheetName val="T_hop6"/>
      <sheetName val="CtP_tro6"/>
      <sheetName val="Nha_moi6"/>
      <sheetName val="TT-T_Tron_So_26"/>
      <sheetName val="Ct_Dam_6"/>
      <sheetName val="Ct_Duoi6"/>
      <sheetName val="Ct_Tren6"/>
      <sheetName val="D_giaMay6"/>
      <sheetName val="26+180-400_26"/>
      <sheetName val="26+180_Sub16"/>
      <sheetName val="26+180_Sub46"/>
      <sheetName val="26+180-400_5(k95)6"/>
      <sheetName val="26+400-620_3(k95)6"/>
      <sheetName val="26+400-640_1(k95)6"/>
      <sheetName val="26+960-27+150_96"/>
      <sheetName val="26+960-27+150_106"/>
      <sheetName val="26+960-27+150_116"/>
      <sheetName val="26+960-27+150_126"/>
      <sheetName val="26+960-27+150_5(k95)6"/>
      <sheetName val="26+960-27+150_4(k95)6"/>
      <sheetName val="26+960-27+150_1(k95)6"/>
      <sheetName val="27+500-700_5(k95)6"/>
      <sheetName val="27+500-700_4(k95)6"/>
      <sheetName val="27+500-700_3(k95)6"/>
      <sheetName val="27+500-700_1(k95)6"/>
      <sheetName val="27+740-920_3(k95)6"/>
      <sheetName val="27+740-920_216"/>
      <sheetName val="27+920-28+040_6,76"/>
      <sheetName val="27+920-28+040_106"/>
      <sheetName val="27+920-28+160_Su36"/>
      <sheetName val="28+160-28+420_5K956"/>
      <sheetName val="28+430-657_76"/>
      <sheetName val="Km28+430-657_86"/>
      <sheetName val="28+430-657_96"/>
      <sheetName val="28+430-667_106"/>
      <sheetName val="28+430-657_116"/>
      <sheetName val="28+430-657_4k956"/>
      <sheetName val="28+500-657_186"/>
      <sheetName val="28+520-657_196"/>
      <sheetName val="C_TIEU6"/>
      <sheetName val="T_Luong6"/>
      <sheetName val="T_HAO6"/>
      <sheetName val="DT_TUYEN6"/>
      <sheetName val="DT_GIA6"/>
      <sheetName val="KHDT_(2)6"/>
      <sheetName val="CL_6"/>
      <sheetName val="KQ_(2)6"/>
      <sheetName val="Quang_Tri6"/>
      <sheetName val="Da_Nang6"/>
      <sheetName val="Quang_Nam6"/>
      <sheetName val="Quang_Ngai6"/>
      <sheetName val="TH_DH-QN6"/>
      <sheetName val="KP_HD6"/>
      <sheetName val="DB_HD6"/>
      <sheetName val="vat_tu6"/>
      <sheetName val="Thep_6"/>
      <sheetName val="Chi_tiet_Khoi_luong6"/>
      <sheetName val="TH_khoi_luong6"/>
      <sheetName val="Chiet_tinh_vat_lieu_6"/>
      <sheetName val="TH_KL_VL6"/>
      <sheetName val="AC_PC6"/>
      <sheetName val="TAI_TRONG6"/>
      <sheetName val="NOI_LUC6"/>
      <sheetName val="TINH_DUYET_THTT_CHINH6"/>
      <sheetName val="TDUYET_THTT_PHU6"/>
      <sheetName val="TINH_DAO_DONG_VA_DO_VONG6"/>
      <sheetName val="TINH_NEO6"/>
      <sheetName val="tong_hop_thanh_toan_thue6"/>
      <sheetName val="bang_ke_nop_thue6"/>
      <sheetName val="Tonh_hop_chi_phi6"/>
      <sheetName val="BK_chi_phi6"/>
      <sheetName val="KTra_DS_va_thue_GTGT6"/>
      <sheetName val="Kiãøm_tra_DS_thue_GTGT6"/>
      <sheetName val="XUAT(gia_von)6"/>
      <sheetName val="Xuat_(gia_ban)6"/>
      <sheetName val="Dchinh_TH_N-X-T6"/>
      <sheetName val="Tong_hop_N-X-T6"/>
      <sheetName val="thue_TH6"/>
      <sheetName val="tong_hop_20016"/>
      <sheetName val="qUYET_TOAN_THUE6"/>
      <sheetName val="BU_CTPH6"/>
      <sheetName val="BU_tran3+360_226"/>
      <sheetName val="Tran3+360_226"/>
      <sheetName val="BU_tran2+386_46"/>
      <sheetName val="Tran2+386_46"/>
      <sheetName val="DTcong_4-56"/>
      <sheetName val="Bu_1-26"/>
      <sheetName val="Bu_12-136"/>
      <sheetName val="DTcong_12-136"/>
      <sheetName val="DT_cong13-13+6"/>
      <sheetName val="BU-_nhanh6"/>
      <sheetName val="dtcong_nh1-26"/>
      <sheetName val="dtcong_nh0-16"/>
      <sheetName val="BU_11-126"/>
      <sheetName val="DTcong_11-126"/>
      <sheetName val="Pr-_CC6"/>
      <sheetName val="MD_3-46"/>
      <sheetName val="ND_3-46"/>
      <sheetName val="MD_1-26"/>
      <sheetName val="ND_1-26"/>
      <sheetName val="MD_0-16"/>
      <sheetName val="ND_0-16"/>
      <sheetName val="KL_tong6"/>
      <sheetName val="TH_(T1-6)6"/>
      <sheetName val="_NL6"/>
      <sheetName val="_NL_(2)6"/>
      <sheetName val="CDTHCT_(3)6"/>
      <sheetName val="thkl_(2)6"/>
      <sheetName val="long_tec6"/>
      <sheetName val="cd_viaK0-T66"/>
      <sheetName val="cdvia_T6-Tc246"/>
      <sheetName val="cdvia_Tc24-T466"/>
      <sheetName val="cd_btnL2k0+361-T196"/>
      <sheetName val="CT_xa6"/>
      <sheetName val="CDTHU_CHI_T16"/>
      <sheetName val="THUCHI_26"/>
      <sheetName val="THU_CHI36"/>
      <sheetName val="THU_CHI_46"/>
      <sheetName val="THU_CHI56"/>
      <sheetName val="THU_CHI_66"/>
      <sheetName val="TU_CHI_76"/>
      <sheetName val="THU_CHI96"/>
      <sheetName val="THU_CHI_86"/>
      <sheetName val="THU_CHI_106"/>
      <sheetName val="THU_CHI_116"/>
      <sheetName val="THU_CHI_126"/>
      <sheetName val="Xep_hang_2016"/>
      <sheetName val="toan_Cty6"/>
      <sheetName val="Cong_ty6"/>
      <sheetName val="XN_26"/>
      <sheetName val="XN_ong_CHi6"/>
      <sheetName val="N_XDCT&amp;_XKLD6"/>
      <sheetName val="CN_HCM6"/>
      <sheetName val="TT_XKLD(Nhan)6"/>
      <sheetName val="Ong_Hong6"/>
      <sheetName val="CN_hung_yen6"/>
      <sheetName val="Dong_nai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KL_Tram_Cty6"/>
      <sheetName val="Gam_may_Cty6"/>
      <sheetName val="KL_tram_KH6"/>
      <sheetName val="Gam_may_KH6"/>
      <sheetName val="Cach_dien6"/>
      <sheetName val="Mang_tai6"/>
      <sheetName val="KL_DDK6"/>
      <sheetName val="Mang_tai_DDK6"/>
      <sheetName val="KL_DDK0,46"/>
      <sheetName val="TT_Ky_thuat6"/>
      <sheetName val="CT_moi6"/>
      <sheetName val="Tu_dien6"/>
      <sheetName val="May_cat6"/>
      <sheetName val="Dao_Cly6"/>
      <sheetName val="Dao_Ptai6"/>
      <sheetName val="Tu_RMU6"/>
      <sheetName val="C_set6"/>
      <sheetName val="Sco_Cap6"/>
      <sheetName val="Sco_TB6"/>
      <sheetName val="TN_tram6"/>
      <sheetName val="TN_C_set6"/>
      <sheetName val="TN_TD_DDay6"/>
      <sheetName val="Phan_chung6"/>
      <sheetName val="cong_Q26"/>
      <sheetName val="T_U_luong_Q16"/>
      <sheetName val="T_U_luong_Q26"/>
      <sheetName val="T_U_luong_Q36"/>
      <sheetName val="Quyet_toan6"/>
      <sheetName val="Thu_hoi6"/>
      <sheetName val="Lai_vay6"/>
      <sheetName val="Tien_vay6"/>
      <sheetName val="Cong_no6"/>
      <sheetName val="Cop_pha6"/>
      <sheetName val="Gia_DAN6"/>
      <sheetName val="Phu_luc_HD6"/>
      <sheetName val="Gia_du_thau6"/>
      <sheetName val="Ca_xe6"/>
      <sheetName val="Dc_Dau6"/>
      <sheetName val="_o_to_Hien_86"/>
      <sheetName val="_o_to_Hien96"/>
      <sheetName val="_o_to_Hien106"/>
      <sheetName val="_o_to_Hien116"/>
      <sheetName val="_o_to_Hien12)6"/>
      <sheetName val="_o_to_Hien17"/>
      <sheetName val="_o_to_Hien26"/>
      <sheetName val="_o_to_Hien36"/>
      <sheetName val="_o_to_Hien46"/>
      <sheetName val="_o_to_Hien56"/>
      <sheetName val="_o_to_Phong_86"/>
      <sheetName val="_o_to_Phong96"/>
      <sheetName val="_o_to_Phong106"/>
      <sheetName val="_o_to_Phong116"/>
      <sheetName val="_o_to_Phong12)6"/>
      <sheetName val="_o_to_Phong17"/>
      <sheetName val="_o_to_Phong26"/>
      <sheetName val="_o_to_Phong36"/>
      <sheetName val="_o_to_Phong46"/>
      <sheetName val="_o_to_Phong56"/>
      <sheetName val="_o_to_Dung_8_6"/>
      <sheetName val="_D_tt_dau86"/>
      <sheetName val="_o_to_Dung_96"/>
      <sheetName val="_D9_tt_dau6"/>
      <sheetName val="_D10_tt_dau6"/>
      <sheetName val="_o_to_Dung_106"/>
      <sheetName val="_o_to_Dung_116"/>
      <sheetName val="_o_to_Dung_12)6"/>
      <sheetName val="_o_to_Dung_17"/>
      <sheetName val="_o_to_Dung26"/>
      <sheetName val="_o_to_Dung36"/>
      <sheetName val="_o_to_Dung46"/>
      <sheetName val="_o_totrongT10-126"/>
      <sheetName val="_o_totrongT26"/>
      <sheetName val="_o_totrungT10-126"/>
      <sheetName val="_o_toMinhT10-12_6"/>
      <sheetName val="_o_toMinhT26"/>
      <sheetName val="_o_toTrieuT10-12__6"/>
      <sheetName val="Luong_8_SP6"/>
      <sheetName val="Luong_9_SP_6"/>
      <sheetName val="Luong_10_SP_6"/>
      <sheetName val="Luong_11_SP_6"/>
      <sheetName val="Luong_12_SP6"/>
      <sheetName val="Luong_1_SP16"/>
      <sheetName val="Luong_2_SP26"/>
      <sheetName val="Luong_3_SP36"/>
      <sheetName val="Luong_4_SP46"/>
      <sheetName val="Luong_4_SP56"/>
      <sheetName val="KL_VL6"/>
      <sheetName val="QT_9-66"/>
      <sheetName val="Thuong_luu_HB6"/>
      <sheetName val="QT_Ky_T6"/>
      <sheetName val="bc_vt_TON_BAI6"/>
      <sheetName val="QT_Duoc_(Hai)6"/>
      <sheetName val="sent_to6"/>
      <sheetName val="KLTong_hop6"/>
      <sheetName val="Lan_can6"/>
      <sheetName val="Ranh_doc_(2)6"/>
      <sheetName val="Ranh_doc6"/>
      <sheetName val="Coc_tieu6"/>
      <sheetName val="Bien_bao6"/>
      <sheetName val="Nan_tuyen6"/>
      <sheetName val="Lan_16"/>
      <sheetName val="Lan__26"/>
      <sheetName val="Lan_36"/>
      <sheetName val="Gia_tri6"/>
      <sheetName val="Lan_56"/>
      <sheetName val="Cong_hop6"/>
      <sheetName val="kldukien_(107)6"/>
      <sheetName val="qui1_(2)6"/>
      <sheetName val="cap_so_lan_26"/>
      <sheetName val="cap_so_BHXH6"/>
      <sheetName val="tru_tien6"/>
      <sheetName val="yt_q26"/>
      <sheetName val="c45_t36"/>
      <sheetName val="c45_t66"/>
      <sheetName val="BHYT_Q3_20036"/>
      <sheetName val="C45_t76"/>
      <sheetName val="C47-t07_20036"/>
      <sheetName val="C45_t86"/>
      <sheetName val="C47-t08_20036"/>
      <sheetName val="C45_t096"/>
      <sheetName val="C47-t09_20036"/>
      <sheetName val="C47_T126"/>
      <sheetName val="BHYT_Q4-20036"/>
      <sheetName val="C45_T106"/>
      <sheetName val="binh_do6"/>
      <sheetName val="cot_lieu6"/>
      <sheetName val="van_khuon6"/>
      <sheetName val="CT_BT6"/>
      <sheetName val="lay_mau6"/>
      <sheetName val="mat_ngoai_goi6"/>
      <sheetName val="coc_tram-bt6"/>
      <sheetName val="cong_bien_t1010"/>
      <sheetName val="luong_t9_10"/>
      <sheetName val="bb_t910"/>
      <sheetName val="KL_XL200010"/>
      <sheetName val="Chiet_tinh10"/>
      <sheetName val="Van_chuyen10"/>
      <sheetName val="THKP_(2)10"/>
      <sheetName val="T_Bi10"/>
      <sheetName val="Thiet_ke10"/>
      <sheetName val="K_luong10"/>
      <sheetName val="TT_L210"/>
      <sheetName val="TT_L110"/>
      <sheetName val="Thue_Ngoai10"/>
      <sheetName val="Dong_Dau10"/>
      <sheetName val="Dong_Dau_(2)10"/>
      <sheetName val="Sau_dong10"/>
      <sheetName val="Ma_xa10"/>
      <sheetName val="My_dinh10"/>
      <sheetName val="Tong_cong10"/>
      <sheetName val="Chi_tiet_-_Dv_lap10"/>
      <sheetName val="TH_KHTC10"/>
      <sheetName val="Gia_VL10"/>
      <sheetName val="Bang_gia_ca_may10"/>
      <sheetName val="Bang_luong_CB10"/>
      <sheetName val="Bang_P_tich_CT10"/>
      <sheetName val="D_toan_chi_tiet10"/>
      <sheetName val="Bang_TH_Dtoan10"/>
      <sheetName val="LUAN_CHUYEN10"/>
      <sheetName val="KE_QUY10"/>
      <sheetName val="LUONGGIAN_TIEP10"/>
      <sheetName val="VAY_VON10"/>
      <sheetName val="O_THAO10"/>
      <sheetName val="Q_TRUNG10"/>
      <sheetName val="Y_THANH10"/>
      <sheetName val="Sheet2_(2)10"/>
      <sheetName val="KH_2003_(moi_max)10"/>
      <sheetName val="Interim_payment10"/>
      <sheetName val="Bid_Sum10"/>
      <sheetName val="Item_B10"/>
      <sheetName val="Dg_A10"/>
      <sheetName val="Dg_B&amp;C10"/>
      <sheetName val="Material_at_site10"/>
      <sheetName val="Bang_VL10"/>
      <sheetName val="VL(No_V-c)10"/>
      <sheetName val="He_so10"/>
      <sheetName val="PL_Vua10"/>
      <sheetName val="Chitieu-dam_cac_loai10"/>
      <sheetName val="DG_Dam10"/>
      <sheetName val="DG_chung10"/>
      <sheetName val="VL-dac_chung10"/>
      <sheetName val="CT_1md_&amp;_dau_cong10"/>
      <sheetName val="Tong_hop10"/>
      <sheetName val="CT_cong10"/>
      <sheetName val="dg_cong10"/>
      <sheetName val="CDSL_(2)10"/>
      <sheetName val="__10"/>
      <sheetName val="san_vuon10"/>
      <sheetName val="khu_phu_tro10"/>
      <sheetName val="Thuyet_minh10"/>
      <sheetName val="be_tong10"/>
      <sheetName val="Tong_hop_thep10"/>
      <sheetName val="phan_tich_DG10"/>
      <sheetName val="gia_vat_lieu10"/>
      <sheetName val="gia_xe_may10"/>
      <sheetName val="gia_nhan_cong10"/>
      <sheetName val="BCC_(2)10"/>
      <sheetName val="Bao_cao10"/>
      <sheetName val="Bao_cao_210"/>
      <sheetName val="Khoi_luong10"/>
      <sheetName val="Khoi_luong_mat10"/>
      <sheetName val="Bang_ke10"/>
      <sheetName val="T_HopKL10"/>
      <sheetName val="S_Luong10"/>
      <sheetName val="D_Dap10"/>
      <sheetName val="Q_Toan10"/>
      <sheetName val="Phan_tich_chi_phi10"/>
      <sheetName val="Chi_phi_nen_theo_BVTC10"/>
      <sheetName val="nhan_cong_phu10"/>
      <sheetName val="nhan_cong_Hung10"/>
      <sheetName val="Nhan_cong10"/>
      <sheetName val="Khoi_luong_nen_theo_BVTC10"/>
      <sheetName val="cap_cho_cac_DT10"/>
      <sheetName val="Ung_-_hoan10"/>
      <sheetName val="CP_may10"/>
      <sheetName val="Phu_luc10"/>
      <sheetName val="Gia_trÞ10"/>
      <sheetName val="DS_them_luong_qui_4-200210"/>
      <sheetName val="Phuc_loi_2-9-0210"/>
      <sheetName val="Thuong_nhan_dip_21-12-0210"/>
      <sheetName val="Thuong_dip_nhan_danh_hieu_AHL10"/>
      <sheetName val="Thang_luong_thu_13_nam_200210"/>
      <sheetName val="Luong_SX#_dip_Tet_Qui_Mui(don10"/>
      <sheetName val="CT_Duong10"/>
      <sheetName val="D_gia10"/>
      <sheetName val="T_hop10"/>
      <sheetName val="CtP_tro10"/>
      <sheetName val="Nha_moi10"/>
      <sheetName val="TT-T_Tron_So_210"/>
      <sheetName val="Ct_Dam_10"/>
      <sheetName val="Ct_Duoi10"/>
      <sheetName val="Ct_Tren10"/>
      <sheetName val="D_giaMay10"/>
      <sheetName val="26+180-400_210"/>
      <sheetName val="26+180_Sub110"/>
      <sheetName val="26+180_Sub410"/>
      <sheetName val="26+180-400_5(k95)10"/>
      <sheetName val="26+400-620_3(k95)10"/>
      <sheetName val="26+400-640_1(k95)10"/>
      <sheetName val="26+960-27+150_910"/>
      <sheetName val="26+960-27+150_1010"/>
      <sheetName val="26+960-27+150_1110"/>
      <sheetName val="26+960-27+150_1210"/>
      <sheetName val="26+960-27+150_5(k95)10"/>
      <sheetName val="26+960-27+150_4(k95)10"/>
      <sheetName val="26+960-27+150_1(k95)10"/>
      <sheetName val="27+500-700_5(k95)10"/>
      <sheetName val="27+500-700_4(k95)10"/>
      <sheetName val="27+500-700_3(k95)10"/>
      <sheetName val="27+500-700_1(k95)10"/>
      <sheetName val="27+740-920_3(k95)10"/>
      <sheetName val="27+740-920_2110"/>
      <sheetName val="27+920-28+040_6,710"/>
      <sheetName val="27+920-28+040_1010"/>
      <sheetName val="27+920-28+160_Su310"/>
      <sheetName val="28+160-28+420_5K9510"/>
      <sheetName val="28+430-657_710"/>
      <sheetName val="Km28+430-657_810"/>
      <sheetName val="28+430-657_910"/>
      <sheetName val="28+430-667_1010"/>
      <sheetName val="28+430-657_1110"/>
      <sheetName val="28+430-657_4k9510"/>
      <sheetName val="28+500-657_1810"/>
      <sheetName val="28+520-657_1910"/>
      <sheetName val="C_TIEU10"/>
      <sheetName val="T_Luong10"/>
      <sheetName val="T_HAO10"/>
      <sheetName val="DT_TUYEN10"/>
      <sheetName val="DT_GIA10"/>
      <sheetName val="KHDT_(2)10"/>
      <sheetName val="CL_10"/>
      <sheetName val="KQ_(2)10"/>
      <sheetName val="Quang_Tri10"/>
      <sheetName val="Da_Nang10"/>
      <sheetName val="Quang_Nam10"/>
      <sheetName val="Quang_Ngai10"/>
      <sheetName val="TH_DH-QN10"/>
      <sheetName val="KP_HD10"/>
      <sheetName val="DB_HD10"/>
      <sheetName val="vat_tu10"/>
      <sheetName val="Thep_10"/>
      <sheetName val="Chi_tiet_Khoi_luong10"/>
      <sheetName val="TH_khoi_luong10"/>
      <sheetName val="Chiet_tinh_vat_lieu_10"/>
      <sheetName val="TH_KL_VL10"/>
      <sheetName val="AC_PC10"/>
      <sheetName val="TAI_TRONG10"/>
      <sheetName val="NOI_LUC10"/>
      <sheetName val="TINH_DUYET_THTT_CHINH10"/>
      <sheetName val="TDUYET_THTT_PHU10"/>
      <sheetName val="TINH_DAO_DONG_VA_DO_VONG10"/>
      <sheetName val="TINH_NEO10"/>
      <sheetName val="tong_hop_thanh_toan_thue10"/>
      <sheetName val="bang_ke_nop_thue10"/>
      <sheetName val="Tonh_hop_chi_phi10"/>
      <sheetName val="BK_chi_phi10"/>
      <sheetName val="KTra_DS_va_thue_GTGT10"/>
      <sheetName val="Kiãøm_tra_DS_thue_GTGT10"/>
      <sheetName val="XUAT(gia_von)10"/>
      <sheetName val="Xuat_(gia_ban)10"/>
      <sheetName val="Dchinh_TH_N-X-T10"/>
      <sheetName val="Tong_hop_N-X-T10"/>
      <sheetName val="thue_TH10"/>
      <sheetName val="tong_hop_200110"/>
      <sheetName val="qUYET_TOAN_THUE10"/>
      <sheetName val="BU_CTPH10"/>
      <sheetName val="BU_tran3+360_2210"/>
      <sheetName val="Tran3+360_2210"/>
      <sheetName val="BU_tran2+386_410"/>
      <sheetName val="Tran2+386_410"/>
      <sheetName val="DTcong_4-510"/>
      <sheetName val="Bu_1-210"/>
      <sheetName val="Bu_12-1310"/>
      <sheetName val="DTcong_12-1310"/>
      <sheetName val="DT_cong13-13+10"/>
      <sheetName val="BU-_nhanh10"/>
      <sheetName val="dtcong_nh1-210"/>
      <sheetName val="dtcong_nh0-110"/>
      <sheetName val="BU_11-1210"/>
      <sheetName val="DTcong_11-1210"/>
      <sheetName val="Pr-_CC10"/>
      <sheetName val="MD_3-410"/>
      <sheetName val="ND_3-410"/>
      <sheetName val="MD_1-210"/>
      <sheetName val="ND_1-210"/>
      <sheetName val="MD_0-110"/>
      <sheetName val="ND_0-110"/>
      <sheetName val="KL_tong10"/>
      <sheetName val="TH_(T1-6)10"/>
      <sheetName val="_NL10"/>
      <sheetName val="_NL_(2)10"/>
      <sheetName val="CDTHCT_(3)10"/>
      <sheetName val="thkl_(2)10"/>
      <sheetName val="long_tec10"/>
      <sheetName val="cd_viaK0-T610"/>
      <sheetName val="cdvia_T6-Tc2410"/>
      <sheetName val="cdvia_Tc24-T4610"/>
      <sheetName val="cd_btnL2k0+361-T1910"/>
      <sheetName val="CT_xa10"/>
      <sheetName val="CDTHU_CHI_T110"/>
      <sheetName val="THUCHI_210"/>
      <sheetName val="THU_CHI310"/>
      <sheetName val="THU_CHI_410"/>
      <sheetName val="THU_CHI510"/>
      <sheetName val="THU_CHI_610"/>
      <sheetName val="TU_CHI_710"/>
      <sheetName val="THU_CHI910"/>
      <sheetName val="THU_CHI_810"/>
      <sheetName val="THU_CHI_1010"/>
      <sheetName val="THU_CHI_1110"/>
      <sheetName val="THU_CHI_1210"/>
      <sheetName val="Xep_hang_20110"/>
      <sheetName val="toan_Cty10"/>
      <sheetName val="Cong_ty10"/>
      <sheetName val="XN_210"/>
      <sheetName val="XN_ong_CHi10"/>
      <sheetName val="N_XDCT&amp;_XKLD10"/>
      <sheetName val="CN_HCM10"/>
      <sheetName val="TT_XKLD(Nhan)10"/>
      <sheetName val="Ong_Hong10"/>
      <sheetName val="CN_hung_yen10"/>
      <sheetName val="Dong_nai10"/>
      <sheetName val="K249_K9810"/>
      <sheetName val="K249_K98_(2)10"/>
      <sheetName val="K251_K9810"/>
      <sheetName val="K251_SBase10"/>
      <sheetName val="K251_AC10"/>
      <sheetName val="K252_K9810"/>
      <sheetName val="K252_SBase10"/>
      <sheetName val="K252_AC10"/>
      <sheetName val="K253_K9810"/>
      <sheetName val="K253_Subbase10"/>
      <sheetName val="K253_Base_10"/>
      <sheetName val="K253_SBase10"/>
      <sheetName val="K253_AC10"/>
      <sheetName val="K255_SBase10"/>
      <sheetName val="K259_K9810"/>
      <sheetName val="K259_Subbase10"/>
      <sheetName val="K259_Base_10"/>
      <sheetName val="K259_AC10"/>
      <sheetName val="K260_K9810"/>
      <sheetName val="K260_Subbase10"/>
      <sheetName val="K260_Base10"/>
      <sheetName val="K260_AC10"/>
      <sheetName val="K261_K9810"/>
      <sheetName val="K261_Base10"/>
      <sheetName val="K261_AC10"/>
      <sheetName val="KL_Tram_Cty10"/>
      <sheetName val="Gam_may_Cty10"/>
      <sheetName val="KL_tram_KH10"/>
      <sheetName val="Gam_may_KH10"/>
      <sheetName val="Cach_dien10"/>
      <sheetName val="Mang_tai10"/>
      <sheetName val="KL_DDK10"/>
      <sheetName val="Mang_tai_DDK10"/>
      <sheetName val="KL_DDK0,410"/>
      <sheetName val="TT_Ky_thuat10"/>
      <sheetName val="CT_moi10"/>
      <sheetName val="Tu_dien10"/>
      <sheetName val="May_cat10"/>
      <sheetName val="Dao_Cly10"/>
      <sheetName val="Dao_Ptai10"/>
      <sheetName val="Tu_RMU10"/>
      <sheetName val="C_set10"/>
      <sheetName val="Sco_Cap10"/>
      <sheetName val="Sco_TB10"/>
      <sheetName val="TN_tram10"/>
      <sheetName val="TN_C_set10"/>
      <sheetName val="TN_TD_DDay10"/>
      <sheetName val="Phan_chung10"/>
      <sheetName val="cong_Q210"/>
      <sheetName val="T_U_luong_Q110"/>
      <sheetName val="T_U_luong_Q210"/>
      <sheetName val="T_U_luong_Q310"/>
      <sheetName val="Quyet_toan10"/>
      <sheetName val="Thu_hoi10"/>
      <sheetName val="Lai_vay10"/>
      <sheetName val="Tien_vay10"/>
      <sheetName val="Cong_no10"/>
      <sheetName val="Cop_pha10"/>
      <sheetName val="Gia_DAN10"/>
      <sheetName val="Phu_luc_HD10"/>
      <sheetName val="Gia_du_thau10"/>
      <sheetName val="Ca_xe10"/>
      <sheetName val="Dc_Dau10"/>
      <sheetName val="_o_to_Hien_810"/>
      <sheetName val="_o_to_Hien910"/>
      <sheetName val="_o_to_Hien1010"/>
      <sheetName val="_o_to_Hien1110"/>
      <sheetName val="_o_to_Hien12)10"/>
      <sheetName val="_o_to_Hien120"/>
      <sheetName val="_o_to_Hien210"/>
      <sheetName val="_o_to_Hien310"/>
      <sheetName val="_o_to_Hien410"/>
      <sheetName val="_o_to_Hien510"/>
      <sheetName val="_o_to_Phong_810"/>
      <sheetName val="_o_to_Phong910"/>
      <sheetName val="_o_to_Phong1010"/>
      <sheetName val="_o_to_Phong1110"/>
      <sheetName val="_o_to_Phong12)10"/>
      <sheetName val="_o_to_Phong120"/>
      <sheetName val="_o_to_Phong210"/>
      <sheetName val="_o_to_Phong310"/>
      <sheetName val="_o_to_Phong410"/>
      <sheetName val="_o_to_Phong510"/>
      <sheetName val="_o_to_Dung_8_10"/>
      <sheetName val="_D_tt_dau810"/>
      <sheetName val="_o_to_Dung_910"/>
      <sheetName val="_D9_tt_dau10"/>
      <sheetName val="_D10_tt_dau10"/>
      <sheetName val="_o_to_Dung_1010"/>
      <sheetName val="_o_to_Dung_1110"/>
      <sheetName val="_o_to_Dung_12)10"/>
      <sheetName val="_o_to_Dung_120"/>
      <sheetName val="_o_to_Dung210"/>
      <sheetName val="_o_to_Dung310"/>
      <sheetName val="_o_to_Dung410"/>
      <sheetName val="_o_totrongT10-1210"/>
      <sheetName val="_o_totrongT210"/>
      <sheetName val="_o_totrungT10-1210"/>
      <sheetName val="_o_toMinhT10-12_10"/>
      <sheetName val="_o_toMinhT210"/>
      <sheetName val="_o_toTrieuT10-12__10"/>
      <sheetName val="Luong_8_SP10"/>
      <sheetName val="Luong_9_SP_10"/>
      <sheetName val="Luong_10_SP_10"/>
      <sheetName val="Luong_11_SP_10"/>
      <sheetName val="Luong_12_SP10"/>
      <sheetName val="Luong_1_SP110"/>
      <sheetName val="Luong_2_SP210"/>
      <sheetName val="Luong_3_SP310"/>
      <sheetName val="Luong_4_SP410"/>
      <sheetName val="Luong_4_SP510"/>
      <sheetName val="KL_VL10"/>
      <sheetName val="QT_9-610"/>
      <sheetName val="Thuong_luu_HB10"/>
      <sheetName val="QT_Ky_T10"/>
      <sheetName val="bc_vt_TON_BAI10"/>
      <sheetName val="QT_Duoc_(Hai)10"/>
      <sheetName val="sent_to10"/>
      <sheetName val="KLTong_hop10"/>
      <sheetName val="Lan_can10"/>
      <sheetName val="Ranh_doc_(2)10"/>
      <sheetName val="Ranh_doc10"/>
      <sheetName val="Coc_tieu10"/>
      <sheetName val="Bien_bao10"/>
      <sheetName val="Nan_tuyen10"/>
      <sheetName val="Lan_110"/>
      <sheetName val="Lan__210"/>
      <sheetName val="Lan_310"/>
      <sheetName val="Gia_tri10"/>
      <sheetName val="Lan_510"/>
      <sheetName val="Cong_hop10"/>
      <sheetName val="kldukien_(107)10"/>
      <sheetName val="qui1_(2)10"/>
      <sheetName val="cap_so_lan_210"/>
      <sheetName val="cap_so_BHXH10"/>
      <sheetName val="tru_tien10"/>
      <sheetName val="yt_q210"/>
      <sheetName val="c45_t310"/>
      <sheetName val="c45_t610"/>
      <sheetName val="BHYT_Q3_200310"/>
      <sheetName val="C45_t710"/>
      <sheetName val="C47-t07_200310"/>
      <sheetName val="C45_t810"/>
      <sheetName val="C47-t08_200310"/>
      <sheetName val="C45_t0910"/>
      <sheetName val="C47-t09_200310"/>
      <sheetName val="C47_T1210"/>
      <sheetName val="BHYT_Q4-200310"/>
      <sheetName val="C45_T1010"/>
      <sheetName val="binh_do10"/>
      <sheetName val="cot_lieu10"/>
      <sheetName val="van_khuon10"/>
      <sheetName val="CT_BT10"/>
      <sheetName val="lay_mau10"/>
      <sheetName val="mat_ngoai_goi10"/>
      <sheetName val="coc_tram-bt10"/>
      <sheetName val="cong_bien_t107"/>
      <sheetName val="luong_t9_7"/>
      <sheetName val="bb_t97"/>
      <sheetName val="KL_XL20007"/>
      <sheetName val="Chiet_tinh7"/>
      <sheetName val="Van_chuyen7"/>
      <sheetName val="THKP_(2)7"/>
      <sheetName val="T_Bi7"/>
      <sheetName val="Thiet_ke7"/>
      <sheetName val="K_luong7"/>
      <sheetName val="TT_L27"/>
      <sheetName val="TT_L17"/>
      <sheetName val="Thue_Ngoai7"/>
      <sheetName val="Dong_Dau7"/>
      <sheetName val="Dong_Dau_(2)7"/>
      <sheetName val="Sau_dong7"/>
      <sheetName val="Ma_xa7"/>
      <sheetName val="My_dinh7"/>
      <sheetName val="Tong_cong7"/>
      <sheetName val="Chi_tiet_-_Dv_lap7"/>
      <sheetName val="TH_KHTC7"/>
      <sheetName val="Gia_VL7"/>
      <sheetName val="Bang_gia_ca_may7"/>
      <sheetName val="Bang_luong_CB7"/>
      <sheetName val="Bang_P_tich_CT7"/>
      <sheetName val="D_toan_chi_tiet7"/>
      <sheetName val="Bang_TH_Dtoan7"/>
      <sheetName val="LUAN_CHUYEN7"/>
      <sheetName val="KE_QUY7"/>
      <sheetName val="LUONGGIAN_TIEP7"/>
      <sheetName val="VAY_VON7"/>
      <sheetName val="O_THAO7"/>
      <sheetName val="Q_TRUNG7"/>
      <sheetName val="Y_THANH7"/>
      <sheetName val="Sheet2_(2)7"/>
      <sheetName val="KH_2003_(moi_max)7"/>
      <sheetName val="Interim_payment7"/>
      <sheetName val="Bid_Sum7"/>
      <sheetName val="Item_B7"/>
      <sheetName val="Dg_A7"/>
      <sheetName val="Dg_B&amp;C7"/>
      <sheetName val="Material_at_site7"/>
      <sheetName val="Bang_VL7"/>
      <sheetName val="VL(No_V-c)7"/>
      <sheetName val="He_so7"/>
      <sheetName val="PL_Vua7"/>
      <sheetName val="Chitieu-dam_cac_loai7"/>
      <sheetName val="DG_Dam7"/>
      <sheetName val="DG_chung7"/>
      <sheetName val="VL-dac_chung7"/>
      <sheetName val="CT_1md_&amp;_dau_cong7"/>
      <sheetName val="Tong_hop7"/>
      <sheetName val="CT_cong7"/>
      <sheetName val="dg_cong7"/>
      <sheetName val="CDSL_(2)7"/>
      <sheetName val="__7"/>
      <sheetName val="san_vuon7"/>
      <sheetName val="khu_phu_tro7"/>
      <sheetName val="Thuyet_minh7"/>
      <sheetName val="be_tong7"/>
      <sheetName val="Tong_hop_thep7"/>
      <sheetName val="phan_tich_DG7"/>
      <sheetName val="gia_vat_lieu7"/>
      <sheetName val="gia_xe_may7"/>
      <sheetName val="gia_nhan_cong7"/>
      <sheetName val="BCC_(2)7"/>
      <sheetName val="Bao_cao7"/>
      <sheetName val="Bao_cao_27"/>
      <sheetName val="Khoi_luong7"/>
      <sheetName val="Khoi_luong_mat7"/>
      <sheetName val="Bang_ke7"/>
      <sheetName val="T_HopKL7"/>
      <sheetName val="S_Luong7"/>
      <sheetName val="D_Dap7"/>
      <sheetName val="Q_Toan7"/>
      <sheetName val="Phan_tich_chi_phi7"/>
      <sheetName val="Chi_phi_nen_theo_BVTC7"/>
      <sheetName val="nhan_cong_phu7"/>
      <sheetName val="nhan_cong_Hung7"/>
      <sheetName val="Nhan_cong7"/>
      <sheetName val="Khoi_luong_nen_theo_BVTC7"/>
      <sheetName val="cap_cho_cac_DT7"/>
      <sheetName val="Ung_-_hoan7"/>
      <sheetName val="CP_may7"/>
      <sheetName val="Phu_luc7"/>
      <sheetName val="Gia_trÞ7"/>
      <sheetName val="DS_them_luong_qui_4-20027"/>
      <sheetName val="Phuc_loi_2-9-027"/>
      <sheetName val="Thuong_nhan_dip_21-12-027"/>
      <sheetName val="Thuong_dip_nhan_danh_hieu_AHL§7"/>
      <sheetName val="Thang_luong_thu_13_nam_20027"/>
      <sheetName val="Luong_SX#_dip_Tet_Qui_Mui(dong7"/>
      <sheetName val="CT_Duong7"/>
      <sheetName val="D_gia7"/>
      <sheetName val="T_hop7"/>
      <sheetName val="CtP_tro7"/>
      <sheetName val="Nha_moi7"/>
      <sheetName val="TT-T_Tron_So_27"/>
      <sheetName val="Ct_Dam_7"/>
      <sheetName val="Ct_Duoi7"/>
      <sheetName val="Ct_Tren7"/>
      <sheetName val="D_giaMay7"/>
      <sheetName val="26+180-400_27"/>
      <sheetName val="26+180_Sub17"/>
      <sheetName val="26+180_Sub47"/>
      <sheetName val="26+180-400_5(k95)7"/>
      <sheetName val="26+400-620_3(k95)7"/>
      <sheetName val="26+400-640_1(k95)7"/>
      <sheetName val="26+960-27+150_97"/>
      <sheetName val="26+960-27+150_107"/>
      <sheetName val="26+960-27+150_117"/>
      <sheetName val="26+960-27+150_127"/>
      <sheetName val="26+960-27+150_5(k95)7"/>
      <sheetName val="26+960-27+150_4(k95)7"/>
      <sheetName val="26+960-27+150_1(k95)7"/>
      <sheetName val="27+500-700_5(k95)7"/>
      <sheetName val="27+500-700_4(k95)7"/>
      <sheetName val="27+500-700_3(k95)7"/>
      <sheetName val="27+500-700_1(k95)7"/>
      <sheetName val="27+740-920_3(k95)7"/>
      <sheetName val="27+740-920_217"/>
      <sheetName val="27+920-28+040_6,77"/>
      <sheetName val="27+920-28+040_107"/>
      <sheetName val="27+920-28+160_Su37"/>
      <sheetName val="28+160-28+420_5K957"/>
      <sheetName val="28+430-657_77"/>
      <sheetName val="Km28+430-657_87"/>
      <sheetName val="28+430-657_97"/>
      <sheetName val="28+430-667_107"/>
      <sheetName val="28+430-657_117"/>
      <sheetName val="28+430-657_4k957"/>
      <sheetName val="28+500-657_187"/>
      <sheetName val="28+520-657_197"/>
      <sheetName val="C_TIEU7"/>
      <sheetName val="T_Luong7"/>
      <sheetName val="T_HAO7"/>
      <sheetName val="DT_TUYEN7"/>
      <sheetName val="DT_GIA7"/>
      <sheetName val="KHDT_(2)7"/>
      <sheetName val="CL_7"/>
      <sheetName val="KQ_(2)7"/>
      <sheetName val="Quang_Tri7"/>
      <sheetName val="Da_Nang7"/>
      <sheetName val="Quang_Nam7"/>
      <sheetName val="Quang_Ngai7"/>
      <sheetName val="TH_DH-QN7"/>
      <sheetName val="KP_HD7"/>
      <sheetName val="DB_HD7"/>
      <sheetName val="vat_tu7"/>
      <sheetName val="Thep_7"/>
      <sheetName val="Chi_tiet_Khoi_luong7"/>
      <sheetName val="TH_khoi_luong7"/>
      <sheetName val="Chiet_tinh_vat_lieu_7"/>
      <sheetName val="TH_KL_VL7"/>
      <sheetName val="AC_PC7"/>
      <sheetName val="TAI_TRONG7"/>
      <sheetName val="NOI_LUC7"/>
      <sheetName val="TINH_DUYET_THTT_CHINH7"/>
      <sheetName val="TDUYET_THTT_PHU7"/>
      <sheetName val="TINH_DAO_DONG_VA_DO_VONG7"/>
      <sheetName val="TINH_NEO7"/>
      <sheetName val="tong_hop_thanh_toan_thue7"/>
      <sheetName val="bang_ke_nop_thue7"/>
      <sheetName val="Tonh_hop_chi_phi7"/>
      <sheetName val="BK_chi_phi7"/>
      <sheetName val="KTra_DS_va_thue_GTGT7"/>
      <sheetName val="Kiãøm_tra_DS_thue_GTGT7"/>
      <sheetName val="XUAT(gia_von)7"/>
      <sheetName val="Xuat_(gia_ban)7"/>
      <sheetName val="Dchinh_TH_N-X-T7"/>
      <sheetName val="Tong_hop_N-X-T7"/>
      <sheetName val="thue_TH7"/>
      <sheetName val="tong_hop_20017"/>
      <sheetName val="qUYET_TOAN_THUE7"/>
      <sheetName val="BU_CTPH7"/>
      <sheetName val="BU_tran3+360_227"/>
      <sheetName val="Tran3+360_227"/>
      <sheetName val="BU_tran2+386_47"/>
      <sheetName val="Tran2+386_47"/>
      <sheetName val="DTcong_4-57"/>
      <sheetName val="Bu_1-27"/>
      <sheetName val="Bu_12-137"/>
      <sheetName val="DTcong_12-137"/>
      <sheetName val="DT_cong13-13+7"/>
      <sheetName val="BU-_nhanh7"/>
      <sheetName val="dtcong_nh1-27"/>
      <sheetName val="dtcong_nh0-17"/>
      <sheetName val="BU_11-127"/>
      <sheetName val="DTcong_11-127"/>
      <sheetName val="Pr-_CC7"/>
      <sheetName val="MD_3-47"/>
      <sheetName val="ND_3-47"/>
      <sheetName val="MD_1-27"/>
      <sheetName val="ND_1-27"/>
      <sheetName val="MD_0-17"/>
      <sheetName val="ND_0-17"/>
      <sheetName val="KL_tong7"/>
      <sheetName val="TH_(T1-6)7"/>
      <sheetName val="_NL7"/>
      <sheetName val="_NL_(2)7"/>
      <sheetName val="CDTHCT_(3)7"/>
      <sheetName val="thkl_(2)7"/>
      <sheetName val="long_tec7"/>
      <sheetName val="cd_viaK0-T67"/>
      <sheetName val="cdvia_T6-Tc247"/>
      <sheetName val="cdvia_Tc24-T467"/>
      <sheetName val="cd_btnL2k0+361-T197"/>
      <sheetName val="CT_xa7"/>
      <sheetName val="CDTHU_CHI_T17"/>
      <sheetName val="THUCHI_27"/>
      <sheetName val="THU_CHI37"/>
      <sheetName val="THU_CHI_47"/>
      <sheetName val="THU_CHI57"/>
      <sheetName val="THU_CHI_67"/>
      <sheetName val="TU_CHI_77"/>
      <sheetName val="THU_CHI97"/>
      <sheetName val="THU_CHI_87"/>
      <sheetName val="THU_CHI_107"/>
      <sheetName val="THU_CHI_117"/>
      <sheetName val="THU_CHI_127"/>
      <sheetName val="Xep_hang_2017"/>
      <sheetName val="toan_Cty7"/>
      <sheetName val="Cong_ty7"/>
      <sheetName val="XN_27"/>
      <sheetName val="XN_ong_CHi7"/>
      <sheetName val="N_XDCT&amp;_XKLD7"/>
      <sheetName val="CN_HCM7"/>
      <sheetName val="TT_XKLD(Nhan)7"/>
      <sheetName val="Ong_Hong7"/>
      <sheetName val="CN_hung_yen7"/>
      <sheetName val="Dong_nai7"/>
      <sheetName val="K249_K987"/>
      <sheetName val="K249_K98_(2)7"/>
      <sheetName val="K251_K987"/>
      <sheetName val="K251_SBase7"/>
      <sheetName val="K251_AC7"/>
      <sheetName val="K252_K987"/>
      <sheetName val="K252_SBase7"/>
      <sheetName val="K252_AC7"/>
      <sheetName val="K253_K987"/>
      <sheetName val="K253_Subbase7"/>
      <sheetName val="K253_Base_7"/>
      <sheetName val="K253_SBase7"/>
      <sheetName val="K253_AC7"/>
      <sheetName val="K255_SBase7"/>
      <sheetName val="K259_K987"/>
      <sheetName val="K259_Subbase7"/>
      <sheetName val="K259_Base_7"/>
      <sheetName val="K259_AC7"/>
      <sheetName val="K260_K987"/>
      <sheetName val="K260_Subbase7"/>
      <sheetName val="K260_Base7"/>
      <sheetName val="K260_AC7"/>
      <sheetName val="K261_K987"/>
      <sheetName val="K261_Base7"/>
      <sheetName val="K261_AC7"/>
      <sheetName val="KL_Tram_Cty7"/>
      <sheetName val="Gam_may_Cty7"/>
      <sheetName val="KL_tram_KH7"/>
      <sheetName val="Gam_may_KH7"/>
      <sheetName val="Cach_dien7"/>
      <sheetName val="Mang_tai7"/>
      <sheetName val="KL_DDK7"/>
      <sheetName val="Mang_tai_DDK7"/>
      <sheetName val="KL_DDK0,47"/>
      <sheetName val="TT_Ky_thuat7"/>
      <sheetName val="CT_moi7"/>
      <sheetName val="Tu_dien7"/>
      <sheetName val="May_cat7"/>
      <sheetName val="Dao_Cly7"/>
      <sheetName val="Dao_Ptai7"/>
      <sheetName val="Tu_RMU7"/>
      <sheetName val="C_set7"/>
      <sheetName val="Sco_Cap7"/>
      <sheetName val="Sco_TB7"/>
      <sheetName val="TN_tram7"/>
      <sheetName val="TN_C_set7"/>
      <sheetName val="TN_TD_DDay7"/>
      <sheetName val="Phan_chung7"/>
      <sheetName val="cong_Q27"/>
      <sheetName val="T_U_luong_Q17"/>
      <sheetName val="T_U_luong_Q27"/>
      <sheetName val="T_U_luong_Q37"/>
      <sheetName val="Quyet_toan7"/>
      <sheetName val="Thu_hoi7"/>
      <sheetName val="Lai_vay7"/>
      <sheetName val="Tien_vay7"/>
      <sheetName val="Cong_no7"/>
      <sheetName val="Cop_pha7"/>
      <sheetName val="Gia_DAN7"/>
      <sheetName val="Phu_luc_HD7"/>
      <sheetName val="Gia_du_thau7"/>
      <sheetName val="Ca_xe7"/>
      <sheetName val="Dc_Dau7"/>
      <sheetName val="_o_to_Hien_87"/>
      <sheetName val="_o_to_Hien97"/>
      <sheetName val="_o_to_Hien107"/>
      <sheetName val="_o_to_Hien117"/>
      <sheetName val="_o_to_Hien12)7"/>
      <sheetName val="_o_to_Hien18"/>
      <sheetName val="_o_to_Hien27"/>
      <sheetName val="_o_to_Hien37"/>
      <sheetName val="_o_to_Hien47"/>
      <sheetName val="_o_to_Hien57"/>
      <sheetName val="_o_to_Phong_87"/>
      <sheetName val="_o_to_Phong97"/>
      <sheetName val="_o_to_Phong107"/>
      <sheetName val="_o_to_Phong117"/>
      <sheetName val="_o_to_Phong12)7"/>
      <sheetName val="_o_to_Phong18"/>
      <sheetName val="_o_to_Phong27"/>
      <sheetName val="_o_to_Phong37"/>
      <sheetName val="_o_to_Phong47"/>
      <sheetName val="_o_to_Phong57"/>
      <sheetName val="_o_to_Dung_8_7"/>
      <sheetName val="_D_tt_dau87"/>
      <sheetName val="_o_to_Dung_97"/>
      <sheetName val="_D9_tt_dau7"/>
      <sheetName val="_D10_tt_dau7"/>
      <sheetName val="_o_to_Dung_107"/>
      <sheetName val="_o_to_Dung_117"/>
      <sheetName val="_o_to_Dung_12)7"/>
      <sheetName val="_o_to_Dung_18"/>
      <sheetName val="_o_to_Dung27"/>
      <sheetName val="_o_to_Dung37"/>
      <sheetName val="_o_to_Dung47"/>
      <sheetName val="_o_totrongT10-127"/>
      <sheetName val="_o_totrongT27"/>
      <sheetName val="_o_totrungT10-127"/>
      <sheetName val="_o_toMinhT10-12_7"/>
      <sheetName val="_o_toMinhT27"/>
      <sheetName val="_o_toTrieuT10-12__7"/>
      <sheetName val="Luong_8_SP7"/>
      <sheetName val="Luong_9_SP_7"/>
      <sheetName val="Luong_10_SP_7"/>
      <sheetName val="Luong_11_SP_7"/>
      <sheetName val="Luong_12_SP7"/>
      <sheetName val="Luong_1_SP17"/>
      <sheetName val="Luong_2_SP27"/>
      <sheetName val="Luong_3_SP37"/>
      <sheetName val="Luong_4_SP47"/>
      <sheetName val="Luong_4_SP57"/>
      <sheetName val="KL_VL7"/>
      <sheetName val="QT_9-67"/>
      <sheetName val="Thuong_luu_HB7"/>
      <sheetName val="QT_Ky_T7"/>
      <sheetName val="bc_vt_TON_BAI7"/>
      <sheetName val="QT_Duoc_(Hai)7"/>
      <sheetName val="sent_to7"/>
      <sheetName val="KLTong_hop7"/>
      <sheetName val="Lan_can7"/>
      <sheetName val="Ranh_doc_(2)7"/>
      <sheetName val="Ranh_doc7"/>
      <sheetName val="Coc_tieu7"/>
      <sheetName val="Bien_bao7"/>
      <sheetName val="Nan_tuyen7"/>
      <sheetName val="Lan_17"/>
      <sheetName val="Lan__27"/>
      <sheetName val="Lan_37"/>
      <sheetName val="Gia_tri7"/>
      <sheetName val="Lan_57"/>
      <sheetName val="Cong_hop7"/>
      <sheetName val="kldukien_(107)7"/>
      <sheetName val="qui1_(2)7"/>
      <sheetName val="cap_so_lan_27"/>
      <sheetName val="cap_so_BHXH7"/>
      <sheetName val="tru_tien7"/>
      <sheetName val="yt_q27"/>
      <sheetName val="c45_t37"/>
      <sheetName val="c45_t67"/>
      <sheetName val="BHYT_Q3_20037"/>
      <sheetName val="C45_t77"/>
      <sheetName val="C47-t07_20037"/>
      <sheetName val="C45_t87"/>
      <sheetName val="C47-t08_20037"/>
      <sheetName val="C45_t097"/>
      <sheetName val="C47-t09_20037"/>
      <sheetName val="C47_T127"/>
      <sheetName val="BHYT_Q4-20037"/>
      <sheetName val="C45_T107"/>
      <sheetName val="binh_do7"/>
      <sheetName val="cot_lieu7"/>
      <sheetName val="van_khuon7"/>
      <sheetName val="CT_BT7"/>
      <sheetName val="lay_mau7"/>
      <sheetName val="mat_ngoai_goi7"/>
      <sheetName val="coc_tram-bt7"/>
      <sheetName val="cong_bien_t108"/>
      <sheetName val="luong_t9_8"/>
      <sheetName val="bb_t98"/>
      <sheetName val="KL_XL20008"/>
      <sheetName val="Chiet_tinh8"/>
      <sheetName val="Van_chuyen8"/>
      <sheetName val="THKP_(2)8"/>
      <sheetName val="T_Bi8"/>
      <sheetName val="Thiet_ke8"/>
      <sheetName val="K_luong8"/>
      <sheetName val="TT_L28"/>
      <sheetName val="TT_L18"/>
      <sheetName val="Thue_Ngoai8"/>
      <sheetName val="Dong_Dau8"/>
      <sheetName val="Dong_Dau_(2)8"/>
      <sheetName val="Sau_dong8"/>
      <sheetName val="Ma_xa8"/>
      <sheetName val="My_dinh8"/>
      <sheetName val="Tong_cong8"/>
      <sheetName val="Chi_tiet_-_Dv_lap8"/>
      <sheetName val="TH_KHTC8"/>
      <sheetName val="Gia_VL8"/>
      <sheetName val="Bang_gia_ca_may8"/>
      <sheetName val="Bang_luong_CB8"/>
      <sheetName val="Bang_P_tich_CT8"/>
      <sheetName val="D_toan_chi_tiet8"/>
      <sheetName val="Bang_TH_Dtoan8"/>
      <sheetName val="LUAN_CHUYEN8"/>
      <sheetName val="KE_QUY8"/>
      <sheetName val="LUONGGIAN_TIEP8"/>
      <sheetName val="VAY_VON8"/>
      <sheetName val="O_THAO8"/>
      <sheetName val="Q_TRUNG8"/>
      <sheetName val="Y_THANH8"/>
      <sheetName val="Sheet2_(2)8"/>
      <sheetName val="KH_2003_(moi_max)8"/>
      <sheetName val="Interim_payment8"/>
      <sheetName val="Bid_Sum8"/>
      <sheetName val="Item_B8"/>
      <sheetName val="Dg_A8"/>
      <sheetName val="Dg_B&amp;C8"/>
      <sheetName val="Material_at_site8"/>
      <sheetName val="Bang_VL8"/>
      <sheetName val="VL(No_V-c)8"/>
      <sheetName val="He_so8"/>
      <sheetName val="PL_Vua8"/>
      <sheetName val="Chitieu-dam_cac_loai8"/>
      <sheetName val="DG_Dam8"/>
      <sheetName val="DG_chung8"/>
      <sheetName val="VL-dac_chung8"/>
      <sheetName val="CT_1md_&amp;_dau_cong8"/>
      <sheetName val="Tong_hop8"/>
      <sheetName val="CT_cong8"/>
      <sheetName val="dg_cong8"/>
      <sheetName val="CDSL_(2)8"/>
      <sheetName val="__8"/>
      <sheetName val="san_vuon8"/>
      <sheetName val="khu_phu_tro8"/>
      <sheetName val="Thuyet_minh8"/>
      <sheetName val="be_tong8"/>
      <sheetName val="Tong_hop_thep8"/>
      <sheetName val="phan_tich_DG8"/>
      <sheetName val="gia_vat_lieu8"/>
      <sheetName val="gia_xe_may8"/>
      <sheetName val="gia_nhan_cong8"/>
      <sheetName val="BCC_(2)8"/>
      <sheetName val="Bao_cao8"/>
      <sheetName val="Bao_cao_28"/>
      <sheetName val="Khoi_luong8"/>
      <sheetName val="Khoi_luong_mat8"/>
      <sheetName val="Bang_ke8"/>
      <sheetName val="T_HopKL8"/>
      <sheetName val="S_Luong8"/>
      <sheetName val="D_Dap8"/>
      <sheetName val="Q_Toan8"/>
      <sheetName val="Phan_tich_chi_phi8"/>
      <sheetName val="Chi_phi_nen_theo_BVTC8"/>
      <sheetName val="nhan_cong_phu8"/>
      <sheetName val="nhan_cong_Hung8"/>
      <sheetName val="Nhan_cong8"/>
      <sheetName val="Khoi_luong_nen_theo_BVTC8"/>
      <sheetName val="cap_cho_cac_DT8"/>
      <sheetName val="Ung_-_hoan8"/>
      <sheetName val="CP_may8"/>
      <sheetName val="Phu_luc8"/>
      <sheetName val="Gia_trÞ8"/>
      <sheetName val="DS_them_luong_qui_4-20028"/>
      <sheetName val="Phuc_loi_2-9-028"/>
      <sheetName val="Thuong_nhan_dip_21-12-028"/>
      <sheetName val="Thuong_dip_nhan_danh_hieu_AHL§8"/>
      <sheetName val="Thang_luong_thu_13_nam_20028"/>
      <sheetName val="Luong_SX#_dip_Tet_Qui_Mui(dong8"/>
      <sheetName val="CT_Duong8"/>
      <sheetName val="D_gia8"/>
      <sheetName val="T_hop8"/>
      <sheetName val="CtP_tro8"/>
      <sheetName val="Nha_moi8"/>
      <sheetName val="TT-T_Tron_So_28"/>
      <sheetName val="Ct_Dam_8"/>
      <sheetName val="Ct_Duoi8"/>
      <sheetName val="Ct_Tren8"/>
      <sheetName val="D_giaMay8"/>
      <sheetName val="26+180-400_28"/>
      <sheetName val="26+180_Sub18"/>
      <sheetName val="26+180_Sub48"/>
      <sheetName val="26+180-400_5(k95)8"/>
      <sheetName val="26+400-620_3(k95)8"/>
      <sheetName val="26+400-640_1(k95)8"/>
      <sheetName val="26+960-27+150_98"/>
      <sheetName val="26+960-27+150_108"/>
      <sheetName val="26+960-27+150_118"/>
      <sheetName val="26+960-27+150_128"/>
      <sheetName val="26+960-27+150_5(k95)8"/>
      <sheetName val="26+960-27+150_4(k95)8"/>
      <sheetName val="26+960-27+150_1(k95)8"/>
      <sheetName val="27+500-700_5(k95)8"/>
      <sheetName val="27+500-700_4(k95)8"/>
      <sheetName val="27+500-700_3(k95)8"/>
      <sheetName val="27+500-700_1(k95)8"/>
      <sheetName val="27+740-920_3(k95)8"/>
      <sheetName val="27+740-920_218"/>
      <sheetName val="27+920-28+040_6,78"/>
      <sheetName val="27+920-28+040_108"/>
      <sheetName val="27+920-28+160_Su38"/>
      <sheetName val="28+160-28+420_5K958"/>
      <sheetName val="28+430-657_78"/>
      <sheetName val="Km28+430-657_88"/>
      <sheetName val="28+430-657_98"/>
      <sheetName val="28+430-667_108"/>
      <sheetName val="28+430-657_118"/>
      <sheetName val="28+430-657_4k958"/>
      <sheetName val="28+500-657_188"/>
      <sheetName val="28+520-657_198"/>
      <sheetName val="C_TIEU8"/>
      <sheetName val="T_Luong8"/>
      <sheetName val="T_HAO8"/>
      <sheetName val="DT_TUYEN8"/>
      <sheetName val="DT_GIA8"/>
      <sheetName val="KHDT_(2)8"/>
      <sheetName val="CL_8"/>
      <sheetName val="KQ_(2)8"/>
      <sheetName val="Quang_Tri8"/>
      <sheetName val="Da_Nang8"/>
      <sheetName val="Quang_Nam8"/>
      <sheetName val="Quang_Ngai8"/>
      <sheetName val="TH_DH-QN8"/>
      <sheetName val="KP_HD8"/>
      <sheetName val="DB_HD8"/>
      <sheetName val="vat_tu8"/>
      <sheetName val="Thep_8"/>
      <sheetName val="Chi_tiet_Khoi_luong8"/>
      <sheetName val="TH_khoi_luong8"/>
      <sheetName val="Chiet_tinh_vat_lieu_8"/>
      <sheetName val="TH_KL_VL8"/>
      <sheetName val="AC_PC8"/>
      <sheetName val="TAI_TRONG8"/>
      <sheetName val="NOI_LUC8"/>
      <sheetName val="TINH_DUYET_THTT_CHINH8"/>
      <sheetName val="TDUYET_THTT_PHU8"/>
      <sheetName val="TINH_DAO_DONG_VA_DO_VONG8"/>
      <sheetName val="TINH_NEO8"/>
      <sheetName val="tong_hop_thanh_toan_thue8"/>
      <sheetName val="bang_ke_nop_thue8"/>
      <sheetName val="Tonh_hop_chi_phi8"/>
      <sheetName val="BK_chi_phi8"/>
      <sheetName val="KTra_DS_va_thue_GTGT8"/>
      <sheetName val="Kiãøm_tra_DS_thue_GTGT8"/>
      <sheetName val="XUAT(gia_von)8"/>
      <sheetName val="Xuat_(gia_ban)8"/>
      <sheetName val="Dchinh_TH_N-X-T8"/>
      <sheetName val="Tong_hop_N-X-T8"/>
      <sheetName val="thue_TH8"/>
      <sheetName val="tong_hop_20018"/>
      <sheetName val="qUYET_TOAN_THUE8"/>
      <sheetName val="BU_CTPH8"/>
      <sheetName val="BU_tran3+360_228"/>
      <sheetName val="Tran3+360_228"/>
      <sheetName val="BU_tran2+386_48"/>
      <sheetName val="Tran2+386_48"/>
      <sheetName val="DTcong_4-58"/>
      <sheetName val="Bu_1-28"/>
      <sheetName val="Bu_12-138"/>
      <sheetName val="DTcong_12-138"/>
      <sheetName val="DT_cong13-13+8"/>
      <sheetName val="BU-_nhanh8"/>
      <sheetName val="dtcong_nh1-28"/>
      <sheetName val="dtcong_nh0-18"/>
      <sheetName val="BU_11-128"/>
      <sheetName val="DTcong_11-128"/>
      <sheetName val="Pr-_CC8"/>
      <sheetName val="MD_3-48"/>
      <sheetName val="ND_3-48"/>
      <sheetName val="MD_1-28"/>
      <sheetName val="ND_1-28"/>
      <sheetName val="MD_0-18"/>
      <sheetName val="ND_0-18"/>
      <sheetName val="KL_tong8"/>
      <sheetName val="TH_(T1-6)8"/>
      <sheetName val="_NL8"/>
      <sheetName val="_NL_(2)8"/>
      <sheetName val="CDTHCT_(3)8"/>
      <sheetName val="thkl_(2)8"/>
      <sheetName val="long_tec8"/>
      <sheetName val="cd_viaK0-T68"/>
      <sheetName val="cdvia_T6-Tc248"/>
      <sheetName val="cdvia_Tc24-T468"/>
      <sheetName val="cd_btnL2k0+361-T198"/>
      <sheetName val="CT_xa8"/>
      <sheetName val="CDTHU_CHI_T18"/>
      <sheetName val="THUCHI_28"/>
      <sheetName val="THU_CHI38"/>
      <sheetName val="THU_CHI_48"/>
      <sheetName val="THU_CHI58"/>
      <sheetName val="THU_CHI_68"/>
      <sheetName val="TU_CHI_78"/>
      <sheetName val="THU_CHI98"/>
      <sheetName val="THU_CHI_88"/>
      <sheetName val="THU_CHI_108"/>
      <sheetName val="THU_CHI_118"/>
      <sheetName val="THU_CHI_128"/>
      <sheetName val="Xep_hang_2018"/>
      <sheetName val="toan_Cty8"/>
      <sheetName val="Cong_ty8"/>
      <sheetName val="XN_28"/>
      <sheetName val="XN_ong_CHi8"/>
      <sheetName val="N_XDCT&amp;_XKLD8"/>
      <sheetName val="CN_HCM8"/>
      <sheetName val="TT_XKLD(Nhan)8"/>
      <sheetName val="Ong_Hong8"/>
      <sheetName val="CN_hung_yen8"/>
      <sheetName val="Dong_nai8"/>
      <sheetName val="K249_K988"/>
      <sheetName val="K249_K98_(2)8"/>
      <sheetName val="K251_K988"/>
      <sheetName val="K251_SBase8"/>
      <sheetName val="K251_AC8"/>
      <sheetName val="K252_K988"/>
      <sheetName val="K252_SBase8"/>
      <sheetName val="K252_AC8"/>
      <sheetName val="K253_K988"/>
      <sheetName val="K253_Subbase8"/>
      <sheetName val="K253_Base_8"/>
      <sheetName val="K253_SBase8"/>
      <sheetName val="K253_AC8"/>
      <sheetName val="K255_SBase8"/>
      <sheetName val="K259_K988"/>
      <sheetName val="K259_Subbase8"/>
      <sheetName val="K259_Base_8"/>
      <sheetName val="K259_AC8"/>
      <sheetName val="K260_K988"/>
      <sheetName val="K260_Subbase8"/>
      <sheetName val="K260_Base8"/>
      <sheetName val="K260_AC8"/>
      <sheetName val="K261_K988"/>
      <sheetName val="K261_Base8"/>
      <sheetName val="K261_AC8"/>
      <sheetName val="KL_Tram_Cty8"/>
      <sheetName val="Gam_may_Cty8"/>
      <sheetName val="KL_tram_KH8"/>
      <sheetName val="Gam_may_KH8"/>
      <sheetName val="Cach_dien8"/>
      <sheetName val="Mang_tai8"/>
      <sheetName val="KL_DDK8"/>
      <sheetName val="Mang_tai_DDK8"/>
      <sheetName val="KL_DDK0,48"/>
      <sheetName val="TT_Ky_thuat8"/>
      <sheetName val="CT_moi8"/>
      <sheetName val="Tu_dien8"/>
      <sheetName val="May_cat8"/>
      <sheetName val="Dao_Cly8"/>
      <sheetName val="Dao_Ptai8"/>
      <sheetName val="Tu_RMU8"/>
      <sheetName val="C_set8"/>
      <sheetName val="Sco_Cap8"/>
      <sheetName val="Sco_TB8"/>
      <sheetName val="TN_tram8"/>
      <sheetName val="TN_C_set8"/>
      <sheetName val="TN_TD_DDay8"/>
      <sheetName val="Phan_chung8"/>
      <sheetName val="cong_Q28"/>
      <sheetName val="T_U_luong_Q18"/>
      <sheetName val="T_U_luong_Q28"/>
      <sheetName val="T_U_luong_Q38"/>
      <sheetName val="Quyet_toan8"/>
      <sheetName val="Thu_hoi8"/>
      <sheetName val="Lai_vay8"/>
      <sheetName val="Tien_vay8"/>
      <sheetName val="Cong_no8"/>
      <sheetName val="Cop_pha8"/>
      <sheetName val="Gia_DAN8"/>
      <sheetName val="Phu_luc_HD8"/>
      <sheetName val="Gia_du_thau8"/>
      <sheetName val="Ca_xe8"/>
      <sheetName val="Dc_Dau8"/>
      <sheetName val="_o_to_Hien_88"/>
      <sheetName val="_o_to_Hien98"/>
      <sheetName val="_o_to_Hien108"/>
      <sheetName val="_o_to_Hien118"/>
      <sheetName val="_o_to_Hien12)8"/>
      <sheetName val="_o_to_Hien19"/>
      <sheetName val="_o_to_Hien28"/>
      <sheetName val="_o_to_Hien38"/>
      <sheetName val="_o_to_Hien48"/>
      <sheetName val="_o_to_Hien58"/>
      <sheetName val="_o_to_Phong_88"/>
      <sheetName val="_o_to_Phong98"/>
      <sheetName val="_o_to_Phong108"/>
      <sheetName val="_o_to_Phong118"/>
      <sheetName val="_o_to_Phong12)8"/>
      <sheetName val="_o_to_Phong19"/>
      <sheetName val="_o_to_Phong28"/>
      <sheetName val="_o_to_Phong38"/>
      <sheetName val="_o_to_Phong48"/>
      <sheetName val="_o_to_Phong58"/>
      <sheetName val="_o_to_Dung_8_8"/>
      <sheetName val="_D_tt_dau88"/>
      <sheetName val="_o_to_Dung_98"/>
      <sheetName val="_D9_tt_dau8"/>
      <sheetName val="_D10_tt_dau8"/>
      <sheetName val="_o_to_Dung_108"/>
      <sheetName val="_o_to_Dung_118"/>
      <sheetName val="_o_to_Dung_12)8"/>
      <sheetName val="_o_to_Dung_19"/>
      <sheetName val="_o_to_Dung28"/>
      <sheetName val="_o_to_Dung38"/>
      <sheetName val="_o_to_Dung48"/>
      <sheetName val="_o_totrongT10-128"/>
      <sheetName val="_o_totrongT28"/>
      <sheetName val="_o_totrungT10-128"/>
      <sheetName val="_o_toMinhT10-12_8"/>
      <sheetName val="_o_toMinhT28"/>
      <sheetName val="_o_toTrieuT10-12__8"/>
      <sheetName val="Luong_8_SP8"/>
      <sheetName val="Luong_9_SP_8"/>
      <sheetName val="Luong_10_SP_8"/>
      <sheetName val="Luong_11_SP_8"/>
      <sheetName val="Luong_12_SP8"/>
      <sheetName val="Luong_1_SP18"/>
      <sheetName val="Luong_2_SP28"/>
      <sheetName val="Luong_3_SP38"/>
      <sheetName val="Luong_4_SP48"/>
      <sheetName val="Luong_4_SP58"/>
      <sheetName val="KL_VL8"/>
      <sheetName val="QT_9-68"/>
      <sheetName val="Thuong_luu_HB8"/>
      <sheetName val="QT_Ky_T8"/>
      <sheetName val="bc_vt_TON_BAI8"/>
      <sheetName val="QT_Duoc_(Hai)8"/>
      <sheetName val="sent_to8"/>
      <sheetName val="KLTong_hop8"/>
      <sheetName val="Lan_can8"/>
      <sheetName val="Ranh_doc_(2)8"/>
      <sheetName val="Ranh_doc8"/>
      <sheetName val="Coc_tieu8"/>
      <sheetName val="Bien_bao8"/>
      <sheetName val="Nan_tuyen8"/>
      <sheetName val="Lan_18"/>
      <sheetName val="Lan__28"/>
      <sheetName val="Lan_38"/>
      <sheetName val="Gia_tri8"/>
      <sheetName val="Lan_58"/>
      <sheetName val="Cong_hop8"/>
      <sheetName val="kldukien_(107)8"/>
      <sheetName val="qui1_(2)8"/>
      <sheetName val="cap_so_lan_28"/>
      <sheetName val="cap_so_BHXH8"/>
      <sheetName val="tru_tien8"/>
      <sheetName val="yt_q28"/>
      <sheetName val="c45_t38"/>
      <sheetName val="c45_t68"/>
      <sheetName val="BHYT_Q3_20038"/>
      <sheetName val="C45_t78"/>
      <sheetName val="C47-t07_20038"/>
      <sheetName val="C45_t88"/>
      <sheetName val="C47-t08_20038"/>
      <sheetName val="C45_t098"/>
      <sheetName val="C47-t09_20038"/>
      <sheetName val="C47_T128"/>
      <sheetName val="BHYT_Q4-20038"/>
      <sheetName val="C45_T108"/>
      <sheetName val="binh_do8"/>
      <sheetName val="cot_lieu8"/>
      <sheetName val="van_khuon8"/>
      <sheetName val="CT_BT8"/>
      <sheetName val="lay_mau8"/>
      <sheetName val="mat_ngoai_goi8"/>
      <sheetName val="coc_tram-bt8"/>
      <sheetName val="cong_bien_t109"/>
      <sheetName val="luong_t9_9"/>
      <sheetName val="bb_t99"/>
      <sheetName val="KL_XL20009"/>
      <sheetName val="Chiet_tinh9"/>
      <sheetName val="Van_chuyen9"/>
      <sheetName val="THKP_(2)9"/>
      <sheetName val="T_Bi9"/>
      <sheetName val="Thiet_ke9"/>
      <sheetName val="K_luong9"/>
      <sheetName val="TT_L29"/>
      <sheetName val="TT_L19"/>
      <sheetName val="Thue_Ngoai9"/>
      <sheetName val="Dong_Dau9"/>
      <sheetName val="Dong_Dau_(2)9"/>
      <sheetName val="Sau_dong9"/>
      <sheetName val="Ma_xa9"/>
      <sheetName val="My_dinh9"/>
      <sheetName val="Tong_cong9"/>
      <sheetName val="Chi_tiet_-_Dv_lap9"/>
      <sheetName val="TH_KHTC9"/>
      <sheetName val="Gia_VL9"/>
      <sheetName val="Bang_gia_ca_may9"/>
      <sheetName val="Bang_luong_CB9"/>
      <sheetName val="Bang_P_tich_CT9"/>
      <sheetName val="D_toan_chi_tiet9"/>
      <sheetName val="Bang_TH_Dtoan9"/>
      <sheetName val="LUAN_CHUYEN9"/>
      <sheetName val="KE_QUY9"/>
      <sheetName val="LUONGGIAN_TIEP9"/>
      <sheetName val="VAY_VON9"/>
      <sheetName val="O_THAO9"/>
      <sheetName val="Q_TRUNG9"/>
      <sheetName val="Y_THANH9"/>
      <sheetName val="Sheet2_(2)9"/>
      <sheetName val="KH_2003_(moi_max)9"/>
      <sheetName val="Interim_payment9"/>
      <sheetName val="Bid_Sum9"/>
      <sheetName val="Item_B9"/>
      <sheetName val="Dg_A9"/>
      <sheetName val="Dg_B&amp;C9"/>
      <sheetName val="Material_at_site9"/>
      <sheetName val="Bang_VL9"/>
      <sheetName val="VL(No_V-c)9"/>
      <sheetName val="He_so9"/>
      <sheetName val="PL_Vua9"/>
      <sheetName val="Chitieu-dam_cac_loai9"/>
      <sheetName val="DG_Dam9"/>
      <sheetName val="DG_chung9"/>
      <sheetName val="VL-dac_chung9"/>
      <sheetName val="CT_1md_&amp;_dau_cong9"/>
      <sheetName val="Tong_hop9"/>
      <sheetName val="CT_cong9"/>
      <sheetName val="dg_cong9"/>
      <sheetName val="CDSL_(2)9"/>
      <sheetName val="__9"/>
      <sheetName val="san_vuon9"/>
      <sheetName val="khu_phu_tro9"/>
      <sheetName val="Thuyet_minh9"/>
      <sheetName val="be_tong9"/>
      <sheetName val="Tong_hop_thep9"/>
      <sheetName val="phan_tich_DG9"/>
      <sheetName val="gia_vat_lieu9"/>
      <sheetName val="gia_xe_may9"/>
      <sheetName val="gia_nhan_cong9"/>
      <sheetName val="BCC_(2)9"/>
      <sheetName val="Bao_cao9"/>
      <sheetName val="Bao_cao_29"/>
      <sheetName val="Khoi_luong9"/>
      <sheetName val="Khoi_luong_mat9"/>
      <sheetName val="Bang_ke9"/>
      <sheetName val="T_HopKL9"/>
      <sheetName val="S_Luong9"/>
      <sheetName val="D_Dap9"/>
      <sheetName val="Q_Toan9"/>
      <sheetName val="Phan_tich_chi_phi9"/>
      <sheetName val="Chi_phi_nen_theo_BVTC9"/>
      <sheetName val="nhan_cong_phu9"/>
      <sheetName val="nhan_cong_Hung9"/>
      <sheetName val="Nhan_cong9"/>
      <sheetName val="Khoi_luong_nen_theo_BVTC9"/>
      <sheetName val="cap_cho_cac_DT9"/>
      <sheetName val="Ung_-_hoan9"/>
      <sheetName val="CP_may9"/>
      <sheetName val="Phu_luc9"/>
      <sheetName val="Gia_trÞ9"/>
      <sheetName val="DS_them_luong_qui_4-20029"/>
      <sheetName val="Phuc_loi_2-9-029"/>
      <sheetName val="Thuong_nhan_dip_21-12-029"/>
      <sheetName val="Thuong_dip_nhan_danh_hieu_AHL§9"/>
      <sheetName val="Thang_luong_thu_13_nam_20029"/>
      <sheetName val="Luong_SX#_dip_Tet_Qui_Mui(dong9"/>
      <sheetName val="CT_Duong9"/>
      <sheetName val="D_gia9"/>
      <sheetName val="T_hop9"/>
      <sheetName val="CtP_tro9"/>
      <sheetName val="Nha_moi9"/>
      <sheetName val="TT-T_Tron_So_29"/>
      <sheetName val="Ct_Dam_9"/>
      <sheetName val="Ct_Duoi9"/>
      <sheetName val="Ct_Tren9"/>
      <sheetName val="D_giaMay9"/>
      <sheetName val="26+180-400_29"/>
      <sheetName val="26+180_Sub19"/>
      <sheetName val="26+180_Sub49"/>
      <sheetName val="26+180-400_5(k95)9"/>
      <sheetName val="26+400-620_3(k95)9"/>
      <sheetName val="26+400-640_1(k95)9"/>
      <sheetName val="26+960-27+150_99"/>
      <sheetName val="26+960-27+150_109"/>
      <sheetName val="26+960-27+150_119"/>
      <sheetName val="26+960-27+150_129"/>
      <sheetName val="26+960-27+150_5(k95)9"/>
      <sheetName val="26+960-27+150_4(k95)9"/>
      <sheetName val="26+960-27+150_1(k95)9"/>
      <sheetName val="27+500-700_5(k95)9"/>
      <sheetName val="27+500-700_4(k95)9"/>
      <sheetName val="27+500-700_3(k95)9"/>
      <sheetName val="27+500-700_1(k95)9"/>
      <sheetName val="27+740-920_3(k95)9"/>
      <sheetName val="27+740-920_219"/>
      <sheetName val="27+920-28+040_6,79"/>
      <sheetName val="27+920-28+040_109"/>
      <sheetName val="27+920-28+160_Su39"/>
      <sheetName val="28+160-28+420_5K959"/>
      <sheetName val="28+430-657_79"/>
      <sheetName val="Km28+430-657_89"/>
      <sheetName val="28+430-657_99"/>
      <sheetName val="28+430-667_109"/>
      <sheetName val="28+430-657_119"/>
      <sheetName val="28+430-657_4k959"/>
      <sheetName val="28+500-657_189"/>
      <sheetName val="28+520-657_199"/>
      <sheetName val="C_TIEU9"/>
      <sheetName val="T_Luong9"/>
      <sheetName val="T_HAO9"/>
      <sheetName val="DT_TUYEN9"/>
      <sheetName val="DT_GIA9"/>
      <sheetName val="KHDT_(2)9"/>
      <sheetName val="CL_9"/>
      <sheetName val="KQ_(2)9"/>
      <sheetName val="Quang_Tri9"/>
      <sheetName val="Da_Nang9"/>
      <sheetName val="Quang_Nam9"/>
      <sheetName val="Quang_Ngai9"/>
      <sheetName val="TH_DH-QN9"/>
      <sheetName val="KP_HD9"/>
      <sheetName val="DB_HD9"/>
      <sheetName val="vat_tu9"/>
      <sheetName val="Thep_9"/>
      <sheetName val="Chi_tiet_Khoi_luong9"/>
      <sheetName val="TH_khoi_luong9"/>
      <sheetName val="Chiet_tinh_vat_lieu_9"/>
      <sheetName val="TH_KL_VL9"/>
      <sheetName val="AC_PC9"/>
      <sheetName val="TAI_TRONG9"/>
      <sheetName val="NOI_LUC9"/>
      <sheetName val="TINH_DUYET_THTT_CHINH9"/>
      <sheetName val="TDUYET_THTT_PHU9"/>
      <sheetName val="TINH_DAO_DONG_VA_DO_VONG9"/>
      <sheetName val="TINH_NEO9"/>
      <sheetName val="tong_hop_thanh_toan_thue9"/>
      <sheetName val="bang_ke_nop_thue9"/>
      <sheetName val="Tonh_hop_chi_phi9"/>
      <sheetName val="BK_chi_phi9"/>
      <sheetName val="KTra_DS_va_thue_GTGT9"/>
      <sheetName val="Kiãøm_tra_DS_thue_GTGT9"/>
      <sheetName val="XUAT(gia_von)9"/>
      <sheetName val="Xuat_(gia_ban)9"/>
      <sheetName val="Dchinh_TH_N-X-T9"/>
      <sheetName val="Tong_hop_N-X-T9"/>
      <sheetName val="thue_TH9"/>
      <sheetName val="tong_hop_20019"/>
      <sheetName val="qUYET_TOAN_THUE9"/>
      <sheetName val="BU_CTPH9"/>
      <sheetName val="BU_tran3+360_229"/>
      <sheetName val="Tran3+360_229"/>
      <sheetName val="BU_tran2+386_49"/>
      <sheetName val="Tran2+386_49"/>
      <sheetName val="DTcong_4-59"/>
      <sheetName val="Bu_1-29"/>
      <sheetName val="Bu_12-139"/>
      <sheetName val="DTcong_12-139"/>
      <sheetName val="DT_cong13-13+9"/>
      <sheetName val="BU-_nhanh9"/>
      <sheetName val="dtcong_nh1-29"/>
      <sheetName val="dtcong_nh0-19"/>
      <sheetName val="BU_11-129"/>
      <sheetName val="DTcong_11-129"/>
      <sheetName val="Pr-_CC9"/>
      <sheetName val="MD_3-49"/>
      <sheetName val="ND_3-49"/>
      <sheetName val="MD_1-29"/>
      <sheetName val="ND_1-29"/>
      <sheetName val="MD_0-19"/>
      <sheetName val="ND_0-19"/>
      <sheetName val="KL_tong9"/>
      <sheetName val="TH_(T1-6)9"/>
      <sheetName val="_NL9"/>
      <sheetName val="_NL_(2)9"/>
      <sheetName val="CDTHCT_(3)9"/>
      <sheetName val="thkl_(2)9"/>
      <sheetName val="long_tec9"/>
      <sheetName val="cd_viaK0-T69"/>
      <sheetName val="cdvia_T6-Tc249"/>
      <sheetName val="cdvia_Tc24-T469"/>
      <sheetName val="cd_btnL2k0+361-T199"/>
      <sheetName val="CT_xa9"/>
      <sheetName val="CDTHU_CHI_T19"/>
      <sheetName val="THUCHI_29"/>
      <sheetName val="THU_CHI39"/>
      <sheetName val="THU_CHI_49"/>
      <sheetName val="THU_CHI59"/>
      <sheetName val="THU_CHI_69"/>
      <sheetName val="TU_CHI_79"/>
      <sheetName val="THU_CHI99"/>
      <sheetName val="THU_CHI_89"/>
      <sheetName val="THU_CHI_109"/>
      <sheetName val="THU_CHI_119"/>
      <sheetName val="THU_CHI_129"/>
      <sheetName val="Xep_hang_2019"/>
      <sheetName val="toan_Cty9"/>
      <sheetName val="Cong_ty9"/>
      <sheetName val="XN_29"/>
      <sheetName val="XN_ong_CHi9"/>
      <sheetName val="N_XDCT&amp;_XKLD9"/>
      <sheetName val="CN_HCM9"/>
      <sheetName val="TT_XKLD(Nhan)9"/>
      <sheetName val="Ong_Hong9"/>
      <sheetName val="CN_hung_yen9"/>
      <sheetName val="Dong_nai9"/>
      <sheetName val="K249_K989"/>
      <sheetName val="K249_K98_(2)9"/>
      <sheetName val="K251_K989"/>
      <sheetName val="K251_SBase9"/>
      <sheetName val="K251_AC9"/>
      <sheetName val="K252_K989"/>
      <sheetName val="K252_SBase9"/>
      <sheetName val="K252_AC9"/>
      <sheetName val="K253_K989"/>
      <sheetName val="K253_Subbase9"/>
      <sheetName val="K253_Base_9"/>
      <sheetName val="K253_SBase9"/>
      <sheetName val="K253_AC9"/>
      <sheetName val="K255_SBase9"/>
      <sheetName val="K259_K989"/>
      <sheetName val="K259_Subbase9"/>
      <sheetName val="K259_Base_9"/>
      <sheetName val="K259_AC9"/>
      <sheetName val="K260_K989"/>
      <sheetName val="K260_Subbase9"/>
      <sheetName val="K260_Base9"/>
      <sheetName val="K260_AC9"/>
      <sheetName val="K261_K989"/>
      <sheetName val="K261_Base9"/>
      <sheetName val="K261_AC9"/>
      <sheetName val="KL_Tram_Cty9"/>
      <sheetName val="Gam_may_Cty9"/>
      <sheetName val="KL_tram_KH9"/>
      <sheetName val="Gam_may_KH9"/>
      <sheetName val="Cach_dien9"/>
      <sheetName val="Mang_tai9"/>
      <sheetName val="KL_DDK9"/>
      <sheetName val="Mang_tai_DDK9"/>
      <sheetName val="KL_DDK0,49"/>
      <sheetName val="TT_Ky_thuat9"/>
      <sheetName val="CT_moi9"/>
      <sheetName val="Tu_dien9"/>
      <sheetName val="May_cat9"/>
      <sheetName val="Dao_Cly9"/>
      <sheetName val="Dao_Ptai9"/>
      <sheetName val="Tu_RMU9"/>
      <sheetName val="C_set9"/>
      <sheetName val="Sco_Cap9"/>
      <sheetName val="Sco_TB9"/>
      <sheetName val="TN_tram9"/>
      <sheetName val="TN_C_set9"/>
      <sheetName val="TN_TD_DDay9"/>
      <sheetName val="Phan_chung9"/>
      <sheetName val="cong_Q29"/>
      <sheetName val="T_U_luong_Q19"/>
      <sheetName val="T_U_luong_Q29"/>
      <sheetName val="T_U_luong_Q39"/>
      <sheetName val="Quyet_toan9"/>
      <sheetName val="Thu_hoi9"/>
      <sheetName val="Lai_vay9"/>
      <sheetName val="Tien_vay9"/>
      <sheetName val="Cong_no9"/>
      <sheetName val="Cop_pha9"/>
      <sheetName val="Gia_DAN9"/>
      <sheetName val="Phu_luc_HD9"/>
      <sheetName val="Gia_du_thau9"/>
      <sheetName val="Ca_xe9"/>
      <sheetName val="Dc_Dau9"/>
      <sheetName val="_o_to_Hien_89"/>
      <sheetName val="_o_to_Hien99"/>
      <sheetName val="_o_to_Hien109"/>
      <sheetName val="_o_to_Hien119"/>
      <sheetName val="_o_to_Hien12)9"/>
      <sheetName val="_o_to_Hien110"/>
      <sheetName val="_o_to_Hien29"/>
      <sheetName val="_o_to_Hien39"/>
      <sheetName val="_o_to_Hien49"/>
      <sheetName val="_o_to_Hien59"/>
      <sheetName val="_o_to_Phong_89"/>
      <sheetName val="_o_to_Phong99"/>
      <sheetName val="_o_to_Phong109"/>
      <sheetName val="_o_to_Phong119"/>
      <sheetName val="_o_to_Phong12)9"/>
      <sheetName val="_o_to_Phong110"/>
      <sheetName val="_o_to_Phong29"/>
      <sheetName val="_o_to_Phong39"/>
      <sheetName val="_o_to_Phong49"/>
      <sheetName val="_o_to_Phong59"/>
      <sheetName val="_o_to_Dung_8_9"/>
      <sheetName val="_D_tt_dau89"/>
      <sheetName val="_o_to_Dung_99"/>
      <sheetName val="_D9_tt_dau9"/>
      <sheetName val="_D10_tt_dau9"/>
      <sheetName val="_o_to_Dung_109"/>
      <sheetName val="_o_to_Dung_119"/>
      <sheetName val="_o_to_Dung_12)9"/>
      <sheetName val="_o_to_Dung_110"/>
      <sheetName val="_o_to_Dung29"/>
      <sheetName val="_o_to_Dung39"/>
      <sheetName val="_o_to_Dung49"/>
      <sheetName val="_o_totrongT10-129"/>
      <sheetName val="_o_totrongT29"/>
      <sheetName val="_o_totrungT10-129"/>
      <sheetName val="_o_toMinhT10-12_9"/>
      <sheetName val="_o_toMinhT29"/>
      <sheetName val="_o_toTrieuT10-12__9"/>
      <sheetName val="Luong_8_SP9"/>
      <sheetName val="Luong_9_SP_9"/>
      <sheetName val="Luong_10_SP_9"/>
      <sheetName val="Luong_11_SP_9"/>
      <sheetName val="Luong_12_SP9"/>
      <sheetName val="Luong_1_SP19"/>
      <sheetName val="Luong_2_SP29"/>
      <sheetName val="Luong_3_SP39"/>
      <sheetName val="Luong_4_SP49"/>
      <sheetName val="Luong_4_SP59"/>
      <sheetName val="KL_VL9"/>
      <sheetName val="QT_9-69"/>
      <sheetName val="Thuong_luu_HB9"/>
      <sheetName val="QT_Ky_T9"/>
      <sheetName val="bc_vt_TON_BAI9"/>
      <sheetName val="QT_Duoc_(Hai)9"/>
      <sheetName val="sent_to9"/>
      <sheetName val="KLTong_hop9"/>
      <sheetName val="Lan_can9"/>
      <sheetName val="Ranh_doc_(2)9"/>
      <sheetName val="Ranh_doc9"/>
      <sheetName val="Coc_tieu9"/>
      <sheetName val="Bien_bao9"/>
      <sheetName val="Nan_tuyen9"/>
      <sheetName val="Lan_19"/>
      <sheetName val="Lan__29"/>
      <sheetName val="Lan_39"/>
      <sheetName val="Gia_tri9"/>
      <sheetName val="Lan_59"/>
      <sheetName val="Cong_hop9"/>
      <sheetName val="kldukien_(107)9"/>
      <sheetName val="qui1_(2)9"/>
      <sheetName val="cap_so_lan_29"/>
      <sheetName val="cap_so_BHXH9"/>
      <sheetName val="tru_tien9"/>
      <sheetName val="yt_q29"/>
      <sheetName val="c45_t39"/>
      <sheetName val="c45_t69"/>
      <sheetName val="BHYT_Q3_20039"/>
      <sheetName val="C45_t79"/>
      <sheetName val="C47-t07_20039"/>
      <sheetName val="C45_t89"/>
      <sheetName val="C47-t08_20039"/>
      <sheetName val="C45_t099"/>
      <sheetName val="C47-t09_20039"/>
      <sheetName val="C47_T129"/>
      <sheetName val="BHYT_Q4-20039"/>
      <sheetName val="C45_T109"/>
      <sheetName val="binh_do9"/>
      <sheetName val="cot_lieu9"/>
      <sheetName val="van_khuon9"/>
      <sheetName val="CT_BT9"/>
      <sheetName val="lay_mau9"/>
      <sheetName val="mat_ngoai_goi9"/>
      <sheetName val="coc_tram-bt9"/>
      <sheetName val="cong_bien_t1016"/>
      <sheetName val="luong_t9_16"/>
      <sheetName val="bb_t916"/>
      <sheetName val="KL_XL200016"/>
      <sheetName val="Chiet_tinh16"/>
      <sheetName val="Van_chuyen16"/>
      <sheetName val="THKP_(2)16"/>
      <sheetName val="T_Bi16"/>
      <sheetName val="Thiet_ke16"/>
      <sheetName val="K_luong16"/>
      <sheetName val="TT_L216"/>
      <sheetName val="TT_L116"/>
      <sheetName val="Thue_Ngoai16"/>
      <sheetName val="Dong_Dau16"/>
      <sheetName val="Dong_Dau_(2)16"/>
      <sheetName val="Sau_dong16"/>
      <sheetName val="Ma_xa16"/>
      <sheetName val="My_dinh16"/>
      <sheetName val="Tong_cong16"/>
      <sheetName val="Chi_tiet_-_Dv_lap16"/>
      <sheetName val="TH_KHTC16"/>
      <sheetName val="Gia_VL16"/>
      <sheetName val="Bang_gia_ca_may16"/>
      <sheetName val="Bang_luong_CB16"/>
      <sheetName val="Bang_P_tich_CT16"/>
      <sheetName val="D_toan_chi_tiet16"/>
      <sheetName val="Bang_TH_Dtoan16"/>
      <sheetName val="LUAN_CHUYEN16"/>
      <sheetName val="KE_QUY16"/>
      <sheetName val="LUONGGIAN_TIEP16"/>
      <sheetName val="VAY_VON16"/>
      <sheetName val="O_THAO16"/>
      <sheetName val="Q_TRUNG16"/>
      <sheetName val="Y_THANH16"/>
      <sheetName val="Sheet2_(2)16"/>
      <sheetName val="KH_2003_(moi_max)16"/>
      <sheetName val="Interim_payment16"/>
      <sheetName val="Bid_Sum16"/>
      <sheetName val="Item_B16"/>
      <sheetName val="Dg_A16"/>
      <sheetName val="Dg_B&amp;C16"/>
      <sheetName val="Material_at_site16"/>
      <sheetName val="Bang_VL16"/>
      <sheetName val="VL(No_V-c)16"/>
      <sheetName val="He_so16"/>
      <sheetName val="PL_Vua16"/>
      <sheetName val="Chitieu-dam_cac_loai16"/>
      <sheetName val="DG_Dam16"/>
      <sheetName val="DG_chung16"/>
      <sheetName val="VL-dac_chung16"/>
      <sheetName val="CT_1md_&amp;_dau_cong16"/>
      <sheetName val="Tong_hop16"/>
      <sheetName val="CT_cong16"/>
      <sheetName val="dg_cong16"/>
      <sheetName val="CDSL_(2)16"/>
      <sheetName val="__16"/>
      <sheetName val="san_vuon16"/>
      <sheetName val="khu_phu_tro16"/>
      <sheetName val="Thuyet_minh16"/>
      <sheetName val="be_tong16"/>
      <sheetName val="Tong_hop_thep16"/>
      <sheetName val="phan_tich_DG16"/>
      <sheetName val="gia_vat_lieu16"/>
      <sheetName val="gia_xe_may16"/>
      <sheetName val="gia_nhan_cong16"/>
      <sheetName val="BCC_(2)16"/>
      <sheetName val="Bao_cao16"/>
      <sheetName val="Bao_cao_216"/>
      <sheetName val="Khoi_luong16"/>
      <sheetName val="Khoi_luong_mat16"/>
      <sheetName val="Bang_ke16"/>
      <sheetName val="T_HopKL16"/>
      <sheetName val="S_Luong16"/>
      <sheetName val="D_Dap16"/>
      <sheetName val="Q_Toan16"/>
      <sheetName val="Phan_tich_chi_phi16"/>
      <sheetName val="Chi_phi_nen_theo_BVTC16"/>
      <sheetName val="nhan_cong_phu16"/>
      <sheetName val="nhan_cong_Hung16"/>
      <sheetName val="Nhan_cong16"/>
      <sheetName val="Khoi_luong_nen_theo_BVTC16"/>
      <sheetName val="cap_cho_cac_DT16"/>
      <sheetName val="Ung_-_hoan16"/>
      <sheetName val="CP_may16"/>
      <sheetName val="Phu_luc16"/>
      <sheetName val="Gia_trÞ16"/>
      <sheetName val="DS_them_luong_qui_4-200216"/>
      <sheetName val="Phuc_loi_2-9-0216"/>
      <sheetName val="Thuong_nhan_dip_21-12-0216"/>
      <sheetName val="Thuong_dip_nhan_danh_hieu_AHL16"/>
      <sheetName val="Thang_luong_thu_13_nam_200216"/>
      <sheetName val="Luong_SX#_dip_Tet_Qui_Mui(don16"/>
      <sheetName val="CT_Duong16"/>
      <sheetName val="D_gia16"/>
      <sheetName val="T_hop16"/>
      <sheetName val="CtP_tro16"/>
      <sheetName val="Nha_moi16"/>
      <sheetName val="TT-T_Tron_So_216"/>
      <sheetName val="Ct_Dam_16"/>
      <sheetName val="Ct_Duoi16"/>
      <sheetName val="Ct_Tren16"/>
      <sheetName val="D_giaMay16"/>
      <sheetName val="26+180-400_216"/>
      <sheetName val="26+180_Sub116"/>
      <sheetName val="26+180_Sub416"/>
      <sheetName val="26+180-400_5(k95)16"/>
      <sheetName val="26+400-620_3(k95)16"/>
      <sheetName val="26+400-640_1(k95)16"/>
      <sheetName val="26+960-27+150_916"/>
      <sheetName val="26+960-27+150_1016"/>
      <sheetName val="26+960-27+150_1116"/>
      <sheetName val="26+960-27+150_1216"/>
      <sheetName val="26+960-27+150_5(k95)16"/>
      <sheetName val="26+960-27+150_4(k95)16"/>
      <sheetName val="26+960-27+150_1(k95)16"/>
      <sheetName val="27+500-700_5(k95)16"/>
      <sheetName val="27+500-700_4(k95)16"/>
      <sheetName val="27+500-700_3(k95)16"/>
      <sheetName val="27+500-700_1(k95)16"/>
      <sheetName val="27+740-920_3(k95)16"/>
      <sheetName val="27+740-920_2116"/>
      <sheetName val="27+920-28+040_6,716"/>
      <sheetName val="27+920-28+040_1016"/>
      <sheetName val="27+920-28+160_Su316"/>
      <sheetName val="28+160-28+420_5K9516"/>
      <sheetName val="28+430-657_716"/>
      <sheetName val="Km28+430-657_816"/>
      <sheetName val="28+430-657_916"/>
      <sheetName val="28+430-667_1016"/>
      <sheetName val="28+430-657_1116"/>
      <sheetName val="28+430-657_4k9516"/>
      <sheetName val="28+500-657_1816"/>
      <sheetName val="28+520-657_1916"/>
      <sheetName val="C_TIEU16"/>
      <sheetName val="T_Luong16"/>
      <sheetName val="T_HAO16"/>
      <sheetName val="DT_TUYEN16"/>
      <sheetName val="DT_GIA16"/>
      <sheetName val="KHDT_(2)16"/>
      <sheetName val="CL_16"/>
      <sheetName val="KQ_(2)16"/>
      <sheetName val="Quang_Tri16"/>
      <sheetName val="Da_Nang16"/>
      <sheetName val="Quang_Nam16"/>
      <sheetName val="Quang_Ngai16"/>
      <sheetName val="TH_DH-QN16"/>
      <sheetName val="KP_HD16"/>
      <sheetName val="DB_HD16"/>
      <sheetName val="vat_tu16"/>
      <sheetName val="Thep_16"/>
      <sheetName val="Chi_tiet_Khoi_luong16"/>
      <sheetName val="TH_khoi_luong16"/>
      <sheetName val="Chiet_tinh_vat_lieu_16"/>
      <sheetName val="TH_KL_VL16"/>
      <sheetName val="AC_PC16"/>
      <sheetName val="TAI_TRONG16"/>
      <sheetName val="NOI_LUC16"/>
      <sheetName val="TINH_DUYET_THTT_CHINH16"/>
      <sheetName val="TDUYET_THTT_PHU16"/>
      <sheetName val="TINH_DAO_DONG_VA_DO_VONG16"/>
      <sheetName val="TINH_NEO16"/>
      <sheetName val="tong_hop_thanh_toan_thue16"/>
      <sheetName val="bang_ke_nop_thue16"/>
      <sheetName val="Tonh_hop_chi_phi16"/>
      <sheetName val="BK_chi_phi16"/>
      <sheetName val="KTra_DS_va_thue_GTGT16"/>
      <sheetName val="Kiãøm_tra_DS_thue_GTGT16"/>
      <sheetName val="XUAT(gia_von)16"/>
      <sheetName val="Xuat_(gia_ban)16"/>
      <sheetName val="Dchinh_TH_N-X-T16"/>
      <sheetName val="Tong_hop_N-X-T16"/>
      <sheetName val="thue_TH16"/>
      <sheetName val="tong_hop_200116"/>
      <sheetName val="qUYET_TOAN_THUE16"/>
      <sheetName val="BU_CTPH16"/>
      <sheetName val="BU_tran3+360_2216"/>
      <sheetName val="Tran3+360_2216"/>
      <sheetName val="BU_tran2+386_416"/>
      <sheetName val="Tran2+386_416"/>
      <sheetName val="DTcong_4-516"/>
      <sheetName val="Bu_1-216"/>
      <sheetName val="Bu_12-1316"/>
      <sheetName val="DTcong_12-1316"/>
      <sheetName val="DT_cong13-13+16"/>
      <sheetName val="BU-_nhanh16"/>
      <sheetName val="dtcong_nh1-216"/>
      <sheetName val="dtcong_nh0-116"/>
      <sheetName val="BU_11-1216"/>
      <sheetName val="DTcong_11-1216"/>
      <sheetName val="Pr-_CC16"/>
      <sheetName val="MD_3-416"/>
      <sheetName val="ND_3-416"/>
      <sheetName val="MD_1-216"/>
      <sheetName val="ND_1-216"/>
      <sheetName val="MD_0-116"/>
      <sheetName val="ND_0-116"/>
      <sheetName val="KL_tong16"/>
      <sheetName val="TH_(T1-6)16"/>
      <sheetName val="_NL16"/>
      <sheetName val="_NL_(2)16"/>
      <sheetName val="CDTHCT_(3)16"/>
      <sheetName val="thkl_(2)16"/>
      <sheetName val="long_tec16"/>
      <sheetName val="cd_viaK0-T616"/>
      <sheetName val="cdvia_T6-Tc2416"/>
      <sheetName val="cdvia_Tc24-T4616"/>
      <sheetName val="cd_btnL2k0+361-T1916"/>
      <sheetName val="CT_xa16"/>
      <sheetName val="CDTHU_CHI_T116"/>
      <sheetName val="THUCHI_216"/>
      <sheetName val="THU_CHI316"/>
      <sheetName val="THU_CHI_416"/>
      <sheetName val="THU_CHI516"/>
      <sheetName val="THU_CHI_616"/>
      <sheetName val="TU_CHI_716"/>
      <sheetName val="THU_CHI916"/>
      <sheetName val="THU_CHI_816"/>
      <sheetName val="THU_CHI_1016"/>
      <sheetName val="THU_CHI_1116"/>
      <sheetName val="THU_CHI_1216"/>
      <sheetName val="Xep_hang_20116"/>
      <sheetName val="toan_Cty16"/>
      <sheetName val="Cong_ty16"/>
      <sheetName val="XN_216"/>
      <sheetName val="XN_ong_CHi16"/>
      <sheetName val="N_XDCT&amp;_XKLD16"/>
      <sheetName val="CN_HCM16"/>
      <sheetName val="TT_XKLD(Nhan)16"/>
      <sheetName val="Ong_Hong16"/>
      <sheetName val="CN_hung_yen16"/>
      <sheetName val="Dong_nai16"/>
      <sheetName val="K249_K9816"/>
      <sheetName val="K249_K98_(2)16"/>
      <sheetName val="K251_K9816"/>
      <sheetName val="K251_SBase16"/>
      <sheetName val="K251_AC16"/>
      <sheetName val="K252_K9816"/>
      <sheetName val="K252_SBase16"/>
      <sheetName val="K252_AC16"/>
      <sheetName val="K253_K9816"/>
      <sheetName val="K253_Subbase16"/>
      <sheetName val="K253_Base_16"/>
      <sheetName val="K253_SBase16"/>
      <sheetName val="K253_AC16"/>
      <sheetName val="K255_SBase16"/>
      <sheetName val="K259_K9816"/>
      <sheetName val="K259_Subbase16"/>
      <sheetName val="K259_Base_16"/>
      <sheetName val="K259_AC16"/>
      <sheetName val="K260_K9816"/>
      <sheetName val="K260_Subbase16"/>
      <sheetName val="K260_Base16"/>
      <sheetName val="K260_AC16"/>
      <sheetName val="K261_K9816"/>
      <sheetName val="K261_Base16"/>
      <sheetName val="K261_AC16"/>
      <sheetName val="KL_Tram_Cty16"/>
      <sheetName val="Gam_may_Cty16"/>
      <sheetName val="KL_tram_KH16"/>
      <sheetName val="Gam_may_KH16"/>
      <sheetName val="Cach_dien16"/>
      <sheetName val="Mang_tai16"/>
      <sheetName val="KL_DDK16"/>
      <sheetName val="Mang_tai_DDK16"/>
      <sheetName val="KL_DDK0,416"/>
      <sheetName val="TT_Ky_thuat16"/>
      <sheetName val="CT_moi16"/>
      <sheetName val="Tu_dien16"/>
      <sheetName val="May_cat16"/>
      <sheetName val="Dao_Cly16"/>
      <sheetName val="Dao_Ptai16"/>
      <sheetName val="Tu_RMU16"/>
      <sheetName val="C_set16"/>
      <sheetName val="Sco_Cap16"/>
      <sheetName val="Sco_TB16"/>
      <sheetName val="TN_tram16"/>
      <sheetName val="TN_C_set16"/>
      <sheetName val="TN_TD_DDay16"/>
      <sheetName val="Phan_chung16"/>
      <sheetName val="cong_Q216"/>
      <sheetName val="T_U_luong_Q116"/>
      <sheetName val="T_U_luong_Q216"/>
      <sheetName val="T_U_luong_Q316"/>
      <sheetName val="Quyet_toan16"/>
      <sheetName val="Thu_hoi16"/>
      <sheetName val="Lai_vay16"/>
      <sheetName val="Tien_vay16"/>
      <sheetName val="Cong_no16"/>
      <sheetName val="Cop_pha16"/>
      <sheetName val="Gia_DAN16"/>
      <sheetName val="Phu_luc_HD16"/>
      <sheetName val="Gia_du_thau16"/>
      <sheetName val="Ca_xe16"/>
      <sheetName val="Dc_Dau16"/>
      <sheetName val="_o_to_Hien_816"/>
      <sheetName val="_o_to_Hien916"/>
      <sheetName val="_o_to_Hien1016"/>
      <sheetName val="_o_to_Hien1116"/>
      <sheetName val="_o_to_Hien12)16"/>
      <sheetName val="_o_to_Hien126"/>
      <sheetName val="_o_to_Hien216"/>
      <sheetName val="_o_to_Hien316"/>
      <sheetName val="_o_to_Hien416"/>
      <sheetName val="_o_to_Hien516"/>
      <sheetName val="_o_to_Phong_816"/>
      <sheetName val="_o_to_Phong916"/>
      <sheetName val="_o_to_Phong1016"/>
      <sheetName val="_o_to_Phong1116"/>
      <sheetName val="_o_to_Phong12)16"/>
      <sheetName val="_o_to_Phong126"/>
      <sheetName val="_o_to_Phong216"/>
      <sheetName val="_o_to_Phong316"/>
      <sheetName val="_o_to_Phong416"/>
      <sheetName val="_o_to_Phong516"/>
      <sheetName val="_o_to_Dung_8_16"/>
      <sheetName val="_D_tt_dau816"/>
      <sheetName val="_o_to_Dung_916"/>
      <sheetName val="_D9_tt_dau16"/>
      <sheetName val="_D10_tt_dau16"/>
      <sheetName val="_o_to_Dung_1016"/>
      <sheetName val="_o_to_Dung_1116"/>
      <sheetName val="_o_to_Dung_12)16"/>
      <sheetName val="_o_to_Dung_126"/>
      <sheetName val="_o_to_Dung216"/>
      <sheetName val="_o_to_Dung316"/>
      <sheetName val="_o_to_Dung416"/>
      <sheetName val="_o_totrongT10-1216"/>
      <sheetName val="_o_totrongT216"/>
      <sheetName val="_o_totrungT10-1216"/>
      <sheetName val="_o_toMinhT10-12_16"/>
      <sheetName val="_o_toMinhT216"/>
      <sheetName val="_o_toTrieuT10-12__16"/>
      <sheetName val="Luong_8_SP16"/>
      <sheetName val="Luong_9_SP_16"/>
      <sheetName val="Luong_10_SP_16"/>
      <sheetName val="Luong_11_SP_16"/>
      <sheetName val="Luong_12_SP16"/>
      <sheetName val="Luong_1_SP116"/>
      <sheetName val="Luong_2_SP216"/>
      <sheetName val="Luong_3_SP316"/>
      <sheetName val="Luong_4_SP416"/>
      <sheetName val="Luong_4_SP516"/>
      <sheetName val="KL_VL16"/>
      <sheetName val="QT_9-616"/>
      <sheetName val="Thuong_luu_HB16"/>
      <sheetName val="QT_Ky_T16"/>
      <sheetName val="bc_vt_TON_BAI16"/>
      <sheetName val="QT_Duoc_(Hai)16"/>
      <sheetName val="sent_to16"/>
      <sheetName val="KLTong_hop16"/>
      <sheetName val="Lan_can16"/>
      <sheetName val="Ranh_doc_(2)16"/>
      <sheetName val="Ranh_doc16"/>
      <sheetName val="Coc_tieu16"/>
      <sheetName val="Bien_bao16"/>
      <sheetName val="Nan_tuyen16"/>
      <sheetName val="Lan_116"/>
      <sheetName val="Lan__216"/>
      <sheetName val="Lan_316"/>
      <sheetName val="Gia_tri16"/>
      <sheetName val="Lan_516"/>
      <sheetName val="Cong_hop16"/>
      <sheetName val="kldukien_(107)16"/>
      <sheetName val="qui1_(2)16"/>
      <sheetName val="cap_so_lan_216"/>
      <sheetName val="cap_so_BHXH16"/>
      <sheetName val="tru_tien16"/>
      <sheetName val="yt_q216"/>
      <sheetName val="c45_t316"/>
      <sheetName val="c45_t616"/>
      <sheetName val="BHYT_Q3_200316"/>
      <sheetName val="C45_t716"/>
      <sheetName val="C47-t07_200316"/>
      <sheetName val="C45_t816"/>
      <sheetName val="C47-t08_200316"/>
      <sheetName val="C45_t0916"/>
      <sheetName val="C47-t09_200316"/>
      <sheetName val="C47_T1216"/>
      <sheetName val="BHYT_Q4-200316"/>
      <sheetName val="C45_T1016"/>
      <sheetName val="binh_do16"/>
      <sheetName val="cot_lieu16"/>
      <sheetName val="van_khuon16"/>
      <sheetName val="CT_BT16"/>
      <sheetName val="lay_mau16"/>
      <sheetName val="mat_ngoai_goi16"/>
      <sheetName val="coc_tram-bt16"/>
      <sheetName val="cong_bien_t1014"/>
      <sheetName val="luong_t9_14"/>
      <sheetName val="bb_t914"/>
      <sheetName val="KL_XL200014"/>
      <sheetName val="Chiet_tinh14"/>
      <sheetName val="Van_chuyen14"/>
      <sheetName val="THKP_(2)14"/>
      <sheetName val="T_Bi14"/>
      <sheetName val="Thiet_ke14"/>
      <sheetName val="K_luong14"/>
      <sheetName val="TT_L214"/>
      <sheetName val="TT_L114"/>
      <sheetName val="Thue_Ngoai14"/>
      <sheetName val="Dong_Dau14"/>
      <sheetName val="Dong_Dau_(2)14"/>
      <sheetName val="Sau_dong14"/>
      <sheetName val="Ma_xa14"/>
      <sheetName val="My_dinh14"/>
      <sheetName val="Tong_cong14"/>
      <sheetName val="Chi_tiet_-_Dv_lap14"/>
      <sheetName val="TH_KHTC14"/>
      <sheetName val="Gia_VL14"/>
      <sheetName val="Bang_gia_ca_may14"/>
      <sheetName val="Bang_luong_CB14"/>
      <sheetName val="Bang_P_tich_CT14"/>
      <sheetName val="D_toan_chi_tiet14"/>
      <sheetName val="Bang_TH_Dtoan14"/>
      <sheetName val="LUAN_CHUYEN14"/>
      <sheetName val="KE_QUY14"/>
      <sheetName val="LUONGGIAN_TIEP14"/>
      <sheetName val="VAY_VON14"/>
      <sheetName val="O_THAO14"/>
      <sheetName val="Q_TRUNG14"/>
      <sheetName val="Y_THANH14"/>
      <sheetName val="Sheet2_(2)14"/>
      <sheetName val="KH_2003_(moi_max)14"/>
      <sheetName val="Interim_payment14"/>
      <sheetName val="Bid_Sum14"/>
      <sheetName val="Item_B14"/>
      <sheetName val="Dg_A14"/>
      <sheetName val="Dg_B&amp;C14"/>
      <sheetName val="Material_at_site14"/>
      <sheetName val="Bang_VL14"/>
      <sheetName val="VL(No_V-c)14"/>
      <sheetName val="He_so14"/>
      <sheetName val="PL_Vua14"/>
      <sheetName val="Chitieu-dam_cac_loai14"/>
      <sheetName val="DG_Dam14"/>
      <sheetName val="DG_chung14"/>
      <sheetName val="VL-dac_chung14"/>
      <sheetName val="CT_1md_&amp;_dau_cong14"/>
      <sheetName val="Tong_hop14"/>
      <sheetName val="CT_cong14"/>
      <sheetName val="dg_cong14"/>
      <sheetName val="CDSL_(2)14"/>
      <sheetName val="__14"/>
      <sheetName val="san_vuon14"/>
      <sheetName val="khu_phu_tro14"/>
      <sheetName val="Thuyet_minh14"/>
      <sheetName val="be_tong14"/>
      <sheetName val="Tong_hop_thep14"/>
      <sheetName val="phan_tich_DG14"/>
      <sheetName val="gia_vat_lieu14"/>
      <sheetName val="gia_xe_may14"/>
      <sheetName val="gia_nhan_cong14"/>
      <sheetName val="BCC_(2)14"/>
      <sheetName val="Bao_cao14"/>
      <sheetName val="Bao_cao_214"/>
      <sheetName val="Khoi_luong14"/>
      <sheetName val="Khoi_luong_mat14"/>
      <sheetName val="Bang_ke14"/>
      <sheetName val="T_HopKL14"/>
      <sheetName val="S_Luong14"/>
      <sheetName val="D_Dap14"/>
      <sheetName val="Q_Toan14"/>
      <sheetName val="Phan_tich_chi_phi14"/>
      <sheetName val="Chi_phi_nen_theo_BVTC14"/>
      <sheetName val="nhan_cong_phu14"/>
      <sheetName val="nhan_cong_Hung14"/>
      <sheetName val="Nhan_cong14"/>
      <sheetName val="Khoi_luong_nen_theo_BVTC14"/>
      <sheetName val="cap_cho_cac_DT14"/>
      <sheetName val="Ung_-_hoan14"/>
      <sheetName val="CP_may14"/>
      <sheetName val="Phu_luc14"/>
      <sheetName val="Gia_trÞ14"/>
      <sheetName val="DS_them_luong_qui_4-200214"/>
      <sheetName val="Phuc_loi_2-9-0214"/>
      <sheetName val="Thuong_nhan_dip_21-12-0214"/>
      <sheetName val="Thuong_dip_nhan_danh_hieu_AHL14"/>
      <sheetName val="Thang_luong_thu_13_nam_200214"/>
      <sheetName val="Luong_SX#_dip_Tet_Qui_Mui(don14"/>
      <sheetName val="CT_Duong14"/>
      <sheetName val="D_gia14"/>
      <sheetName val="T_hop14"/>
      <sheetName val="CtP_tro14"/>
      <sheetName val="Nha_moi14"/>
      <sheetName val="TT-T_Tron_So_214"/>
      <sheetName val="Ct_Dam_14"/>
      <sheetName val="Ct_Duoi14"/>
      <sheetName val="Ct_Tren14"/>
      <sheetName val="D_giaMay14"/>
      <sheetName val="26+180-400_214"/>
      <sheetName val="26+180_Sub114"/>
      <sheetName val="26+180_Sub414"/>
      <sheetName val="26+180-400_5(k95)14"/>
      <sheetName val="26+400-620_3(k95)14"/>
      <sheetName val="26+400-640_1(k95)14"/>
      <sheetName val="26+960-27+150_914"/>
      <sheetName val="26+960-27+150_1014"/>
      <sheetName val="26+960-27+150_1114"/>
      <sheetName val="26+960-27+150_1214"/>
      <sheetName val="26+960-27+150_5(k95)14"/>
      <sheetName val="26+960-27+150_4(k95)14"/>
      <sheetName val="26+960-27+150_1(k95)14"/>
      <sheetName val="27+500-700_5(k95)14"/>
      <sheetName val="27+500-700_4(k95)14"/>
      <sheetName val="27+500-700_3(k95)14"/>
      <sheetName val="27+500-700_1(k95)14"/>
      <sheetName val="27+740-920_3(k95)14"/>
      <sheetName val="27+740-920_2114"/>
      <sheetName val="27+920-28+040_6,714"/>
      <sheetName val="27+920-28+040_1014"/>
      <sheetName val="27+920-28+160_Su314"/>
      <sheetName val="28+160-28+420_5K9514"/>
      <sheetName val="28+430-657_714"/>
      <sheetName val="Km28+430-657_814"/>
      <sheetName val="28+430-657_914"/>
      <sheetName val="28+430-667_1014"/>
      <sheetName val="28+430-657_1114"/>
      <sheetName val="28+430-657_4k9514"/>
      <sheetName val="28+500-657_1814"/>
      <sheetName val="28+520-657_1914"/>
      <sheetName val="C_TIEU14"/>
      <sheetName val="T_Luong14"/>
      <sheetName val="T_HAO14"/>
      <sheetName val="DT_TUYEN14"/>
      <sheetName val="DT_GIA14"/>
      <sheetName val="KHDT_(2)14"/>
      <sheetName val="CL_14"/>
      <sheetName val="KQ_(2)14"/>
      <sheetName val="Quang_Tri14"/>
      <sheetName val="Da_Nang14"/>
      <sheetName val="Quang_Nam14"/>
      <sheetName val="Quang_Ngai14"/>
      <sheetName val="TH_DH-QN14"/>
      <sheetName val="KP_HD14"/>
      <sheetName val="DB_HD14"/>
      <sheetName val="vat_tu14"/>
      <sheetName val="Thep_14"/>
      <sheetName val="Chi_tiet_Khoi_luong14"/>
      <sheetName val="TH_khoi_luong14"/>
      <sheetName val="Chiet_tinh_vat_lieu_14"/>
      <sheetName val="TH_KL_VL14"/>
      <sheetName val="AC_PC14"/>
      <sheetName val="TAI_TRONG14"/>
      <sheetName val="NOI_LUC14"/>
      <sheetName val="TINH_DUYET_THTT_CHINH14"/>
      <sheetName val="TDUYET_THTT_PHU14"/>
      <sheetName val="TINH_DAO_DONG_VA_DO_VONG14"/>
      <sheetName val="TINH_NEO14"/>
      <sheetName val="tong_hop_thanh_toan_thue14"/>
      <sheetName val="bang_ke_nop_thue14"/>
      <sheetName val="Tonh_hop_chi_phi14"/>
      <sheetName val="BK_chi_phi14"/>
      <sheetName val="KTra_DS_va_thue_GTGT14"/>
      <sheetName val="Kiãøm_tra_DS_thue_GTGT14"/>
      <sheetName val="XUAT(gia_von)14"/>
      <sheetName val="Xuat_(gia_ban)14"/>
      <sheetName val="Dchinh_TH_N-X-T14"/>
      <sheetName val="Tong_hop_N-X-T14"/>
      <sheetName val="thue_TH14"/>
      <sheetName val="tong_hop_200114"/>
      <sheetName val="qUYET_TOAN_THUE14"/>
      <sheetName val="BU_CTPH14"/>
      <sheetName val="BU_tran3+360_2214"/>
      <sheetName val="Tran3+360_2214"/>
      <sheetName val="BU_tran2+386_414"/>
      <sheetName val="Tran2+386_414"/>
      <sheetName val="DTcong_4-514"/>
      <sheetName val="Bu_1-214"/>
      <sheetName val="Bu_12-1314"/>
      <sheetName val="DTcong_12-1314"/>
      <sheetName val="DT_cong13-13+14"/>
      <sheetName val="BU-_nhanh14"/>
      <sheetName val="dtcong_nh1-214"/>
      <sheetName val="dtcong_nh0-114"/>
      <sheetName val="BU_11-1214"/>
      <sheetName val="DTcong_11-1214"/>
      <sheetName val="Pr-_CC14"/>
      <sheetName val="MD_3-414"/>
      <sheetName val="ND_3-414"/>
      <sheetName val="MD_1-214"/>
      <sheetName val="ND_1-214"/>
      <sheetName val="MD_0-114"/>
      <sheetName val="ND_0-114"/>
      <sheetName val="KL_tong14"/>
      <sheetName val="TH_(T1-6)14"/>
      <sheetName val="_NL14"/>
      <sheetName val="_NL_(2)14"/>
      <sheetName val="CDTHCT_(3)14"/>
      <sheetName val="thkl_(2)14"/>
      <sheetName val="long_tec14"/>
      <sheetName val="cd_viaK0-T614"/>
      <sheetName val="cdvia_T6-Tc2414"/>
      <sheetName val="cdvia_Tc24-T4614"/>
      <sheetName val="cd_btnL2k0+361-T1914"/>
      <sheetName val="CT_xa14"/>
      <sheetName val="CDTHU_CHI_T114"/>
      <sheetName val="THUCHI_214"/>
      <sheetName val="THU_CHI314"/>
      <sheetName val="THU_CHI_414"/>
      <sheetName val="THU_CHI514"/>
      <sheetName val="THU_CHI_614"/>
      <sheetName val="TU_CHI_714"/>
      <sheetName val="THU_CHI914"/>
      <sheetName val="THU_CHI_814"/>
      <sheetName val="THU_CHI_1014"/>
      <sheetName val="THU_CHI_1114"/>
      <sheetName val="THU_CHI_1214"/>
      <sheetName val="Xep_hang_20114"/>
      <sheetName val="toan_Cty14"/>
      <sheetName val="Cong_ty14"/>
      <sheetName val="XN_214"/>
      <sheetName val="XN_ong_CHi14"/>
      <sheetName val="N_XDCT&amp;_XKLD14"/>
      <sheetName val="CN_HCM14"/>
      <sheetName val="TT_XKLD(Nhan)14"/>
      <sheetName val="Ong_Hong14"/>
      <sheetName val="CN_hung_yen14"/>
      <sheetName val="Dong_nai14"/>
      <sheetName val="K249_K9814"/>
      <sheetName val="K249_K98_(2)14"/>
      <sheetName val="K251_K9814"/>
      <sheetName val="K251_SBase14"/>
      <sheetName val="K251_AC14"/>
      <sheetName val="K252_K9814"/>
      <sheetName val="K252_SBase14"/>
      <sheetName val="K252_AC14"/>
      <sheetName val="K253_K9814"/>
      <sheetName val="K253_Subbase14"/>
      <sheetName val="K253_Base_14"/>
      <sheetName val="K253_SBase14"/>
      <sheetName val="K253_AC14"/>
      <sheetName val="K255_SBase14"/>
      <sheetName val="K259_K9814"/>
      <sheetName val="K259_Subbase14"/>
      <sheetName val="K259_Base_14"/>
      <sheetName val="K259_AC14"/>
      <sheetName val="K260_K9814"/>
      <sheetName val="K260_Subbase14"/>
      <sheetName val="K260_Base14"/>
      <sheetName val="K260_AC14"/>
      <sheetName val="K261_K9814"/>
      <sheetName val="K261_Base14"/>
      <sheetName val="K261_AC14"/>
      <sheetName val="KL_Tram_Cty14"/>
      <sheetName val="Gam_may_Cty14"/>
      <sheetName val="KL_tram_KH14"/>
      <sheetName val="Gam_may_KH14"/>
      <sheetName val="Cach_dien14"/>
      <sheetName val="Mang_tai14"/>
      <sheetName val="KL_DDK14"/>
      <sheetName val="Mang_tai_DDK14"/>
      <sheetName val="KL_DDK0,414"/>
      <sheetName val="TT_Ky_thuat14"/>
      <sheetName val="CT_moi14"/>
      <sheetName val="Tu_dien14"/>
      <sheetName val="May_cat14"/>
      <sheetName val="Dao_Cly14"/>
      <sheetName val="Dao_Ptai14"/>
      <sheetName val="Tu_RMU14"/>
      <sheetName val="C_set14"/>
      <sheetName val="Sco_Cap14"/>
      <sheetName val="Sco_TB14"/>
      <sheetName val="TN_tram14"/>
      <sheetName val="TN_C_set14"/>
      <sheetName val="TN_TD_DDay14"/>
      <sheetName val="Phan_chung14"/>
      <sheetName val="cong_Q214"/>
      <sheetName val="T_U_luong_Q114"/>
      <sheetName val="T_U_luong_Q214"/>
      <sheetName val="T_U_luong_Q314"/>
      <sheetName val="Quyet_toan14"/>
      <sheetName val="Thu_hoi14"/>
      <sheetName val="Lai_vay14"/>
      <sheetName val="Tien_vay14"/>
      <sheetName val="Cong_no14"/>
      <sheetName val="Cop_pha14"/>
      <sheetName val="Gia_DAN14"/>
      <sheetName val="Phu_luc_HD14"/>
      <sheetName val="Gia_du_thau14"/>
      <sheetName val="Ca_xe14"/>
      <sheetName val="Dc_Dau14"/>
      <sheetName val="_o_to_Hien_814"/>
      <sheetName val="_o_to_Hien914"/>
      <sheetName val="_o_to_Hien1014"/>
      <sheetName val="_o_to_Hien1114"/>
      <sheetName val="_o_to_Hien12)14"/>
      <sheetName val="_o_to_Hien124"/>
      <sheetName val="_o_to_Hien214"/>
      <sheetName val="_o_to_Hien314"/>
      <sheetName val="_o_to_Hien414"/>
      <sheetName val="_o_to_Hien514"/>
      <sheetName val="_o_to_Phong_814"/>
      <sheetName val="_o_to_Phong914"/>
      <sheetName val="_o_to_Phong1014"/>
      <sheetName val="_o_to_Phong1114"/>
      <sheetName val="_o_to_Phong12)14"/>
      <sheetName val="_o_to_Phong124"/>
      <sheetName val="_o_to_Phong214"/>
      <sheetName val="_o_to_Phong314"/>
      <sheetName val="_o_to_Phong414"/>
      <sheetName val="_o_to_Phong514"/>
      <sheetName val="_o_to_Dung_8_14"/>
      <sheetName val="_D_tt_dau814"/>
      <sheetName val="_o_to_Dung_914"/>
      <sheetName val="_D9_tt_dau14"/>
      <sheetName val="_D10_tt_dau14"/>
      <sheetName val="_o_to_Dung_1014"/>
      <sheetName val="_o_to_Dung_1114"/>
      <sheetName val="_o_to_Dung_12)14"/>
      <sheetName val="_o_to_Dung_124"/>
      <sheetName val="_o_to_Dung214"/>
      <sheetName val="_o_to_Dung314"/>
      <sheetName val="_o_to_Dung414"/>
      <sheetName val="_o_totrongT10-1214"/>
      <sheetName val="_o_totrongT214"/>
      <sheetName val="_o_totrungT10-1214"/>
      <sheetName val="_o_toMinhT10-12_14"/>
      <sheetName val="_o_toMinhT214"/>
      <sheetName val="_o_toTrieuT10-12__14"/>
      <sheetName val="Luong_8_SP14"/>
      <sheetName val="Luong_9_SP_14"/>
      <sheetName val="Luong_10_SP_14"/>
      <sheetName val="Luong_11_SP_14"/>
      <sheetName val="Luong_12_SP14"/>
      <sheetName val="Luong_1_SP114"/>
      <sheetName val="Luong_2_SP214"/>
      <sheetName val="Luong_3_SP314"/>
      <sheetName val="Luong_4_SP414"/>
      <sheetName val="Luong_4_SP514"/>
      <sheetName val="KL_VL14"/>
      <sheetName val="QT_9-614"/>
      <sheetName val="Thuong_luu_HB14"/>
      <sheetName val="QT_Ky_T14"/>
      <sheetName val="bc_vt_TON_BAI14"/>
      <sheetName val="QT_Duoc_(Hai)14"/>
      <sheetName val="sent_to14"/>
      <sheetName val="KLTong_hop14"/>
      <sheetName val="Lan_can14"/>
      <sheetName val="Ranh_doc_(2)14"/>
      <sheetName val="Ranh_doc14"/>
      <sheetName val="Coc_tieu14"/>
      <sheetName val="Bien_bao14"/>
      <sheetName val="Nan_tuyen14"/>
      <sheetName val="Lan_114"/>
      <sheetName val="Lan__214"/>
      <sheetName val="Lan_314"/>
      <sheetName val="Gia_tri14"/>
      <sheetName val="Lan_514"/>
      <sheetName val="Cong_hop14"/>
      <sheetName val="kldukien_(107)14"/>
      <sheetName val="qui1_(2)14"/>
      <sheetName val="cap_so_lan_214"/>
      <sheetName val="cap_so_BHXH14"/>
      <sheetName val="tru_tien14"/>
      <sheetName val="yt_q214"/>
      <sheetName val="c45_t314"/>
      <sheetName val="c45_t614"/>
      <sheetName val="BHYT_Q3_200314"/>
      <sheetName val="C45_t714"/>
      <sheetName val="C47-t07_200314"/>
      <sheetName val="C45_t814"/>
      <sheetName val="C47-t08_200314"/>
      <sheetName val="C45_t0914"/>
      <sheetName val="C47-t09_200314"/>
      <sheetName val="C47_T1214"/>
      <sheetName val="BHYT_Q4-200314"/>
      <sheetName val="C45_T1014"/>
      <sheetName val="binh_do14"/>
      <sheetName val="cot_lieu14"/>
      <sheetName val="van_khuon14"/>
      <sheetName val="CT_BT14"/>
      <sheetName val="lay_mau14"/>
      <sheetName val="mat_ngoai_goi14"/>
      <sheetName val="coc_tram-bt14"/>
      <sheetName val="cong_bien_t1011"/>
      <sheetName val="luong_t9_11"/>
      <sheetName val="bb_t911"/>
      <sheetName val="KL_XL200011"/>
      <sheetName val="Chiet_tinh11"/>
      <sheetName val="Van_chuyen11"/>
      <sheetName val="THKP_(2)11"/>
      <sheetName val="T_Bi11"/>
      <sheetName val="Thiet_ke11"/>
      <sheetName val="K_luong11"/>
      <sheetName val="TT_L211"/>
      <sheetName val="TT_L111"/>
      <sheetName val="Thue_Ngoai11"/>
      <sheetName val="Dong_Dau11"/>
      <sheetName val="Dong_Dau_(2)11"/>
      <sheetName val="Sau_dong11"/>
      <sheetName val="Ma_xa11"/>
      <sheetName val="My_dinh11"/>
      <sheetName val="Tong_cong11"/>
      <sheetName val="Chi_tiet_-_Dv_lap11"/>
      <sheetName val="TH_KHTC11"/>
      <sheetName val="Gia_VL11"/>
      <sheetName val="Bang_gia_ca_may11"/>
      <sheetName val="Bang_luong_CB11"/>
      <sheetName val="Bang_P_tich_CT11"/>
      <sheetName val="D_toan_chi_tiet11"/>
      <sheetName val="Bang_TH_Dtoan11"/>
      <sheetName val="LUAN_CHUYEN11"/>
      <sheetName val="KE_QUY11"/>
      <sheetName val="LUONGGIAN_TIEP11"/>
      <sheetName val="VAY_VON11"/>
      <sheetName val="O_THAO11"/>
      <sheetName val="Q_TRUNG11"/>
      <sheetName val="Y_THANH11"/>
      <sheetName val="Sheet2_(2)11"/>
      <sheetName val="KH_2003_(moi_max)11"/>
      <sheetName val="Interim_payment11"/>
      <sheetName val="Bid_Sum11"/>
      <sheetName val="Item_B11"/>
      <sheetName val="Dg_A11"/>
      <sheetName val="Dg_B&amp;C11"/>
      <sheetName val="Material_at_site11"/>
      <sheetName val="Bang_VL11"/>
      <sheetName val="VL(No_V-c)11"/>
      <sheetName val="He_so11"/>
      <sheetName val="PL_Vua11"/>
      <sheetName val="Chitieu-dam_cac_loai11"/>
      <sheetName val="DG_Dam11"/>
      <sheetName val="DG_chung11"/>
      <sheetName val="VL-dac_chung11"/>
      <sheetName val="CT_1md_&amp;_dau_cong11"/>
      <sheetName val="Tong_hop11"/>
      <sheetName val="CT_cong11"/>
      <sheetName val="dg_cong11"/>
      <sheetName val="CDSL_(2)11"/>
      <sheetName val="__11"/>
      <sheetName val="san_vuon11"/>
      <sheetName val="khu_phu_tro11"/>
      <sheetName val="Thuyet_minh11"/>
      <sheetName val="be_tong11"/>
      <sheetName val="Tong_hop_thep11"/>
      <sheetName val="phan_tich_DG11"/>
      <sheetName val="gia_vat_lieu11"/>
      <sheetName val="gia_xe_may11"/>
      <sheetName val="gia_nhan_cong11"/>
      <sheetName val="BCC_(2)11"/>
      <sheetName val="Bao_cao11"/>
      <sheetName val="Bao_cao_211"/>
      <sheetName val="Khoi_luong11"/>
      <sheetName val="Khoi_luong_mat11"/>
      <sheetName val="Bang_ke11"/>
      <sheetName val="T_HopKL11"/>
      <sheetName val="S_Luong11"/>
      <sheetName val="D_Dap11"/>
      <sheetName val="Q_Toan11"/>
      <sheetName val="Phan_tich_chi_phi11"/>
      <sheetName val="Chi_phi_nen_theo_BVTC11"/>
      <sheetName val="nhan_cong_phu11"/>
      <sheetName val="nhan_cong_Hung11"/>
      <sheetName val="Nhan_cong11"/>
      <sheetName val="Khoi_luong_nen_theo_BVTC11"/>
      <sheetName val="cap_cho_cac_DT11"/>
      <sheetName val="Ung_-_hoan11"/>
      <sheetName val="CP_may11"/>
      <sheetName val="Phu_luc11"/>
      <sheetName val="Gia_trÞ11"/>
      <sheetName val="DS_them_luong_qui_4-200211"/>
      <sheetName val="Phuc_loi_2-9-0211"/>
      <sheetName val="Thuong_nhan_dip_21-12-0211"/>
      <sheetName val="Thuong_dip_nhan_danh_hieu_AHL11"/>
      <sheetName val="Thang_luong_thu_13_nam_200211"/>
      <sheetName val="Luong_SX#_dip_Tet_Qui_Mui(don11"/>
      <sheetName val="CT_Duong11"/>
      <sheetName val="D_gia11"/>
      <sheetName val="T_hop11"/>
      <sheetName val="CtP_tro11"/>
      <sheetName val="Nha_moi11"/>
      <sheetName val="TT-T_Tron_So_211"/>
      <sheetName val="Ct_Dam_11"/>
      <sheetName val="Ct_Duoi11"/>
      <sheetName val="Ct_Tren11"/>
      <sheetName val="D_giaMay11"/>
      <sheetName val="26+180-400_211"/>
      <sheetName val="26+180_Sub111"/>
      <sheetName val="26+180_Sub411"/>
      <sheetName val="26+180-400_5(k95)11"/>
      <sheetName val="26+400-620_3(k95)11"/>
      <sheetName val="26+400-640_1(k95)11"/>
      <sheetName val="26+960-27+150_911"/>
      <sheetName val="26+960-27+150_1011"/>
      <sheetName val="26+960-27+150_1111"/>
      <sheetName val="26+960-27+150_1211"/>
      <sheetName val="26+960-27+150_5(k95)11"/>
      <sheetName val="26+960-27+150_4(k95)11"/>
      <sheetName val="26+960-27+150_1(k95)11"/>
      <sheetName val="27+500-700_5(k95)11"/>
      <sheetName val="27+500-700_4(k95)11"/>
      <sheetName val="27+500-700_3(k95)11"/>
      <sheetName val="27+500-700_1(k95)11"/>
      <sheetName val="27+740-920_3(k95)11"/>
      <sheetName val="27+740-920_2111"/>
      <sheetName val="27+920-28+040_6,711"/>
      <sheetName val="27+920-28+040_1011"/>
      <sheetName val="27+920-28+160_Su311"/>
      <sheetName val="28+160-28+420_5K9511"/>
      <sheetName val="28+430-657_711"/>
      <sheetName val="Km28+430-657_811"/>
      <sheetName val="28+430-657_911"/>
      <sheetName val="28+430-667_1011"/>
      <sheetName val="28+430-657_1111"/>
      <sheetName val="28+430-657_4k9511"/>
      <sheetName val="28+500-657_1811"/>
      <sheetName val="28+520-657_1911"/>
      <sheetName val="C_TIEU11"/>
      <sheetName val="T_Luong11"/>
      <sheetName val="T_HAO11"/>
      <sheetName val="DT_TUYEN11"/>
      <sheetName val="DT_GIA11"/>
      <sheetName val="KHDT_(2)11"/>
      <sheetName val="CL_11"/>
      <sheetName val="KQ_(2)11"/>
      <sheetName val="Quang_Tri11"/>
      <sheetName val="Da_Nang11"/>
      <sheetName val="Quang_Nam11"/>
      <sheetName val="Quang_Ngai11"/>
      <sheetName val="TH_DH-QN11"/>
      <sheetName val="KP_HD11"/>
      <sheetName val="DB_HD11"/>
      <sheetName val="vat_tu11"/>
      <sheetName val="Thep_11"/>
      <sheetName val="Chi_tiet_Khoi_luong11"/>
      <sheetName val="TH_khoi_luong11"/>
      <sheetName val="Chiet_tinh_vat_lieu_11"/>
      <sheetName val="TH_KL_VL11"/>
      <sheetName val="AC_PC11"/>
      <sheetName val="TAI_TRONG11"/>
      <sheetName val="NOI_LUC11"/>
      <sheetName val="TINH_DUYET_THTT_CHINH11"/>
      <sheetName val="TDUYET_THTT_PHU11"/>
      <sheetName val="TINH_DAO_DONG_VA_DO_VONG11"/>
      <sheetName val="TINH_NEO11"/>
      <sheetName val="tong_hop_thanh_toan_thue11"/>
      <sheetName val="bang_ke_nop_thue11"/>
      <sheetName val="Tonh_hop_chi_phi11"/>
      <sheetName val="BK_chi_phi11"/>
      <sheetName val="KTra_DS_va_thue_GTGT11"/>
      <sheetName val="Kiãøm_tra_DS_thue_GTGT11"/>
      <sheetName val="XUAT(gia_von)11"/>
      <sheetName val="Xuat_(gia_ban)11"/>
      <sheetName val="Dchinh_TH_N-X-T11"/>
      <sheetName val="Tong_hop_N-X-T11"/>
      <sheetName val="thue_TH11"/>
      <sheetName val="tong_hop_200111"/>
      <sheetName val="qUYET_TOAN_THUE11"/>
      <sheetName val="BU_CTPH11"/>
      <sheetName val="BU_tran3+360_2211"/>
      <sheetName val="Tran3+360_2211"/>
      <sheetName val="BU_tran2+386_411"/>
      <sheetName val="Tran2+386_411"/>
      <sheetName val="DTcong_4-511"/>
      <sheetName val="Bu_1-211"/>
      <sheetName val="Bu_12-1311"/>
      <sheetName val="DTcong_12-1311"/>
      <sheetName val="DT_cong13-13+11"/>
      <sheetName val="BU-_nhanh11"/>
      <sheetName val="dtcong_nh1-211"/>
      <sheetName val="dtcong_nh0-111"/>
      <sheetName val="BU_11-1211"/>
      <sheetName val="DTcong_11-1211"/>
      <sheetName val="Pr-_CC11"/>
      <sheetName val="MD_3-411"/>
      <sheetName val="ND_3-411"/>
      <sheetName val="MD_1-211"/>
      <sheetName val="ND_1-211"/>
      <sheetName val="MD_0-111"/>
      <sheetName val="ND_0-111"/>
      <sheetName val="KL_tong11"/>
      <sheetName val="TH_(T1-6)11"/>
      <sheetName val="_NL11"/>
      <sheetName val="_NL_(2)11"/>
      <sheetName val="CDTHCT_(3)11"/>
      <sheetName val="thkl_(2)11"/>
      <sheetName val="long_tec11"/>
      <sheetName val="cd_viaK0-T611"/>
      <sheetName val="cdvia_T6-Tc2411"/>
      <sheetName val="cdvia_Tc24-T4611"/>
      <sheetName val="cd_btnL2k0+361-T1911"/>
      <sheetName val="CT_xa11"/>
      <sheetName val="CDTHU_CHI_T111"/>
      <sheetName val="THUCHI_211"/>
      <sheetName val="THU_CHI311"/>
      <sheetName val="THU_CHI_411"/>
      <sheetName val="THU_CHI511"/>
      <sheetName val="THU_CHI_611"/>
      <sheetName val="TU_CHI_711"/>
      <sheetName val="THU_CHI911"/>
      <sheetName val="THU_CHI_811"/>
      <sheetName val="THU_CHI_1011"/>
      <sheetName val="THU_CHI_1111"/>
      <sheetName val="THU_CHI_1211"/>
      <sheetName val="Xep_hang_20111"/>
      <sheetName val="toan_Cty11"/>
      <sheetName val="Cong_ty11"/>
      <sheetName val="XN_211"/>
      <sheetName val="XN_ong_CHi11"/>
      <sheetName val="N_XDCT&amp;_XKLD11"/>
      <sheetName val="CN_HCM11"/>
      <sheetName val="TT_XKLD(Nhan)11"/>
      <sheetName val="Ong_Hong11"/>
      <sheetName val="CN_hung_yen11"/>
      <sheetName val="Dong_nai11"/>
      <sheetName val="K249_K9811"/>
      <sheetName val="K249_K98_(2)11"/>
      <sheetName val="K251_K9811"/>
      <sheetName val="K251_SBase11"/>
      <sheetName val="K251_AC11"/>
      <sheetName val="K252_K9811"/>
      <sheetName val="K252_SBase11"/>
      <sheetName val="K252_AC11"/>
      <sheetName val="K253_K9811"/>
      <sheetName val="K253_Subbase11"/>
      <sheetName val="K253_Base_11"/>
      <sheetName val="K253_SBase11"/>
      <sheetName val="K253_AC11"/>
      <sheetName val="K255_SBase11"/>
      <sheetName val="K259_K9811"/>
      <sheetName val="K259_Subbase11"/>
      <sheetName val="K259_Base_11"/>
      <sheetName val="K259_AC11"/>
      <sheetName val="K260_K9811"/>
      <sheetName val="K260_Subbase11"/>
      <sheetName val="K260_Base11"/>
      <sheetName val="K260_AC11"/>
      <sheetName val="K261_K9811"/>
      <sheetName val="K261_Base11"/>
      <sheetName val="K261_AC11"/>
      <sheetName val="KL_Tram_Cty11"/>
      <sheetName val="Gam_may_Cty11"/>
      <sheetName val="KL_tram_KH11"/>
      <sheetName val="Gam_may_KH11"/>
      <sheetName val="Cach_dien11"/>
      <sheetName val="Mang_tai11"/>
      <sheetName val="KL_DDK11"/>
      <sheetName val="Mang_tai_DDK11"/>
      <sheetName val="KL_DDK0,411"/>
      <sheetName val="TT_Ky_thuat11"/>
      <sheetName val="CT_moi11"/>
      <sheetName val="Tu_dien11"/>
      <sheetName val="May_cat11"/>
      <sheetName val="Dao_Cly11"/>
      <sheetName val="Dao_Ptai11"/>
      <sheetName val="Tu_RMU11"/>
      <sheetName val="C_set11"/>
      <sheetName val="Sco_Cap11"/>
      <sheetName val="Sco_TB11"/>
      <sheetName val="TN_tram11"/>
      <sheetName val="TN_C_set11"/>
      <sheetName val="TN_TD_DDay11"/>
      <sheetName val="Phan_chung11"/>
      <sheetName val="cong_Q211"/>
      <sheetName val="T_U_luong_Q111"/>
      <sheetName val="T_U_luong_Q211"/>
      <sheetName val="T_U_luong_Q311"/>
      <sheetName val="Quyet_toan11"/>
      <sheetName val="Thu_hoi11"/>
      <sheetName val="Lai_vay11"/>
      <sheetName val="Tien_vay11"/>
      <sheetName val="Cong_no11"/>
      <sheetName val="Cop_pha11"/>
      <sheetName val="Gia_DAN11"/>
      <sheetName val="Phu_luc_HD11"/>
      <sheetName val="Gia_du_thau11"/>
      <sheetName val="Ca_xe11"/>
      <sheetName val="Dc_Dau11"/>
      <sheetName val="_o_to_Hien_811"/>
      <sheetName val="_o_to_Hien911"/>
      <sheetName val="_o_to_Hien1011"/>
      <sheetName val="_o_to_Hien1111"/>
      <sheetName val="_o_to_Hien12)11"/>
      <sheetName val="_o_to_Hien121"/>
      <sheetName val="_o_to_Hien211"/>
      <sheetName val="_o_to_Hien311"/>
      <sheetName val="_o_to_Hien411"/>
      <sheetName val="_o_to_Hien511"/>
      <sheetName val="_o_to_Phong_811"/>
      <sheetName val="_o_to_Phong911"/>
      <sheetName val="_o_to_Phong1011"/>
      <sheetName val="_o_to_Phong1111"/>
      <sheetName val="_o_to_Phong12)11"/>
      <sheetName val="_o_to_Phong121"/>
      <sheetName val="_o_to_Phong211"/>
      <sheetName val="_o_to_Phong311"/>
      <sheetName val="_o_to_Phong411"/>
      <sheetName val="_o_to_Phong511"/>
      <sheetName val="_o_to_Dung_8_11"/>
      <sheetName val="_D_tt_dau811"/>
      <sheetName val="_o_to_Dung_911"/>
      <sheetName val="_D9_tt_dau11"/>
      <sheetName val="_D10_tt_dau11"/>
      <sheetName val="_o_to_Dung_1011"/>
      <sheetName val="_o_to_Dung_1111"/>
      <sheetName val="_o_to_Dung_12)11"/>
      <sheetName val="_o_to_Dung_121"/>
      <sheetName val="_o_to_Dung211"/>
      <sheetName val="_o_to_Dung311"/>
      <sheetName val="_o_to_Dung411"/>
      <sheetName val="_o_totrongT10-1211"/>
      <sheetName val="_o_totrongT211"/>
      <sheetName val="_o_totrungT10-1211"/>
      <sheetName val="_o_toMinhT10-12_11"/>
      <sheetName val="_o_toMinhT211"/>
      <sheetName val="_o_toTrieuT10-12__11"/>
      <sheetName val="Luong_8_SP11"/>
      <sheetName val="Luong_9_SP_11"/>
      <sheetName val="Luong_10_SP_11"/>
      <sheetName val="Luong_11_SP_11"/>
      <sheetName val="Luong_12_SP11"/>
      <sheetName val="Luong_1_SP111"/>
      <sheetName val="Luong_2_SP211"/>
      <sheetName val="Luong_3_SP311"/>
      <sheetName val="Luong_4_SP411"/>
      <sheetName val="Luong_4_SP511"/>
      <sheetName val="KL_VL11"/>
      <sheetName val="QT_9-611"/>
      <sheetName val="Thuong_luu_HB11"/>
      <sheetName val="QT_Ky_T11"/>
      <sheetName val="bc_vt_TON_BAI11"/>
      <sheetName val="QT_Duoc_(Hai)11"/>
      <sheetName val="sent_to11"/>
      <sheetName val="KLTong_hop11"/>
      <sheetName val="Lan_can11"/>
      <sheetName val="Ranh_doc_(2)11"/>
      <sheetName val="Ranh_doc11"/>
      <sheetName val="Coc_tieu11"/>
      <sheetName val="Bien_bao11"/>
      <sheetName val="Nan_tuyen11"/>
      <sheetName val="Lan_111"/>
      <sheetName val="Lan__211"/>
      <sheetName val="Lan_311"/>
      <sheetName val="Gia_tri11"/>
      <sheetName val="Lan_511"/>
      <sheetName val="Cong_hop11"/>
      <sheetName val="kldukien_(107)11"/>
      <sheetName val="qui1_(2)11"/>
      <sheetName val="cap_so_lan_211"/>
      <sheetName val="cap_so_BHXH11"/>
      <sheetName val="tru_tien11"/>
      <sheetName val="yt_q211"/>
      <sheetName val="c45_t311"/>
      <sheetName val="c45_t611"/>
      <sheetName val="BHYT_Q3_200311"/>
      <sheetName val="C45_t711"/>
      <sheetName val="C47-t07_200311"/>
      <sheetName val="C45_t811"/>
      <sheetName val="C47-t08_200311"/>
      <sheetName val="C45_t0911"/>
      <sheetName val="C47-t09_200311"/>
      <sheetName val="C47_T1211"/>
      <sheetName val="BHYT_Q4-200311"/>
      <sheetName val="C45_T1011"/>
      <sheetName val="binh_do11"/>
      <sheetName val="cot_lieu11"/>
      <sheetName val="van_khuon11"/>
      <sheetName val="CT_BT11"/>
      <sheetName val="lay_mau11"/>
      <sheetName val="mat_ngoai_goi11"/>
      <sheetName val="coc_tram-bt11"/>
      <sheetName val="cong_bien_t1013"/>
      <sheetName val="luong_t9_13"/>
      <sheetName val="bb_t913"/>
      <sheetName val="KL_XL200013"/>
      <sheetName val="Chiet_tinh13"/>
      <sheetName val="Van_chuyen13"/>
      <sheetName val="THKP_(2)13"/>
      <sheetName val="T_Bi13"/>
      <sheetName val="Thiet_ke13"/>
      <sheetName val="K_luong13"/>
      <sheetName val="TT_L213"/>
      <sheetName val="TT_L113"/>
      <sheetName val="Thue_Ngoai13"/>
      <sheetName val="Dong_Dau13"/>
      <sheetName val="Dong_Dau_(2)13"/>
      <sheetName val="Sau_dong13"/>
      <sheetName val="Ma_xa13"/>
      <sheetName val="My_dinh13"/>
      <sheetName val="Tong_cong13"/>
      <sheetName val="Chi_tiet_-_Dv_lap13"/>
      <sheetName val="TH_KHTC13"/>
      <sheetName val="Gia_VL13"/>
      <sheetName val="Bang_gia_ca_may13"/>
      <sheetName val="Bang_luong_CB13"/>
      <sheetName val="Bang_P_tich_CT13"/>
      <sheetName val="D_toan_chi_tiet13"/>
      <sheetName val="Bang_TH_Dtoan13"/>
      <sheetName val="LUAN_CHUYEN13"/>
      <sheetName val="KE_QUY13"/>
      <sheetName val="LUONGGIAN_TIEP13"/>
      <sheetName val="VAY_VON13"/>
      <sheetName val="O_THAO13"/>
      <sheetName val="Q_TRUNG13"/>
      <sheetName val="Y_THANH13"/>
      <sheetName val="Sheet2_(2)13"/>
      <sheetName val="KH_2003_(moi_max)13"/>
      <sheetName val="Interim_payment13"/>
      <sheetName val="Bid_Sum13"/>
      <sheetName val="Item_B13"/>
      <sheetName val="Dg_A13"/>
      <sheetName val="Dg_B&amp;C13"/>
      <sheetName val="Material_at_site13"/>
      <sheetName val="Bang_VL13"/>
      <sheetName val="VL(No_V-c)13"/>
      <sheetName val="He_so13"/>
      <sheetName val="PL_Vua13"/>
      <sheetName val="Chitieu-dam_cac_loai13"/>
      <sheetName val="DG_Dam13"/>
      <sheetName val="DG_chung13"/>
      <sheetName val="VL-dac_chung13"/>
      <sheetName val="CT_1md_&amp;_dau_cong13"/>
      <sheetName val="Tong_hop13"/>
      <sheetName val="CT_cong13"/>
      <sheetName val="dg_cong13"/>
      <sheetName val="CDSL_(2)13"/>
      <sheetName val="__13"/>
      <sheetName val="san_vuon13"/>
      <sheetName val="khu_phu_tro13"/>
      <sheetName val="Thuyet_minh13"/>
      <sheetName val="be_tong13"/>
      <sheetName val="Tong_hop_thep13"/>
      <sheetName val="phan_tich_DG13"/>
      <sheetName val="gia_vat_lieu13"/>
      <sheetName val="gia_xe_may13"/>
      <sheetName val="gia_nhan_cong13"/>
      <sheetName val="BCC_(2)13"/>
      <sheetName val="Bao_cao13"/>
      <sheetName val="Bao_cao_213"/>
      <sheetName val="Khoi_luong13"/>
      <sheetName val="Khoi_luong_mat13"/>
      <sheetName val="Bang_ke13"/>
      <sheetName val="T_HopKL13"/>
      <sheetName val="S_Luong13"/>
      <sheetName val="D_Dap13"/>
      <sheetName val="Q_Toan13"/>
      <sheetName val="Phan_tich_chi_phi13"/>
      <sheetName val="Chi_phi_nen_theo_BVTC13"/>
      <sheetName val="nhan_cong_phu13"/>
      <sheetName val="nhan_cong_Hung13"/>
      <sheetName val="Nhan_cong13"/>
      <sheetName val="Khoi_luong_nen_theo_BVTC13"/>
      <sheetName val="cap_cho_cac_DT13"/>
      <sheetName val="Ung_-_hoan13"/>
      <sheetName val="CP_may13"/>
      <sheetName val="Phu_luc13"/>
      <sheetName val="Gia_trÞ13"/>
      <sheetName val="DS_them_luong_qui_4-200213"/>
      <sheetName val="Phuc_loi_2-9-0213"/>
      <sheetName val="Thuong_nhan_dip_21-12-0213"/>
      <sheetName val="Thuong_dip_nhan_danh_hieu_AHL13"/>
      <sheetName val="Thang_luong_thu_13_nam_200213"/>
      <sheetName val="Luong_SX#_dip_Tet_Qui_Mui(don13"/>
      <sheetName val="CT_Duong13"/>
      <sheetName val="D_gia13"/>
      <sheetName val="T_hop13"/>
      <sheetName val="CtP_tro13"/>
      <sheetName val="Nha_moi13"/>
      <sheetName val="TT-T_Tron_So_213"/>
      <sheetName val="Ct_Dam_13"/>
      <sheetName val="Ct_Duoi13"/>
      <sheetName val="Ct_Tren13"/>
      <sheetName val="D_giaMay13"/>
      <sheetName val="26+180-400_213"/>
      <sheetName val="26+180_Sub113"/>
      <sheetName val="26+180_Sub413"/>
      <sheetName val="26+180-400_5(k95)13"/>
      <sheetName val="26+400-620_3(k95)13"/>
      <sheetName val="26+400-640_1(k95)13"/>
      <sheetName val="26+960-27+150_913"/>
      <sheetName val="26+960-27+150_1013"/>
      <sheetName val="26+960-27+150_1113"/>
      <sheetName val="26+960-27+150_1213"/>
      <sheetName val="26+960-27+150_5(k95)13"/>
      <sheetName val="26+960-27+150_4(k95)13"/>
      <sheetName val="26+960-27+150_1(k95)13"/>
      <sheetName val="27+500-700_5(k95)13"/>
      <sheetName val="27+500-700_4(k95)13"/>
      <sheetName val="27+500-700_3(k95)13"/>
      <sheetName val="27+500-700_1(k95)13"/>
      <sheetName val="27+740-920_3(k95)13"/>
      <sheetName val="27+740-920_2113"/>
      <sheetName val="27+920-28+040_6,713"/>
      <sheetName val="27+920-28+040_1013"/>
      <sheetName val="27+920-28+160_Su313"/>
      <sheetName val="28+160-28+420_5K9513"/>
      <sheetName val="28+430-657_713"/>
      <sheetName val="Km28+430-657_813"/>
      <sheetName val="28+430-657_913"/>
      <sheetName val="28+430-667_1013"/>
      <sheetName val="28+430-657_1113"/>
      <sheetName val="28+430-657_4k9513"/>
      <sheetName val="28+500-657_1813"/>
      <sheetName val="28+520-657_1913"/>
      <sheetName val="C_TIEU13"/>
      <sheetName val="T_Luong13"/>
      <sheetName val="T_HAO13"/>
      <sheetName val="DT_TUYEN13"/>
      <sheetName val="DT_GIA13"/>
      <sheetName val="KHDT_(2)13"/>
      <sheetName val="CL_13"/>
      <sheetName val="KQ_(2)13"/>
      <sheetName val="Quang_Tri13"/>
      <sheetName val="Da_Nang13"/>
      <sheetName val="Quang_Nam13"/>
      <sheetName val="Quang_Ngai13"/>
      <sheetName val="TH_DH-QN13"/>
      <sheetName val="KP_HD13"/>
      <sheetName val="DB_HD13"/>
      <sheetName val="vat_tu13"/>
      <sheetName val="Thep_13"/>
      <sheetName val="Chi_tiet_Khoi_luong13"/>
      <sheetName val="TH_khoi_luong13"/>
      <sheetName val="Chiet_tinh_vat_lieu_13"/>
      <sheetName val="TH_KL_VL13"/>
      <sheetName val="AC_PC13"/>
      <sheetName val="TAI_TRONG13"/>
      <sheetName val="NOI_LUC13"/>
      <sheetName val="TINH_DUYET_THTT_CHINH13"/>
      <sheetName val="TDUYET_THTT_PHU13"/>
      <sheetName val="TINH_DAO_DONG_VA_DO_VONG13"/>
      <sheetName val="TINH_NEO13"/>
      <sheetName val="tong_hop_thanh_toan_thue13"/>
      <sheetName val="bang_ke_nop_thue13"/>
      <sheetName val="Tonh_hop_chi_phi13"/>
      <sheetName val="BK_chi_phi13"/>
      <sheetName val="KTra_DS_va_thue_GTGT13"/>
      <sheetName val="Kiãøm_tra_DS_thue_GTGT13"/>
      <sheetName val="XUAT(gia_von)13"/>
      <sheetName val="Xuat_(gia_ban)13"/>
      <sheetName val="Dchinh_TH_N-X-T13"/>
      <sheetName val="Tong_hop_N-X-T13"/>
      <sheetName val="thue_TH13"/>
      <sheetName val="tong_hop_200113"/>
      <sheetName val="qUYET_TOAN_THUE13"/>
      <sheetName val="BU_CTPH13"/>
      <sheetName val="BU_tran3+360_2213"/>
      <sheetName val="Tran3+360_2213"/>
      <sheetName val="BU_tran2+386_413"/>
      <sheetName val="Tran2+386_413"/>
      <sheetName val="DTcong_4-513"/>
      <sheetName val="Bu_1-213"/>
      <sheetName val="Bu_12-1313"/>
      <sheetName val="DTcong_12-1313"/>
      <sheetName val="DT_cong13-13+13"/>
      <sheetName val="BU-_nhanh13"/>
      <sheetName val="dtcong_nh1-213"/>
      <sheetName val="dtcong_nh0-113"/>
      <sheetName val="BU_11-1213"/>
      <sheetName val="DTcong_11-1213"/>
      <sheetName val="Pr-_CC13"/>
      <sheetName val="MD_3-413"/>
      <sheetName val="ND_3-413"/>
      <sheetName val="MD_1-213"/>
      <sheetName val="ND_1-213"/>
      <sheetName val="MD_0-113"/>
      <sheetName val="ND_0-113"/>
      <sheetName val="KL_tong13"/>
      <sheetName val="TH_(T1-6)13"/>
      <sheetName val="_NL13"/>
      <sheetName val="_NL_(2)13"/>
      <sheetName val="CDTHCT_(3)13"/>
      <sheetName val="thkl_(2)13"/>
      <sheetName val="long_tec13"/>
      <sheetName val="cd_viaK0-T613"/>
      <sheetName val="cdvia_T6-Tc2413"/>
      <sheetName val="cdvia_Tc24-T4613"/>
      <sheetName val="cd_btnL2k0+361-T1913"/>
      <sheetName val="CT_xa13"/>
      <sheetName val="CDTHU_CHI_T113"/>
      <sheetName val="THUCHI_213"/>
      <sheetName val="THU_CHI313"/>
      <sheetName val="THU_CHI_413"/>
      <sheetName val="THU_CHI513"/>
      <sheetName val="THU_CHI_613"/>
      <sheetName val="TU_CHI_713"/>
      <sheetName val="THU_CHI913"/>
      <sheetName val="THU_CHI_813"/>
      <sheetName val="THU_CHI_1013"/>
      <sheetName val="THU_CHI_1113"/>
      <sheetName val="THU_CHI_1213"/>
      <sheetName val="Xep_hang_20113"/>
      <sheetName val="toan_Cty13"/>
      <sheetName val="Cong_ty13"/>
      <sheetName val="XN_213"/>
      <sheetName val="XN_ong_CHi13"/>
      <sheetName val="N_XDCT&amp;_XKLD13"/>
      <sheetName val="CN_HCM13"/>
      <sheetName val="TT_XKLD(Nhan)13"/>
      <sheetName val="Ong_Hong13"/>
      <sheetName val="CN_hung_yen13"/>
      <sheetName val="Dong_nai13"/>
      <sheetName val="K249_K9813"/>
      <sheetName val="K249_K98_(2)13"/>
      <sheetName val="K251_K9813"/>
      <sheetName val="K251_SBase13"/>
      <sheetName val="K251_AC13"/>
      <sheetName val="K252_K9813"/>
      <sheetName val="K252_SBase13"/>
      <sheetName val="K252_AC13"/>
      <sheetName val="K253_K9813"/>
      <sheetName val="K253_Subbase13"/>
      <sheetName val="K253_Base_13"/>
      <sheetName val="K253_SBase13"/>
      <sheetName val="K253_AC13"/>
      <sheetName val="K255_SBase13"/>
      <sheetName val="K259_K9813"/>
      <sheetName val="K259_Subbase13"/>
      <sheetName val="K259_Base_13"/>
      <sheetName val="K259_AC13"/>
      <sheetName val="K260_K9813"/>
      <sheetName val="K260_Subbase13"/>
      <sheetName val="K260_Base13"/>
      <sheetName val="K260_AC13"/>
      <sheetName val="K261_K9813"/>
      <sheetName val="K261_Base13"/>
      <sheetName val="K261_AC13"/>
      <sheetName val="KL_Tram_Cty13"/>
      <sheetName val="Gam_may_Cty13"/>
      <sheetName val="KL_tram_KH13"/>
      <sheetName val="Gam_may_KH13"/>
      <sheetName val="Cach_dien13"/>
      <sheetName val="Mang_tai13"/>
      <sheetName val="KL_DDK13"/>
      <sheetName val="Mang_tai_DDK13"/>
      <sheetName val="KL_DDK0,413"/>
      <sheetName val="TT_Ky_thuat13"/>
      <sheetName val="CT_moi13"/>
      <sheetName val="Tu_dien13"/>
      <sheetName val="May_cat13"/>
      <sheetName val="Dao_Cly13"/>
      <sheetName val="Dao_Ptai13"/>
      <sheetName val="Tu_RMU13"/>
      <sheetName val="C_set13"/>
      <sheetName val="Sco_Cap13"/>
      <sheetName val="Sco_TB13"/>
      <sheetName val="TN_tram13"/>
      <sheetName val="TN_C_set13"/>
      <sheetName val="TN_TD_DDay13"/>
      <sheetName val="Phan_chung13"/>
      <sheetName val="cong_Q213"/>
      <sheetName val="T_U_luong_Q113"/>
      <sheetName val="T_U_luong_Q213"/>
      <sheetName val="T_U_luong_Q313"/>
      <sheetName val="Quyet_toan13"/>
      <sheetName val="Thu_hoi13"/>
      <sheetName val="Lai_vay13"/>
      <sheetName val="Tien_vay13"/>
      <sheetName val="Cong_no13"/>
      <sheetName val="Cop_pha13"/>
      <sheetName val="Gia_DAN13"/>
      <sheetName val="Phu_luc_HD13"/>
      <sheetName val="Gia_du_thau13"/>
      <sheetName val="Ca_xe13"/>
      <sheetName val="Dc_Dau13"/>
      <sheetName val="_o_to_Hien_813"/>
      <sheetName val="_o_to_Hien913"/>
      <sheetName val="_o_to_Hien1013"/>
      <sheetName val="_o_to_Hien1113"/>
      <sheetName val="_o_to_Hien12)13"/>
      <sheetName val="_o_to_Hien123"/>
      <sheetName val="_o_to_Hien213"/>
      <sheetName val="_o_to_Hien313"/>
      <sheetName val="_o_to_Hien413"/>
      <sheetName val="_o_to_Hien513"/>
      <sheetName val="_o_to_Phong_813"/>
      <sheetName val="_o_to_Phong913"/>
      <sheetName val="_o_to_Phong1013"/>
      <sheetName val="_o_to_Phong1113"/>
      <sheetName val="_o_to_Phong12)13"/>
      <sheetName val="_o_to_Phong123"/>
      <sheetName val="_o_to_Phong213"/>
      <sheetName val="_o_to_Phong313"/>
      <sheetName val="_o_to_Phong413"/>
      <sheetName val="_o_to_Phong513"/>
      <sheetName val="_o_to_Dung_8_13"/>
      <sheetName val="_D_tt_dau813"/>
      <sheetName val="_o_to_Dung_913"/>
      <sheetName val="_D9_tt_dau13"/>
      <sheetName val="_D10_tt_dau13"/>
      <sheetName val="_o_to_Dung_1013"/>
      <sheetName val="_o_to_Dung_1113"/>
      <sheetName val="_o_to_Dung_12)13"/>
      <sheetName val="_o_to_Dung_123"/>
      <sheetName val="_o_to_Dung213"/>
      <sheetName val="_o_to_Dung313"/>
      <sheetName val="_o_to_Dung413"/>
      <sheetName val="_o_totrongT10-1213"/>
      <sheetName val="_o_totrongT213"/>
      <sheetName val="_o_totrungT10-1213"/>
      <sheetName val="_o_toMinhT10-12_13"/>
      <sheetName val="_o_toMinhT213"/>
      <sheetName val="_o_toTrieuT10-12__13"/>
      <sheetName val="Luong_8_SP13"/>
      <sheetName val="Luong_9_SP_13"/>
      <sheetName val="Luong_10_SP_13"/>
      <sheetName val="Luong_11_SP_13"/>
      <sheetName val="Luong_12_SP13"/>
      <sheetName val="Luong_1_SP113"/>
      <sheetName val="Luong_2_SP213"/>
      <sheetName val="Luong_3_SP313"/>
      <sheetName val="Luong_4_SP413"/>
      <sheetName val="Luong_4_SP513"/>
      <sheetName val="KL_VL13"/>
      <sheetName val="QT_9-613"/>
      <sheetName val="Thuong_luu_HB13"/>
      <sheetName val="QT_Ky_T13"/>
      <sheetName val="bc_vt_TON_BAI13"/>
      <sheetName val="QT_Duoc_(Hai)13"/>
      <sheetName val="sent_to13"/>
      <sheetName val="KLTong_hop13"/>
      <sheetName val="Lan_can13"/>
      <sheetName val="Ranh_doc_(2)13"/>
      <sheetName val="Ranh_doc13"/>
      <sheetName val="Coc_tieu13"/>
      <sheetName val="Bien_bao13"/>
      <sheetName val="Nan_tuyen13"/>
      <sheetName val="Lan_113"/>
      <sheetName val="Lan__213"/>
      <sheetName val="Lan_313"/>
      <sheetName val="Gia_tri13"/>
      <sheetName val="Lan_513"/>
      <sheetName val="Cong_hop13"/>
      <sheetName val="kldukien_(107)13"/>
      <sheetName val="qui1_(2)13"/>
      <sheetName val="cap_so_lan_213"/>
      <sheetName val="cap_so_BHXH13"/>
      <sheetName val="tru_tien13"/>
      <sheetName val="yt_q213"/>
      <sheetName val="c45_t313"/>
      <sheetName val="c45_t613"/>
      <sheetName val="BHYT_Q3_200313"/>
      <sheetName val="C45_t713"/>
      <sheetName val="C47-t07_200313"/>
      <sheetName val="C45_t813"/>
      <sheetName val="C47-t08_200313"/>
      <sheetName val="C45_t0913"/>
      <sheetName val="C47-t09_200313"/>
      <sheetName val="C47_T1213"/>
      <sheetName val="BHYT_Q4-200313"/>
      <sheetName val="C45_T1013"/>
      <sheetName val="binh_do13"/>
      <sheetName val="cot_lieu13"/>
      <sheetName val="van_khuon13"/>
      <sheetName val="CT_BT13"/>
      <sheetName val="lay_mau13"/>
      <sheetName val="mat_ngoai_goi13"/>
      <sheetName val="coc_tram-bt13"/>
      <sheetName val="cong_bien_t1012"/>
      <sheetName val="luong_t9_12"/>
      <sheetName val="bb_t912"/>
      <sheetName val="KL_XL200012"/>
      <sheetName val="Chiet_tinh12"/>
      <sheetName val="Van_chuyen12"/>
      <sheetName val="THKP_(2)12"/>
      <sheetName val="T_Bi12"/>
      <sheetName val="Thiet_ke12"/>
      <sheetName val="K_luong12"/>
      <sheetName val="TT_L212"/>
      <sheetName val="TT_L112"/>
      <sheetName val="Thue_Ngoai12"/>
      <sheetName val="Dong_Dau12"/>
      <sheetName val="Dong_Dau_(2)12"/>
      <sheetName val="Sau_dong12"/>
      <sheetName val="Ma_xa12"/>
      <sheetName val="My_dinh12"/>
      <sheetName val="Tong_cong12"/>
      <sheetName val="Chi_tiet_-_Dv_lap12"/>
      <sheetName val="TH_KHTC12"/>
      <sheetName val="Gia_VL12"/>
      <sheetName val="Bang_gia_ca_may12"/>
      <sheetName val="Bang_luong_CB12"/>
      <sheetName val="Bang_P_tich_CT12"/>
      <sheetName val="D_toan_chi_tiet12"/>
      <sheetName val="Bang_TH_Dtoan12"/>
      <sheetName val="LUAN_CHUYEN12"/>
      <sheetName val="KE_QUY12"/>
      <sheetName val="LUONGGIAN_TIEP12"/>
      <sheetName val="VAY_VON12"/>
      <sheetName val="O_THAO12"/>
      <sheetName val="Q_TRUNG12"/>
      <sheetName val="Y_THANH12"/>
      <sheetName val="Sheet2_(2)12"/>
      <sheetName val="KH_2003_(moi_max)12"/>
      <sheetName val="Interim_payment12"/>
      <sheetName val="Bid_Sum12"/>
      <sheetName val="Item_B12"/>
      <sheetName val="Dg_A12"/>
      <sheetName val="Dg_B&amp;C12"/>
      <sheetName val="Material_at_site12"/>
      <sheetName val="Bang_VL12"/>
      <sheetName val="VL(No_V-c)12"/>
      <sheetName val="He_so12"/>
      <sheetName val="PL_Vua12"/>
      <sheetName val="Chitieu-dam_cac_loai12"/>
      <sheetName val="DG_Dam12"/>
      <sheetName val="DG_chung12"/>
      <sheetName val="VL-dac_chung12"/>
      <sheetName val="CT_1md_&amp;_dau_cong12"/>
      <sheetName val="Tong_hop12"/>
      <sheetName val="CT_cong12"/>
      <sheetName val="dg_cong12"/>
      <sheetName val="CDSL_(2)12"/>
      <sheetName val="__12"/>
      <sheetName val="san_vuon12"/>
      <sheetName val="khu_phu_tro12"/>
      <sheetName val="Thuyet_minh12"/>
      <sheetName val="be_tong12"/>
      <sheetName val="Tong_hop_thep12"/>
      <sheetName val="phan_tich_DG12"/>
      <sheetName val="gia_vat_lieu12"/>
      <sheetName val="gia_xe_may12"/>
      <sheetName val="gia_nhan_cong12"/>
      <sheetName val="BCC_(2)12"/>
      <sheetName val="Bao_cao12"/>
      <sheetName val="Bao_cao_212"/>
      <sheetName val="Khoi_luong12"/>
      <sheetName val="Khoi_luong_mat12"/>
      <sheetName val="Bang_ke12"/>
      <sheetName val="T_HopKL12"/>
      <sheetName val="S_Luong12"/>
      <sheetName val="D_Dap12"/>
      <sheetName val="Q_Toan12"/>
      <sheetName val="Phan_tich_chi_phi12"/>
      <sheetName val="Chi_phi_nen_theo_BVTC12"/>
      <sheetName val="nhan_cong_phu12"/>
      <sheetName val="nhan_cong_Hung12"/>
      <sheetName val="Nhan_cong12"/>
      <sheetName val="Khoi_luong_nen_theo_BVTC12"/>
      <sheetName val="cap_cho_cac_DT12"/>
      <sheetName val="Ung_-_hoan12"/>
      <sheetName val="CP_may12"/>
      <sheetName val="Phu_luc12"/>
      <sheetName val="Gia_trÞ12"/>
      <sheetName val="DS_them_luong_qui_4-200212"/>
      <sheetName val="Phuc_loi_2-9-0212"/>
      <sheetName val="Thuong_nhan_dip_21-12-0212"/>
      <sheetName val="Thuong_dip_nhan_danh_hieu_AHL12"/>
      <sheetName val="Thang_luong_thu_13_nam_200212"/>
      <sheetName val="Luong_SX#_dip_Tet_Qui_Mui(don12"/>
      <sheetName val="CT_Duong12"/>
      <sheetName val="D_gia12"/>
      <sheetName val="T_hop12"/>
      <sheetName val="CtP_tro12"/>
      <sheetName val="Nha_moi12"/>
      <sheetName val="TT-T_Tron_So_212"/>
      <sheetName val="Ct_Dam_12"/>
      <sheetName val="Ct_Duoi12"/>
      <sheetName val="Ct_Tren12"/>
      <sheetName val="D_giaMay12"/>
      <sheetName val="26+180-400_212"/>
      <sheetName val="26+180_Sub112"/>
      <sheetName val="26+180_Sub412"/>
      <sheetName val="26+180-400_5(k95)12"/>
      <sheetName val="26+400-620_3(k95)12"/>
      <sheetName val="26+400-640_1(k95)12"/>
      <sheetName val="26+960-27+150_912"/>
      <sheetName val="26+960-27+150_1012"/>
      <sheetName val="26+960-27+150_1112"/>
      <sheetName val="26+960-27+150_1212"/>
      <sheetName val="26+960-27+150_5(k95)12"/>
      <sheetName val="26+960-27+150_4(k95)12"/>
      <sheetName val="26+960-27+150_1(k95)12"/>
      <sheetName val="27+500-700_5(k95)12"/>
      <sheetName val="27+500-700_4(k95)12"/>
      <sheetName val="27+500-700_3(k95)12"/>
      <sheetName val="27+500-700_1(k95)12"/>
      <sheetName val="27+740-920_3(k95)12"/>
      <sheetName val="27+740-920_2112"/>
      <sheetName val="27+920-28+040_6,712"/>
      <sheetName val="27+920-28+040_1012"/>
      <sheetName val="27+920-28+160_Su312"/>
      <sheetName val="28+160-28+420_5K9512"/>
      <sheetName val="28+430-657_712"/>
      <sheetName val="Km28+430-657_812"/>
      <sheetName val="28+430-657_912"/>
      <sheetName val="28+430-667_1012"/>
      <sheetName val="28+430-657_1112"/>
      <sheetName val="28+430-657_4k9512"/>
      <sheetName val="28+500-657_1812"/>
      <sheetName val="28+520-657_1912"/>
      <sheetName val="C_TIEU12"/>
      <sheetName val="T_Luong12"/>
      <sheetName val="T_HAO12"/>
      <sheetName val="DT_TUYEN12"/>
      <sheetName val="DT_GIA12"/>
      <sheetName val="KHDT_(2)12"/>
      <sheetName val="CL_12"/>
      <sheetName val="KQ_(2)12"/>
      <sheetName val="Quang_Tri12"/>
      <sheetName val="Da_Nang12"/>
      <sheetName val="Quang_Nam12"/>
      <sheetName val="Quang_Ngai12"/>
      <sheetName val="TH_DH-QN12"/>
      <sheetName val="KP_HD12"/>
      <sheetName val="DB_HD12"/>
      <sheetName val="vat_tu12"/>
      <sheetName val="Thep_12"/>
      <sheetName val="Chi_tiet_Khoi_luong12"/>
      <sheetName val="TH_khoi_luong12"/>
      <sheetName val="Chiet_tinh_vat_lieu_12"/>
      <sheetName val="TH_KL_VL12"/>
      <sheetName val="AC_PC12"/>
      <sheetName val="TAI_TRONG12"/>
      <sheetName val="NOI_LUC12"/>
      <sheetName val="TINH_DUYET_THTT_CHINH12"/>
      <sheetName val="TDUYET_THTT_PHU12"/>
      <sheetName val="TINH_DAO_DONG_VA_DO_VONG12"/>
      <sheetName val="TINH_NEO12"/>
      <sheetName val="tong_hop_thanh_toan_thue12"/>
      <sheetName val="bang_ke_nop_thue12"/>
      <sheetName val="Tonh_hop_chi_phi12"/>
      <sheetName val="BK_chi_phi12"/>
      <sheetName val="KTra_DS_va_thue_GTGT12"/>
      <sheetName val="Kiãøm_tra_DS_thue_GTGT12"/>
      <sheetName val="XUAT(gia_von)12"/>
      <sheetName val="Xuat_(gia_ban)12"/>
      <sheetName val="Dchinh_TH_N-X-T12"/>
      <sheetName val="Tong_hop_N-X-T12"/>
      <sheetName val="thue_TH12"/>
      <sheetName val="tong_hop_200112"/>
      <sheetName val="qUYET_TOAN_THUE12"/>
      <sheetName val="BU_CTPH12"/>
      <sheetName val="BU_tran3+360_2212"/>
      <sheetName val="Tran3+360_2212"/>
      <sheetName val="BU_tran2+386_412"/>
      <sheetName val="Tran2+386_412"/>
      <sheetName val="DTcong_4-512"/>
      <sheetName val="Bu_1-212"/>
      <sheetName val="Bu_12-1312"/>
      <sheetName val="DTcong_12-1312"/>
      <sheetName val="DT_cong13-13+12"/>
      <sheetName val="BU-_nhanh12"/>
      <sheetName val="dtcong_nh1-212"/>
      <sheetName val="dtcong_nh0-112"/>
      <sheetName val="BU_11-1212"/>
      <sheetName val="DTcong_11-1212"/>
      <sheetName val="Pr-_CC12"/>
      <sheetName val="MD_3-412"/>
      <sheetName val="ND_3-412"/>
      <sheetName val="MD_1-212"/>
      <sheetName val="ND_1-212"/>
      <sheetName val="MD_0-112"/>
      <sheetName val="ND_0-112"/>
      <sheetName val="KL_tong12"/>
      <sheetName val="TH_(T1-6)12"/>
      <sheetName val="_NL12"/>
      <sheetName val="_NL_(2)12"/>
      <sheetName val="CDTHCT_(3)12"/>
      <sheetName val="thkl_(2)12"/>
      <sheetName val="long_tec12"/>
      <sheetName val="cd_viaK0-T612"/>
      <sheetName val="cdvia_T6-Tc2412"/>
      <sheetName val="cdvia_Tc24-T4612"/>
      <sheetName val="cd_btnL2k0+361-T1912"/>
      <sheetName val="CT_xa12"/>
      <sheetName val="CDTHU_CHI_T112"/>
      <sheetName val="THUCHI_212"/>
      <sheetName val="THU_CHI312"/>
      <sheetName val="THU_CHI_412"/>
      <sheetName val="THU_CHI512"/>
      <sheetName val="THU_CHI_612"/>
      <sheetName val="TU_CHI_712"/>
      <sheetName val="THU_CHI912"/>
      <sheetName val="THU_CHI_812"/>
      <sheetName val="THU_CHI_1012"/>
      <sheetName val="THU_CHI_1112"/>
      <sheetName val="THU_CHI_1212"/>
      <sheetName val="Xep_hang_20112"/>
      <sheetName val="toan_Cty12"/>
      <sheetName val="Cong_ty12"/>
      <sheetName val="XN_212"/>
      <sheetName val="XN_ong_CHi12"/>
      <sheetName val="N_XDCT&amp;_XKLD12"/>
      <sheetName val="CN_HCM12"/>
      <sheetName val="TT_XKLD(Nhan)12"/>
      <sheetName val="Ong_Hong12"/>
      <sheetName val="CN_hung_yen12"/>
      <sheetName val="Dong_nai12"/>
      <sheetName val="K249_K9812"/>
      <sheetName val="K249_K98_(2)12"/>
      <sheetName val="K251_K9812"/>
      <sheetName val="K251_SBase12"/>
      <sheetName val="K251_AC12"/>
      <sheetName val="K252_K9812"/>
      <sheetName val="K252_SBase12"/>
      <sheetName val="K252_AC12"/>
      <sheetName val="K253_K9812"/>
      <sheetName val="K253_Subbase12"/>
      <sheetName val="K253_Base_12"/>
      <sheetName val="K253_SBase12"/>
      <sheetName val="K253_AC12"/>
      <sheetName val="K255_SBase12"/>
      <sheetName val="K259_K9812"/>
      <sheetName val="K259_Subbase12"/>
      <sheetName val="K259_Base_12"/>
      <sheetName val="K259_AC12"/>
      <sheetName val="K260_K9812"/>
      <sheetName val="K260_Subbase12"/>
      <sheetName val="K260_Base12"/>
      <sheetName val="K260_AC12"/>
      <sheetName val="K261_K9812"/>
      <sheetName val="K261_Base12"/>
      <sheetName val="K261_AC12"/>
      <sheetName val="KL_Tram_Cty12"/>
      <sheetName val="Gam_may_Cty12"/>
      <sheetName val="KL_tram_KH12"/>
      <sheetName val="Gam_may_KH12"/>
      <sheetName val="Cach_dien12"/>
      <sheetName val="Mang_tai12"/>
      <sheetName val="KL_DDK12"/>
      <sheetName val="Mang_tai_DDK12"/>
      <sheetName val="KL_DDK0,412"/>
      <sheetName val="TT_Ky_thuat12"/>
      <sheetName val="CT_moi12"/>
      <sheetName val="Tu_dien12"/>
      <sheetName val="May_cat12"/>
      <sheetName val="Dao_Cly12"/>
      <sheetName val="Dao_Ptai12"/>
      <sheetName val="Tu_RMU12"/>
      <sheetName val="C_set12"/>
      <sheetName val="Sco_Cap12"/>
      <sheetName val="Sco_TB12"/>
      <sheetName val="TN_tram12"/>
      <sheetName val="TN_C_set12"/>
      <sheetName val="TN_TD_DDay12"/>
      <sheetName val="Phan_chung12"/>
      <sheetName val="cong_Q212"/>
      <sheetName val="T_U_luong_Q112"/>
      <sheetName val="T_U_luong_Q212"/>
      <sheetName val="T_U_luong_Q312"/>
      <sheetName val="Quyet_toan12"/>
      <sheetName val="Thu_hoi12"/>
      <sheetName val="Lai_vay12"/>
      <sheetName val="Tien_vay12"/>
      <sheetName val="Cong_no12"/>
      <sheetName val="Cop_pha12"/>
      <sheetName val="Gia_DAN12"/>
      <sheetName val="Phu_luc_HD12"/>
      <sheetName val="Gia_du_thau12"/>
      <sheetName val="Ca_xe12"/>
      <sheetName val="Dc_Dau12"/>
      <sheetName val="_o_to_Hien_812"/>
      <sheetName val="_o_to_Hien912"/>
      <sheetName val="_o_to_Hien1012"/>
      <sheetName val="_o_to_Hien1112"/>
      <sheetName val="_o_to_Hien12)12"/>
      <sheetName val="_o_to_Hien122"/>
      <sheetName val="_o_to_Hien212"/>
      <sheetName val="_o_to_Hien312"/>
      <sheetName val="_o_to_Hien412"/>
      <sheetName val="_o_to_Hien512"/>
      <sheetName val="_o_to_Phong_812"/>
      <sheetName val="_o_to_Phong912"/>
      <sheetName val="_o_to_Phong1012"/>
      <sheetName val="_o_to_Phong1112"/>
      <sheetName val="_o_to_Phong12)12"/>
      <sheetName val="_o_to_Phong122"/>
      <sheetName val="_o_to_Phong212"/>
      <sheetName val="_o_to_Phong312"/>
      <sheetName val="_o_to_Phong412"/>
      <sheetName val="_o_to_Phong512"/>
      <sheetName val="_o_to_Dung_8_12"/>
      <sheetName val="_D_tt_dau812"/>
      <sheetName val="_o_to_Dung_912"/>
      <sheetName val="_D9_tt_dau12"/>
      <sheetName val="_D10_tt_dau12"/>
      <sheetName val="_o_to_Dung_1012"/>
      <sheetName val="_o_to_Dung_1112"/>
      <sheetName val="_o_to_Dung_12)12"/>
      <sheetName val="_o_to_Dung_122"/>
      <sheetName val="_o_to_Dung212"/>
      <sheetName val="_o_to_Dung312"/>
      <sheetName val="_o_to_Dung412"/>
      <sheetName val="_o_totrongT10-1212"/>
      <sheetName val="_o_totrongT212"/>
      <sheetName val="_o_totrungT10-1212"/>
      <sheetName val="_o_toMinhT10-12_12"/>
      <sheetName val="_o_toMinhT212"/>
      <sheetName val="_o_toTrieuT10-12__12"/>
      <sheetName val="Luong_8_SP12"/>
      <sheetName val="Luong_9_SP_12"/>
      <sheetName val="Luong_10_SP_12"/>
      <sheetName val="Luong_11_SP_12"/>
      <sheetName val="Luong_12_SP12"/>
      <sheetName val="Luong_1_SP112"/>
      <sheetName val="Luong_2_SP212"/>
      <sheetName val="Luong_3_SP312"/>
      <sheetName val="Luong_4_SP412"/>
      <sheetName val="Luong_4_SP512"/>
      <sheetName val="KL_VL12"/>
      <sheetName val="QT_9-612"/>
      <sheetName val="Thuong_luu_HB12"/>
      <sheetName val="QT_Ky_T12"/>
      <sheetName val="bc_vt_TON_BAI12"/>
      <sheetName val="QT_Duoc_(Hai)12"/>
      <sheetName val="sent_to12"/>
      <sheetName val="KLTong_hop12"/>
      <sheetName val="Lan_can12"/>
      <sheetName val="Ranh_doc_(2)12"/>
      <sheetName val="Ranh_doc12"/>
      <sheetName val="Coc_tieu12"/>
      <sheetName val="Bien_bao12"/>
      <sheetName val="Nan_tuyen12"/>
      <sheetName val="Lan_112"/>
      <sheetName val="Lan__212"/>
      <sheetName val="Lan_312"/>
      <sheetName val="Gia_tri12"/>
      <sheetName val="Lan_512"/>
      <sheetName val="Cong_hop12"/>
      <sheetName val="kldukien_(107)12"/>
      <sheetName val="qui1_(2)12"/>
      <sheetName val="cap_so_lan_212"/>
      <sheetName val="cap_so_BHXH12"/>
      <sheetName val="tru_tien12"/>
      <sheetName val="yt_q212"/>
      <sheetName val="c45_t312"/>
      <sheetName val="c45_t612"/>
      <sheetName val="BHYT_Q3_200312"/>
      <sheetName val="C45_t712"/>
      <sheetName val="C47-t07_200312"/>
      <sheetName val="C45_t812"/>
      <sheetName val="C47-t08_200312"/>
      <sheetName val="C45_t0912"/>
      <sheetName val="C47-t09_200312"/>
      <sheetName val="C47_T1212"/>
      <sheetName val="BHYT_Q4-200312"/>
      <sheetName val="C45_T1012"/>
      <sheetName val="binh_do12"/>
      <sheetName val="cot_lieu12"/>
      <sheetName val="van_khuon12"/>
      <sheetName val="CT_BT12"/>
      <sheetName val="lay_mau12"/>
      <sheetName val="mat_ngoai_goi12"/>
      <sheetName val="coc_tram-bt12"/>
      <sheetName val="cong_bien_t1015"/>
      <sheetName val="luong_t9_15"/>
      <sheetName val="bb_t915"/>
      <sheetName val="KL_XL200015"/>
      <sheetName val="Chiet_tinh15"/>
      <sheetName val="Van_chuyen15"/>
      <sheetName val="THKP_(2)15"/>
      <sheetName val="T_Bi15"/>
      <sheetName val="Thiet_ke15"/>
      <sheetName val="K_luong15"/>
      <sheetName val="TT_L215"/>
      <sheetName val="TT_L115"/>
      <sheetName val="Thue_Ngoai15"/>
      <sheetName val="Dong_Dau15"/>
      <sheetName val="Dong_Dau_(2)15"/>
      <sheetName val="Sau_dong15"/>
      <sheetName val="Ma_xa15"/>
      <sheetName val="My_dinh15"/>
      <sheetName val="Tong_cong15"/>
      <sheetName val="Chi_tiet_-_Dv_lap15"/>
      <sheetName val="TH_KHTC15"/>
      <sheetName val="Gia_VL15"/>
      <sheetName val="Bang_gia_ca_may15"/>
      <sheetName val="Bang_luong_CB15"/>
      <sheetName val="Bang_P_tich_CT15"/>
      <sheetName val="D_toan_chi_tiet15"/>
      <sheetName val="Bang_TH_Dtoan15"/>
      <sheetName val="LUAN_CHUYEN15"/>
      <sheetName val="KE_QUY15"/>
      <sheetName val="LUONGGIAN_TIEP15"/>
      <sheetName val="VAY_VON15"/>
      <sheetName val="O_THAO15"/>
      <sheetName val="Q_TRUNG15"/>
      <sheetName val="Y_THANH15"/>
      <sheetName val="Sheet2_(2)15"/>
      <sheetName val="KH_2003_(moi_max)15"/>
      <sheetName val="Interim_payment15"/>
      <sheetName val="Bid_Sum15"/>
      <sheetName val="Item_B15"/>
      <sheetName val="Dg_A15"/>
      <sheetName val="Dg_B&amp;C15"/>
      <sheetName val="Material_at_site15"/>
      <sheetName val="Bang_VL15"/>
      <sheetName val="VL(No_V-c)15"/>
      <sheetName val="He_so15"/>
      <sheetName val="PL_Vua15"/>
      <sheetName val="Chitieu-dam_cac_loai15"/>
      <sheetName val="DG_Dam15"/>
      <sheetName val="DG_chung15"/>
      <sheetName val="VL-dac_chung15"/>
      <sheetName val="CT_1md_&amp;_dau_cong15"/>
      <sheetName val="Tong_hop15"/>
      <sheetName val="CT_cong15"/>
      <sheetName val="dg_cong15"/>
      <sheetName val="CDSL_(2)15"/>
      <sheetName val="__15"/>
      <sheetName val="san_vuon15"/>
      <sheetName val="khu_phu_tro15"/>
      <sheetName val="Thuyet_minh15"/>
      <sheetName val="be_tong15"/>
      <sheetName val="Tong_hop_thep15"/>
      <sheetName val="phan_tich_DG15"/>
      <sheetName val="gia_vat_lieu15"/>
      <sheetName val="gia_xe_may15"/>
      <sheetName val="gia_nhan_cong15"/>
      <sheetName val="BCC_(2)15"/>
      <sheetName val="Bao_cao15"/>
      <sheetName val="Bao_cao_215"/>
      <sheetName val="Khoi_luong15"/>
      <sheetName val="Khoi_luong_mat15"/>
      <sheetName val="Bang_ke15"/>
      <sheetName val="T_HopKL15"/>
      <sheetName val="S_Luong15"/>
      <sheetName val="D_Dap15"/>
      <sheetName val="Q_Toan15"/>
      <sheetName val="Phan_tich_chi_phi15"/>
      <sheetName val="Chi_phi_nen_theo_BVTC15"/>
      <sheetName val="nhan_cong_phu15"/>
      <sheetName val="nhan_cong_Hung15"/>
      <sheetName val="Nhan_cong15"/>
      <sheetName val="Khoi_luong_nen_theo_BVTC15"/>
      <sheetName val="cap_cho_cac_DT15"/>
      <sheetName val="Ung_-_hoan15"/>
      <sheetName val="CP_may15"/>
      <sheetName val="Phu_luc15"/>
      <sheetName val="Gia_trÞ15"/>
      <sheetName val="DS_them_luong_qui_4-200215"/>
      <sheetName val="Phuc_loi_2-9-0215"/>
      <sheetName val="Thuong_nhan_dip_21-12-0215"/>
      <sheetName val="Thuong_dip_nhan_danh_hieu_AHL15"/>
      <sheetName val="Thang_luong_thu_13_nam_200215"/>
      <sheetName val="Luong_SX#_dip_Tet_Qui_Mui(don15"/>
      <sheetName val="CT_Duong15"/>
      <sheetName val="D_gia15"/>
      <sheetName val="T_hop15"/>
      <sheetName val="CtP_tro15"/>
      <sheetName val="Nha_moi15"/>
      <sheetName val="TT-T_Tron_So_215"/>
      <sheetName val="Ct_Dam_15"/>
      <sheetName val="Ct_Duoi15"/>
      <sheetName val="Ct_Tren15"/>
      <sheetName val="D_giaMay15"/>
      <sheetName val="26+180-400_215"/>
      <sheetName val="26+180_Sub115"/>
      <sheetName val="26+180_Sub415"/>
      <sheetName val="26+180-400_5(k95)15"/>
      <sheetName val="26+400-620_3(k95)15"/>
      <sheetName val="26+400-640_1(k95)15"/>
      <sheetName val="26+960-27+150_915"/>
      <sheetName val="26+960-27+150_1015"/>
      <sheetName val="26+960-27+150_1115"/>
      <sheetName val="26+960-27+150_1215"/>
      <sheetName val="26+960-27+150_5(k95)15"/>
      <sheetName val="26+960-27+150_4(k95)15"/>
      <sheetName val="26+960-27+150_1(k95)15"/>
      <sheetName val="27+500-700_5(k95)15"/>
      <sheetName val="27+500-700_4(k95)15"/>
      <sheetName val="27+500-700_3(k95)15"/>
      <sheetName val="27+500-700_1(k95)15"/>
      <sheetName val="27+740-920_3(k95)15"/>
      <sheetName val="27+740-920_2115"/>
      <sheetName val="27+920-28+040_6,715"/>
      <sheetName val="27+920-28+040_1015"/>
      <sheetName val="27+920-28+160_Su315"/>
      <sheetName val="28+160-28+420_5K9515"/>
      <sheetName val="28+430-657_715"/>
      <sheetName val="Km28+430-657_815"/>
      <sheetName val="28+430-657_915"/>
      <sheetName val="28+430-667_1015"/>
      <sheetName val="28+430-657_1115"/>
      <sheetName val="28+430-657_4k9515"/>
      <sheetName val="28+500-657_1815"/>
      <sheetName val="28+520-657_1915"/>
      <sheetName val="C_TIEU15"/>
      <sheetName val="T_Luong15"/>
      <sheetName val="T_HAO15"/>
      <sheetName val="DT_TUYEN15"/>
      <sheetName val="DT_GIA15"/>
      <sheetName val="KHDT_(2)15"/>
      <sheetName val="CL_15"/>
      <sheetName val="KQ_(2)15"/>
      <sheetName val="Quang_Tri15"/>
      <sheetName val="Da_Nang15"/>
      <sheetName val="Quang_Nam15"/>
      <sheetName val="Quang_Ngai15"/>
      <sheetName val="TH_DH-QN15"/>
      <sheetName val="KP_HD15"/>
      <sheetName val="DB_HD15"/>
      <sheetName val="vat_tu15"/>
      <sheetName val="Thep_15"/>
      <sheetName val="Chi_tiet_Khoi_luong15"/>
      <sheetName val="TH_khoi_luong15"/>
      <sheetName val="Chiet_tinh_vat_lieu_15"/>
      <sheetName val="TH_KL_VL15"/>
      <sheetName val="AC_PC15"/>
      <sheetName val="TAI_TRONG15"/>
      <sheetName val="NOI_LUC15"/>
      <sheetName val="TINH_DUYET_THTT_CHINH15"/>
      <sheetName val="TDUYET_THTT_PHU15"/>
      <sheetName val="TINH_DAO_DONG_VA_DO_VONG15"/>
      <sheetName val="TINH_NEO15"/>
      <sheetName val="tong_hop_thanh_toan_thue15"/>
      <sheetName val="bang_ke_nop_thue15"/>
      <sheetName val="Tonh_hop_chi_phi15"/>
      <sheetName val="BK_chi_phi15"/>
      <sheetName val="KTra_DS_va_thue_GTGT15"/>
      <sheetName val="Kiãøm_tra_DS_thue_GTGT15"/>
      <sheetName val="XUAT(gia_von)15"/>
      <sheetName val="Xuat_(gia_ban)15"/>
      <sheetName val="Dchinh_TH_N-X-T15"/>
      <sheetName val="Tong_hop_N-X-T15"/>
      <sheetName val="thue_TH15"/>
      <sheetName val="tong_hop_200115"/>
      <sheetName val="qUYET_TOAN_THUE15"/>
      <sheetName val="BU_CTPH15"/>
      <sheetName val="BU_tran3+360_2215"/>
      <sheetName val="Tran3+360_2215"/>
      <sheetName val="BU_tran2+386_415"/>
      <sheetName val="Tran2+386_415"/>
      <sheetName val="DTcong_4-515"/>
      <sheetName val="Bu_1-215"/>
      <sheetName val="Bu_12-1315"/>
      <sheetName val="DTcong_12-1315"/>
      <sheetName val="DT_cong13-13+15"/>
      <sheetName val="BU-_nhanh15"/>
      <sheetName val="dtcong_nh1-215"/>
      <sheetName val="dtcong_nh0-115"/>
      <sheetName val="BU_11-1215"/>
      <sheetName val="DTcong_11-1215"/>
      <sheetName val="Pr-_CC15"/>
      <sheetName val="MD_3-415"/>
      <sheetName val="ND_3-415"/>
      <sheetName val="MD_1-215"/>
      <sheetName val="ND_1-215"/>
      <sheetName val="MD_0-115"/>
      <sheetName val="ND_0-115"/>
      <sheetName val="KL_tong15"/>
      <sheetName val="TH_(T1-6)15"/>
      <sheetName val="_NL15"/>
      <sheetName val="_NL_(2)15"/>
      <sheetName val="CDTHCT_(3)15"/>
      <sheetName val="thkl_(2)15"/>
      <sheetName val="long_tec15"/>
      <sheetName val="cd_viaK0-T615"/>
      <sheetName val="cdvia_T6-Tc2415"/>
      <sheetName val="cdvia_Tc24-T4615"/>
      <sheetName val="cd_btnL2k0+361-T1915"/>
      <sheetName val="CT_xa15"/>
      <sheetName val="CDTHU_CHI_T115"/>
      <sheetName val="THUCHI_215"/>
      <sheetName val="THU_CHI315"/>
      <sheetName val="THU_CHI_415"/>
      <sheetName val="THU_CHI515"/>
      <sheetName val="THU_CHI_615"/>
      <sheetName val="TU_CHI_715"/>
      <sheetName val="THU_CHI915"/>
      <sheetName val="THU_CHI_815"/>
      <sheetName val="THU_CHI_1015"/>
      <sheetName val="THU_CHI_1115"/>
      <sheetName val="THU_CHI_1215"/>
      <sheetName val="Xep_hang_20115"/>
      <sheetName val="toan_Cty15"/>
      <sheetName val="Cong_ty15"/>
      <sheetName val="XN_215"/>
      <sheetName val="XN_ong_CHi15"/>
      <sheetName val="N_XDCT&amp;_XKLD15"/>
      <sheetName val="CN_HCM15"/>
      <sheetName val="TT_XKLD(Nhan)15"/>
      <sheetName val="Ong_Hong15"/>
      <sheetName val="CN_hung_yen15"/>
      <sheetName val="Dong_nai15"/>
      <sheetName val="K249_K9815"/>
      <sheetName val="K249_K98_(2)15"/>
      <sheetName val="K251_K9815"/>
      <sheetName val="K251_SBase15"/>
      <sheetName val="K251_AC15"/>
      <sheetName val="K252_K9815"/>
      <sheetName val="K252_SBase15"/>
      <sheetName val="K252_AC15"/>
      <sheetName val="K253_K9815"/>
      <sheetName val="K253_Subbase15"/>
      <sheetName val="K253_Base_15"/>
      <sheetName val="K253_SBase15"/>
      <sheetName val="K253_AC15"/>
      <sheetName val="K255_SBase15"/>
      <sheetName val="K259_K9815"/>
      <sheetName val="K259_Subbase15"/>
      <sheetName val="K259_Base_15"/>
      <sheetName val="K259_AC15"/>
      <sheetName val="K260_K9815"/>
      <sheetName val="K260_Subbase15"/>
      <sheetName val="K260_Base15"/>
      <sheetName val="K260_AC15"/>
      <sheetName val="K261_K9815"/>
      <sheetName val="K261_Base15"/>
      <sheetName val="K261_AC15"/>
      <sheetName val="KL_Tram_Cty15"/>
      <sheetName val="Gam_may_Cty15"/>
      <sheetName val="KL_tram_KH15"/>
      <sheetName val="Gam_may_KH15"/>
      <sheetName val="Cach_dien15"/>
      <sheetName val="Mang_tai15"/>
      <sheetName val="KL_DDK15"/>
      <sheetName val="Mang_tai_DDK15"/>
      <sheetName val="KL_DDK0,415"/>
      <sheetName val="TT_Ky_thuat15"/>
      <sheetName val="CT_moi15"/>
      <sheetName val="Tu_dien15"/>
      <sheetName val="May_cat15"/>
      <sheetName val="Dao_Cly15"/>
      <sheetName val="Dao_Ptai15"/>
      <sheetName val="Tu_RMU15"/>
      <sheetName val="C_set15"/>
      <sheetName val="Sco_Cap15"/>
      <sheetName val="Sco_TB15"/>
      <sheetName val="TN_tram15"/>
      <sheetName val="TN_C_set15"/>
      <sheetName val="TN_TD_DDay15"/>
      <sheetName val="Phan_chung15"/>
      <sheetName val="cong_Q215"/>
      <sheetName val="T_U_luong_Q115"/>
      <sheetName val="T_U_luong_Q215"/>
      <sheetName val="T_U_luong_Q315"/>
      <sheetName val="Quyet_toan15"/>
      <sheetName val="Thu_hoi15"/>
      <sheetName val="Lai_vay15"/>
      <sheetName val="Tien_vay15"/>
      <sheetName val="Cong_no15"/>
      <sheetName val="Cop_pha15"/>
      <sheetName val="Gia_DAN15"/>
      <sheetName val="Phu_luc_HD15"/>
      <sheetName val="Gia_du_thau15"/>
      <sheetName val="Ca_xe15"/>
      <sheetName val="Dc_Dau15"/>
      <sheetName val="_o_to_Hien_815"/>
      <sheetName val="_o_to_Hien915"/>
      <sheetName val="_o_to_Hien1015"/>
      <sheetName val="_o_to_Hien1115"/>
      <sheetName val="_o_to_Hien12)15"/>
      <sheetName val="_o_to_Hien125"/>
      <sheetName val="_o_to_Hien215"/>
      <sheetName val="_o_to_Hien315"/>
      <sheetName val="_o_to_Hien415"/>
      <sheetName val="_o_to_Hien515"/>
      <sheetName val="_o_to_Phong_815"/>
      <sheetName val="_o_to_Phong915"/>
      <sheetName val="_o_to_Phong1015"/>
      <sheetName val="_o_to_Phong1115"/>
      <sheetName val="_o_to_Phong12)15"/>
      <sheetName val="_o_to_Phong125"/>
      <sheetName val="_o_to_Phong215"/>
      <sheetName val="_o_to_Phong315"/>
      <sheetName val="_o_to_Phong415"/>
      <sheetName val="_o_to_Phong515"/>
      <sheetName val="_o_to_Dung_8_15"/>
      <sheetName val="_D_tt_dau815"/>
      <sheetName val="_o_to_Dung_915"/>
      <sheetName val="_D9_tt_dau15"/>
      <sheetName val="_D10_tt_dau15"/>
      <sheetName val="_o_to_Dung_1015"/>
      <sheetName val="_o_to_Dung_1115"/>
      <sheetName val="_o_to_Dung_12)15"/>
      <sheetName val="_o_to_Dung_125"/>
      <sheetName val="_o_to_Dung215"/>
      <sheetName val="_o_to_Dung315"/>
      <sheetName val="_o_to_Dung415"/>
      <sheetName val="_o_totrongT10-1215"/>
      <sheetName val="_o_totrongT215"/>
      <sheetName val="_o_totrungT10-1215"/>
      <sheetName val="_o_toMinhT10-12_15"/>
      <sheetName val="_o_toMinhT215"/>
      <sheetName val="_o_toTrieuT10-12__15"/>
      <sheetName val="Luong_8_SP15"/>
      <sheetName val="Luong_9_SP_15"/>
      <sheetName val="Luong_10_SP_15"/>
      <sheetName val="Luong_11_SP_15"/>
      <sheetName val="Luong_12_SP15"/>
      <sheetName val="Luong_1_SP115"/>
      <sheetName val="Luong_2_SP215"/>
      <sheetName val="Luong_3_SP315"/>
      <sheetName val="Luong_4_SP415"/>
      <sheetName val="Luong_4_SP515"/>
      <sheetName val="KL_VL15"/>
      <sheetName val="QT_9-615"/>
      <sheetName val="Thuong_luu_HB15"/>
      <sheetName val="QT_Ky_T15"/>
      <sheetName val="bc_vt_TON_BAI15"/>
      <sheetName val="QT_Duoc_(Hai)15"/>
      <sheetName val="sent_to15"/>
      <sheetName val="KLTong_hop15"/>
      <sheetName val="Lan_can15"/>
      <sheetName val="Ranh_doc_(2)15"/>
      <sheetName val="Ranh_doc15"/>
      <sheetName val="Coc_tieu15"/>
      <sheetName val="Bien_bao15"/>
      <sheetName val="Nan_tuyen15"/>
      <sheetName val="Lan_115"/>
      <sheetName val="Lan__215"/>
      <sheetName val="Lan_315"/>
      <sheetName val="Gia_tri15"/>
      <sheetName val="Lan_515"/>
      <sheetName val="Cong_hop15"/>
      <sheetName val="kldukien_(107)15"/>
      <sheetName val="qui1_(2)15"/>
      <sheetName val="cap_so_lan_215"/>
      <sheetName val="cap_so_BHXH15"/>
      <sheetName val="tru_tien15"/>
      <sheetName val="yt_q215"/>
      <sheetName val="c45_t315"/>
      <sheetName val="c45_t615"/>
      <sheetName val="BHYT_Q3_200315"/>
      <sheetName val="C45_t715"/>
      <sheetName val="C47-t07_200315"/>
      <sheetName val="C45_t815"/>
      <sheetName val="C47-t08_200315"/>
      <sheetName val="C45_t0915"/>
      <sheetName val="C47-t09_200315"/>
      <sheetName val="C47_T1215"/>
      <sheetName val="BHYT_Q4-200315"/>
      <sheetName val="C45_T1015"/>
      <sheetName val="binh_do15"/>
      <sheetName val="cot_lieu15"/>
      <sheetName val="van_khuon15"/>
      <sheetName val="CT_BT15"/>
      <sheetName val="lay_mau15"/>
      <sheetName val="mat_ngoai_goi15"/>
      <sheetName val="coc_tram-bt15"/>
      <sheetName val="cong_bien_t1017"/>
      <sheetName val="luong_t9_17"/>
      <sheetName val="bb_t917"/>
      <sheetName val="KL_XL200017"/>
      <sheetName val="Chiet_tinh17"/>
      <sheetName val="Van_chuyen17"/>
      <sheetName val="THKP_(2)17"/>
      <sheetName val="T_Bi17"/>
      <sheetName val="Thiet_ke17"/>
      <sheetName val="K_luong17"/>
      <sheetName val="TT_L217"/>
      <sheetName val="TT_L117"/>
      <sheetName val="Thue_Ngoai17"/>
      <sheetName val="Dong_Dau17"/>
      <sheetName val="Dong_Dau_(2)17"/>
      <sheetName val="Sau_dong17"/>
      <sheetName val="Ma_xa17"/>
      <sheetName val="My_dinh17"/>
      <sheetName val="Tong_cong17"/>
      <sheetName val="Chi_tiet_-_Dv_lap17"/>
      <sheetName val="TH_KHTC17"/>
      <sheetName val="Gia_VL17"/>
      <sheetName val="Bang_gia_ca_may17"/>
      <sheetName val="Bang_luong_CB17"/>
      <sheetName val="Bang_P_tich_CT17"/>
      <sheetName val="D_toan_chi_tiet17"/>
      <sheetName val="Bang_TH_Dtoan17"/>
      <sheetName val="LUAN_CHUYEN17"/>
      <sheetName val="KE_QUY17"/>
      <sheetName val="LUONGGIAN_TIEP17"/>
      <sheetName val="VAY_VON17"/>
      <sheetName val="O_THAO17"/>
      <sheetName val="Q_TRUNG17"/>
      <sheetName val="Y_THANH17"/>
      <sheetName val="Sheet2_(2)17"/>
      <sheetName val="KH_2003_(moi_max)17"/>
      <sheetName val="Interim_payment17"/>
      <sheetName val="Bid_Sum17"/>
      <sheetName val="Item_B17"/>
      <sheetName val="Dg_A17"/>
      <sheetName val="Dg_B&amp;C17"/>
      <sheetName val="Material_at_site17"/>
      <sheetName val="Bang_VL17"/>
      <sheetName val="VL(No_V-c)17"/>
      <sheetName val="He_so17"/>
      <sheetName val="PL_Vua17"/>
      <sheetName val="Chitieu-dam_cac_loai17"/>
      <sheetName val="DG_Dam17"/>
      <sheetName val="DG_chung17"/>
      <sheetName val="VL-dac_chung17"/>
      <sheetName val="CT_1md_&amp;_dau_cong17"/>
      <sheetName val="Tong_hop17"/>
      <sheetName val="CT_cong17"/>
      <sheetName val="dg_cong17"/>
      <sheetName val="CDSL_(2)17"/>
      <sheetName val="__17"/>
      <sheetName val="san_vuon17"/>
      <sheetName val="khu_phu_tro17"/>
      <sheetName val="Thuyet_minh17"/>
      <sheetName val="be_tong17"/>
      <sheetName val="Tong_hop_thep17"/>
      <sheetName val="phan_tich_DG17"/>
      <sheetName val="gia_vat_lieu17"/>
      <sheetName val="gia_xe_may17"/>
      <sheetName val="gia_nhan_cong17"/>
      <sheetName val="BCC_(2)17"/>
      <sheetName val="Bao_cao17"/>
      <sheetName val="Bao_cao_217"/>
      <sheetName val="Khoi_luong17"/>
      <sheetName val="Khoi_luong_mat17"/>
      <sheetName val="Bang_ke17"/>
      <sheetName val="T_HopKL17"/>
      <sheetName val="S_Luong17"/>
      <sheetName val="D_Dap17"/>
      <sheetName val="Q_Toan17"/>
      <sheetName val="Phan_tich_chi_phi17"/>
      <sheetName val="Chi_phi_nen_theo_BVTC17"/>
      <sheetName val="nhan_cong_phu17"/>
      <sheetName val="nhan_cong_Hung17"/>
      <sheetName val="Nhan_cong17"/>
      <sheetName val="Khoi_luong_nen_theo_BVTC17"/>
      <sheetName val="cap_cho_cac_DT17"/>
      <sheetName val="Ung_-_hoan17"/>
      <sheetName val="CP_may17"/>
      <sheetName val="Phu_luc17"/>
      <sheetName val="Gia_trÞ17"/>
      <sheetName val="DS_them_luong_qui_4-200217"/>
      <sheetName val="Phuc_loi_2-9-0217"/>
      <sheetName val="Thuong_nhan_dip_21-12-0217"/>
      <sheetName val="Thuong_dip_nhan_danh_hieu_AHL17"/>
      <sheetName val="Thang_luong_thu_13_nam_200217"/>
      <sheetName val="Luong_SX#_dip_Tet_Qui_Mui(don17"/>
      <sheetName val="CT_Duong17"/>
      <sheetName val="D_gia17"/>
      <sheetName val="T_hop17"/>
      <sheetName val="CtP_tro17"/>
      <sheetName val="Nha_moi17"/>
      <sheetName val="TT-T_Tron_So_217"/>
      <sheetName val="Ct_Dam_17"/>
      <sheetName val="Ct_Duoi17"/>
      <sheetName val="Ct_Tren17"/>
      <sheetName val="D_giaMay17"/>
      <sheetName val="26+180-400_217"/>
      <sheetName val="26+180_Sub117"/>
      <sheetName val="26+180_Sub417"/>
      <sheetName val="26+180-400_5(k95)17"/>
      <sheetName val="26+400-620_3(k95)17"/>
      <sheetName val="26+400-640_1(k95)17"/>
      <sheetName val="26+960-27+150_917"/>
      <sheetName val="26+960-27+150_1017"/>
      <sheetName val="26+960-27+150_1117"/>
      <sheetName val="26+960-27+150_1217"/>
      <sheetName val="26+960-27+150_5(k95)17"/>
      <sheetName val="26+960-27+150_4(k95)17"/>
      <sheetName val="26+960-27+150_1(k95)17"/>
      <sheetName val="27+500-700_5(k95)17"/>
      <sheetName val="27+500-700_4(k95)17"/>
      <sheetName val="27+500-700_3(k95)17"/>
      <sheetName val="27+500-700_1(k95)17"/>
      <sheetName val="27+740-920_3(k95)17"/>
      <sheetName val="27+740-920_2117"/>
      <sheetName val="27+920-28+040_6,717"/>
      <sheetName val="27+920-28+040_1017"/>
      <sheetName val="27+920-28+160_Su317"/>
      <sheetName val="28+160-28+420_5K9517"/>
      <sheetName val="28+430-657_717"/>
      <sheetName val="Km28+430-657_817"/>
      <sheetName val="28+430-657_917"/>
      <sheetName val="28+430-667_1017"/>
      <sheetName val="28+430-657_1117"/>
      <sheetName val="28+430-657_4k9517"/>
      <sheetName val="28+500-657_1817"/>
      <sheetName val="28+520-657_1917"/>
      <sheetName val="C_TIEU17"/>
      <sheetName val="T_Luong17"/>
      <sheetName val="T_HAO17"/>
      <sheetName val="DT_TUYEN17"/>
      <sheetName val="DT_GIA17"/>
      <sheetName val="KHDT_(2)17"/>
      <sheetName val="CL_17"/>
      <sheetName val="KQ_(2)17"/>
      <sheetName val="Quang_Tri17"/>
      <sheetName val="Da_Nang17"/>
      <sheetName val="Quang_Nam17"/>
      <sheetName val="Quang_Ngai17"/>
      <sheetName val="TH_DH-QN17"/>
      <sheetName val="KP_HD17"/>
      <sheetName val="DB_HD17"/>
      <sheetName val="vat_tu17"/>
      <sheetName val="Thep_17"/>
      <sheetName val="Chi_tiet_Khoi_luong17"/>
      <sheetName val="TH_khoi_luong17"/>
      <sheetName val="Chiet_tinh_vat_lieu_17"/>
      <sheetName val="TH_KL_VL17"/>
      <sheetName val="AC_PC17"/>
      <sheetName val="TAI_TRONG17"/>
      <sheetName val="NOI_LUC17"/>
      <sheetName val="TINH_DUYET_THTT_CHINH17"/>
      <sheetName val="TDUYET_THTT_PHU17"/>
      <sheetName val="TINH_DAO_DONG_VA_DO_VONG17"/>
      <sheetName val="TINH_NEO17"/>
      <sheetName val="tong_hop_thanh_toan_thue17"/>
      <sheetName val="bang_ke_nop_thue17"/>
      <sheetName val="Tonh_hop_chi_phi17"/>
      <sheetName val="BK_chi_phi17"/>
      <sheetName val="KTra_DS_va_thue_GTGT17"/>
      <sheetName val="Kiãøm_tra_DS_thue_GTGT17"/>
      <sheetName val="XUAT(gia_von)17"/>
      <sheetName val="Xuat_(gia_ban)17"/>
      <sheetName val="Dchinh_TH_N-X-T17"/>
      <sheetName val="Tong_hop_N-X-T17"/>
      <sheetName val="thue_TH17"/>
      <sheetName val="tong_hop_200117"/>
      <sheetName val="qUYET_TOAN_THUE17"/>
      <sheetName val="BU_CTPH17"/>
      <sheetName val="BU_tran3+360_2217"/>
      <sheetName val="Tran3+360_2217"/>
      <sheetName val="BU_tran2+386_417"/>
      <sheetName val="Tran2+386_417"/>
      <sheetName val="DTcong_4-517"/>
      <sheetName val="Bu_1-217"/>
      <sheetName val="Bu_12-1317"/>
      <sheetName val="DTcong_12-1317"/>
      <sheetName val="DT_cong13-13+17"/>
      <sheetName val="BU-_nhanh17"/>
      <sheetName val="dtcong_nh1-217"/>
      <sheetName val="dtcong_nh0-117"/>
      <sheetName val="BU_11-1217"/>
      <sheetName val="DTcong_11-1217"/>
      <sheetName val="Pr-_CC17"/>
      <sheetName val="MD_3-417"/>
      <sheetName val="ND_3-417"/>
      <sheetName val="MD_1-217"/>
      <sheetName val="ND_1-217"/>
      <sheetName val="MD_0-117"/>
      <sheetName val="ND_0-117"/>
      <sheetName val="KL_tong17"/>
      <sheetName val="TH_(T1-6)17"/>
      <sheetName val="_NL17"/>
      <sheetName val="_NL_(2)17"/>
      <sheetName val="CDTHCT_(3)17"/>
      <sheetName val="thkl_(2)17"/>
      <sheetName val="long_tec17"/>
      <sheetName val="cd_viaK0-T617"/>
      <sheetName val="cdvia_T6-Tc2417"/>
      <sheetName val="cdvia_Tc24-T4617"/>
      <sheetName val="cd_btnL2k0+361-T1917"/>
      <sheetName val="CT_xa17"/>
      <sheetName val="CDTHU_CHI_T117"/>
      <sheetName val="THUCHI_217"/>
      <sheetName val="THU_CHI317"/>
      <sheetName val="THU_CHI_417"/>
      <sheetName val="THU_CHI517"/>
      <sheetName val="THU_CHI_617"/>
      <sheetName val="TU_CHI_717"/>
      <sheetName val="THU_CHI917"/>
      <sheetName val="THU_CHI_817"/>
      <sheetName val="THU_CHI_1017"/>
      <sheetName val="THU_CHI_1117"/>
      <sheetName val="THU_CHI_1217"/>
      <sheetName val="Xep_hang_20117"/>
      <sheetName val="toan_Cty17"/>
      <sheetName val="Cong_ty17"/>
      <sheetName val="XN_217"/>
      <sheetName val="XN_ong_CHi17"/>
      <sheetName val="N_XDCT&amp;_XKLD17"/>
      <sheetName val="CN_HCM17"/>
      <sheetName val="TT_XKLD(Nhan)17"/>
      <sheetName val="Ong_Hong17"/>
      <sheetName val="CN_hung_yen17"/>
      <sheetName val="Dong_nai17"/>
      <sheetName val="K249_K9817"/>
      <sheetName val="K249_K98_(2)17"/>
      <sheetName val="K251_K9817"/>
      <sheetName val="K251_SBase17"/>
      <sheetName val="K251_AC17"/>
      <sheetName val="K252_K9817"/>
      <sheetName val="K252_SBase17"/>
      <sheetName val="K252_AC17"/>
      <sheetName val="K253_K9817"/>
      <sheetName val="K253_Subbase17"/>
      <sheetName val="K253_Base_17"/>
      <sheetName val="K253_SBase17"/>
      <sheetName val="K253_AC17"/>
      <sheetName val="K255_SBase17"/>
      <sheetName val="K259_K9817"/>
      <sheetName val="K259_Subbase17"/>
      <sheetName val="K259_Base_17"/>
      <sheetName val="K259_AC17"/>
      <sheetName val="K260_K9817"/>
      <sheetName val="K260_Subbase17"/>
      <sheetName val="K260_Base17"/>
      <sheetName val="K260_AC17"/>
      <sheetName val="K261_K9817"/>
      <sheetName val="K261_Base17"/>
      <sheetName val="K261_AC17"/>
      <sheetName val="KL_Tram_Cty17"/>
      <sheetName val="Gam_may_Cty17"/>
      <sheetName val="KL_tram_KH17"/>
      <sheetName val="Gam_may_KH17"/>
      <sheetName val="Cach_dien17"/>
      <sheetName val="Mang_tai17"/>
      <sheetName val="KL_DDK17"/>
      <sheetName val="Mang_tai_DDK17"/>
      <sheetName val="KL_DDK0,417"/>
      <sheetName val="TT_Ky_thuat17"/>
      <sheetName val="CT_moi17"/>
      <sheetName val="Tu_dien17"/>
      <sheetName val="May_cat17"/>
      <sheetName val="Dao_Cly17"/>
      <sheetName val="Dao_Ptai17"/>
      <sheetName val="Tu_RMU17"/>
      <sheetName val="C_set17"/>
      <sheetName val="Sco_Cap17"/>
      <sheetName val="Sco_TB17"/>
      <sheetName val="TN_tram17"/>
      <sheetName val="TN_C_set17"/>
      <sheetName val="TN_TD_DDay17"/>
      <sheetName val="Phan_chung17"/>
      <sheetName val="cong_Q217"/>
      <sheetName val="T_U_luong_Q117"/>
      <sheetName val="T_U_luong_Q217"/>
      <sheetName val="T_U_luong_Q317"/>
      <sheetName val="Quyet_toan17"/>
      <sheetName val="Thu_hoi17"/>
      <sheetName val="Lai_vay17"/>
      <sheetName val="Tien_vay17"/>
      <sheetName val="Cong_no17"/>
      <sheetName val="Cop_pha17"/>
      <sheetName val="Gia_DAN17"/>
      <sheetName val="Phu_luc_HD17"/>
      <sheetName val="Gia_du_thau17"/>
      <sheetName val="Ca_xe17"/>
      <sheetName val="Dc_Dau17"/>
      <sheetName val="_o_to_Hien_817"/>
      <sheetName val="_o_to_Hien917"/>
      <sheetName val="_o_to_Hien1017"/>
      <sheetName val="_o_to_Hien1117"/>
      <sheetName val="_o_to_Hien12)17"/>
      <sheetName val="_o_to_Hien127"/>
      <sheetName val="_o_to_Hien217"/>
      <sheetName val="_o_to_Hien317"/>
      <sheetName val="_o_to_Hien417"/>
      <sheetName val="_o_to_Hien517"/>
      <sheetName val="_o_to_Phong_817"/>
      <sheetName val="_o_to_Phong917"/>
      <sheetName val="_o_to_Phong1017"/>
      <sheetName val="_o_to_Phong1117"/>
      <sheetName val="_o_to_Phong12)17"/>
      <sheetName val="_o_to_Phong127"/>
      <sheetName val="_o_to_Phong217"/>
      <sheetName val="_o_to_Phong317"/>
      <sheetName val="_o_to_Phong417"/>
      <sheetName val="_o_to_Phong517"/>
      <sheetName val="_o_to_Dung_8_17"/>
      <sheetName val="_D_tt_dau817"/>
      <sheetName val="_o_to_Dung_917"/>
      <sheetName val="_D9_tt_dau17"/>
      <sheetName val="_D10_tt_dau17"/>
      <sheetName val="_o_to_Dung_1017"/>
      <sheetName val="_o_to_Dung_1117"/>
      <sheetName val="_o_to_Dung_12)17"/>
      <sheetName val="_o_to_Dung_127"/>
      <sheetName val="_o_to_Dung217"/>
      <sheetName val="_o_to_Dung317"/>
      <sheetName val="_o_to_Dung417"/>
      <sheetName val="_o_totrongT10-1217"/>
      <sheetName val="_o_totrongT217"/>
      <sheetName val="_o_totrungT10-1217"/>
      <sheetName val="_o_toMinhT10-12_17"/>
      <sheetName val="_o_toMinhT217"/>
      <sheetName val="_o_toTrieuT10-12__17"/>
      <sheetName val="Luong_8_SP17"/>
      <sheetName val="Luong_9_SP_17"/>
      <sheetName val="Luong_10_SP_17"/>
      <sheetName val="Luong_11_SP_17"/>
      <sheetName val="Luong_12_SP17"/>
      <sheetName val="Luong_1_SP117"/>
      <sheetName val="Luong_2_SP217"/>
      <sheetName val="Luong_3_SP317"/>
      <sheetName val="Luong_4_SP417"/>
      <sheetName val="Luong_4_SP517"/>
      <sheetName val="KL_VL17"/>
      <sheetName val="QT_9-617"/>
      <sheetName val="Thuong_luu_HB17"/>
      <sheetName val="QT_Ky_T17"/>
      <sheetName val="bc_vt_TON_BAI17"/>
      <sheetName val="QT_Duoc_(Hai)17"/>
      <sheetName val="sent_to17"/>
      <sheetName val="KLTong_hop17"/>
      <sheetName val="Lan_can17"/>
      <sheetName val="Ranh_doc_(2)17"/>
      <sheetName val="Ranh_doc17"/>
      <sheetName val="Coc_tieu17"/>
      <sheetName val="Bien_bao17"/>
      <sheetName val="Nan_tuyen17"/>
      <sheetName val="Lan_117"/>
      <sheetName val="Lan__217"/>
      <sheetName val="Lan_317"/>
      <sheetName val="Gia_tri17"/>
      <sheetName val="Lan_517"/>
      <sheetName val="Cong_hop17"/>
      <sheetName val="kldukien_(107)17"/>
      <sheetName val="qui1_(2)17"/>
      <sheetName val="cap_so_lan_217"/>
      <sheetName val="cap_so_BHXH17"/>
      <sheetName val="tru_tien17"/>
      <sheetName val="yt_q217"/>
      <sheetName val="c45_t317"/>
      <sheetName val="c45_t617"/>
      <sheetName val="BHYT_Q3_200317"/>
      <sheetName val="C45_t717"/>
      <sheetName val="C47-t07_200317"/>
      <sheetName val="C45_t817"/>
      <sheetName val="C47-t08_200317"/>
      <sheetName val="C45_t0917"/>
      <sheetName val="C47-t09_200317"/>
      <sheetName val="C47_T1217"/>
      <sheetName val="BHYT_Q4-200317"/>
      <sheetName val="C45_T1017"/>
      <sheetName val="binh_do17"/>
      <sheetName val="cot_lieu17"/>
      <sheetName val="van_khuon17"/>
      <sheetName val="CT_BT17"/>
      <sheetName val="lay_mau17"/>
      <sheetName val="mat_ngoai_goi17"/>
      <sheetName val="coc_tram-bt17"/>
      <sheetName val="cong_bien_t1019"/>
      <sheetName val="luong_t9_19"/>
      <sheetName val="bb_t919"/>
      <sheetName val="KL_XL200019"/>
      <sheetName val="Chiet_tinh19"/>
      <sheetName val="Van_chuyen19"/>
      <sheetName val="THKP_(2)19"/>
      <sheetName val="T_Bi19"/>
      <sheetName val="Thiet_ke19"/>
      <sheetName val="K_luong19"/>
      <sheetName val="TT_L219"/>
      <sheetName val="TT_L119"/>
      <sheetName val="Thue_Ngoai19"/>
      <sheetName val="Dong_Dau19"/>
      <sheetName val="Dong_Dau_(2)19"/>
      <sheetName val="Sau_dong19"/>
      <sheetName val="Ma_xa19"/>
      <sheetName val="My_dinh19"/>
      <sheetName val="Tong_cong19"/>
      <sheetName val="Chi_tiet_-_Dv_lap19"/>
      <sheetName val="TH_KHTC19"/>
      <sheetName val="Gia_VL19"/>
      <sheetName val="Bang_gia_ca_may19"/>
      <sheetName val="Bang_luong_CB19"/>
      <sheetName val="Bang_P_tich_CT19"/>
      <sheetName val="D_toan_chi_tiet19"/>
      <sheetName val="Bang_TH_Dtoan19"/>
      <sheetName val="LUAN_CHUYEN19"/>
      <sheetName val="KE_QUY19"/>
      <sheetName val="LUONGGIAN_TIEP19"/>
      <sheetName val="VAY_VON19"/>
      <sheetName val="O_THAO19"/>
      <sheetName val="Q_TRUNG19"/>
      <sheetName val="Y_THANH19"/>
      <sheetName val="Sheet2_(2)19"/>
      <sheetName val="KH_2003_(moi_max)19"/>
      <sheetName val="Interim_payment19"/>
      <sheetName val="Bid_Sum19"/>
      <sheetName val="Item_B19"/>
      <sheetName val="Dg_A19"/>
      <sheetName val="Dg_B&amp;C19"/>
      <sheetName val="Material_at_site19"/>
      <sheetName val="Bang_VL19"/>
      <sheetName val="VL(No_V-c)19"/>
      <sheetName val="He_so19"/>
      <sheetName val="PL_Vua19"/>
      <sheetName val="Chitieu-dam_cac_loai19"/>
      <sheetName val="DG_Dam19"/>
      <sheetName val="DG_chung19"/>
      <sheetName val="VL-dac_chung19"/>
      <sheetName val="CT_1md_&amp;_dau_cong19"/>
      <sheetName val="Tong_hop19"/>
      <sheetName val="CT_cong19"/>
      <sheetName val="dg_cong19"/>
      <sheetName val="CDSL_(2)19"/>
      <sheetName val="__19"/>
      <sheetName val="san_vuon19"/>
      <sheetName val="khu_phu_tro19"/>
      <sheetName val="Thuyet_minh19"/>
      <sheetName val="be_tong19"/>
      <sheetName val="Tong_hop_thep19"/>
      <sheetName val="phan_tich_DG19"/>
      <sheetName val="gia_vat_lieu19"/>
      <sheetName val="gia_xe_may19"/>
      <sheetName val="gia_nhan_cong19"/>
      <sheetName val="BCC_(2)19"/>
      <sheetName val="Bao_cao19"/>
      <sheetName val="Bao_cao_219"/>
      <sheetName val="Khoi_luong19"/>
      <sheetName val="Khoi_luong_mat19"/>
      <sheetName val="Bang_ke19"/>
      <sheetName val="T_HopKL19"/>
      <sheetName val="S_Luong19"/>
      <sheetName val="D_Dap19"/>
      <sheetName val="Q_Toan19"/>
      <sheetName val="Phan_tich_chi_phi19"/>
      <sheetName val="Chi_phi_nen_theo_BVTC19"/>
      <sheetName val="nhan_cong_phu19"/>
      <sheetName val="nhan_cong_Hung19"/>
      <sheetName val="Nhan_cong19"/>
      <sheetName val="Khoi_luong_nen_theo_BVTC19"/>
      <sheetName val="cap_cho_cac_DT19"/>
      <sheetName val="Ung_-_hoan19"/>
      <sheetName val="CP_may19"/>
      <sheetName val="Phu_luc19"/>
      <sheetName val="Gia_trÞ19"/>
      <sheetName val="DS_them_luong_qui_4-200219"/>
      <sheetName val="Phuc_loi_2-9-0219"/>
      <sheetName val="Thuong_nhan_dip_21-12-0219"/>
      <sheetName val="Thuong_dip_nhan_danh_hieu_AHL19"/>
      <sheetName val="Thang_luong_thu_13_nam_200219"/>
      <sheetName val="Luong_SX#_dip_Tet_Qui_Mui(don19"/>
      <sheetName val="CT_Duong19"/>
      <sheetName val="D_gia19"/>
      <sheetName val="T_hop19"/>
      <sheetName val="CtP_tro19"/>
      <sheetName val="Nha_moi19"/>
      <sheetName val="TT-T_Tron_So_219"/>
      <sheetName val="Ct_Dam_19"/>
      <sheetName val="Ct_Duoi19"/>
      <sheetName val="Ct_Tren19"/>
      <sheetName val="D_giaMay19"/>
      <sheetName val="26+180-400_219"/>
      <sheetName val="26+180_Sub119"/>
      <sheetName val="26+180_Sub419"/>
      <sheetName val="26+180-400_5(k95)19"/>
      <sheetName val="26+400-620_3(k95)19"/>
      <sheetName val="26+400-640_1(k95)19"/>
      <sheetName val="26+960-27+150_919"/>
      <sheetName val="26+960-27+150_1019"/>
      <sheetName val="26+960-27+150_1119"/>
      <sheetName val="26+960-27+150_1219"/>
      <sheetName val="26+960-27+150_5(k95)19"/>
      <sheetName val="26+960-27+150_4(k95)19"/>
      <sheetName val="26+960-27+150_1(k95)19"/>
      <sheetName val="27+500-700_5(k95)19"/>
      <sheetName val="27+500-700_4(k95)19"/>
      <sheetName val="27+500-700_3(k95)19"/>
      <sheetName val="27+500-700_1(k95)19"/>
      <sheetName val="27+740-920_3(k95)19"/>
      <sheetName val="27+740-920_2119"/>
      <sheetName val="27+920-28+040_6,719"/>
      <sheetName val="27+920-28+040_1019"/>
      <sheetName val="27+920-28+160_Su319"/>
      <sheetName val="28+160-28+420_5K9519"/>
      <sheetName val="28+430-657_719"/>
      <sheetName val="Km28+430-657_819"/>
      <sheetName val="28+430-657_919"/>
      <sheetName val="28+430-667_1019"/>
      <sheetName val="28+430-657_1119"/>
      <sheetName val="28+430-657_4k9519"/>
      <sheetName val="28+500-657_1819"/>
      <sheetName val="28+520-657_1919"/>
      <sheetName val="C_TIEU19"/>
      <sheetName val="T_Luong19"/>
      <sheetName val="T_HAO19"/>
      <sheetName val="DT_TUYEN19"/>
      <sheetName val="DT_GIA19"/>
      <sheetName val="KHDT_(2)19"/>
      <sheetName val="CL_19"/>
      <sheetName val="KQ_(2)19"/>
      <sheetName val="Quang_Tri19"/>
      <sheetName val="Da_Nang19"/>
      <sheetName val="Quang_Nam19"/>
      <sheetName val="Quang_Ngai19"/>
      <sheetName val="TH_DH-QN19"/>
      <sheetName val="KP_HD19"/>
      <sheetName val="DB_HD19"/>
      <sheetName val="vat_tu19"/>
      <sheetName val="Thep_19"/>
      <sheetName val="Chi_tiet_Khoi_luong19"/>
      <sheetName val="TH_khoi_luong19"/>
      <sheetName val="Chiet_tinh_vat_lieu_19"/>
      <sheetName val="TH_KL_VL19"/>
      <sheetName val="AC_PC19"/>
      <sheetName val="TAI_TRONG19"/>
      <sheetName val="NOI_LUC19"/>
      <sheetName val="TINH_DUYET_THTT_CHINH19"/>
      <sheetName val="TDUYET_THTT_PHU19"/>
      <sheetName val="TINH_DAO_DONG_VA_DO_VONG19"/>
      <sheetName val="TINH_NEO19"/>
      <sheetName val="tong_hop_thanh_toan_thue19"/>
      <sheetName val="bang_ke_nop_thue19"/>
      <sheetName val="Tonh_hop_chi_phi19"/>
      <sheetName val="BK_chi_phi19"/>
      <sheetName val="KTra_DS_va_thue_GTGT19"/>
      <sheetName val="Kiãøm_tra_DS_thue_GTGT19"/>
      <sheetName val="XUAT(gia_von)19"/>
      <sheetName val="Xuat_(gia_ban)19"/>
      <sheetName val="Dchinh_TH_N-X-T19"/>
      <sheetName val="Tong_hop_N-X-T19"/>
      <sheetName val="thue_TH19"/>
      <sheetName val="tong_hop_200119"/>
      <sheetName val="qUYET_TOAN_THUE19"/>
      <sheetName val="BU_CTPH19"/>
      <sheetName val="BU_tran3+360_2219"/>
      <sheetName val="Tran3+360_2219"/>
      <sheetName val="BU_tran2+386_419"/>
      <sheetName val="Tran2+386_419"/>
      <sheetName val="DTcong_4-519"/>
      <sheetName val="Bu_1-219"/>
      <sheetName val="Bu_12-1319"/>
      <sheetName val="DTcong_12-1319"/>
      <sheetName val="DT_cong13-13+19"/>
      <sheetName val="BU-_nhanh19"/>
      <sheetName val="dtcong_nh1-219"/>
      <sheetName val="dtcong_nh0-119"/>
      <sheetName val="BU_11-1219"/>
      <sheetName val="DTcong_11-1219"/>
      <sheetName val="Pr-_CC19"/>
      <sheetName val="MD_3-419"/>
      <sheetName val="ND_3-419"/>
      <sheetName val="MD_1-219"/>
      <sheetName val="ND_1-219"/>
      <sheetName val="MD_0-119"/>
      <sheetName val="ND_0-119"/>
      <sheetName val="KL_tong19"/>
      <sheetName val="TH_(T1-6)19"/>
      <sheetName val="_NL19"/>
      <sheetName val="_NL_(2)19"/>
      <sheetName val="CDTHCT_(3)19"/>
      <sheetName val="thkl_(2)19"/>
      <sheetName val="long_tec19"/>
      <sheetName val="cd_viaK0-T619"/>
      <sheetName val="cdvia_T6-Tc2419"/>
      <sheetName val="cdvia_Tc24-T4619"/>
      <sheetName val="cd_btnL2k0+361-T1919"/>
      <sheetName val="CT_xa19"/>
      <sheetName val="CDTHU_CHI_T119"/>
      <sheetName val="THUCHI_219"/>
      <sheetName val="THU_CHI319"/>
      <sheetName val="THU_CHI_419"/>
      <sheetName val="THU_CHI519"/>
      <sheetName val="THU_CHI_619"/>
      <sheetName val="TU_CHI_719"/>
      <sheetName val="THU_CHI919"/>
      <sheetName val="THU_CHI_819"/>
      <sheetName val="THU_CHI_1019"/>
      <sheetName val="THU_CHI_1119"/>
      <sheetName val="THU_CHI_1219"/>
      <sheetName val="Xep_hang_20119"/>
      <sheetName val="toan_Cty19"/>
      <sheetName val="Cong_ty19"/>
      <sheetName val="XN_219"/>
      <sheetName val="XN_ong_CHi19"/>
      <sheetName val="N_XDCT&amp;_XKLD19"/>
      <sheetName val="CN_HCM19"/>
      <sheetName val="TT_XKLD(Nhan)19"/>
      <sheetName val="Ong_Hong19"/>
      <sheetName val="CN_hung_yen19"/>
      <sheetName val="Dong_nai19"/>
      <sheetName val="K249_K9819"/>
      <sheetName val="K249_K98_(2)19"/>
      <sheetName val="K251_K9819"/>
      <sheetName val="K251_SBase19"/>
      <sheetName val="K251_AC19"/>
      <sheetName val="K252_K9819"/>
      <sheetName val="K252_SBase19"/>
      <sheetName val="K252_AC19"/>
      <sheetName val="K253_K9819"/>
      <sheetName val="K253_Subbase19"/>
      <sheetName val="K253_Base_19"/>
      <sheetName val="K253_SBase19"/>
      <sheetName val="K253_AC19"/>
      <sheetName val="K255_SBase19"/>
      <sheetName val="K259_K9819"/>
      <sheetName val="K259_Subbase19"/>
      <sheetName val="K259_Base_19"/>
      <sheetName val="K259_AC19"/>
      <sheetName val="K260_K9819"/>
      <sheetName val="K260_Subbase19"/>
      <sheetName val="K260_Base19"/>
      <sheetName val="K260_AC19"/>
      <sheetName val="K261_K9819"/>
      <sheetName val="K261_Base19"/>
      <sheetName val="K261_AC19"/>
      <sheetName val="KL_Tram_Cty19"/>
      <sheetName val="Gam_may_Cty19"/>
      <sheetName val="KL_tram_KH19"/>
      <sheetName val="Gam_may_KH19"/>
      <sheetName val="Cach_dien19"/>
      <sheetName val="Mang_tai19"/>
      <sheetName val="KL_DDK19"/>
      <sheetName val="Mang_tai_DDK19"/>
      <sheetName val="KL_DDK0,419"/>
      <sheetName val="TT_Ky_thuat19"/>
      <sheetName val="CT_moi19"/>
      <sheetName val="Tu_dien19"/>
      <sheetName val="May_cat19"/>
      <sheetName val="Dao_Cly19"/>
      <sheetName val="Dao_Ptai19"/>
      <sheetName val="Tu_RMU19"/>
      <sheetName val="C_set19"/>
      <sheetName val="Sco_Cap19"/>
      <sheetName val="Sco_TB19"/>
      <sheetName val="TN_tram19"/>
      <sheetName val="TN_C_set19"/>
      <sheetName val="TN_TD_DDay19"/>
      <sheetName val="Phan_chung19"/>
      <sheetName val="cong_Q219"/>
      <sheetName val="T_U_luong_Q119"/>
      <sheetName val="T_U_luong_Q219"/>
      <sheetName val="T_U_luong_Q319"/>
      <sheetName val="Quyet_toan19"/>
      <sheetName val="Thu_hoi19"/>
      <sheetName val="Lai_vay19"/>
      <sheetName val="Tien_vay19"/>
      <sheetName val="Cong_no19"/>
      <sheetName val="Cop_pha19"/>
      <sheetName val="Gia_DAN19"/>
      <sheetName val="Phu_luc_HD19"/>
      <sheetName val="Gia_du_thau19"/>
      <sheetName val="Ca_xe19"/>
      <sheetName val="Dc_Dau19"/>
      <sheetName val="_o_to_Hien_819"/>
      <sheetName val="_o_to_Hien919"/>
      <sheetName val="_o_to_Hien1019"/>
      <sheetName val="_o_to_Hien1119"/>
      <sheetName val="_o_to_Hien12)19"/>
      <sheetName val="_o_to_Hien129"/>
      <sheetName val="_o_to_Hien219"/>
      <sheetName val="_o_to_Hien319"/>
      <sheetName val="_o_to_Hien419"/>
      <sheetName val="_o_to_Hien519"/>
      <sheetName val="_o_to_Phong_819"/>
      <sheetName val="_o_to_Phong919"/>
      <sheetName val="_o_to_Phong1019"/>
      <sheetName val="_o_to_Phong1119"/>
      <sheetName val="_o_to_Phong12)19"/>
      <sheetName val="_o_to_Phong129"/>
      <sheetName val="_o_to_Phong219"/>
      <sheetName val="_o_to_Phong319"/>
      <sheetName val="_o_to_Phong419"/>
      <sheetName val="_o_to_Phong519"/>
      <sheetName val="_o_to_Dung_8_19"/>
      <sheetName val="_D_tt_dau819"/>
      <sheetName val="_o_to_Dung_919"/>
      <sheetName val="_D9_tt_dau19"/>
      <sheetName val="_D10_tt_dau19"/>
      <sheetName val="_o_to_Dung_1019"/>
      <sheetName val="_o_to_Dung_1119"/>
      <sheetName val="_o_to_Dung_12)19"/>
      <sheetName val="_o_to_Dung_129"/>
      <sheetName val="_o_to_Dung219"/>
      <sheetName val="_o_to_Dung319"/>
      <sheetName val="_o_to_Dung419"/>
      <sheetName val="_o_totrongT10-1219"/>
      <sheetName val="_o_totrongT219"/>
      <sheetName val="_o_totrungT10-1219"/>
      <sheetName val="_o_toMinhT10-12_19"/>
      <sheetName val="_o_toMinhT219"/>
      <sheetName val="_o_toTrieuT10-12__19"/>
      <sheetName val="Luong_8_SP19"/>
      <sheetName val="Luong_9_SP_19"/>
      <sheetName val="Luong_10_SP_19"/>
      <sheetName val="Luong_11_SP_19"/>
      <sheetName val="Luong_12_SP19"/>
      <sheetName val="Luong_1_SP119"/>
      <sheetName val="Luong_2_SP219"/>
      <sheetName val="Luong_3_SP319"/>
      <sheetName val="Luong_4_SP419"/>
      <sheetName val="Luong_4_SP519"/>
      <sheetName val="KL_VL19"/>
      <sheetName val="QT_9-619"/>
      <sheetName val="Thuong_luu_HB19"/>
      <sheetName val="QT_Ky_T19"/>
      <sheetName val="bc_vt_TON_BAI19"/>
      <sheetName val="QT_Duoc_(Hai)19"/>
      <sheetName val="sent_to19"/>
      <sheetName val="KLTong_hop19"/>
      <sheetName val="Lan_can19"/>
      <sheetName val="Ranh_doc_(2)19"/>
      <sheetName val="Ranh_doc19"/>
      <sheetName val="Coc_tieu19"/>
      <sheetName val="Bien_bao19"/>
      <sheetName val="Nan_tuyen19"/>
      <sheetName val="Lan_119"/>
      <sheetName val="Lan__219"/>
      <sheetName val="Lan_319"/>
      <sheetName val="Gia_tri19"/>
      <sheetName val="Lan_519"/>
      <sheetName val="Cong_hop19"/>
      <sheetName val="kldukien_(107)19"/>
      <sheetName val="qui1_(2)19"/>
      <sheetName val="cap_so_lan_219"/>
      <sheetName val="cap_so_BHXH19"/>
      <sheetName val="tru_tien19"/>
      <sheetName val="yt_q219"/>
      <sheetName val="c45_t319"/>
      <sheetName val="c45_t619"/>
      <sheetName val="BHYT_Q3_200319"/>
      <sheetName val="C45_t719"/>
      <sheetName val="C47-t07_200319"/>
      <sheetName val="C45_t819"/>
      <sheetName val="C47-t08_200319"/>
      <sheetName val="C45_t0919"/>
      <sheetName val="C47-t09_200319"/>
      <sheetName val="C47_T1219"/>
      <sheetName val="BHYT_Q4-200319"/>
      <sheetName val="C45_T1019"/>
      <sheetName val="binh_do19"/>
      <sheetName val="cot_lieu19"/>
      <sheetName val="van_khuon19"/>
      <sheetName val="CT_BT19"/>
      <sheetName val="lay_mau19"/>
      <sheetName val="mat_ngoai_goi19"/>
      <sheetName val="coc_tram-bt19"/>
      <sheetName val="cong_bien_t1018"/>
      <sheetName val="luong_t9_18"/>
      <sheetName val="bb_t918"/>
      <sheetName val="KL_XL200018"/>
      <sheetName val="Chiet_tinh18"/>
      <sheetName val="Van_chuyen18"/>
      <sheetName val="THKP_(2)18"/>
      <sheetName val="T_Bi18"/>
      <sheetName val="Thiet_ke18"/>
      <sheetName val="K_luong18"/>
      <sheetName val="TT_L218"/>
      <sheetName val="TT_L118"/>
      <sheetName val="Thue_Ngoai18"/>
      <sheetName val="Dong_Dau18"/>
      <sheetName val="Dong_Dau_(2)18"/>
      <sheetName val="Sau_dong18"/>
      <sheetName val="Ma_xa18"/>
      <sheetName val="My_dinh18"/>
      <sheetName val="Tong_cong18"/>
      <sheetName val="Chi_tiet_-_Dv_lap18"/>
      <sheetName val="TH_KHTC18"/>
      <sheetName val="Gia_VL18"/>
      <sheetName val="Bang_gia_ca_may18"/>
      <sheetName val="Bang_luong_CB18"/>
      <sheetName val="Bang_P_tich_CT18"/>
      <sheetName val="D_toan_chi_tiet18"/>
      <sheetName val="Bang_TH_Dtoan18"/>
      <sheetName val="LUAN_CHUYEN18"/>
      <sheetName val="KE_QUY18"/>
      <sheetName val="LUONGGIAN_TIEP18"/>
      <sheetName val="VAY_VON18"/>
      <sheetName val="O_THAO18"/>
      <sheetName val="Q_TRUNG18"/>
      <sheetName val="Y_THANH18"/>
      <sheetName val="Sheet2_(2)18"/>
      <sheetName val="KH_2003_(moi_max)18"/>
      <sheetName val="Interim_payment18"/>
      <sheetName val="Bid_Sum18"/>
      <sheetName val="Item_B18"/>
      <sheetName val="Dg_A18"/>
      <sheetName val="Dg_B&amp;C18"/>
      <sheetName val="Material_at_site18"/>
      <sheetName val="Bang_VL18"/>
      <sheetName val="VL(No_V-c)18"/>
      <sheetName val="He_so18"/>
      <sheetName val="PL_Vua18"/>
      <sheetName val="Chitieu-dam_cac_loai18"/>
      <sheetName val="DG_Dam18"/>
      <sheetName val="DG_chung18"/>
      <sheetName val="VL-dac_chung18"/>
      <sheetName val="CT_1md_&amp;_dau_cong18"/>
      <sheetName val="Tong_hop18"/>
      <sheetName val="CT_cong18"/>
      <sheetName val="dg_cong18"/>
      <sheetName val="CDSL_(2)18"/>
      <sheetName val="__18"/>
      <sheetName val="san_vuon18"/>
      <sheetName val="khu_phu_tro18"/>
      <sheetName val="Thuyet_minh18"/>
      <sheetName val="be_tong18"/>
      <sheetName val="Tong_hop_thep18"/>
      <sheetName val="phan_tich_DG18"/>
      <sheetName val="gia_vat_lieu18"/>
      <sheetName val="gia_xe_may18"/>
      <sheetName val="gia_nhan_cong18"/>
      <sheetName val="BCC_(2)18"/>
      <sheetName val="Bao_cao18"/>
      <sheetName val="Bao_cao_218"/>
      <sheetName val="Khoi_luong18"/>
      <sheetName val="Khoi_luong_mat18"/>
      <sheetName val="Bang_ke18"/>
      <sheetName val="T_HopKL18"/>
      <sheetName val="S_Luong18"/>
      <sheetName val="D_Dap18"/>
      <sheetName val="Q_Toan18"/>
      <sheetName val="Phan_tich_chi_phi18"/>
      <sheetName val="Chi_phi_nen_theo_BVTC18"/>
      <sheetName val="nhan_cong_phu18"/>
      <sheetName val="nhan_cong_Hung18"/>
      <sheetName val="Nhan_cong18"/>
      <sheetName val="Khoi_luong_nen_theo_BVTC18"/>
      <sheetName val="cap_cho_cac_DT18"/>
      <sheetName val="Ung_-_hoan18"/>
      <sheetName val="CP_may18"/>
      <sheetName val="Phu_luc18"/>
      <sheetName val="Gia_trÞ18"/>
      <sheetName val="DS_them_luong_qui_4-200218"/>
      <sheetName val="Phuc_loi_2-9-0218"/>
      <sheetName val="Thuong_nhan_dip_21-12-0218"/>
      <sheetName val="Thuong_dip_nhan_danh_hieu_AHL18"/>
      <sheetName val="Thang_luong_thu_13_nam_200218"/>
      <sheetName val="Luong_SX#_dip_Tet_Qui_Mui(don18"/>
      <sheetName val="CT_Duong18"/>
      <sheetName val="D_gia18"/>
      <sheetName val="T_hop18"/>
      <sheetName val="CtP_tro18"/>
      <sheetName val="Nha_moi18"/>
      <sheetName val="TT-T_Tron_So_218"/>
      <sheetName val="Ct_Dam_18"/>
      <sheetName val="Ct_Duoi18"/>
      <sheetName val="Ct_Tren18"/>
      <sheetName val="D_giaMay18"/>
      <sheetName val="26+180-400_218"/>
      <sheetName val="26+180_Sub118"/>
      <sheetName val="26+180_Sub418"/>
      <sheetName val="26+180-400_5(k95)18"/>
      <sheetName val="26+400-620_3(k95)18"/>
      <sheetName val="26+400-640_1(k95)18"/>
      <sheetName val="26+960-27+150_918"/>
      <sheetName val="26+960-27+150_1018"/>
      <sheetName val="26+960-27+150_1118"/>
      <sheetName val="26+960-27+150_1218"/>
      <sheetName val="26+960-27+150_5(k95)18"/>
      <sheetName val="26+960-27+150_4(k95)18"/>
      <sheetName val="26+960-27+150_1(k95)18"/>
      <sheetName val="27+500-700_5(k95)18"/>
      <sheetName val="27+500-700_4(k95)18"/>
      <sheetName val="27+500-700_3(k95)18"/>
      <sheetName val="27+500-700_1(k95)18"/>
      <sheetName val="27+740-920_3(k95)18"/>
      <sheetName val="27+740-920_2118"/>
      <sheetName val="27+920-28+040_6,718"/>
      <sheetName val="27+920-28+040_1018"/>
      <sheetName val="27+920-28+160_Su318"/>
      <sheetName val="28+160-28+420_5K9518"/>
      <sheetName val="28+430-657_718"/>
      <sheetName val="Km28+430-657_818"/>
      <sheetName val="28+430-657_918"/>
      <sheetName val="28+430-667_1018"/>
      <sheetName val="28+430-657_1118"/>
      <sheetName val="28+430-657_4k9518"/>
      <sheetName val="28+500-657_1818"/>
      <sheetName val="28+520-657_1918"/>
      <sheetName val="C_TIEU18"/>
      <sheetName val="T_Luong18"/>
      <sheetName val="T_HAO18"/>
      <sheetName val="DT_TUYEN18"/>
      <sheetName val="DT_GIA18"/>
      <sheetName val="KHDT_(2)18"/>
      <sheetName val="CL_18"/>
      <sheetName val="KQ_(2)18"/>
      <sheetName val="Quang_Tri18"/>
      <sheetName val="Da_Nang18"/>
      <sheetName val="Quang_Nam18"/>
      <sheetName val="Quang_Ngai18"/>
      <sheetName val="TH_DH-QN18"/>
      <sheetName val="KP_HD18"/>
      <sheetName val="DB_HD18"/>
      <sheetName val="vat_tu18"/>
      <sheetName val="Thep_18"/>
      <sheetName val="Chi_tiet_Khoi_luong18"/>
      <sheetName val="TH_khoi_luong18"/>
      <sheetName val="Chiet_tinh_vat_lieu_18"/>
      <sheetName val="TH_KL_VL18"/>
      <sheetName val="AC_PC18"/>
      <sheetName val="TAI_TRONG18"/>
      <sheetName val="NOI_LUC18"/>
      <sheetName val="TINH_DUYET_THTT_CHINH18"/>
      <sheetName val="TDUYET_THTT_PHU18"/>
      <sheetName val="TINH_DAO_DONG_VA_DO_VONG18"/>
      <sheetName val="TINH_NEO18"/>
      <sheetName val="tong_hop_thanh_toan_thue18"/>
      <sheetName val="bang_ke_nop_thue18"/>
      <sheetName val="Tonh_hop_chi_phi18"/>
      <sheetName val="BK_chi_phi18"/>
      <sheetName val="KTra_DS_va_thue_GTGT18"/>
      <sheetName val="Kiãøm_tra_DS_thue_GTGT18"/>
      <sheetName val="XUAT(gia_von)18"/>
      <sheetName val="Xuat_(gia_ban)18"/>
      <sheetName val="Dchinh_TH_N-X-T18"/>
      <sheetName val="Tong_hop_N-X-T18"/>
      <sheetName val="thue_TH18"/>
      <sheetName val="tong_hop_200118"/>
      <sheetName val="qUYET_TOAN_THUE18"/>
      <sheetName val="BU_CTPH18"/>
      <sheetName val="BU_tran3+360_2218"/>
      <sheetName val="Tran3+360_2218"/>
      <sheetName val="BU_tran2+386_418"/>
      <sheetName val="Tran2+386_418"/>
      <sheetName val="DTcong_4-518"/>
      <sheetName val="Bu_1-218"/>
      <sheetName val="Bu_12-1318"/>
      <sheetName val="DTcong_12-1318"/>
      <sheetName val="DT_cong13-13+18"/>
      <sheetName val="BU-_nhanh18"/>
      <sheetName val="dtcong_nh1-218"/>
      <sheetName val="dtcong_nh0-118"/>
      <sheetName val="BU_11-1218"/>
      <sheetName val="DTcong_11-1218"/>
      <sheetName val="Pr-_CC18"/>
      <sheetName val="MD_3-418"/>
      <sheetName val="ND_3-418"/>
      <sheetName val="MD_1-218"/>
      <sheetName val="ND_1-218"/>
      <sheetName val="MD_0-118"/>
      <sheetName val="ND_0-118"/>
      <sheetName val="KL_tong18"/>
      <sheetName val="TH_(T1-6)18"/>
      <sheetName val="_NL18"/>
      <sheetName val="_NL_(2)18"/>
      <sheetName val="CDTHCT_(3)18"/>
      <sheetName val="thkl_(2)18"/>
      <sheetName val="long_tec18"/>
      <sheetName val="cd_viaK0-T618"/>
      <sheetName val="cdvia_T6-Tc2418"/>
      <sheetName val="cdvia_Tc24-T4618"/>
      <sheetName val="cd_btnL2k0+361-T1918"/>
      <sheetName val="CT_xa18"/>
      <sheetName val="CDTHU_CHI_T118"/>
      <sheetName val="THUCHI_218"/>
      <sheetName val="THU_CHI318"/>
      <sheetName val="THU_CHI_418"/>
      <sheetName val="THU_CHI518"/>
      <sheetName val="THU_CHI_618"/>
      <sheetName val="TU_CHI_718"/>
      <sheetName val="THU_CHI918"/>
      <sheetName val="THU_CHI_818"/>
      <sheetName val="THU_CHI_1018"/>
      <sheetName val="THU_CHI_1118"/>
      <sheetName val="THU_CHI_1218"/>
      <sheetName val="Xep_hang_20118"/>
      <sheetName val="toan_Cty18"/>
      <sheetName val="Cong_ty18"/>
      <sheetName val="XN_218"/>
      <sheetName val="XN_ong_CHi18"/>
      <sheetName val="N_XDCT&amp;_XKLD18"/>
      <sheetName val="CN_HCM18"/>
      <sheetName val="TT_XKLD(Nhan)18"/>
      <sheetName val="Ong_Hong18"/>
      <sheetName val="CN_hung_yen18"/>
      <sheetName val="Dong_nai18"/>
      <sheetName val="K249_K9818"/>
      <sheetName val="K249_K98_(2)18"/>
      <sheetName val="K251_K9818"/>
      <sheetName val="K251_SBase18"/>
      <sheetName val="K251_AC18"/>
      <sheetName val="K252_K9818"/>
      <sheetName val="K252_SBase18"/>
      <sheetName val="K252_AC18"/>
      <sheetName val="K253_K9818"/>
      <sheetName val="K253_Subbase18"/>
      <sheetName val="K253_Base_18"/>
      <sheetName val="K253_SBase18"/>
      <sheetName val="K253_AC18"/>
      <sheetName val="K255_SBase18"/>
      <sheetName val="K259_K9818"/>
      <sheetName val="K259_Subbase18"/>
      <sheetName val="K259_Base_18"/>
      <sheetName val="K259_AC18"/>
      <sheetName val="K260_K9818"/>
      <sheetName val="K260_Subbase18"/>
      <sheetName val="K260_Base18"/>
      <sheetName val="K260_AC18"/>
      <sheetName val="K261_K9818"/>
      <sheetName val="K261_Base18"/>
      <sheetName val="K261_AC18"/>
      <sheetName val="KL_Tram_Cty18"/>
      <sheetName val="Gam_may_Cty18"/>
      <sheetName val="KL_tram_KH18"/>
      <sheetName val="Gam_may_KH18"/>
      <sheetName val="Cach_dien18"/>
      <sheetName val="Mang_tai18"/>
      <sheetName val="KL_DDK18"/>
      <sheetName val="Mang_tai_DDK18"/>
      <sheetName val="KL_DDK0,418"/>
      <sheetName val="TT_Ky_thuat18"/>
      <sheetName val="CT_moi18"/>
      <sheetName val="Tu_dien18"/>
      <sheetName val="May_cat18"/>
      <sheetName val="Dao_Cly18"/>
      <sheetName val="Dao_Ptai18"/>
      <sheetName val="Tu_RMU18"/>
      <sheetName val="C_set18"/>
      <sheetName val="Sco_Cap18"/>
      <sheetName val="Sco_TB18"/>
      <sheetName val="TN_tram18"/>
      <sheetName val="TN_C_set18"/>
      <sheetName val="TN_TD_DDay18"/>
      <sheetName val="Phan_chung18"/>
      <sheetName val="cong_Q218"/>
      <sheetName val="T_U_luong_Q118"/>
      <sheetName val="T_U_luong_Q218"/>
      <sheetName val="T_U_luong_Q318"/>
      <sheetName val="Quyet_toan18"/>
      <sheetName val="Thu_hoi18"/>
      <sheetName val="Lai_vay18"/>
      <sheetName val="Tien_vay18"/>
      <sheetName val="Cong_no18"/>
      <sheetName val="Cop_pha18"/>
      <sheetName val="Gia_DAN18"/>
      <sheetName val="Phu_luc_HD18"/>
      <sheetName val="Gia_du_thau18"/>
      <sheetName val="Ca_xe18"/>
      <sheetName val="Dc_Dau18"/>
      <sheetName val="_o_to_Hien_818"/>
      <sheetName val="_o_to_Hien918"/>
      <sheetName val="_o_to_Hien1018"/>
      <sheetName val="_o_to_Hien1118"/>
      <sheetName val="_o_to_Hien12)18"/>
      <sheetName val="_o_to_Hien128"/>
      <sheetName val="_o_to_Hien218"/>
      <sheetName val="_o_to_Hien318"/>
      <sheetName val="_o_to_Hien418"/>
      <sheetName val="_o_to_Hien518"/>
      <sheetName val="_o_to_Phong_818"/>
      <sheetName val="_o_to_Phong918"/>
      <sheetName val="_o_to_Phong1018"/>
      <sheetName val="_o_to_Phong1118"/>
      <sheetName val="_o_to_Phong12)18"/>
      <sheetName val="_o_to_Phong128"/>
      <sheetName val="_o_to_Phong218"/>
      <sheetName val="_o_to_Phong318"/>
      <sheetName val="_o_to_Phong418"/>
      <sheetName val="_o_to_Phong518"/>
      <sheetName val="_o_to_Dung_8_18"/>
      <sheetName val="_D_tt_dau818"/>
      <sheetName val="_o_to_Dung_918"/>
      <sheetName val="_D9_tt_dau18"/>
      <sheetName val="_D10_tt_dau18"/>
      <sheetName val="_o_to_Dung_1018"/>
      <sheetName val="_o_to_Dung_1118"/>
      <sheetName val="_o_to_Dung_12)18"/>
      <sheetName val="_o_to_Dung_128"/>
      <sheetName val="_o_to_Dung218"/>
      <sheetName val="_o_to_Dung318"/>
      <sheetName val="_o_to_Dung418"/>
      <sheetName val="_o_totrongT10-1218"/>
      <sheetName val="_o_totrongT218"/>
      <sheetName val="_o_totrungT10-1218"/>
      <sheetName val="_o_toMinhT10-12_18"/>
      <sheetName val="_o_toMinhT218"/>
      <sheetName val="_o_toTrieuT10-12__18"/>
      <sheetName val="Luong_8_SP18"/>
      <sheetName val="Luong_9_SP_18"/>
      <sheetName val="Luong_10_SP_18"/>
      <sheetName val="Luong_11_SP_18"/>
      <sheetName val="Luong_12_SP18"/>
      <sheetName val="Luong_1_SP118"/>
      <sheetName val="Luong_2_SP218"/>
      <sheetName val="Luong_3_SP318"/>
      <sheetName val="Luong_4_SP418"/>
      <sheetName val="Luong_4_SP518"/>
      <sheetName val="KL_VL18"/>
      <sheetName val="QT_9-618"/>
      <sheetName val="Thuong_luu_HB18"/>
      <sheetName val="QT_Ky_T18"/>
      <sheetName val="bc_vt_TON_BAI18"/>
      <sheetName val="QT_Duoc_(Hai)18"/>
      <sheetName val="sent_to18"/>
      <sheetName val="KLTong_hop18"/>
      <sheetName val="Lan_can18"/>
      <sheetName val="Ranh_doc_(2)18"/>
      <sheetName val="Ranh_doc18"/>
      <sheetName val="Coc_tieu18"/>
      <sheetName val="Bien_bao18"/>
      <sheetName val="Nan_tuyen18"/>
      <sheetName val="Lan_118"/>
      <sheetName val="Lan__218"/>
      <sheetName val="Lan_318"/>
      <sheetName val="Gia_tri18"/>
      <sheetName val="Lan_518"/>
      <sheetName val="Cong_hop18"/>
      <sheetName val="kldukien_(107)18"/>
      <sheetName val="qui1_(2)18"/>
      <sheetName val="cap_so_lan_218"/>
      <sheetName val="cap_so_BHXH18"/>
      <sheetName val="tru_tien18"/>
      <sheetName val="yt_q218"/>
      <sheetName val="c45_t318"/>
      <sheetName val="c45_t618"/>
      <sheetName val="BHYT_Q3_200318"/>
      <sheetName val="C45_t718"/>
      <sheetName val="C47-t07_200318"/>
      <sheetName val="C45_t818"/>
      <sheetName val="C47-t08_200318"/>
      <sheetName val="C45_t0918"/>
      <sheetName val="C47-t09_200318"/>
      <sheetName val="C47_T1218"/>
      <sheetName val="BHYT_Q4-200318"/>
      <sheetName val="C45_T1018"/>
      <sheetName val="binh_do18"/>
      <sheetName val="cot_lieu18"/>
      <sheetName val="van_khuon18"/>
      <sheetName val="CT_BT18"/>
      <sheetName val="lay_mau18"/>
      <sheetName val="mat_ngoai_goi18"/>
      <sheetName val="coc_tram-bt18"/>
      <sheetName val="cong_bien_t1020"/>
      <sheetName val="luong_t9_20"/>
      <sheetName val="bb_t920"/>
      <sheetName val="KL_XL200020"/>
      <sheetName val="Chiet_tinh20"/>
      <sheetName val="Van_chuyen20"/>
      <sheetName val="THKP_(2)20"/>
      <sheetName val="T_Bi20"/>
      <sheetName val="Thiet_ke20"/>
      <sheetName val="K_luong20"/>
      <sheetName val="TT_L220"/>
      <sheetName val="TT_L120"/>
      <sheetName val="Thue_Ngoai20"/>
      <sheetName val="Dong_Dau20"/>
      <sheetName val="Dong_Dau_(2)20"/>
      <sheetName val="Sau_dong20"/>
      <sheetName val="Ma_xa20"/>
      <sheetName val="My_dinh20"/>
      <sheetName val="Tong_cong20"/>
      <sheetName val="Chi_tiet_-_Dv_lap20"/>
      <sheetName val="TH_KHTC20"/>
      <sheetName val="Gia_VL20"/>
      <sheetName val="Bang_gia_ca_may20"/>
      <sheetName val="Bang_luong_CB20"/>
      <sheetName val="Bang_P_tich_CT20"/>
      <sheetName val="D_toan_chi_tiet20"/>
      <sheetName val="Bang_TH_Dtoan20"/>
      <sheetName val="LUAN_CHUYEN20"/>
      <sheetName val="KE_QUY20"/>
      <sheetName val="LUONGGIAN_TIEP20"/>
      <sheetName val="VAY_VON20"/>
      <sheetName val="O_THAO20"/>
      <sheetName val="Q_TRUNG20"/>
      <sheetName val="Y_THANH20"/>
      <sheetName val="Sheet2_(2)20"/>
      <sheetName val="KH_2003_(moi_max)20"/>
      <sheetName val="Interim_payment20"/>
      <sheetName val="Bid_Sum20"/>
      <sheetName val="Item_B20"/>
      <sheetName val="Dg_A20"/>
      <sheetName val="Dg_B&amp;C20"/>
      <sheetName val="Material_at_site20"/>
      <sheetName val="Bang_VL20"/>
      <sheetName val="VL(No_V-c)20"/>
      <sheetName val="He_so20"/>
      <sheetName val="PL_Vua20"/>
      <sheetName val="Chitieu-dam_cac_loai20"/>
      <sheetName val="DG_Dam20"/>
      <sheetName val="DG_chung20"/>
      <sheetName val="VL-dac_chung20"/>
      <sheetName val="CT_1md_&amp;_dau_cong20"/>
      <sheetName val="Tong_hop20"/>
      <sheetName val="CT_cong20"/>
      <sheetName val="dg_cong20"/>
      <sheetName val="CDSL_(2)20"/>
      <sheetName val="__20"/>
      <sheetName val="san_vuon20"/>
      <sheetName val="khu_phu_tro20"/>
      <sheetName val="Thuyet_minh20"/>
      <sheetName val="be_tong20"/>
      <sheetName val="Tong_hop_thep20"/>
      <sheetName val="phan_tich_DG20"/>
      <sheetName val="gia_vat_lieu20"/>
      <sheetName val="gia_xe_may20"/>
      <sheetName val="gia_nhan_cong20"/>
      <sheetName val="BCC_(2)20"/>
      <sheetName val="Bao_cao20"/>
      <sheetName val="Bao_cao_220"/>
      <sheetName val="Khoi_luong20"/>
      <sheetName val="Khoi_luong_mat20"/>
      <sheetName val="Bang_ke20"/>
      <sheetName val="T_HopKL20"/>
      <sheetName val="S_Luong20"/>
      <sheetName val="D_Dap20"/>
      <sheetName val="Q_Toan20"/>
      <sheetName val="Phan_tich_chi_phi20"/>
      <sheetName val="Chi_phi_nen_theo_BVTC20"/>
      <sheetName val="nhan_cong_phu20"/>
      <sheetName val="nhan_cong_Hung20"/>
      <sheetName val="Nhan_cong20"/>
      <sheetName val="Khoi_luong_nen_theo_BVTC20"/>
      <sheetName val="cap_cho_cac_DT20"/>
      <sheetName val="Ung_-_hoan20"/>
      <sheetName val="CP_may20"/>
      <sheetName val="Phu_luc20"/>
      <sheetName val="Gia_trÞ20"/>
      <sheetName val="DS_them_luong_qui_4-200220"/>
      <sheetName val="Phuc_loi_2-9-0220"/>
      <sheetName val="Thuong_nhan_dip_21-12-0220"/>
      <sheetName val="Thuong_dip_nhan_danh_hieu_AHL20"/>
      <sheetName val="Thang_luong_thu_13_nam_200220"/>
      <sheetName val="Luong_SX#_dip_Tet_Qui_Mui(don20"/>
      <sheetName val="CT_Duong20"/>
      <sheetName val="D_gia20"/>
      <sheetName val="T_hop20"/>
      <sheetName val="CtP_tro20"/>
      <sheetName val="Nha_moi20"/>
      <sheetName val="TT-T_Tron_So_220"/>
      <sheetName val="Ct_Dam_20"/>
      <sheetName val="Ct_Duoi20"/>
      <sheetName val="Ct_Tren20"/>
      <sheetName val="D_giaMay20"/>
      <sheetName val="26+180-400_220"/>
      <sheetName val="26+180_Sub120"/>
      <sheetName val="26+180_Sub420"/>
      <sheetName val="26+180-400_5(k95)20"/>
      <sheetName val="26+400-620_3(k95)20"/>
      <sheetName val="26+400-640_1(k95)20"/>
      <sheetName val="26+960-27+150_920"/>
      <sheetName val="26+960-27+150_1020"/>
      <sheetName val="26+960-27+150_1120"/>
      <sheetName val="26+960-27+150_1220"/>
      <sheetName val="26+960-27+150_5(k95)20"/>
      <sheetName val="26+960-27+150_4(k95)20"/>
      <sheetName val="26+960-27+150_1(k95)20"/>
      <sheetName val="27+500-700_5(k95)20"/>
      <sheetName val="27+500-700_4(k95)20"/>
      <sheetName val="27+500-700_3(k95)20"/>
      <sheetName val="27+500-700_1(k95)20"/>
      <sheetName val="27+740-920_3(k95)20"/>
      <sheetName val="27+740-920_2120"/>
      <sheetName val="27+920-28+040_6,720"/>
      <sheetName val="27+920-28+040_1020"/>
      <sheetName val="27+920-28+160_Su320"/>
      <sheetName val="28+160-28+420_5K9520"/>
      <sheetName val="28+430-657_720"/>
      <sheetName val="Km28+430-657_820"/>
      <sheetName val="28+430-657_920"/>
      <sheetName val="28+430-667_1020"/>
      <sheetName val="28+430-657_1120"/>
      <sheetName val="28+430-657_4k9520"/>
      <sheetName val="28+500-657_1820"/>
      <sheetName val="28+520-657_1920"/>
      <sheetName val="C_TIEU20"/>
      <sheetName val="T_Luong20"/>
      <sheetName val="T_HAO20"/>
      <sheetName val="DT_TUYEN20"/>
      <sheetName val="DT_GIA20"/>
      <sheetName val="KHDT_(2)20"/>
      <sheetName val="CL_20"/>
      <sheetName val="KQ_(2)20"/>
      <sheetName val="Quang_Tri20"/>
      <sheetName val="Da_Nang20"/>
      <sheetName val="Quang_Nam20"/>
      <sheetName val="Quang_Ngai20"/>
      <sheetName val="TH_DH-QN20"/>
      <sheetName val="KP_HD20"/>
      <sheetName val="DB_HD20"/>
      <sheetName val="vat_tu20"/>
      <sheetName val="Thep_20"/>
      <sheetName val="Chi_tiet_Khoi_luong20"/>
      <sheetName val="TH_khoi_luong20"/>
      <sheetName val="Chiet_tinh_vat_lieu_20"/>
      <sheetName val="TH_KL_VL20"/>
      <sheetName val="AC_PC20"/>
      <sheetName val="TAI_TRONG20"/>
      <sheetName val="NOI_LUC20"/>
      <sheetName val="TINH_DUYET_THTT_CHINH20"/>
      <sheetName val="TDUYET_THTT_PHU20"/>
      <sheetName val="TINH_DAO_DONG_VA_DO_VONG20"/>
      <sheetName val="TINH_NEO20"/>
      <sheetName val="tong_hop_thanh_toan_thue20"/>
      <sheetName val="bang_ke_nop_thue20"/>
      <sheetName val="Tonh_hop_chi_phi20"/>
      <sheetName val="BK_chi_phi20"/>
      <sheetName val="KTra_DS_va_thue_GTGT20"/>
      <sheetName val="Kiãøm_tra_DS_thue_GTGT20"/>
      <sheetName val="XUAT(gia_von)20"/>
      <sheetName val="Xuat_(gia_ban)20"/>
      <sheetName val="Dchinh_TH_N-X-T20"/>
      <sheetName val="Tong_hop_N-X-T20"/>
      <sheetName val="thue_TH20"/>
      <sheetName val="tong_hop_200120"/>
      <sheetName val="qUYET_TOAN_THUE20"/>
      <sheetName val="BU_CTPH20"/>
      <sheetName val="BU_tran3+360_2220"/>
      <sheetName val="Tran3+360_2220"/>
      <sheetName val="BU_tran2+386_420"/>
      <sheetName val="Tran2+386_420"/>
      <sheetName val="DTcong_4-520"/>
      <sheetName val="Bu_1-220"/>
      <sheetName val="Bu_12-1320"/>
      <sheetName val="DTcong_12-1320"/>
      <sheetName val="DT_cong13-13+20"/>
      <sheetName val="BU-_nhanh20"/>
      <sheetName val="dtcong_nh1-220"/>
      <sheetName val="dtcong_nh0-120"/>
      <sheetName val="BU_11-1220"/>
      <sheetName val="DTcong_11-1220"/>
      <sheetName val="Pr-_CC20"/>
      <sheetName val="MD_3-420"/>
      <sheetName val="ND_3-420"/>
      <sheetName val="MD_1-220"/>
      <sheetName val="ND_1-220"/>
      <sheetName val="MD_0-120"/>
      <sheetName val="ND_0-120"/>
      <sheetName val="KL_tong20"/>
      <sheetName val="TH_(T1-6)20"/>
      <sheetName val="_NL20"/>
      <sheetName val="_NL_(2)20"/>
      <sheetName val="CDTHCT_(3)20"/>
      <sheetName val="thkl_(2)20"/>
      <sheetName val="long_tec20"/>
      <sheetName val="cd_viaK0-T620"/>
      <sheetName val="cdvia_T6-Tc2420"/>
      <sheetName val="cdvia_Tc24-T4620"/>
      <sheetName val="cd_btnL2k0+361-T1920"/>
      <sheetName val="CT_xa20"/>
      <sheetName val="CDTHU_CHI_T120"/>
      <sheetName val="THUCHI_220"/>
      <sheetName val="THU_CHI320"/>
      <sheetName val="THU_CHI_420"/>
      <sheetName val="THU_CHI520"/>
      <sheetName val="THU_CHI_620"/>
      <sheetName val="TU_CHI_720"/>
      <sheetName val="THU_CHI920"/>
      <sheetName val="THU_CHI_820"/>
      <sheetName val="THU_CHI_1020"/>
      <sheetName val="THU_CHI_1120"/>
      <sheetName val="THU_CHI_1220"/>
      <sheetName val="Xep_hang_20120"/>
      <sheetName val="toan_Cty20"/>
      <sheetName val="Cong_ty20"/>
      <sheetName val="XN_220"/>
      <sheetName val="XN_ong_CHi20"/>
      <sheetName val="N_XDCT&amp;_XKLD20"/>
      <sheetName val="CN_HCM20"/>
      <sheetName val="TT_XKLD(Nhan)20"/>
      <sheetName val="Ong_Hong20"/>
      <sheetName val="CN_hung_yen20"/>
      <sheetName val="Dong_nai20"/>
      <sheetName val="K249_K9820"/>
      <sheetName val="K249_K98_(2)20"/>
      <sheetName val="K251_K9820"/>
      <sheetName val="K251_SBase20"/>
      <sheetName val="K251_AC20"/>
      <sheetName val="K252_K9820"/>
      <sheetName val="K252_SBase20"/>
      <sheetName val="K252_AC20"/>
      <sheetName val="K253_K9820"/>
      <sheetName val="K253_Subbase20"/>
      <sheetName val="K253_Base_20"/>
      <sheetName val="K253_SBase20"/>
      <sheetName val="K253_AC20"/>
      <sheetName val="K255_SBase20"/>
      <sheetName val="K259_K9820"/>
      <sheetName val="K259_Subbase20"/>
      <sheetName val="K259_Base_20"/>
      <sheetName val="K259_AC20"/>
      <sheetName val="K260_K9820"/>
      <sheetName val="K260_Subbase20"/>
      <sheetName val="K260_Base20"/>
      <sheetName val="K260_AC20"/>
      <sheetName val="K261_K9820"/>
      <sheetName val="K261_Base20"/>
      <sheetName val="K261_AC20"/>
      <sheetName val="KL_Tram_Cty20"/>
      <sheetName val="Gam_may_Cty20"/>
      <sheetName val="KL_tram_KH20"/>
      <sheetName val="Gam_may_KH20"/>
      <sheetName val="Cach_dien20"/>
      <sheetName val="Mang_tai20"/>
      <sheetName val="KL_DDK20"/>
      <sheetName val="Mang_tai_DDK20"/>
      <sheetName val="KL_DDK0,420"/>
      <sheetName val="TT_Ky_thuat20"/>
      <sheetName val="CT_moi20"/>
      <sheetName val="Tu_dien20"/>
      <sheetName val="May_cat20"/>
      <sheetName val="Dao_Cly20"/>
      <sheetName val="Dao_Ptai20"/>
      <sheetName val="Tu_RMU20"/>
      <sheetName val="C_set20"/>
      <sheetName val="Sco_Cap20"/>
      <sheetName val="Sco_TB20"/>
      <sheetName val="TN_tram20"/>
      <sheetName val="TN_C_set20"/>
      <sheetName val="TN_TD_DDay20"/>
      <sheetName val="Phan_chung20"/>
      <sheetName val="cong_Q220"/>
      <sheetName val="T_U_luong_Q120"/>
      <sheetName val="T_U_luong_Q220"/>
      <sheetName val="T_U_luong_Q320"/>
      <sheetName val="Quyet_toan20"/>
      <sheetName val="Thu_hoi20"/>
      <sheetName val="Lai_vay20"/>
      <sheetName val="Tien_vay20"/>
      <sheetName val="Cong_no20"/>
      <sheetName val="Cop_pha20"/>
      <sheetName val="Gia_DAN20"/>
      <sheetName val="Phu_luc_HD20"/>
      <sheetName val="Gia_du_thau20"/>
      <sheetName val="Ca_xe20"/>
      <sheetName val="Dc_Dau20"/>
      <sheetName val="_o_to_Hien_820"/>
      <sheetName val="_o_to_Hien920"/>
      <sheetName val="_o_to_Hien1020"/>
      <sheetName val="_o_to_Hien1120"/>
      <sheetName val="_o_to_Hien12)20"/>
      <sheetName val="_o_to_Hien130"/>
      <sheetName val="_o_to_Hien220"/>
      <sheetName val="_o_to_Hien320"/>
      <sheetName val="_o_to_Hien420"/>
      <sheetName val="_o_to_Hien520"/>
      <sheetName val="_o_to_Phong_820"/>
      <sheetName val="_o_to_Phong920"/>
      <sheetName val="_o_to_Phong1020"/>
      <sheetName val="_o_to_Phong1120"/>
      <sheetName val="_o_to_Phong12)20"/>
      <sheetName val="_o_to_Phong130"/>
      <sheetName val="_o_to_Phong220"/>
      <sheetName val="_o_to_Phong320"/>
      <sheetName val="_o_to_Phong420"/>
      <sheetName val="_o_to_Phong520"/>
      <sheetName val="_o_to_Dung_8_20"/>
      <sheetName val="_D_tt_dau820"/>
      <sheetName val="_o_to_Dung_920"/>
      <sheetName val="_D9_tt_dau20"/>
      <sheetName val="_D10_tt_dau20"/>
      <sheetName val="_o_to_Dung_1020"/>
      <sheetName val="_o_to_Dung_1120"/>
      <sheetName val="_o_to_Dung_12)20"/>
      <sheetName val="_o_to_Dung_130"/>
      <sheetName val="_o_to_Dung220"/>
      <sheetName val="_o_to_Dung320"/>
      <sheetName val="_o_to_Dung420"/>
      <sheetName val="_o_totrongT10-1220"/>
      <sheetName val="_o_totrongT220"/>
      <sheetName val="_o_totrungT10-1220"/>
      <sheetName val="_o_toMinhT10-12_20"/>
      <sheetName val="_o_toMinhT220"/>
      <sheetName val="_o_toTrieuT10-12__20"/>
      <sheetName val="Luong_8_SP20"/>
      <sheetName val="Luong_9_SP_20"/>
      <sheetName val="Luong_10_SP_20"/>
      <sheetName val="Luong_11_SP_20"/>
      <sheetName val="Luong_12_SP20"/>
      <sheetName val="Luong_1_SP120"/>
      <sheetName val="Luong_2_SP220"/>
      <sheetName val="Luong_3_SP320"/>
      <sheetName val="Luong_4_SP420"/>
      <sheetName val="Luong_4_SP520"/>
      <sheetName val="KL_VL20"/>
      <sheetName val="QT_9-620"/>
      <sheetName val="Thuong_luu_HB20"/>
      <sheetName val="QT_Ky_T20"/>
      <sheetName val="bc_vt_TON_BAI20"/>
      <sheetName val="QT_Duoc_(Hai)20"/>
      <sheetName val="sent_to20"/>
      <sheetName val="KLTong_hop20"/>
      <sheetName val="Lan_can20"/>
      <sheetName val="Ranh_doc_(2)20"/>
      <sheetName val="Ranh_doc20"/>
      <sheetName val="Coc_tieu20"/>
      <sheetName val="Bien_bao20"/>
      <sheetName val="Nan_tuyen20"/>
      <sheetName val="Lan_120"/>
      <sheetName val="Lan__220"/>
      <sheetName val="Lan_320"/>
      <sheetName val="Gia_tri20"/>
      <sheetName val="Lan_520"/>
      <sheetName val="Cong_hop20"/>
      <sheetName val="kldukien_(107)20"/>
      <sheetName val="qui1_(2)20"/>
      <sheetName val="cap_so_lan_220"/>
      <sheetName val="cap_so_BHXH20"/>
      <sheetName val="tru_tien20"/>
      <sheetName val="yt_q220"/>
      <sheetName val="c45_t320"/>
      <sheetName val="c45_t620"/>
      <sheetName val="BHYT_Q3_200320"/>
      <sheetName val="C45_t720"/>
      <sheetName val="C47-t07_200320"/>
      <sheetName val="C45_t820"/>
      <sheetName val="C47-t08_200320"/>
      <sheetName val="C45_t0920"/>
      <sheetName val="C47-t09_200320"/>
      <sheetName val="C47_T1220"/>
      <sheetName val="BHYT_Q4-200320"/>
      <sheetName val="C45_T1020"/>
      <sheetName val="binh_do20"/>
      <sheetName val="cot_lieu20"/>
      <sheetName val="van_khuon20"/>
      <sheetName val="CT_BT20"/>
      <sheetName val="lay_mau20"/>
      <sheetName val="mat_ngoai_goi20"/>
      <sheetName val="coc_tram-bt20"/>
      <sheetName val="cong_bien_t1021"/>
      <sheetName val="luong_t9_21"/>
      <sheetName val="bb_t921"/>
      <sheetName val="KL_XL200021"/>
      <sheetName val="Chiet_tinh21"/>
      <sheetName val="Van_chuyen21"/>
      <sheetName val="THKP_(2)21"/>
      <sheetName val="T_Bi21"/>
      <sheetName val="Thiet_ke21"/>
      <sheetName val="K_luong21"/>
      <sheetName val="TT_L221"/>
      <sheetName val="TT_L121"/>
      <sheetName val="Thue_Ngoai21"/>
      <sheetName val="Dong_Dau21"/>
      <sheetName val="Dong_Dau_(2)21"/>
      <sheetName val="Sau_dong21"/>
      <sheetName val="Ma_xa21"/>
      <sheetName val="My_dinh21"/>
      <sheetName val="Tong_cong21"/>
      <sheetName val="Chi_tiet_-_Dv_lap21"/>
      <sheetName val="TH_KHTC21"/>
      <sheetName val="Gia_VL21"/>
      <sheetName val="Bang_gia_ca_may21"/>
      <sheetName val="Bang_luong_CB21"/>
      <sheetName val="Bang_P_tich_CT21"/>
      <sheetName val="D_toan_chi_tiet21"/>
      <sheetName val="Bang_TH_Dtoan21"/>
      <sheetName val="LUAN_CHUYEN21"/>
      <sheetName val="KE_QUY21"/>
      <sheetName val="LUONGGIAN_TIEP21"/>
      <sheetName val="VAY_VON21"/>
      <sheetName val="O_THAO21"/>
      <sheetName val="Q_TRUNG21"/>
      <sheetName val="Y_THANH21"/>
      <sheetName val="Sheet2_(2)21"/>
      <sheetName val="KH_2003_(moi_max)21"/>
      <sheetName val="Interim_payment21"/>
      <sheetName val="Bid_Sum21"/>
      <sheetName val="Item_B21"/>
      <sheetName val="Dg_A21"/>
      <sheetName val="Dg_B&amp;C21"/>
      <sheetName val="Material_at_site21"/>
      <sheetName val="Bang_VL21"/>
      <sheetName val="VL(No_V-c)21"/>
      <sheetName val="He_so21"/>
      <sheetName val="PL_Vua21"/>
      <sheetName val="Chitieu-dam_cac_loai21"/>
      <sheetName val="DG_Dam21"/>
      <sheetName val="DG_chung21"/>
      <sheetName val="VL-dac_chung21"/>
      <sheetName val="CT_1md_&amp;_dau_cong21"/>
      <sheetName val="Tong_hop21"/>
      <sheetName val="CT_cong21"/>
      <sheetName val="dg_cong21"/>
      <sheetName val="CDSL_(2)21"/>
      <sheetName val="__21"/>
      <sheetName val="san_vuon21"/>
      <sheetName val="khu_phu_tro21"/>
      <sheetName val="Thuyet_minh21"/>
      <sheetName val="be_tong21"/>
      <sheetName val="Tong_hop_thep21"/>
      <sheetName val="phan_tich_DG21"/>
      <sheetName val="gia_vat_lieu21"/>
      <sheetName val="gia_xe_may21"/>
      <sheetName val="gia_nhan_cong21"/>
      <sheetName val="BCC_(2)21"/>
      <sheetName val="Bao_cao21"/>
      <sheetName val="Bao_cao_221"/>
      <sheetName val="Khoi_luong21"/>
      <sheetName val="Khoi_luong_mat21"/>
      <sheetName val="Bang_ke21"/>
      <sheetName val="T_HopKL21"/>
      <sheetName val="S_Luong21"/>
      <sheetName val="D_Dap21"/>
      <sheetName val="Q_Toan21"/>
      <sheetName val="Phan_tich_chi_phi21"/>
      <sheetName val="Chi_phi_nen_theo_BVTC21"/>
      <sheetName val="nhan_cong_phu21"/>
      <sheetName val="nhan_cong_Hung21"/>
      <sheetName val="Nhan_cong21"/>
      <sheetName val="Khoi_luong_nen_theo_BVTC21"/>
      <sheetName val="cap_cho_cac_DT21"/>
      <sheetName val="Ung_-_hoan21"/>
      <sheetName val="CP_may21"/>
      <sheetName val="Phu_luc21"/>
      <sheetName val="Gia_trÞ21"/>
      <sheetName val="DS_them_luong_qui_4-200221"/>
      <sheetName val="Phuc_loi_2-9-0221"/>
      <sheetName val="Thuong_nhan_dip_21-12-0221"/>
      <sheetName val="Thuong_dip_nhan_danh_hieu_AHL21"/>
      <sheetName val="Thang_luong_thu_13_nam_200221"/>
      <sheetName val="Luong_SX#_dip_Tet_Qui_Mui(don21"/>
      <sheetName val="CT_Duong21"/>
      <sheetName val="D_gia21"/>
      <sheetName val="T_hop21"/>
      <sheetName val="CtP_tro21"/>
      <sheetName val="Nha_moi21"/>
      <sheetName val="TT-T_Tron_So_221"/>
      <sheetName val="Ct_Dam_21"/>
      <sheetName val="Ct_Duoi21"/>
      <sheetName val="Ct_Tren21"/>
      <sheetName val="D_giaMay21"/>
      <sheetName val="26+180-400_221"/>
      <sheetName val="26+180_Sub121"/>
      <sheetName val="26+180_Sub421"/>
      <sheetName val="26+180-400_5(k95)21"/>
      <sheetName val="26+400-620_3(k95)21"/>
      <sheetName val="26+400-640_1(k95)21"/>
      <sheetName val="26+960-27+150_921"/>
      <sheetName val="26+960-27+150_1021"/>
      <sheetName val="26+960-27+150_1121"/>
      <sheetName val="26+960-27+150_1221"/>
      <sheetName val="26+960-27+150_5(k95)21"/>
      <sheetName val="26+960-27+150_4(k95)21"/>
      <sheetName val="26+960-27+150_1(k95)21"/>
      <sheetName val="27+500-700_5(k95)21"/>
      <sheetName val="27+500-700_4(k95)21"/>
      <sheetName val="27+500-700_3(k95)21"/>
      <sheetName val="27+500-700_1(k95)21"/>
      <sheetName val="27+740-920_3(k95)21"/>
      <sheetName val="27+740-920_2121"/>
      <sheetName val="27+920-28+040_6,721"/>
      <sheetName val="27+920-28+040_1021"/>
      <sheetName val="27+920-28+160_Su321"/>
      <sheetName val="28+160-28+420_5K9521"/>
      <sheetName val="28+430-657_721"/>
      <sheetName val="Km28+430-657_821"/>
      <sheetName val="28+430-657_921"/>
      <sheetName val="28+430-667_1021"/>
      <sheetName val="28+430-657_1121"/>
      <sheetName val="28+430-657_4k9521"/>
      <sheetName val="28+500-657_1821"/>
      <sheetName val="28+520-657_1921"/>
      <sheetName val="C_TIEU21"/>
      <sheetName val="T_Luong21"/>
      <sheetName val="T_HAO21"/>
      <sheetName val="DT_TUYEN21"/>
      <sheetName val="DT_GIA21"/>
      <sheetName val="KHDT_(2)21"/>
      <sheetName val="CL_21"/>
      <sheetName val="KQ_(2)21"/>
      <sheetName val="Quang_Tri21"/>
      <sheetName val="Da_Nang21"/>
      <sheetName val="Quang_Nam21"/>
      <sheetName val="Quang_Ngai21"/>
      <sheetName val="TH_DH-QN21"/>
      <sheetName val="KP_HD21"/>
      <sheetName val="DB_HD21"/>
      <sheetName val="vat_tu21"/>
      <sheetName val="Thep_21"/>
      <sheetName val="Chi_tiet_Khoi_luong21"/>
      <sheetName val="TH_khoi_luong21"/>
      <sheetName val="Chiet_tinh_vat_lieu_21"/>
      <sheetName val="TH_KL_VL21"/>
      <sheetName val="AC_PC21"/>
      <sheetName val="TAI_TRONG21"/>
      <sheetName val="NOI_LUC21"/>
      <sheetName val="TINH_DUYET_THTT_CHINH21"/>
      <sheetName val="TDUYET_THTT_PHU21"/>
      <sheetName val="TINH_DAO_DONG_VA_DO_VONG21"/>
      <sheetName val="TINH_NEO21"/>
      <sheetName val="tong_hop_thanh_toan_thue21"/>
      <sheetName val="bang_ke_nop_thue21"/>
      <sheetName val="Tonh_hop_chi_phi21"/>
      <sheetName val="BK_chi_phi21"/>
      <sheetName val="KTra_DS_va_thue_GTGT21"/>
      <sheetName val="Kiãøm_tra_DS_thue_GTGT21"/>
      <sheetName val="XUAT(gia_von)21"/>
      <sheetName val="Xuat_(gia_ban)21"/>
      <sheetName val="Dchinh_TH_N-X-T21"/>
      <sheetName val="Tong_hop_N-X-T21"/>
      <sheetName val="thue_TH21"/>
      <sheetName val="tong_hop_200121"/>
      <sheetName val="qUYET_TOAN_THUE21"/>
      <sheetName val="BU_CTPH21"/>
      <sheetName val="BU_tran3+360_2221"/>
      <sheetName val="Tran3+360_2221"/>
      <sheetName val="BU_tran2+386_421"/>
      <sheetName val="Tran2+386_421"/>
      <sheetName val="DTcong_4-521"/>
      <sheetName val="Bu_1-221"/>
      <sheetName val="Bu_12-1321"/>
      <sheetName val="DTcong_12-1321"/>
      <sheetName val="DT_cong13-13+21"/>
      <sheetName val="BU-_nhanh21"/>
      <sheetName val="dtcong_nh1-221"/>
      <sheetName val="dtcong_nh0-121"/>
      <sheetName val="BU_11-1221"/>
      <sheetName val="DTcong_11-1221"/>
      <sheetName val="Pr-_CC21"/>
      <sheetName val="MD_3-421"/>
      <sheetName val="ND_3-421"/>
      <sheetName val="MD_1-221"/>
      <sheetName val="ND_1-221"/>
      <sheetName val="MD_0-121"/>
      <sheetName val="ND_0-121"/>
      <sheetName val="KL_tong21"/>
      <sheetName val="TH_(T1-6)21"/>
      <sheetName val="_NL21"/>
      <sheetName val="_NL_(2)21"/>
      <sheetName val="CDTHCT_(3)21"/>
      <sheetName val="thkl_(2)21"/>
      <sheetName val="long_tec21"/>
      <sheetName val="cd_viaK0-T621"/>
      <sheetName val="cdvia_T6-Tc2421"/>
      <sheetName val="cdvia_Tc24-T4621"/>
      <sheetName val="cd_btnL2k0+361-T1921"/>
      <sheetName val="CT_xa21"/>
      <sheetName val="CDTHU_CHI_T121"/>
      <sheetName val="THUCHI_221"/>
      <sheetName val="THU_CHI321"/>
      <sheetName val="THU_CHI_421"/>
      <sheetName val="THU_CHI521"/>
      <sheetName val="THU_CHI_621"/>
      <sheetName val="TU_CHI_721"/>
      <sheetName val="THU_CHI921"/>
      <sheetName val="THU_CHI_821"/>
      <sheetName val="THU_CHI_1021"/>
      <sheetName val="THU_CHI_1121"/>
      <sheetName val="THU_CHI_1221"/>
      <sheetName val="Xep_hang_20121"/>
      <sheetName val="toan_Cty21"/>
      <sheetName val="Cong_ty21"/>
      <sheetName val="XN_221"/>
      <sheetName val="XN_ong_CHi21"/>
      <sheetName val="N_XDCT&amp;_XKLD21"/>
      <sheetName val="CN_HCM21"/>
      <sheetName val="TT_XKLD(Nhan)21"/>
      <sheetName val="Ong_Hong21"/>
      <sheetName val="CN_hung_yen21"/>
      <sheetName val="Dong_nai21"/>
      <sheetName val="K249_K9821"/>
      <sheetName val="K249_K98_(2)21"/>
      <sheetName val="K251_K9821"/>
      <sheetName val="K251_SBase21"/>
      <sheetName val="K251_AC21"/>
      <sheetName val="K252_K9821"/>
      <sheetName val="K252_SBase21"/>
      <sheetName val="K252_AC21"/>
      <sheetName val="K253_K9821"/>
      <sheetName val="K253_Subbase21"/>
      <sheetName val="K253_Base_21"/>
      <sheetName val="K253_SBase21"/>
      <sheetName val="K253_AC21"/>
      <sheetName val="K255_SBase21"/>
      <sheetName val="K259_K9821"/>
      <sheetName val="K259_Subbase21"/>
      <sheetName val="K259_Base_21"/>
      <sheetName val="K259_AC21"/>
      <sheetName val="K260_K9821"/>
      <sheetName val="K260_Subbase21"/>
      <sheetName val="K260_Base21"/>
      <sheetName val="K260_AC21"/>
      <sheetName val="K261_K9821"/>
      <sheetName val="K261_Base21"/>
      <sheetName val="K261_AC21"/>
      <sheetName val="KL_Tram_Cty21"/>
      <sheetName val="Gam_may_Cty21"/>
      <sheetName val="KL_tram_KH21"/>
      <sheetName val="Gam_may_KH21"/>
      <sheetName val="Cach_dien21"/>
      <sheetName val="Mang_tai21"/>
      <sheetName val="KL_DDK21"/>
      <sheetName val="Mang_tai_DDK21"/>
      <sheetName val="KL_DDK0,421"/>
      <sheetName val="TT_Ky_thuat21"/>
      <sheetName val="CT_moi21"/>
      <sheetName val="Tu_dien21"/>
      <sheetName val="May_cat21"/>
      <sheetName val="Dao_Cly21"/>
      <sheetName val="Dao_Ptai21"/>
      <sheetName val="Tu_RMU21"/>
      <sheetName val="C_set21"/>
      <sheetName val="Sco_Cap21"/>
      <sheetName val="Sco_TB21"/>
      <sheetName val="TN_tram21"/>
      <sheetName val="TN_C_set21"/>
      <sheetName val="TN_TD_DDay21"/>
      <sheetName val="Phan_chung21"/>
      <sheetName val="cong_Q221"/>
      <sheetName val="T_U_luong_Q121"/>
      <sheetName val="T_U_luong_Q221"/>
      <sheetName val="T_U_luong_Q321"/>
      <sheetName val="Quyet_toan21"/>
      <sheetName val="Thu_hoi21"/>
      <sheetName val="Lai_vay21"/>
      <sheetName val="Tien_vay21"/>
      <sheetName val="Cong_no21"/>
      <sheetName val="Cop_pha21"/>
      <sheetName val="Gia_DAN21"/>
      <sheetName val="Phu_luc_HD21"/>
      <sheetName val="Gia_du_thau21"/>
      <sheetName val="Ca_xe21"/>
      <sheetName val="Dc_Dau21"/>
      <sheetName val="_o_to_Hien_821"/>
      <sheetName val="_o_to_Hien921"/>
      <sheetName val="_o_to_Hien1021"/>
      <sheetName val="_o_to_Hien1121"/>
      <sheetName val="_o_to_Hien12)21"/>
      <sheetName val="_o_to_Hien131"/>
      <sheetName val="_o_to_Hien221"/>
      <sheetName val="_o_to_Hien321"/>
      <sheetName val="_o_to_Hien421"/>
      <sheetName val="_o_to_Hien521"/>
      <sheetName val="_o_to_Phong_821"/>
      <sheetName val="_o_to_Phong921"/>
      <sheetName val="_o_to_Phong1021"/>
      <sheetName val="_o_to_Phong1121"/>
      <sheetName val="_o_to_Phong12)21"/>
      <sheetName val="_o_to_Phong131"/>
      <sheetName val="_o_to_Phong221"/>
      <sheetName val="_o_to_Phong321"/>
      <sheetName val="_o_to_Phong421"/>
      <sheetName val="_o_to_Phong521"/>
      <sheetName val="_o_to_Dung_8_21"/>
      <sheetName val="_D_tt_dau821"/>
      <sheetName val="_o_to_Dung_921"/>
      <sheetName val="_D9_tt_dau21"/>
      <sheetName val="_D10_tt_dau21"/>
      <sheetName val="_o_to_Dung_1021"/>
      <sheetName val="_o_to_Dung_1121"/>
      <sheetName val="_o_to_Dung_12)21"/>
      <sheetName val="_o_to_Dung_131"/>
      <sheetName val="_o_to_Dung221"/>
      <sheetName val="_o_to_Dung321"/>
      <sheetName val="_o_to_Dung421"/>
      <sheetName val="_o_totrongT10-1221"/>
      <sheetName val="_o_totrongT221"/>
      <sheetName val="_o_totrungT10-1221"/>
      <sheetName val="_o_toMinhT10-12_21"/>
      <sheetName val="_o_toMinhT221"/>
      <sheetName val="_o_toTrieuT10-12__21"/>
      <sheetName val="Luong_8_SP21"/>
      <sheetName val="Luong_9_SP_21"/>
      <sheetName val="Luong_10_SP_21"/>
      <sheetName val="Luong_11_SP_21"/>
      <sheetName val="Luong_12_SP21"/>
      <sheetName val="Luong_1_SP121"/>
      <sheetName val="Luong_2_SP221"/>
      <sheetName val="Luong_3_SP321"/>
      <sheetName val="Luong_4_SP421"/>
      <sheetName val="Luong_4_SP521"/>
      <sheetName val="KL_VL21"/>
      <sheetName val="QT_9-621"/>
      <sheetName val="Thuong_luu_HB21"/>
      <sheetName val="QT_Ky_T21"/>
      <sheetName val="bc_vt_TON_BAI21"/>
      <sheetName val="QT_Duoc_(Hai)21"/>
      <sheetName val="sent_to21"/>
      <sheetName val="KLTong_hop21"/>
      <sheetName val="Lan_can21"/>
      <sheetName val="Ranh_doc_(2)21"/>
      <sheetName val="Ranh_doc21"/>
      <sheetName val="Coc_tieu21"/>
      <sheetName val="Bien_bao21"/>
      <sheetName val="Nan_tuyen21"/>
      <sheetName val="Lan_121"/>
      <sheetName val="Lan__221"/>
      <sheetName val="Lan_321"/>
      <sheetName val="Gia_tri21"/>
      <sheetName val="Lan_521"/>
      <sheetName val="Cong_hop21"/>
      <sheetName val="kldukien_(107)21"/>
      <sheetName val="qui1_(2)21"/>
      <sheetName val="cap_so_lan_221"/>
      <sheetName val="cap_so_BHXH21"/>
      <sheetName val="tru_tien21"/>
      <sheetName val="yt_q221"/>
      <sheetName val="c45_t321"/>
      <sheetName val="c45_t621"/>
      <sheetName val="BHYT_Q3_200321"/>
      <sheetName val="C45_t721"/>
      <sheetName val="C47-t07_200321"/>
      <sheetName val="C45_t821"/>
      <sheetName val="C47-t08_200321"/>
      <sheetName val="C45_t0921"/>
      <sheetName val="C47-t09_200321"/>
      <sheetName val="C47_T1221"/>
      <sheetName val="BHYT_Q4-200321"/>
      <sheetName val="C45_T1021"/>
      <sheetName val="binh_do21"/>
      <sheetName val="cot_lieu21"/>
      <sheetName val="van_khuon21"/>
      <sheetName val="CT_BT21"/>
      <sheetName val="lay_mau21"/>
      <sheetName val="mat_ngoai_goi21"/>
      <sheetName val="coc_tram-bt21"/>
      <sheetName val="cong_bien_t1022"/>
      <sheetName val="luong_t9_22"/>
      <sheetName val="bb_t922"/>
      <sheetName val="KL_XL200022"/>
      <sheetName val="Chiet_tinh22"/>
      <sheetName val="Van_chuyen22"/>
      <sheetName val="THKP_(2)22"/>
      <sheetName val="T_Bi22"/>
      <sheetName val="Thiet_ke22"/>
      <sheetName val="K_luong22"/>
      <sheetName val="TT_L222"/>
      <sheetName val="TT_L122"/>
      <sheetName val="Thue_Ngoai22"/>
      <sheetName val="Dong_Dau22"/>
      <sheetName val="Dong_Dau_(2)22"/>
      <sheetName val="Sau_dong22"/>
      <sheetName val="Ma_xa22"/>
      <sheetName val="My_dinh22"/>
      <sheetName val="Tong_cong22"/>
      <sheetName val="Chi_tiet_-_Dv_lap22"/>
      <sheetName val="TH_KHTC22"/>
      <sheetName val="Gia_VL22"/>
      <sheetName val="Bang_gia_ca_may22"/>
      <sheetName val="Bang_luong_CB22"/>
      <sheetName val="Bang_P_tich_CT22"/>
      <sheetName val="D_toan_chi_tiet22"/>
      <sheetName val="Bang_TH_Dtoan22"/>
      <sheetName val="LUAN_CHUYEN22"/>
      <sheetName val="KE_QUY22"/>
      <sheetName val="LUONGGIAN_TIEP22"/>
      <sheetName val="VAY_VON22"/>
      <sheetName val="O_THAO22"/>
      <sheetName val="Q_TRUNG22"/>
      <sheetName val="Y_THANH22"/>
      <sheetName val="Sheet2_(2)22"/>
      <sheetName val="KH_2003_(moi_max)22"/>
      <sheetName val="Interim_payment22"/>
      <sheetName val="Bid_Sum22"/>
      <sheetName val="Item_B22"/>
      <sheetName val="Dg_A22"/>
      <sheetName val="Dg_B&amp;C22"/>
      <sheetName val="Material_at_site22"/>
      <sheetName val="Bang_VL22"/>
      <sheetName val="VL(No_V-c)22"/>
      <sheetName val="He_so22"/>
      <sheetName val="PL_Vua22"/>
      <sheetName val="Chitieu-dam_cac_loai22"/>
      <sheetName val="DG_Dam22"/>
      <sheetName val="DG_chung22"/>
      <sheetName val="VL-dac_chung22"/>
      <sheetName val="CT_1md_&amp;_dau_cong22"/>
      <sheetName val="Tong_hop22"/>
      <sheetName val="CT_cong22"/>
      <sheetName val="dg_cong22"/>
      <sheetName val="CDSL_(2)22"/>
      <sheetName val="__22"/>
      <sheetName val="san_vuon22"/>
      <sheetName val="khu_phu_tro22"/>
      <sheetName val="Thuyet_minh22"/>
      <sheetName val="be_tong22"/>
      <sheetName val="Tong_hop_thep22"/>
      <sheetName val="phan_tich_DG22"/>
      <sheetName val="gia_vat_lieu22"/>
      <sheetName val="gia_xe_may22"/>
      <sheetName val="gia_nhan_cong22"/>
      <sheetName val="BCC_(2)22"/>
      <sheetName val="Bao_cao22"/>
      <sheetName val="Bao_cao_222"/>
      <sheetName val="Khoi_luong22"/>
      <sheetName val="Khoi_luong_mat22"/>
      <sheetName val="Bang_ke22"/>
      <sheetName val="T_HopKL22"/>
      <sheetName val="S_Luong22"/>
      <sheetName val="D_Dap22"/>
      <sheetName val="Q_Toan22"/>
      <sheetName val="Phan_tich_chi_phi22"/>
      <sheetName val="Chi_phi_nen_theo_BVTC22"/>
      <sheetName val="nhan_cong_phu22"/>
      <sheetName val="nhan_cong_Hung22"/>
      <sheetName val="Nhan_cong22"/>
      <sheetName val="Khoi_luong_nen_theo_BVTC22"/>
      <sheetName val="cap_cho_cac_DT22"/>
      <sheetName val="Ung_-_hoan22"/>
      <sheetName val="CP_may22"/>
      <sheetName val="Phu_luc22"/>
      <sheetName val="Gia_trÞ22"/>
      <sheetName val="DS_them_luong_qui_4-200222"/>
      <sheetName val="Phuc_loi_2-9-0222"/>
      <sheetName val="Thuong_nhan_dip_21-12-0222"/>
      <sheetName val="Thuong_dip_nhan_danh_hieu_AHL22"/>
      <sheetName val="Thang_luong_thu_13_nam_200222"/>
      <sheetName val="Luong_SX#_dip_Tet_Qui_Mui(don22"/>
      <sheetName val="CT_Duong22"/>
      <sheetName val="D_gia22"/>
      <sheetName val="T_hop22"/>
      <sheetName val="CtP_tro22"/>
      <sheetName val="Nha_moi22"/>
      <sheetName val="TT-T_Tron_So_222"/>
      <sheetName val="Ct_Dam_22"/>
      <sheetName val="Ct_Duoi22"/>
      <sheetName val="Ct_Tren22"/>
      <sheetName val="D_giaMay22"/>
      <sheetName val="26+180-400_222"/>
      <sheetName val="26+180_Sub122"/>
      <sheetName val="26+180_Sub422"/>
      <sheetName val="26+180-400_5(k95)22"/>
      <sheetName val="26+400-620_3(k95)22"/>
      <sheetName val="26+400-640_1(k95)22"/>
      <sheetName val="26+960-27+150_922"/>
      <sheetName val="26+960-27+150_1022"/>
      <sheetName val="26+960-27+150_1122"/>
      <sheetName val="26+960-27+150_1222"/>
      <sheetName val="26+960-27+150_5(k95)22"/>
      <sheetName val="26+960-27+150_4(k95)22"/>
      <sheetName val="26+960-27+150_1(k95)22"/>
      <sheetName val="27+500-700_5(k95)22"/>
      <sheetName val="27+500-700_4(k95)22"/>
      <sheetName val="27+500-700_3(k95)22"/>
      <sheetName val="27+500-700_1(k95)22"/>
      <sheetName val="27+740-920_3(k95)22"/>
      <sheetName val="27+740-920_2122"/>
      <sheetName val="27+920-28+040_6,722"/>
      <sheetName val="27+920-28+040_1022"/>
      <sheetName val="27+920-28+160_Su322"/>
      <sheetName val="28+160-28+420_5K9522"/>
      <sheetName val="28+430-657_722"/>
      <sheetName val="Km28+430-657_822"/>
      <sheetName val="28+430-657_922"/>
      <sheetName val="28+430-667_1022"/>
      <sheetName val="28+430-657_1122"/>
      <sheetName val="28+430-657_4k9522"/>
      <sheetName val="28+500-657_1822"/>
      <sheetName val="28+520-657_1922"/>
      <sheetName val="C_TIEU22"/>
      <sheetName val="T_Luong22"/>
      <sheetName val="T_HAO22"/>
      <sheetName val="DT_TUYEN22"/>
      <sheetName val="DT_GIA22"/>
      <sheetName val="KHDT_(2)22"/>
      <sheetName val="CL_22"/>
      <sheetName val="KQ_(2)22"/>
      <sheetName val="Quang_Tri22"/>
      <sheetName val="Da_Nang22"/>
      <sheetName val="Quang_Nam22"/>
      <sheetName val="Quang_Ngai22"/>
      <sheetName val="TH_DH-QN22"/>
      <sheetName val="KP_HD22"/>
      <sheetName val="DB_HD22"/>
      <sheetName val="vat_tu22"/>
      <sheetName val="Thep_22"/>
      <sheetName val="Chi_tiet_Khoi_luong22"/>
      <sheetName val="TH_khoi_luong22"/>
      <sheetName val="Chiet_tinh_vat_lieu_22"/>
      <sheetName val="TH_KL_VL22"/>
      <sheetName val="AC_PC22"/>
      <sheetName val="TAI_TRONG22"/>
      <sheetName val="NOI_LUC22"/>
      <sheetName val="TINH_DUYET_THTT_CHINH22"/>
      <sheetName val="TDUYET_THTT_PHU22"/>
      <sheetName val="TINH_DAO_DONG_VA_DO_VONG22"/>
      <sheetName val="TINH_NEO22"/>
      <sheetName val="tong_hop_thanh_toan_thue22"/>
      <sheetName val="bang_ke_nop_thue22"/>
      <sheetName val="Tonh_hop_chi_phi22"/>
      <sheetName val="BK_chi_phi22"/>
      <sheetName val="KTra_DS_va_thue_GTGT22"/>
      <sheetName val="Kiãøm_tra_DS_thue_GTGT22"/>
      <sheetName val="XUAT(gia_von)22"/>
      <sheetName val="Xuat_(gia_ban)22"/>
      <sheetName val="Dchinh_TH_N-X-T22"/>
      <sheetName val="Tong_hop_N-X-T22"/>
      <sheetName val="thue_TH22"/>
      <sheetName val="tong_hop_200122"/>
      <sheetName val="qUYET_TOAN_THUE22"/>
      <sheetName val="BU_CTPH22"/>
      <sheetName val="BU_tran3+360_2222"/>
      <sheetName val="Tran3+360_2222"/>
      <sheetName val="BU_tran2+386_422"/>
      <sheetName val="Tran2+386_422"/>
      <sheetName val="DTcong_4-522"/>
      <sheetName val="Bu_1-222"/>
      <sheetName val="Bu_12-1322"/>
      <sheetName val="DTcong_12-1322"/>
      <sheetName val="DT_cong13-13+22"/>
      <sheetName val="BU-_nhanh22"/>
      <sheetName val="dtcong_nh1-222"/>
      <sheetName val="dtcong_nh0-122"/>
      <sheetName val="BU_11-1222"/>
      <sheetName val="DTcong_11-1222"/>
      <sheetName val="Pr-_CC22"/>
      <sheetName val="MD_3-422"/>
      <sheetName val="ND_3-422"/>
      <sheetName val="MD_1-222"/>
      <sheetName val="ND_1-222"/>
      <sheetName val="MD_0-122"/>
      <sheetName val="ND_0-122"/>
      <sheetName val="KL_tong22"/>
      <sheetName val="TH_(T1-6)22"/>
      <sheetName val="_NL22"/>
      <sheetName val="_NL_(2)22"/>
      <sheetName val="CDTHCT_(3)22"/>
      <sheetName val="thkl_(2)22"/>
      <sheetName val="long_tec22"/>
      <sheetName val="cd_viaK0-T622"/>
      <sheetName val="cdvia_T6-Tc2422"/>
      <sheetName val="cdvia_Tc24-T4622"/>
      <sheetName val="cd_btnL2k0+361-T1922"/>
      <sheetName val="CT_xa22"/>
      <sheetName val="CDTHU_CHI_T122"/>
      <sheetName val="THUCHI_222"/>
      <sheetName val="THU_CHI322"/>
      <sheetName val="THU_CHI_422"/>
      <sheetName val="THU_CHI522"/>
      <sheetName val="THU_CHI_622"/>
      <sheetName val="TU_CHI_722"/>
      <sheetName val="THU_CHI922"/>
      <sheetName val="THU_CHI_822"/>
      <sheetName val="THU_CHI_1022"/>
      <sheetName val="THU_CHI_1122"/>
      <sheetName val="THU_CHI_1222"/>
      <sheetName val="Xep_hang_20122"/>
      <sheetName val="toan_Cty22"/>
      <sheetName val="Cong_ty22"/>
      <sheetName val="XN_222"/>
      <sheetName val="XN_ong_CHi22"/>
      <sheetName val="N_XDCT&amp;_XKLD22"/>
      <sheetName val="CN_HCM22"/>
      <sheetName val="TT_XKLD(Nhan)22"/>
      <sheetName val="Ong_Hong22"/>
      <sheetName val="CN_hung_yen22"/>
      <sheetName val="Dong_nai22"/>
      <sheetName val="K249_K9822"/>
      <sheetName val="K249_K98_(2)22"/>
      <sheetName val="K251_K9822"/>
      <sheetName val="K251_SBase22"/>
      <sheetName val="K251_AC22"/>
      <sheetName val="K252_K9822"/>
      <sheetName val="K252_SBase22"/>
      <sheetName val="K252_AC22"/>
      <sheetName val="K253_K9822"/>
      <sheetName val="K253_Subbase22"/>
      <sheetName val="K253_Base_22"/>
      <sheetName val="K253_SBase22"/>
      <sheetName val="K253_AC22"/>
      <sheetName val="K255_SBase22"/>
      <sheetName val="K259_K9822"/>
      <sheetName val="K259_Subbase22"/>
      <sheetName val="K259_Base_22"/>
      <sheetName val="K259_AC22"/>
      <sheetName val="K260_K9822"/>
      <sheetName val="K260_Subbase22"/>
      <sheetName val="K260_Base22"/>
      <sheetName val="K260_AC22"/>
      <sheetName val="K261_K9822"/>
      <sheetName val="K261_Base22"/>
      <sheetName val="K261_AC22"/>
      <sheetName val="KL_Tram_Cty22"/>
      <sheetName val="Gam_may_Cty22"/>
      <sheetName val="KL_tram_KH22"/>
      <sheetName val="Gam_may_KH22"/>
      <sheetName val="Cach_dien22"/>
      <sheetName val="Mang_tai22"/>
      <sheetName val="KL_DDK22"/>
      <sheetName val="Mang_tai_DDK22"/>
      <sheetName val="KL_DDK0,422"/>
      <sheetName val="TT_Ky_thuat22"/>
      <sheetName val="CT_moi22"/>
      <sheetName val="Tu_dien22"/>
      <sheetName val="May_cat22"/>
      <sheetName val="Dao_Cly22"/>
      <sheetName val="Dao_Ptai22"/>
      <sheetName val="Tu_RMU22"/>
      <sheetName val="C_set22"/>
      <sheetName val="Sco_Cap22"/>
      <sheetName val="Sco_TB22"/>
      <sheetName val="TN_tram22"/>
      <sheetName val="TN_C_set22"/>
      <sheetName val="TN_TD_DDay22"/>
      <sheetName val="Phan_chung22"/>
      <sheetName val="cong_Q222"/>
      <sheetName val="T_U_luong_Q122"/>
      <sheetName val="T_U_luong_Q222"/>
      <sheetName val="T_U_luong_Q322"/>
      <sheetName val="Quyet_toan22"/>
      <sheetName val="Thu_hoi22"/>
      <sheetName val="Lai_vay22"/>
      <sheetName val="Tien_vay22"/>
      <sheetName val="Cong_no22"/>
      <sheetName val="Cop_pha22"/>
      <sheetName val="Gia_DAN22"/>
      <sheetName val="Phu_luc_HD22"/>
      <sheetName val="Gia_du_thau22"/>
      <sheetName val="Ca_xe22"/>
      <sheetName val="Dc_Dau22"/>
      <sheetName val="_o_to_Hien_822"/>
      <sheetName val="_o_to_Hien922"/>
      <sheetName val="_o_to_Hien1022"/>
      <sheetName val="_o_to_Hien1122"/>
      <sheetName val="_o_to_Hien12)22"/>
      <sheetName val="_o_to_Hien132"/>
      <sheetName val="_o_to_Hien222"/>
      <sheetName val="_o_to_Hien322"/>
      <sheetName val="_o_to_Hien422"/>
      <sheetName val="_o_to_Hien522"/>
      <sheetName val="_o_to_Phong_822"/>
      <sheetName val="_o_to_Phong922"/>
      <sheetName val="_o_to_Phong1022"/>
      <sheetName val="_o_to_Phong1122"/>
      <sheetName val="_o_to_Phong12)22"/>
      <sheetName val="_o_to_Phong132"/>
      <sheetName val="_o_to_Phong222"/>
      <sheetName val="_o_to_Phong322"/>
      <sheetName val="_o_to_Phong422"/>
      <sheetName val="_o_to_Phong522"/>
      <sheetName val="_o_to_Dung_8_22"/>
      <sheetName val="_D_tt_dau822"/>
      <sheetName val="_o_to_Dung_922"/>
      <sheetName val="_D9_tt_dau22"/>
      <sheetName val="_D10_tt_dau22"/>
      <sheetName val="_o_to_Dung_1022"/>
      <sheetName val="_o_to_Dung_1122"/>
      <sheetName val="_o_to_Dung_12)22"/>
      <sheetName val="_o_to_Dung_132"/>
      <sheetName val="_o_to_Dung222"/>
      <sheetName val="_o_to_Dung322"/>
      <sheetName val="_o_to_Dung422"/>
      <sheetName val="_o_totrongT10-1222"/>
      <sheetName val="_o_totrongT222"/>
      <sheetName val="_o_totrungT10-1222"/>
      <sheetName val="_o_toMinhT10-12_22"/>
      <sheetName val="_o_toMinhT222"/>
      <sheetName val="_o_toTrieuT10-12__22"/>
      <sheetName val="Luong_8_SP22"/>
      <sheetName val="Luong_9_SP_22"/>
      <sheetName val="Luong_10_SP_22"/>
      <sheetName val="Luong_11_SP_22"/>
      <sheetName val="Luong_12_SP22"/>
      <sheetName val="Luong_1_SP122"/>
      <sheetName val="Luong_2_SP222"/>
      <sheetName val="Luong_3_SP322"/>
      <sheetName val="Luong_4_SP422"/>
      <sheetName val="Luong_4_SP522"/>
      <sheetName val="KL_VL22"/>
      <sheetName val="QT_9-622"/>
      <sheetName val="Thuong_luu_HB22"/>
      <sheetName val="QT_Ky_T22"/>
      <sheetName val="bc_vt_TON_BAI22"/>
      <sheetName val="QT_Duoc_(Hai)22"/>
      <sheetName val="sent_to22"/>
      <sheetName val="KLTong_hop22"/>
      <sheetName val="Lan_can22"/>
      <sheetName val="Ranh_doc_(2)22"/>
      <sheetName val="Ranh_doc22"/>
      <sheetName val="Coc_tieu22"/>
      <sheetName val="Bien_bao22"/>
      <sheetName val="Nan_tuyen22"/>
      <sheetName val="Lan_122"/>
      <sheetName val="Lan__222"/>
      <sheetName val="Lan_322"/>
      <sheetName val="Gia_tri22"/>
      <sheetName val="Lan_522"/>
      <sheetName val="Cong_hop22"/>
      <sheetName val="kldukien_(107)22"/>
      <sheetName val="qui1_(2)22"/>
      <sheetName val="cap_so_lan_222"/>
      <sheetName val="cap_so_BHXH22"/>
      <sheetName val="tru_tien22"/>
      <sheetName val="yt_q222"/>
      <sheetName val="c45_t322"/>
      <sheetName val="c45_t622"/>
      <sheetName val="BHYT_Q3_200322"/>
      <sheetName val="C45_t722"/>
      <sheetName val="C47-t07_200322"/>
      <sheetName val="C45_t822"/>
      <sheetName val="C47-t08_200322"/>
      <sheetName val="C45_t0922"/>
      <sheetName val="C47-t09_200322"/>
      <sheetName val="C47_T1222"/>
      <sheetName val="BHYT_Q4-200322"/>
      <sheetName val="C45_T1022"/>
      <sheetName val="binh_do22"/>
      <sheetName val="cot_lieu22"/>
      <sheetName val="van_khuon22"/>
      <sheetName val="CT_BT22"/>
      <sheetName val="lay_mau22"/>
      <sheetName val="mat_ngoai_goi22"/>
      <sheetName val="coc_tram-bt22"/>
      <sheetName val="cong_bien_t1028"/>
      <sheetName val="luong_t9_28"/>
      <sheetName val="bb_t928"/>
      <sheetName val="KL_XL200028"/>
      <sheetName val="Chiet_tinh28"/>
      <sheetName val="Van_chuyen28"/>
      <sheetName val="THKP_(2)28"/>
      <sheetName val="T_Bi28"/>
      <sheetName val="Thiet_ke28"/>
      <sheetName val="K_luong28"/>
      <sheetName val="TT_L228"/>
      <sheetName val="TT_L128"/>
      <sheetName val="Thue_Ngoai28"/>
      <sheetName val="Dong_Dau28"/>
      <sheetName val="Dong_Dau_(2)28"/>
      <sheetName val="Sau_dong28"/>
      <sheetName val="Ma_xa28"/>
      <sheetName val="My_dinh28"/>
      <sheetName val="Tong_cong28"/>
      <sheetName val="Chi_tiet_-_Dv_lap28"/>
      <sheetName val="TH_KHTC28"/>
      <sheetName val="Gia_VL28"/>
      <sheetName val="Bang_gia_ca_may28"/>
      <sheetName val="Bang_luong_CB28"/>
      <sheetName val="Bang_P_tich_CT28"/>
      <sheetName val="D_toan_chi_tiet28"/>
      <sheetName val="Bang_TH_Dtoan28"/>
      <sheetName val="LUAN_CHUYEN28"/>
      <sheetName val="KE_QUY28"/>
      <sheetName val="LUONGGIAN_TIEP28"/>
      <sheetName val="VAY_VON28"/>
      <sheetName val="O_THAO28"/>
      <sheetName val="Q_TRUNG28"/>
      <sheetName val="Y_THANH28"/>
      <sheetName val="Sheet2_(2)28"/>
      <sheetName val="KH_2003_(moi_max)28"/>
      <sheetName val="Interim_payment28"/>
      <sheetName val="Bid_Sum28"/>
      <sheetName val="Item_B28"/>
      <sheetName val="Dg_A28"/>
      <sheetName val="Dg_B&amp;C28"/>
      <sheetName val="Material_at_site28"/>
      <sheetName val="Bang_VL28"/>
      <sheetName val="VL(No_V-c)28"/>
      <sheetName val="He_so28"/>
      <sheetName val="PL_Vua28"/>
      <sheetName val="Chitieu-dam_cac_loai28"/>
      <sheetName val="DG_Dam28"/>
      <sheetName val="DG_chung28"/>
      <sheetName val="VL-dac_chung28"/>
      <sheetName val="CT_1md_&amp;_dau_cong28"/>
      <sheetName val="Tong_hop28"/>
      <sheetName val="CT_cong28"/>
      <sheetName val="dg_cong28"/>
      <sheetName val="CDSL_(2)28"/>
      <sheetName val="__28"/>
      <sheetName val="san_vuon28"/>
      <sheetName val="khu_phu_tro28"/>
      <sheetName val="Thuyet_minh28"/>
      <sheetName val="be_tong28"/>
      <sheetName val="Tong_hop_thep28"/>
      <sheetName val="phan_tich_DG28"/>
      <sheetName val="gia_vat_lieu28"/>
      <sheetName val="gia_xe_may28"/>
      <sheetName val="gia_nhan_cong28"/>
      <sheetName val="BCC_(2)28"/>
      <sheetName val="Bao_cao28"/>
      <sheetName val="Bao_cao_228"/>
      <sheetName val="Khoi_luong28"/>
      <sheetName val="Khoi_luong_mat28"/>
      <sheetName val="Bang_ke28"/>
      <sheetName val="T_HopKL28"/>
      <sheetName val="S_Luong28"/>
      <sheetName val="D_Dap28"/>
      <sheetName val="Q_Toan28"/>
      <sheetName val="Phan_tich_chi_phi28"/>
      <sheetName val="Chi_phi_nen_theo_BVTC28"/>
      <sheetName val="nhan_cong_phu28"/>
      <sheetName val="nhan_cong_Hung28"/>
      <sheetName val="Nhan_cong28"/>
      <sheetName val="Khoi_luong_nen_theo_BVTC28"/>
      <sheetName val="cap_cho_cac_DT28"/>
      <sheetName val="Ung_-_hoan28"/>
      <sheetName val="CP_may28"/>
      <sheetName val="Phu_luc28"/>
      <sheetName val="Gia_trÞ28"/>
      <sheetName val="DS_them_luong_qui_4-200228"/>
      <sheetName val="Phuc_loi_2-9-0228"/>
      <sheetName val="Thuong_nhan_dip_21-12-0228"/>
      <sheetName val="Thuong_dip_nhan_danh_hieu_AHL28"/>
      <sheetName val="Thang_luong_thu_13_nam_200228"/>
      <sheetName val="Luong_SX#_dip_Tet_Qui_Mui(don28"/>
      <sheetName val="CT_Duong28"/>
      <sheetName val="D_gia28"/>
      <sheetName val="T_hop28"/>
      <sheetName val="CtP_tro28"/>
      <sheetName val="Nha_moi28"/>
      <sheetName val="TT-T_Tron_So_228"/>
      <sheetName val="Ct_Dam_28"/>
      <sheetName val="Ct_Duoi28"/>
      <sheetName val="Ct_Tren28"/>
      <sheetName val="D_giaMay28"/>
      <sheetName val="26+180-400_228"/>
      <sheetName val="26+180_Sub128"/>
      <sheetName val="26+180_Sub428"/>
      <sheetName val="26+180-400_5(k95)28"/>
      <sheetName val="26+400-620_3(k95)28"/>
      <sheetName val="26+400-640_1(k95)28"/>
      <sheetName val="26+960-27+150_928"/>
      <sheetName val="26+960-27+150_1028"/>
      <sheetName val="26+960-27+150_1128"/>
      <sheetName val="26+960-27+150_1228"/>
      <sheetName val="26+960-27+150_5(k95)28"/>
      <sheetName val="26+960-27+150_4(k95)28"/>
      <sheetName val="26+960-27+150_1(k95)28"/>
      <sheetName val="27+500-700_5(k95)28"/>
      <sheetName val="27+500-700_4(k95)28"/>
      <sheetName val="27+500-700_3(k95)28"/>
      <sheetName val="27+500-700_1(k95)28"/>
      <sheetName val="27+740-920_3(k95)28"/>
      <sheetName val="27+740-920_2128"/>
      <sheetName val="27+920-28+040_6,728"/>
      <sheetName val="27+920-28+040_1028"/>
      <sheetName val="27+920-28+160_Su328"/>
      <sheetName val="28+160-28+420_5K9528"/>
      <sheetName val="28+430-657_728"/>
      <sheetName val="Km28+430-657_828"/>
      <sheetName val="28+430-657_928"/>
      <sheetName val="28+430-667_1028"/>
      <sheetName val="28+430-657_1128"/>
      <sheetName val="28+430-657_4k9528"/>
      <sheetName val="28+500-657_1828"/>
      <sheetName val="28+520-657_1928"/>
      <sheetName val="C_TIEU28"/>
      <sheetName val="T_Luong28"/>
      <sheetName val="T_HAO28"/>
      <sheetName val="DT_TUYEN28"/>
      <sheetName val="DT_GIA28"/>
      <sheetName val="KHDT_(2)28"/>
      <sheetName val="CL_28"/>
      <sheetName val="KQ_(2)28"/>
      <sheetName val="Quang_Tri28"/>
      <sheetName val="Da_Nang28"/>
      <sheetName val="Quang_Nam28"/>
      <sheetName val="Quang_Ngai28"/>
      <sheetName val="TH_DH-QN28"/>
      <sheetName val="KP_HD28"/>
      <sheetName val="DB_HD28"/>
      <sheetName val="vat_tu28"/>
      <sheetName val="Thep_28"/>
      <sheetName val="Chi_tiet_Khoi_luong28"/>
      <sheetName val="TH_khoi_luong28"/>
      <sheetName val="Chiet_tinh_vat_lieu_28"/>
      <sheetName val="TH_KL_VL28"/>
      <sheetName val="AC_PC28"/>
      <sheetName val="TAI_TRONG28"/>
      <sheetName val="NOI_LUC28"/>
      <sheetName val="TINH_DUYET_THTT_CHINH28"/>
      <sheetName val="TDUYET_THTT_PHU28"/>
      <sheetName val="TINH_DAO_DONG_VA_DO_VONG28"/>
      <sheetName val="TINH_NEO28"/>
      <sheetName val="tong_hop_thanh_toan_thue28"/>
      <sheetName val="bang_ke_nop_thue28"/>
      <sheetName val="Tonh_hop_chi_phi28"/>
      <sheetName val="BK_chi_phi28"/>
      <sheetName val="KTra_DS_va_thue_GTGT28"/>
      <sheetName val="Kiãøm_tra_DS_thue_GTGT28"/>
      <sheetName val="XUAT(gia_von)28"/>
      <sheetName val="Xuat_(gia_ban)28"/>
      <sheetName val="Dchinh_TH_N-X-T28"/>
      <sheetName val="Tong_hop_N-X-T28"/>
      <sheetName val="thue_TH28"/>
      <sheetName val="tong_hop_200128"/>
      <sheetName val="qUYET_TOAN_THUE28"/>
      <sheetName val="BU_CTPH28"/>
      <sheetName val="BU_tran3+360_2228"/>
      <sheetName val="Tran3+360_2228"/>
      <sheetName val="BU_tran2+386_428"/>
      <sheetName val="Tran2+386_428"/>
      <sheetName val="DTcong_4-528"/>
      <sheetName val="Bu_1-228"/>
      <sheetName val="Bu_12-1328"/>
      <sheetName val="DTcong_12-1328"/>
      <sheetName val="DT_cong13-13+28"/>
      <sheetName val="BU-_nhanh28"/>
      <sheetName val="dtcong_nh1-228"/>
      <sheetName val="dtcong_nh0-128"/>
      <sheetName val="BU_11-1228"/>
      <sheetName val="DTcong_11-1228"/>
      <sheetName val="Pr-_CC28"/>
      <sheetName val="MD_3-428"/>
      <sheetName val="ND_3-428"/>
      <sheetName val="MD_1-228"/>
      <sheetName val="ND_1-228"/>
      <sheetName val="MD_0-128"/>
      <sheetName val="ND_0-128"/>
      <sheetName val="KL_tong28"/>
      <sheetName val="TH_(T1-6)28"/>
      <sheetName val="_NL28"/>
      <sheetName val="_NL_(2)28"/>
      <sheetName val="CDTHCT_(3)28"/>
      <sheetName val="thkl_(2)28"/>
      <sheetName val="long_tec28"/>
      <sheetName val="cd_viaK0-T628"/>
      <sheetName val="cdvia_T6-Tc2428"/>
      <sheetName val="cdvia_Tc24-T4628"/>
      <sheetName val="cd_btnL2k0+361-T1928"/>
      <sheetName val="CT_xa28"/>
      <sheetName val="CDTHU_CHI_T128"/>
      <sheetName val="THUCHI_228"/>
      <sheetName val="THU_CHI328"/>
      <sheetName val="THU_CHI_428"/>
      <sheetName val="THU_CHI528"/>
      <sheetName val="THU_CHI_628"/>
      <sheetName val="TU_CHI_728"/>
      <sheetName val="THU_CHI928"/>
      <sheetName val="THU_CHI_828"/>
      <sheetName val="THU_CHI_1028"/>
      <sheetName val="THU_CHI_1128"/>
      <sheetName val="THU_CHI_1228"/>
      <sheetName val="Xep_hang_20128"/>
      <sheetName val="toan_Cty28"/>
      <sheetName val="Cong_ty28"/>
      <sheetName val="XN_228"/>
      <sheetName val="XN_ong_CHi28"/>
      <sheetName val="N_XDCT&amp;_XKLD28"/>
      <sheetName val="CN_HCM28"/>
      <sheetName val="TT_XKLD(Nhan)28"/>
      <sheetName val="Ong_Hong28"/>
      <sheetName val="CN_hung_yen28"/>
      <sheetName val="Dong_nai28"/>
      <sheetName val="K249_K9828"/>
      <sheetName val="K249_K98_(2)28"/>
      <sheetName val="K251_K9828"/>
      <sheetName val="K251_SBase28"/>
      <sheetName val="K251_AC28"/>
      <sheetName val="K252_K9828"/>
      <sheetName val="K252_SBase28"/>
      <sheetName val="K252_AC28"/>
      <sheetName val="K253_K9828"/>
      <sheetName val="K253_Subbase28"/>
      <sheetName val="K253_Base_28"/>
      <sheetName val="K253_SBase28"/>
      <sheetName val="K253_AC28"/>
      <sheetName val="K255_SBase28"/>
      <sheetName val="K259_K9828"/>
      <sheetName val="K259_Subbase28"/>
      <sheetName val="K259_Base_28"/>
      <sheetName val="K259_AC28"/>
      <sheetName val="K260_K9828"/>
      <sheetName val="K260_Subbase28"/>
      <sheetName val="K260_Base28"/>
      <sheetName val="K260_AC28"/>
      <sheetName val="K261_K9828"/>
      <sheetName val="K261_Base28"/>
      <sheetName val="K261_AC28"/>
      <sheetName val="KL_Tram_Cty28"/>
      <sheetName val="Gam_may_Cty28"/>
      <sheetName val="KL_tram_KH28"/>
      <sheetName val="Gam_may_KH28"/>
      <sheetName val="Cach_dien28"/>
      <sheetName val="Mang_tai28"/>
      <sheetName val="KL_DDK28"/>
      <sheetName val="Mang_tai_DDK28"/>
      <sheetName val="KL_DDK0,428"/>
      <sheetName val="TT_Ky_thuat28"/>
      <sheetName val="CT_moi28"/>
      <sheetName val="Tu_dien28"/>
      <sheetName val="May_cat28"/>
      <sheetName val="Dao_Cly28"/>
      <sheetName val="Dao_Ptai28"/>
      <sheetName val="Tu_RMU28"/>
      <sheetName val="C_set28"/>
      <sheetName val="Sco_Cap28"/>
      <sheetName val="Sco_TB28"/>
      <sheetName val="TN_tram28"/>
      <sheetName val="TN_C_set28"/>
      <sheetName val="TN_TD_DDay28"/>
      <sheetName val="Phan_chung28"/>
      <sheetName val="cong_Q228"/>
      <sheetName val="T_U_luong_Q128"/>
      <sheetName val="T_U_luong_Q228"/>
      <sheetName val="T_U_luong_Q328"/>
      <sheetName val="Quyet_toan28"/>
      <sheetName val="Thu_hoi28"/>
      <sheetName val="Lai_vay28"/>
      <sheetName val="Tien_vay28"/>
      <sheetName val="Cong_no28"/>
      <sheetName val="Cop_pha28"/>
      <sheetName val="Gia_DAN28"/>
      <sheetName val="Phu_luc_HD28"/>
      <sheetName val="Gia_du_thau28"/>
      <sheetName val="Ca_xe28"/>
      <sheetName val="Dc_Dau28"/>
      <sheetName val="_o_to_Hien_828"/>
      <sheetName val="_o_to_Hien928"/>
      <sheetName val="_o_to_Hien1028"/>
      <sheetName val="_o_to_Hien1128"/>
      <sheetName val="_o_to_Hien12)28"/>
      <sheetName val="_o_to_Hien138"/>
      <sheetName val="_o_to_Hien228"/>
      <sheetName val="_o_to_Hien328"/>
      <sheetName val="_o_to_Hien428"/>
      <sheetName val="_o_to_Hien528"/>
      <sheetName val="_o_to_Phong_828"/>
      <sheetName val="_o_to_Phong928"/>
      <sheetName val="_o_to_Phong1028"/>
      <sheetName val="_o_to_Phong1128"/>
      <sheetName val="_o_to_Phong12)28"/>
      <sheetName val="_o_to_Phong138"/>
      <sheetName val="_o_to_Phong228"/>
      <sheetName val="_o_to_Phong328"/>
      <sheetName val="_o_to_Phong428"/>
      <sheetName val="_o_to_Phong528"/>
      <sheetName val="_o_to_Dung_8_28"/>
      <sheetName val="_D_tt_dau828"/>
      <sheetName val="_o_to_Dung_928"/>
      <sheetName val="_D9_tt_dau28"/>
      <sheetName val="_D10_tt_dau28"/>
      <sheetName val="_o_to_Dung_1028"/>
      <sheetName val="_o_to_Dung_1128"/>
      <sheetName val="_o_to_Dung_12)28"/>
      <sheetName val="_o_to_Dung_138"/>
      <sheetName val="_o_to_Dung228"/>
      <sheetName val="_o_to_Dung328"/>
      <sheetName val="_o_to_Dung428"/>
      <sheetName val="_o_totrongT10-1228"/>
      <sheetName val="_o_totrongT228"/>
      <sheetName val="_o_totrungT10-1228"/>
      <sheetName val="_o_toMinhT10-12_28"/>
      <sheetName val="_o_toMinhT228"/>
      <sheetName val="_o_toTrieuT10-12__28"/>
      <sheetName val="Luong_8_SP28"/>
      <sheetName val="Luong_9_SP_28"/>
      <sheetName val="Luong_10_SP_28"/>
      <sheetName val="Luong_11_SP_28"/>
      <sheetName val="Luong_12_SP28"/>
      <sheetName val="Luong_1_SP128"/>
      <sheetName val="Luong_2_SP228"/>
      <sheetName val="Luong_3_SP328"/>
      <sheetName val="Luong_4_SP428"/>
      <sheetName val="Luong_4_SP528"/>
      <sheetName val="KL_VL28"/>
      <sheetName val="QT_9-628"/>
      <sheetName val="Thuong_luu_HB28"/>
      <sheetName val="QT_Ky_T28"/>
      <sheetName val="bc_vt_TON_BAI28"/>
      <sheetName val="QT_Duoc_(Hai)28"/>
      <sheetName val="sent_to28"/>
      <sheetName val="KLTong_hop28"/>
      <sheetName val="Lan_can28"/>
      <sheetName val="Ranh_doc_(2)28"/>
      <sheetName val="Ranh_doc28"/>
      <sheetName val="Coc_tieu28"/>
      <sheetName val="Bien_bao28"/>
      <sheetName val="Nan_tuyen28"/>
      <sheetName val="Lan_128"/>
      <sheetName val="Lan__228"/>
      <sheetName val="Lan_328"/>
      <sheetName val="Gia_tri28"/>
      <sheetName val="Lan_528"/>
      <sheetName val="Cong_hop28"/>
      <sheetName val="kldukien_(107)28"/>
      <sheetName val="qui1_(2)28"/>
      <sheetName val="cap_so_lan_228"/>
      <sheetName val="cap_so_BHXH28"/>
      <sheetName val="tru_tien28"/>
      <sheetName val="yt_q228"/>
      <sheetName val="c45_t328"/>
      <sheetName val="c45_t628"/>
      <sheetName val="BHYT_Q3_200328"/>
      <sheetName val="C45_t728"/>
      <sheetName val="C47-t07_200328"/>
      <sheetName val="C45_t828"/>
      <sheetName val="C47-t08_200328"/>
      <sheetName val="C45_t0928"/>
      <sheetName val="C47-t09_200328"/>
      <sheetName val="C47_T1228"/>
      <sheetName val="BHYT_Q4-200328"/>
      <sheetName val="C45_T1028"/>
      <sheetName val="binh_do28"/>
      <sheetName val="cot_lieu28"/>
      <sheetName val="van_khuon28"/>
      <sheetName val="CT_BT28"/>
      <sheetName val="lay_mau28"/>
      <sheetName val="mat_ngoai_goi28"/>
      <sheetName val="coc_tram-bt28"/>
      <sheetName val="cong_bien_t1027"/>
      <sheetName val="luong_t9_27"/>
      <sheetName val="bb_t927"/>
      <sheetName val="KL_XL200027"/>
      <sheetName val="Chiet_tinh27"/>
      <sheetName val="Van_chuyen27"/>
      <sheetName val="THKP_(2)27"/>
      <sheetName val="T_Bi27"/>
      <sheetName val="Thiet_ke27"/>
      <sheetName val="K_luong27"/>
      <sheetName val="TT_L227"/>
      <sheetName val="TT_L127"/>
      <sheetName val="Thue_Ngoai27"/>
      <sheetName val="Dong_Dau27"/>
      <sheetName val="Dong_Dau_(2)27"/>
      <sheetName val="Sau_dong27"/>
      <sheetName val="Ma_xa27"/>
      <sheetName val="My_dinh27"/>
      <sheetName val="Tong_cong27"/>
      <sheetName val="Chi_tiet_-_Dv_lap27"/>
      <sheetName val="TH_KHTC27"/>
      <sheetName val="Gia_VL27"/>
      <sheetName val="Bang_gia_ca_may27"/>
      <sheetName val="Bang_luong_CB27"/>
      <sheetName val="Bang_P_tich_CT27"/>
      <sheetName val="D_toan_chi_tiet27"/>
      <sheetName val="Bang_TH_Dtoan27"/>
      <sheetName val="LUAN_CHUYEN27"/>
      <sheetName val="KE_QUY27"/>
      <sheetName val="LUONGGIAN_TIEP27"/>
      <sheetName val="VAY_VON27"/>
      <sheetName val="O_THAO27"/>
      <sheetName val="Q_TRUNG27"/>
      <sheetName val="Y_THANH27"/>
      <sheetName val="Sheet2_(2)27"/>
      <sheetName val="KH_2003_(moi_max)27"/>
      <sheetName val="Interim_payment27"/>
      <sheetName val="Bid_Sum27"/>
      <sheetName val="Item_B27"/>
      <sheetName val="Dg_A27"/>
      <sheetName val="Dg_B&amp;C27"/>
      <sheetName val="Material_at_site27"/>
      <sheetName val="Bang_VL27"/>
      <sheetName val="VL(No_V-c)27"/>
      <sheetName val="He_so27"/>
      <sheetName val="PL_Vua27"/>
      <sheetName val="Chitieu-dam_cac_loai27"/>
      <sheetName val="DG_Dam27"/>
      <sheetName val="DG_chung27"/>
      <sheetName val="VL-dac_chung27"/>
      <sheetName val="CT_1md_&amp;_dau_cong27"/>
      <sheetName val="Tong_hop27"/>
      <sheetName val="CT_cong27"/>
      <sheetName val="dg_cong27"/>
      <sheetName val="CDSL_(2)27"/>
      <sheetName val="__27"/>
      <sheetName val="san_vuon27"/>
      <sheetName val="khu_phu_tro27"/>
      <sheetName val="Thuyet_minh27"/>
      <sheetName val="be_tong27"/>
      <sheetName val="Tong_hop_thep27"/>
      <sheetName val="phan_tich_DG27"/>
      <sheetName val="gia_vat_lieu27"/>
      <sheetName val="gia_xe_may27"/>
      <sheetName val="gia_nhan_cong27"/>
      <sheetName val="BCC_(2)27"/>
      <sheetName val="Bao_cao27"/>
      <sheetName val="Bao_cao_227"/>
      <sheetName val="Khoi_luong27"/>
      <sheetName val="Khoi_luong_mat27"/>
      <sheetName val="Bang_ke27"/>
      <sheetName val="T_HopKL27"/>
      <sheetName val="S_Luong27"/>
      <sheetName val="D_Dap27"/>
      <sheetName val="Q_Toan27"/>
      <sheetName val="Phan_tich_chi_phi27"/>
      <sheetName val="Chi_phi_nen_theo_BVTC27"/>
      <sheetName val="nhan_cong_phu27"/>
      <sheetName val="nhan_cong_Hung27"/>
      <sheetName val="Nhan_cong27"/>
      <sheetName val="Khoi_luong_nen_theo_BVTC27"/>
      <sheetName val="cap_cho_cac_DT27"/>
      <sheetName val="Ung_-_hoan27"/>
      <sheetName val="CP_may27"/>
      <sheetName val="Phu_luc27"/>
      <sheetName val="Gia_trÞ27"/>
      <sheetName val="DS_them_luong_qui_4-200227"/>
      <sheetName val="Phuc_loi_2-9-0227"/>
      <sheetName val="Thuong_nhan_dip_21-12-0227"/>
      <sheetName val="Thuong_dip_nhan_danh_hieu_AHL27"/>
      <sheetName val="Thang_luong_thu_13_nam_200227"/>
      <sheetName val="Luong_SX#_dip_Tet_Qui_Mui(don27"/>
      <sheetName val="CT_Duong27"/>
      <sheetName val="D_gia27"/>
      <sheetName val="T_hop27"/>
      <sheetName val="CtP_tro27"/>
      <sheetName val="Nha_moi27"/>
      <sheetName val="TT-T_Tron_So_227"/>
      <sheetName val="Ct_Dam_27"/>
      <sheetName val="Ct_Duoi27"/>
      <sheetName val="Ct_Tren27"/>
      <sheetName val="D_giaMay27"/>
      <sheetName val="26+180-400_227"/>
      <sheetName val="26+180_Sub127"/>
      <sheetName val="26+180_Sub427"/>
      <sheetName val="26+180-400_5(k95)27"/>
      <sheetName val="26+400-620_3(k95)27"/>
      <sheetName val="26+400-640_1(k95)27"/>
      <sheetName val="26+960-27+150_927"/>
      <sheetName val="26+960-27+150_1027"/>
      <sheetName val="26+960-27+150_1127"/>
      <sheetName val="26+960-27+150_1227"/>
      <sheetName val="26+960-27+150_5(k95)27"/>
      <sheetName val="26+960-27+150_4(k95)27"/>
      <sheetName val="26+960-27+150_1(k95)27"/>
      <sheetName val="27+500-700_5(k95)27"/>
      <sheetName val="27+500-700_4(k95)27"/>
      <sheetName val="27+500-700_3(k95)27"/>
      <sheetName val="27+500-700_1(k95)27"/>
      <sheetName val="27+740-920_3(k95)27"/>
      <sheetName val="27+740-920_2127"/>
      <sheetName val="27+920-28+040_6,727"/>
      <sheetName val="27+920-28+040_1027"/>
      <sheetName val="27+920-28+160_Su327"/>
      <sheetName val="28+160-28+420_5K9527"/>
      <sheetName val="28+430-657_727"/>
      <sheetName val="Km28+430-657_827"/>
      <sheetName val="28+430-657_927"/>
      <sheetName val="28+430-667_1027"/>
      <sheetName val="28+430-657_1127"/>
      <sheetName val="28+430-657_4k9527"/>
      <sheetName val="28+500-657_1827"/>
      <sheetName val="28+520-657_1927"/>
      <sheetName val="C_TIEU27"/>
      <sheetName val="T_Luong27"/>
      <sheetName val="T_HAO27"/>
      <sheetName val="DT_TUYEN27"/>
      <sheetName val="DT_GIA27"/>
      <sheetName val="KHDT_(2)27"/>
      <sheetName val="CL_27"/>
      <sheetName val="KQ_(2)27"/>
      <sheetName val="Quang_Tri27"/>
      <sheetName val="Da_Nang27"/>
      <sheetName val="Quang_Nam27"/>
      <sheetName val="Quang_Ngai27"/>
      <sheetName val="TH_DH-QN27"/>
      <sheetName val="KP_HD27"/>
      <sheetName val="DB_HD27"/>
      <sheetName val="vat_tu27"/>
      <sheetName val="Thep_27"/>
      <sheetName val="Chi_tiet_Khoi_luong27"/>
      <sheetName val="TH_khoi_luong27"/>
      <sheetName val="Chiet_tinh_vat_lieu_27"/>
      <sheetName val="TH_KL_VL27"/>
      <sheetName val="AC_PC27"/>
      <sheetName val="TAI_TRONG27"/>
      <sheetName val="NOI_LUC27"/>
      <sheetName val="TINH_DUYET_THTT_CHINH27"/>
      <sheetName val="TDUYET_THTT_PHU27"/>
      <sheetName val="TINH_DAO_DONG_VA_DO_VONG27"/>
      <sheetName val="TINH_NEO27"/>
      <sheetName val="tong_hop_thanh_toan_thue27"/>
      <sheetName val="bang_ke_nop_thue27"/>
      <sheetName val="Tonh_hop_chi_phi27"/>
      <sheetName val="BK_chi_phi27"/>
      <sheetName val="KTra_DS_va_thue_GTGT27"/>
      <sheetName val="Kiãøm_tra_DS_thue_GTGT27"/>
      <sheetName val="XUAT(gia_von)27"/>
      <sheetName val="Xuat_(gia_ban)27"/>
      <sheetName val="Dchinh_TH_N-X-T27"/>
      <sheetName val="Tong_hop_N-X-T27"/>
      <sheetName val="thue_TH27"/>
      <sheetName val="tong_hop_200127"/>
      <sheetName val="qUYET_TOAN_THUE27"/>
      <sheetName val="BU_CTPH27"/>
      <sheetName val="BU_tran3+360_2227"/>
      <sheetName val="Tran3+360_2227"/>
      <sheetName val="BU_tran2+386_427"/>
      <sheetName val="Tran2+386_427"/>
      <sheetName val="DTcong_4-527"/>
      <sheetName val="Bu_1-227"/>
      <sheetName val="Bu_12-1327"/>
      <sheetName val="DTcong_12-1327"/>
      <sheetName val="DT_cong13-13+27"/>
      <sheetName val="BU-_nhanh27"/>
      <sheetName val="dtcong_nh1-227"/>
      <sheetName val="dtcong_nh0-127"/>
      <sheetName val="BU_11-1227"/>
      <sheetName val="DTcong_11-1227"/>
      <sheetName val="Pr-_CC27"/>
      <sheetName val="MD_3-427"/>
      <sheetName val="ND_3-427"/>
      <sheetName val="MD_1-227"/>
      <sheetName val="ND_1-227"/>
      <sheetName val="MD_0-127"/>
      <sheetName val="ND_0-127"/>
      <sheetName val="KL_tong27"/>
      <sheetName val="TH_(T1-6)27"/>
      <sheetName val="_NL27"/>
      <sheetName val="_NL_(2)27"/>
      <sheetName val="CDTHCT_(3)27"/>
      <sheetName val="thkl_(2)27"/>
      <sheetName val="long_tec27"/>
      <sheetName val="cd_viaK0-T627"/>
      <sheetName val="cdvia_T6-Tc2427"/>
      <sheetName val="cdvia_Tc24-T4627"/>
      <sheetName val="cd_btnL2k0+361-T1927"/>
      <sheetName val="CT_xa27"/>
      <sheetName val="CDTHU_CHI_T127"/>
      <sheetName val="THUCHI_227"/>
      <sheetName val="THU_CHI327"/>
      <sheetName val="THU_CHI_427"/>
      <sheetName val="THU_CHI527"/>
      <sheetName val="THU_CHI_627"/>
      <sheetName val="TU_CHI_727"/>
      <sheetName val="THU_CHI927"/>
      <sheetName val="THU_CHI_827"/>
      <sheetName val="THU_CHI_1027"/>
      <sheetName val="THU_CHI_1127"/>
      <sheetName val="THU_CHI_1227"/>
      <sheetName val="Xep_hang_20127"/>
      <sheetName val="toan_Cty27"/>
      <sheetName val="Cong_ty27"/>
      <sheetName val="XN_227"/>
      <sheetName val="XN_ong_CHi27"/>
      <sheetName val="N_XDCT&amp;_XKLD27"/>
      <sheetName val="CN_HCM27"/>
      <sheetName val="TT_XKLD(Nhan)27"/>
      <sheetName val="Ong_Hong27"/>
      <sheetName val="CN_hung_yen27"/>
      <sheetName val="Dong_nai27"/>
      <sheetName val="K249_K9827"/>
      <sheetName val="K249_K98_(2)27"/>
      <sheetName val="K251_K9827"/>
      <sheetName val="K251_SBase27"/>
      <sheetName val="K251_AC27"/>
      <sheetName val="K252_K9827"/>
      <sheetName val="K252_SBase27"/>
      <sheetName val="K252_AC27"/>
      <sheetName val="K253_K9827"/>
      <sheetName val="K253_Subbase27"/>
      <sheetName val="K253_Base_27"/>
      <sheetName val="K253_SBase27"/>
      <sheetName val="K253_AC27"/>
      <sheetName val="K255_SBase27"/>
      <sheetName val="K259_K9827"/>
      <sheetName val="K259_Subbase27"/>
      <sheetName val="K259_Base_27"/>
      <sheetName val="K259_AC27"/>
      <sheetName val="K260_K9827"/>
      <sheetName val="K260_Subbase27"/>
      <sheetName val="K260_Base27"/>
      <sheetName val="K260_AC27"/>
      <sheetName val="K261_K9827"/>
      <sheetName val="K261_Base27"/>
      <sheetName val="K261_AC27"/>
      <sheetName val="KL_Tram_Cty27"/>
      <sheetName val="Gam_may_Cty27"/>
      <sheetName val="KL_tram_KH27"/>
      <sheetName val="Gam_may_KH27"/>
      <sheetName val="Cach_dien27"/>
      <sheetName val="Mang_tai27"/>
      <sheetName val="KL_DDK27"/>
      <sheetName val="Mang_tai_DDK27"/>
      <sheetName val="KL_DDK0,427"/>
      <sheetName val="TT_Ky_thuat27"/>
      <sheetName val="CT_moi27"/>
      <sheetName val="Tu_dien27"/>
      <sheetName val="May_cat27"/>
      <sheetName val="Dao_Cly27"/>
      <sheetName val="Dao_Ptai27"/>
      <sheetName val="Tu_RMU27"/>
      <sheetName val="C_set27"/>
      <sheetName val="Sco_Cap27"/>
      <sheetName val="Sco_TB27"/>
      <sheetName val="TN_tram27"/>
      <sheetName val="TN_C_set27"/>
      <sheetName val="TN_TD_DDay27"/>
      <sheetName val="Phan_chung27"/>
      <sheetName val="cong_Q227"/>
      <sheetName val="T_U_luong_Q127"/>
      <sheetName val="T_U_luong_Q227"/>
      <sheetName val="T_U_luong_Q327"/>
      <sheetName val="Quyet_toan27"/>
      <sheetName val="Thu_hoi27"/>
      <sheetName val="Lai_vay27"/>
      <sheetName val="Tien_vay27"/>
      <sheetName val="Cong_no27"/>
      <sheetName val="Cop_pha27"/>
      <sheetName val="Gia_DAN27"/>
      <sheetName val="Phu_luc_HD27"/>
      <sheetName val="Gia_du_thau27"/>
      <sheetName val="Ca_xe27"/>
      <sheetName val="Dc_Dau27"/>
      <sheetName val="_o_to_Hien_827"/>
      <sheetName val="_o_to_Hien927"/>
      <sheetName val="_o_to_Hien1027"/>
      <sheetName val="_o_to_Hien1127"/>
      <sheetName val="_o_to_Hien12)27"/>
      <sheetName val="_o_to_Hien137"/>
      <sheetName val="_o_to_Hien227"/>
      <sheetName val="_o_to_Hien327"/>
      <sheetName val="_o_to_Hien427"/>
      <sheetName val="_o_to_Hien527"/>
      <sheetName val="_o_to_Phong_827"/>
      <sheetName val="_o_to_Phong927"/>
      <sheetName val="_o_to_Phong1027"/>
      <sheetName val="_o_to_Phong1127"/>
      <sheetName val="_o_to_Phong12)27"/>
      <sheetName val="_o_to_Phong137"/>
      <sheetName val="_o_to_Phong227"/>
      <sheetName val="_o_to_Phong327"/>
      <sheetName val="_o_to_Phong427"/>
      <sheetName val="_o_to_Phong527"/>
      <sheetName val="_o_to_Dung_8_27"/>
      <sheetName val="_D_tt_dau827"/>
      <sheetName val="_o_to_Dung_927"/>
      <sheetName val="_D9_tt_dau27"/>
      <sheetName val="_D10_tt_dau27"/>
      <sheetName val="_o_to_Dung_1027"/>
      <sheetName val="_o_to_Dung_1127"/>
      <sheetName val="_o_to_Dung_12)27"/>
      <sheetName val="_o_to_Dung_137"/>
      <sheetName val="_o_to_Dung227"/>
      <sheetName val="_o_to_Dung327"/>
      <sheetName val="_o_to_Dung427"/>
      <sheetName val="_o_totrongT10-1227"/>
      <sheetName val="_o_totrongT227"/>
      <sheetName val="_o_totrungT10-1227"/>
      <sheetName val="_o_toMinhT10-12_27"/>
      <sheetName val="_o_toMinhT227"/>
      <sheetName val="_o_toTrieuT10-12__27"/>
      <sheetName val="Luong_8_SP27"/>
      <sheetName val="Luong_9_SP_27"/>
      <sheetName val="Luong_10_SP_27"/>
      <sheetName val="Luong_11_SP_27"/>
      <sheetName val="Luong_12_SP27"/>
      <sheetName val="Luong_1_SP127"/>
      <sheetName val="Luong_2_SP227"/>
      <sheetName val="Luong_3_SP327"/>
      <sheetName val="Luong_4_SP427"/>
      <sheetName val="Luong_4_SP527"/>
      <sheetName val="KL_VL27"/>
      <sheetName val="QT_9-627"/>
      <sheetName val="Thuong_luu_HB27"/>
      <sheetName val="QT_Ky_T27"/>
      <sheetName val="bc_vt_TON_BAI27"/>
      <sheetName val="QT_Duoc_(Hai)27"/>
      <sheetName val="sent_to27"/>
      <sheetName val="KLTong_hop27"/>
      <sheetName val="Lan_can27"/>
      <sheetName val="Ranh_doc_(2)27"/>
      <sheetName val="Ranh_doc27"/>
      <sheetName val="Coc_tieu27"/>
      <sheetName val="Bien_bao27"/>
      <sheetName val="Nan_tuyen27"/>
      <sheetName val="Lan_127"/>
      <sheetName val="Lan__227"/>
      <sheetName val="Lan_327"/>
      <sheetName val="Gia_tri27"/>
      <sheetName val="Lan_527"/>
      <sheetName val="Cong_hop27"/>
      <sheetName val="kldukien_(107)27"/>
      <sheetName val="qui1_(2)27"/>
      <sheetName val="cap_so_lan_227"/>
      <sheetName val="cap_so_BHXH27"/>
      <sheetName val="tru_tien27"/>
      <sheetName val="yt_q227"/>
      <sheetName val="c45_t327"/>
      <sheetName val="c45_t627"/>
      <sheetName val="BHYT_Q3_200327"/>
      <sheetName val="C45_t727"/>
      <sheetName val="C47-t07_200327"/>
      <sheetName val="C45_t827"/>
      <sheetName val="C47-t08_200327"/>
      <sheetName val="C45_t0927"/>
      <sheetName val="C47-t09_200327"/>
      <sheetName val="C47_T1227"/>
      <sheetName val="BHYT_Q4-200327"/>
      <sheetName val="C45_T1027"/>
      <sheetName val="binh_do27"/>
      <sheetName val="cot_lieu27"/>
      <sheetName val="van_khuon27"/>
      <sheetName val="CT_BT27"/>
      <sheetName val="lay_mau27"/>
      <sheetName val="mat_ngoai_goi27"/>
      <sheetName val="coc_tram-bt27"/>
      <sheetName val="cong_bien_t1023"/>
      <sheetName val="luong_t9_23"/>
      <sheetName val="bb_t923"/>
      <sheetName val="KL_XL200023"/>
      <sheetName val="Chiet_tinh23"/>
      <sheetName val="Van_chuyen23"/>
      <sheetName val="THKP_(2)23"/>
      <sheetName val="T_Bi23"/>
      <sheetName val="Thiet_ke23"/>
      <sheetName val="K_luong23"/>
      <sheetName val="TT_L223"/>
      <sheetName val="TT_L123"/>
      <sheetName val="Thue_Ngoai23"/>
      <sheetName val="Dong_Dau23"/>
      <sheetName val="Dong_Dau_(2)23"/>
      <sheetName val="Sau_dong23"/>
      <sheetName val="Ma_xa23"/>
      <sheetName val="My_dinh23"/>
      <sheetName val="Tong_cong23"/>
      <sheetName val="Chi_tiet_-_Dv_lap23"/>
      <sheetName val="TH_KHTC23"/>
      <sheetName val="Gia_VL23"/>
      <sheetName val="Bang_gia_ca_may23"/>
      <sheetName val="Bang_luong_CB23"/>
      <sheetName val="Bang_P_tich_CT23"/>
      <sheetName val="D_toan_chi_tiet23"/>
      <sheetName val="Bang_TH_Dtoan23"/>
      <sheetName val="LUAN_CHUYEN23"/>
      <sheetName val="KE_QUY23"/>
      <sheetName val="LUONGGIAN_TIEP23"/>
      <sheetName val="VAY_VON23"/>
      <sheetName val="O_THAO23"/>
      <sheetName val="Q_TRUNG23"/>
      <sheetName val="Y_THANH23"/>
      <sheetName val="Sheet2_(2)23"/>
      <sheetName val="KH_2003_(moi_max)23"/>
      <sheetName val="Interim_payment23"/>
      <sheetName val="Bid_Sum23"/>
      <sheetName val="Item_B23"/>
      <sheetName val="Dg_A23"/>
      <sheetName val="Dg_B&amp;C23"/>
      <sheetName val="Material_at_site23"/>
      <sheetName val="Bang_VL23"/>
      <sheetName val="VL(No_V-c)23"/>
      <sheetName val="He_so23"/>
      <sheetName val="PL_Vua23"/>
      <sheetName val="Chitieu-dam_cac_loai23"/>
      <sheetName val="DG_Dam23"/>
      <sheetName val="DG_chung23"/>
      <sheetName val="VL-dac_chung23"/>
      <sheetName val="CT_1md_&amp;_dau_cong23"/>
      <sheetName val="Tong_hop23"/>
      <sheetName val="CT_cong23"/>
      <sheetName val="dg_cong23"/>
      <sheetName val="CDSL_(2)23"/>
      <sheetName val="__23"/>
      <sheetName val="san_vuon23"/>
      <sheetName val="khu_phu_tro23"/>
      <sheetName val="Thuyet_minh23"/>
      <sheetName val="be_tong23"/>
      <sheetName val="Tong_hop_thep23"/>
      <sheetName val="phan_tich_DG23"/>
      <sheetName val="gia_vat_lieu23"/>
      <sheetName val="gia_xe_may23"/>
      <sheetName val="gia_nhan_cong23"/>
      <sheetName val="BCC_(2)23"/>
      <sheetName val="Bao_cao23"/>
      <sheetName val="Bao_cao_223"/>
      <sheetName val="Khoi_luong23"/>
      <sheetName val="Khoi_luong_mat23"/>
      <sheetName val="Bang_ke23"/>
      <sheetName val="T_HopKL23"/>
      <sheetName val="S_Luong23"/>
      <sheetName val="D_Dap23"/>
      <sheetName val="Q_Toan23"/>
      <sheetName val="Phan_tich_chi_phi23"/>
      <sheetName val="Chi_phi_nen_theo_BVTC23"/>
      <sheetName val="nhan_cong_phu23"/>
      <sheetName val="nhan_cong_Hung23"/>
      <sheetName val="Nhan_cong23"/>
      <sheetName val="Khoi_luong_nen_theo_BVTC23"/>
      <sheetName val="cap_cho_cac_DT23"/>
      <sheetName val="Ung_-_hoan23"/>
      <sheetName val="CP_may23"/>
      <sheetName val="Phu_luc23"/>
      <sheetName val="Gia_trÞ23"/>
      <sheetName val="DS_them_luong_qui_4-200223"/>
      <sheetName val="Phuc_loi_2-9-0223"/>
      <sheetName val="Thuong_nhan_dip_21-12-0223"/>
      <sheetName val="Thuong_dip_nhan_danh_hieu_AHL23"/>
      <sheetName val="Thang_luong_thu_13_nam_200223"/>
      <sheetName val="Luong_SX#_dip_Tet_Qui_Mui(don23"/>
      <sheetName val="CT_Duong23"/>
      <sheetName val="D_gia23"/>
      <sheetName val="T_hop23"/>
      <sheetName val="CtP_tro23"/>
      <sheetName val="Nha_moi23"/>
      <sheetName val="TT-T_Tron_So_223"/>
      <sheetName val="Ct_Dam_23"/>
      <sheetName val="Ct_Duoi23"/>
      <sheetName val="Ct_Tren23"/>
      <sheetName val="D_giaMay23"/>
      <sheetName val="26+180-400_223"/>
      <sheetName val="26+180_Sub123"/>
      <sheetName val="26+180_Sub423"/>
      <sheetName val="26+180-400_5(k95)23"/>
      <sheetName val="26+400-620_3(k95)23"/>
      <sheetName val="26+400-640_1(k95)23"/>
      <sheetName val="26+960-27+150_923"/>
      <sheetName val="26+960-27+150_1023"/>
      <sheetName val="26+960-27+150_1123"/>
      <sheetName val="26+960-27+150_1223"/>
      <sheetName val="26+960-27+150_5(k95)23"/>
      <sheetName val="26+960-27+150_4(k95)23"/>
      <sheetName val="26+960-27+150_1(k95)23"/>
      <sheetName val="27+500-700_5(k95)23"/>
      <sheetName val="27+500-700_4(k95)23"/>
      <sheetName val="27+500-700_3(k95)23"/>
      <sheetName val="27+500-700_1(k95)23"/>
      <sheetName val="27+740-920_3(k95)23"/>
      <sheetName val="27+740-920_2123"/>
      <sheetName val="27+920-28+040_6,723"/>
      <sheetName val="27+920-28+040_1023"/>
      <sheetName val="27+920-28+160_Su323"/>
      <sheetName val="28+160-28+420_5K9523"/>
      <sheetName val="28+430-657_723"/>
      <sheetName val="Km28+430-657_823"/>
      <sheetName val="28+430-657_923"/>
      <sheetName val="28+430-667_1023"/>
      <sheetName val="28+430-657_1123"/>
      <sheetName val="28+430-657_4k9523"/>
      <sheetName val="28+500-657_1823"/>
      <sheetName val="28+520-657_1923"/>
      <sheetName val="C_TIEU23"/>
      <sheetName val="T_Luong23"/>
      <sheetName val="T_HAO23"/>
      <sheetName val="DT_TUYEN23"/>
      <sheetName val="DT_GIA23"/>
      <sheetName val="KHDT_(2)23"/>
      <sheetName val="CL_23"/>
      <sheetName val="KQ_(2)23"/>
      <sheetName val="Quang_Tri23"/>
      <sheetName val="Da_Nang23"/>
      <sheetName val="Quang_Nam23"/>
      <sheetName val="Quang_Ngai23"/>
      <sheetName val="TH_DH-QN23"/>
      <sheetName val="KP_HD23"/>
      <sheetName val="DB_HD23"/>
      <sheetName val="vat_tu23"/>
      <sheetName val="Thep_23"/>
      <sheetName val="Chi_tiet_Khoi_luong23"/>
      <sheetName val="TH_khoi_luong23"/>
      <sheetName val="Chiet_tinh_vat_lieu_23"/>
      <sheetName val="TH_KL_VL23"/>
      <sheetName val="AC_PC23"/>
      <sheetName val="TAI_TRONG23"/>
      <sheetName val="NOI_LUC23"/>
      <sheetName val="TINH_DUYET_THTT_CHINH23"/>
      <sheetName val="TDUYET_THTT_PHU23"/>
      <sheetName val="TINH_DAO_DONG_VA_DO_VONG23"/>
      <sheetName val="TINH_NEO23"/>
      <sheetName val="tong_hop_thanh_toan_thue23"/>
      <sheetName val="bang_ke_nop_thue23"/>
      <sheetName val="Tonh_hop_chi_phi23"/>
      <sheetName val="BK_chi_phi23"/>
      <sheetName val="KTra_DS_va_thue_GTGT23"/>
      <sheetName val="Kiãøm_tra_DS_thue_GTGT23"/>
      <sheetName val="XUAT(gia_von)23"/>
      <sheetName val="Xuat_(gia_ban)23"/>
      <sheetName val="Dchinh_TH_N-X-T23"/>
      <sheetName val="Tong_hop_N-X-T23"/>
      <sheetName val="thue_TH23"/>
      <sheetName val="tong_hop_200123"/>
      <sheetName val="qUYET_TOAN_THUE23"/>
      <sheetName val="BU_CTPH23"/>
      <sheetName val="BU_tran3+360_2223"/>
      <sheetName val="Tran3+360_2223"/>
      <sheetName val="BU_tran2+386_423"/>
      <sheetName val="Tran2+386_423"/>
      <sheetName val="DTcong_4-523"/>
      <sheetName val="Bu_1-223"/>
      <sheetName val="Bu_12-1323"/>
      <sheetName val="DTcong_12-1323"/>
      <sheetName val="DT_cong13-13+23"/>
      <sheetName val="BU-_nhanh23"/>
      <sheetName val="dtcong_nh1-223"/>
      <sheetName val="dtcong_nh0-123"/>
      <sheetName val="BU_11-1223"/>
      <sheetName val="DTcong_11-1223"/>
      <sheetName val="Pr-_CC23"/>
      <sheetName val="MD_3-423"/>
      <sheetName val="ND_3-423"/>
      <sheetName val="MD_1-223"/>
      <sheetName val="ND_1-223"/>
      <sheetName val="MD_0-123"/>
      <sheetName val="ND_0-123"/>
      <sheetName val="KL_tong23"/>
      <sheetName val="TH_(T1-6)23"/>
      <sheetName val="_NL23"/>
      <sheetName val="_NL_(2)23"/>
      <sheetName val="CDTHCT_(3)23"/>
      <sheetName val="thkl_(2)23"/>
      <sheetName val="long_tec23"/>
      <sheetName val="cd_viaK0-T623"/>
      <sheetName val="cdvia_T6-Tc2423"/>
      <sheetName val="cdvia_Tc24-T4623"/>
      <sheetName val="cd_btnL2k0+361-T1923"/>
      <sheetName val="CT_xa23"/>
      <sheetName val="CDTHU_CHI_T123"/>
      <sheetName val="THUCHI_223"/>
      <sheetName val="THU_CHI323"/>
      <sheetName val="THU_CHI_423"/>
      <sheetName val="THU_CHI523"/>
      <sheetName val="THU_CHI_623"/>
      <sheetName val="TU_CHI_723"/>
      <sheetName val="THU_CHI923"/>
      <sheetName val="THU_CHI_823"/>
      <sheetName val="THU_CHI_1023"/>
      <sheetName val="THU_CHI_1123"/>
      <sheetName val="THU_CHI_1223"/>
      <sheetName val="Xep_hang_20123"/>
      <sheetName val="toan_Cty23"/>
      <sheetName val="Cong_ty23"/>
      <sheetName val="XN_223"/>
      <sheetName val="XN_ong_CHi23"/>
      <sheetName val="N_XDCT&amp;_XKLD23"/>
      <sheetName val="CN_HCM23"/>
      <sheetName val="TT_XKLD(Nhan)23"/>
      <sheetName val="Ong_Hong23"/>
      <sheetName val="CN_hung_yen23"/>
      <sheetName val="Dong_nai23"/>
      <sheetName val="K249_K9823"/>
      <sheetName val="K249_K98_(2)23"/>
      <sheetName val="K251_K9823"/>
      <sheetName val="K251_SBase23"/>
      <sheetName val="K251_AC23"/>
      <sheetName val="K252_K9823"/>
      <sheetName val="K252_SBase23"/>
      <sheetName val="K252_AC23"/>
      <sheetName val="K253_K9823"/>
      <sheetName val="K253_Subbase23"/>
      <sheetName val="K253_Base_23"/>
      <sheetName val="K253_SBase23"/>
      <sheetName val="K253_AC23"/>
      <sheetName val="K255_SBase23"/>
      <sheetName val="K259_K9823"/>
      <sheetName val="K259_Subbase23"/>
      <sheetName val="K259_Base_23"/>
      <sheetName val="K259_AC23"/>
      <sheetName val="K260_K9823"/>
      <sheetName val="K260_Subbase23"/>
      <sheetName val="K260_Base23"/>
      <sheetName val="K260_AC23"/>
      <sheetName val="K261_K9823"/>
      <sheetName val="K261_Base23"/>
      <sheetName val="K261_AC23"/>
      <sheetName val="KL_Tram_Cty23"/>
      <sheetName val="Gam_may_Cty23"/>
      <sheetName val="KL_tram_KH23"/>
      <sheetName val="Gam_may_KH23"/>
      <sheetName val="Cach_dien23"/>
      <sheetName val="Mang_tai23"/>
      <sheetName val="KL_DDK23"/>
      <sheetName val="Mang_tai_DDK23"/>
      <sheetName val="KL_DDK0,423"/>
      <sheetName val="TT_Ky_thuat23"/>
      <sheetName val="CT_moi23"/>
      <sheetName val="Tu_dien23"/>
      <sheetName val="May_cat23"/>
      <sheetName val="Dao_Cly23"/>
      <sheetName val="Dao_Ptai23"/>
      <sheetName val="Tu_RMU23"/>
      <sheetName val="C_set23"/>
      <sheetName val="Sco_Cap23"/>
      <sheetName val="Sco_TB23"/>
      <sheetName val="TN_tram23"/>
      <sheetName val="TN_C_set23"/>
      <sheetName val="TN_TD_DDay23"/>
      <sheetName val="Phan_chung23"/>
      <sheetName val="cong_Q223"/>
      <sheetName val="T_U_luong_Q123"/>
      <sheetName val="T_U_luong_Q223"/>
      <sheetName val="T_U_luong_Q323"/>
      <sheetName val="Quyet_toan23"/>
      <sheetName val="Thu_hoi23"/>
      <sheetName val="Lai_vay23"/>
      <sheetName val="Tien_vay23"/>
      <sheetName val="Cong_no23"/>
      <sheetName val="Cop_pha23"/>
      <sheetName val="Gia_DAN23"/>
      <sheetName val="Phu_luc_HD23"/>
      <sheetName val="Gia_du_thau23"/>
      <sheetName val="Ca_xe23"/>
      <sheetName val="Dc_Dau23"/>
      <sheetName val="_o_to_Hien_823"/>
      <sheetName val="_o_to_Hien923"/>
      <sheetName val="_o_to_Hien1023"/>
      <sheetName val="_o_to_Hien1123"/>
      <sheetName val="_o_to_Hien12)23"/>
      <sheetName val="_o_to_Hien133"/>
      <sheetName val="_o_to_Hien223"/>
      <sheetName val="_o_to_Hien323"/>
      <sheetName val="_o_to_Hien423"/>
      <sheetName val="_o_to_Hien523"/>
      <sheetName val="_o_to_Phong_823"/>
      <sheetName val="_o_to_Phong923"/>
      <sheetName val="_o_to_Phong1023"/>
      <sheetName val="_o_to_Phong1123"/>
      <sheetName val="_o_to_Phong12)23"/>
      <sheetName val="_o_to_Phong133"/>
      <sheetName val="_o_to_Phong223"/>
      <sheetName val="_o_to_Phong323"/>
      <sheetName val="_o_to_Phong423"/>
      <sheetName val="_o_to_Phong523"/>
      <sheetName val="_o_to_Dung_8_23"/>
      <sheetName val="_D_tt_dau823"/>
      <sheetName val="_o_to_Dung_923"/>
      <sheetName val="_D9_tt_dau23"/>
      <sheetName val="_D10_tt_dau23"/>
      <sheetName val="_o_to_Dung_1023"/>
      <sheetName val="_o_to_Dung_1123"/>
      <sheetName val="_o_to_Dung_12)23"/>
      <sheetName val="_o_to_Dung_133"/>
      <sheetName val="_o_to_Dung223"/>
      <sheetName val="_o_to_Dung323"/>
      <sheetName val="_o_to_Dung423"/>
      <sheetName val="_o_totrongT10-1223"/>
      <sheetName val="_o_totrongT223"/>
      <sheetName val="_o_totrungT10-1223"/>
      <sheetName val="_o_toMinhT10-12_23"/>
      <sheetName val="_o_toMinhT223"/>
      <sheetName val="_o_toTrieuT10-12__23"/>
      <sheetName val="Luong_8_SP23"/>
      <sheetName val="Luong_9_SP_23"/>
      <sheetName val="Luong_10_SP_23"/>
      <sheetName val="Luong_11_SP_23"/>
      <sheetName val="Luong_12_SP23"/>
      <sheetName val="Luong_1_SP123"/>
      <sheetName val="Luong_2_SP223"/>
      <sheetName val="Luong_3_SP323"/>
      <sheetName val="Luong_4_SP423"/>
      <sheetName val="Luong_4_SP523"/>
      <sheetName val="KL_VL23"/>
      <sheetName val="QT_9-623"/>
      <sheetName val="Thuong_luu_HB23"/>
      <sheetName val="QT_Ky_T23"/>
      <sheetName val="bc_vt_TON_BAI23"/>
      <sheetName val="QT_Duoc_(Hai)23"/>
      <sheetName val="sent_to23"/>
      <sheetName val="KLTong_hop23"/>
      <sheetName val="Lan_can23"/>
      <sheetName val="Ranh_doc_(2)23"/>
      <sheetName val="Ranh_doc23"/>
      <sheetName val="Coc_tieu23"/>
      <sheetName val="Bien_bao23"/>
      <sheetName val="Nan_tuyen23"/>
      <sheetName val="Lan_123"/>
      <sheetName val="Lan__223"/>
      <sheetName val="Lan_323"/>
      <sheetName val="Gia_tri23"/>
      <sheetName val="Lan_523"/>
      <sheetName val="Cong_hop23"/>
      <sheetName val="kldukien_(107)23"/>
      <sheetName val="qui1_(2)23"/>
      <sheetName val="cap_so_lan_223"/>
      <sheetName val="cap_so_BHXH23"/>
      <sheetName val="tru_tien23"/>
      <sheetName val="yt_q223"/>
      <sheetName val="c45_t323"/>
      <sheetName val="c45_t623"/>
      <sheetName val="BHYT_Q3_200323"/>
      <sheetName val="C45_t723"/>
      <sheetName val="C47-t07_200323"/>
      <sheetName val="C45_t823"/>
      <sheetName val="C47-t08_200323"/>
      <sheetName val="C45_t0923"/>
      <sheetName val="C47-t09_200323"/>
      <sheetName val="C47_T1223"/>
      <sheetName val="BHYT_Q4-200323"/>
      <sheetName val="C45_T1023"/>
      <sheetName val="binh_do23"/>
      <sheetName val="cot_lieu23"/>
      <sheetName val="van_khuon23"/>
      <sheetName val="CT_BT23"/>
      <sheetName val="lay_mau23"/>
      <sheetName val="mat_ngoai_goi23"/>
      <sheetName val="coc_tram-bt23"/>
      <sheetName val="cong_bien_t1026"/>
      <sheetName val="luong_t9_26"/>
      <sheetName val="bb_t926"/>
      <sheetName val="KL_XL200026"/>
      <sheetName val="Chiet_tinh26"/>
      <sheetName val="Van_chuyen26"/>
      <sheetName val="THKP_(2)26"/>
      <sheetName val="T_Bi26"/>
      <sheetName val="Thiet_ke26"/>
      <sheetName val="K_luong26"/>
      <sheetName val="TT_L226"/>
      <sheetName val="TT_L126"/>
      <sheetName val="Thue_Ngoai26"/>
      <sheetName val="Dong_Dau26"/>
      <sheetName val="Dong_Dau_(2)26"/>
      <sheetName val="Sau_dong26"/>
      <sheetName val="Ma_xa26"/>
      <sheetName val="My_dinh26"/>
      <sheetName val="Tong_cong26"/>
      <sheetName val="Chi_tiet_-_Dv_lap26"/>
      <sheetName val="TH_KHTC26"/>
      <sheetName val="Gia_VL26"/>
      <sheetName val="Bang_gia_ca_may26"/>
      <sheetName val="Bang_luong_CB26"/>
      <sheetName val="Bang_P_tich_CT26"/>
      <sheetName val="D_toan_chi_tiet26"/>
      <sheetName val="Bang_TH_Dtoan26"/>
      <sheetName val="LUAN_CHUYEN26"/>
      <sheetName val="KE_QUY26"/>
      <sheetName val="LUONGGIAN_TIEP26"/>
      <sheetName val="VAY_VON26"/>
      <sheetName val="O_THAO26"/>
      <sheetName val="Q_TRUNG26"/>
      <sheetName val="Y_THANH26"/>
      <sheetName val="Sheet2_(2)26"/>
      <sheetName val="KH_2003_(moi_max)26"/>
      <sheetName val="Interim_payment26"/>
      <sheetName val="Bid_Sum26"/>
      <sheetName val="Item_B26"/>
      <sheetName val="Dg_A26"/>
      <sheetName val="Dg_B&amp;C26"/>
      <sheetName val="Material_at_site26"/>
      <sheetName val="Bang_VL26"/>
      <sheetName val="VL(No_V-c)26"/>
      <sheetName val="He_so26"/>
      <sheetName val="PL_Vua26"/>
      <sheetName val="Chitieu-dam_cac_loai26"/>
      <sheetName val="DG_Dam26"/>
      <sheetName val="DG_chung26"/>
      <sheetName val="VL-dac_chung26"/>
      <sheetName val="CT_1md_&amp;_dau_cong26"/>
      <sheetName val="Tong_hop26"/>
      <sheetName val="CT_cong26"/>
      <sheetName val="dg_cong26"/>
      <sheetName val="CDSL_(2)26"/>
      <sheetName val="__26"/>
      <sheetName val="san_vuon26"/>
      <sheetName val="khu_phu_tro26"/>
      <sheetName val="Thuyet_minh26"/>
      <sheetName val="be_tong26"/>
      <sheetName val="Tong_hop_thep26"/>
      <sheetName val="phan_tich_DG26"/>
      <sheetName val="gia_vat_lieu26"/>
      <sheetName val="gia_xe_may26"/>
      <sheetName val="gia_nhan_cong26"/>
      <sheetName val="BCC_(2)26"/>
      <sheetName val="Bao_cao26"/>
      <sheetName val="Bao_cao_226"/>
      <sheetName val="Khoi_luong26"/>
      <sheetName val="Khoi_luong_mat26"/>
      <sheetName val="Bang_ke26"/>
      <sheetName val="T_HopKL26"/>
      <sheetName val="S_Luong26"/>
      <sheetName val="D_Dap26"/>
      <sheetName val="Q_Toan26"/>
      <sheetName val="Phan_tich_chi_phi26"/>
      <sheetName val="Chi_phi_nen_theo_BVTC26"/>
      <sheetName val="nhan_cong_phu26"/>
      <sheetName val="nhan_cong_Hung26"/>
      <sheetName val="Nhan_cong26"/>
      <sheetName val="Khoi_luong_nen_theo_BVTC26"/>
      <sheetName val="cap_cho_cac_DT26"/>
      <sheetName val="Ung_-_hoan26"/>
      <sheetName val="CP_may26"/>
      <sheetName val="Phu_luc26"/>
      <sheetName val="Gia_trÞ26"/>
      <sheetName val="DS_them_luong_qui_4-200226"/>
      <sheetName val="Phuc_loi_2-9-0226"/>
      <sheetName val="Thuong_nhan_dip_21-12-0226"/>
      <sheetName val="Thuong_dip_nhan_danh_hieu_AHL26"/>
      <sheetName val="Thang_luong_thu_13_nam_200226"/>
      <sheetName val="Luong_SX#_dip_Tet_Qui_Mui(don26"/>
      <sheetName val="CT_Duong26"/>
      <sheetName val="D_gia26"/>
      <sheetName val="T_hop26"/>
      <sheetName val="CtP_tro26"/>
      <sheetName val="Nha_moi26"/>
      <sheetName val="TT-T_Tron_So_226"/>
      <sheetName val="Ct_Dam_26"/>
      <sheetName val="Ct_Duoi26"/>
      <sheetName val="Ct_Tren26"/>
      <sheetName val="D_giaMay26"/>
      <sheetName val="26+180-400_226"/>
      <sheetName val="26+180_Sub126"/>
      <sheetName val="26+180_Sub426"/>
      <sheetName val="26+180-400_5(k95)26"/>
      <sheetName val="26+400-620_3(k95)26"/>
      <sheetName val="26+400-640_1(k95)26"/>
      <sheetName val="26+960-27+150_926"/>
      <sheetName val="26+960-27+150_1026"/>
      <sheetName val="26+960-27+150_1126"/>
      <sheetName val="26+960-27+150_1226"/>
      <sheetName val="26+960-27+150_5(k95)26"/>
      <sheetName val="26+960-27+150_4(k95)26"/>
      <sheetName val="26+960-27+150_1(k95)26"/>
      <sheetName val="27+500-700_5(k95)26"/>
      <sheetName val="27+500-700_4(k95)26"/>
      <sheetName val="27+500-700_3(k95)26"/>
      <sheetName val="27+500-700_1(k95)26"/>
      <sheetName val="27+740-920_3(k95)26"/>
      <sheetName val="27+740-920_2126"/>
      <sheetName val="27+920-28+040_6,726"/>
      <sheetName val="27+920-28+040_1026"/>
      <sheetName val="27+920-28+160_Su326"/>
      <sheetName val="28+160-28+420_5K9526"/>
      <sheetName val="28+430-657_726"/>
      <sheetName val="Km28+430-657_826"/>
      <sheetName val="28+430-657_926"/>
      <sheetName val="28+430-667_1026"/>
      <sheetName val="28+430-657_1126"/>
      <sheetName val="28+430-657_4k9526"/>
      <sheetName val="28+500-657_1826"/>
      <sheetName val="28+520-657_1926"/>
      <sheetName val="C_TIEU26"/>
      <sheetName val="T_Luong26"/>
      <sheetName val="T_HAO26"/>
      <sheetName val="DT_TUYEN26"/>
      <sheetName val="DT_GIA26"/>
      <sheetName val="KHDT_(2)26"/>
      <sheetName val="CL_26"/>
      <sheetName val="KQ_(2)26"/>
      <sheetName val="Quang_Tri26"/>
      <sheetName val="Da_Nang26"/>
      <sheetName val="Quang_Nam26"/>
      <sheetName val="Quang_Ngai26"/>
      <sheetName val="TH_DH-QN26"/>
      <sheetName val="KP_HD26"/>
      <sheetName val="DB_HD26"/>
      <sheetName val="vat_tu26"/>
      <sheetName val="Thep_26"/>
      <sheetName val="Chi_tiet_Khoi_luong26"/>
      <sheetName val="TH_khoi_luong26"/>
      <sheetName val="Chiet_tinh_vat_lieu_26"/>
      <sheetName val="TH_KL_VL26"/>
      <sheetName val="AC_PC26"/>
      <sheetName val="TAI_TRONG26"/>
      <sheetName val="NOI_LUC26"/>
      <sheetName val="TINH_DUYET_THTT_CHINH26"/>
      <sheetName val="TDUYET_THTT_PHU26"/>
      <sheetName val="TINH_DAO_DONG_VA_DO_VONG26"/>
      <sheetName val="TINH_NEO26"/>
      <sheetName val="tong_hop_thanh_toan_thue26"/>
      <sheetName val="bang_ke_nop_thue26"/>
      <sheetName val="Tonh_hop_chi_phi26"/>
      <sheetName val="BK_chi_phi26"/>
      <sheetName val="KTra_DS_va_thue_GTGT26"/>
      <sheetName val="Kiãøm_tra_DS_thue_GTGT26"/>
      <sheetName val="XUAT(gia_von)26"/>
      <sheetName val="Xuat_(gia_ban)26"/>
      <sheetName val="Dchinh_TH_N-X-T26"/>
      <sheetName val="Tong_hop_N-X-T26"/>
      <sheetName val="thue_TH26"/>
      <sheetName val="tong_hop_200126"/>
      <sheetName val="qUYET_TOAN_THUE26"/>
      <sheetName val="BU_CTPH26"/>
      <sheetName val="BU_tran3+360_2226"/>
      <sheetName val="Tran3+360_2226"/>
      <sheetName val="BU_tran2+386_426"/>
      <sheetName val="Tran2+386_426"/>
      <sheetName val="DTcong_4-526"/>
      <sheetName val="Bu_1-226"/>
      <sheetName val="Bu_12-1326"/>
      <sheetName val="DTcong_12-1326"/>
      <sheetName val="DT_cong13-13+26"/>
      <sheetName val="BU-_nhanh26"/>
      <sheetName val="dtcong_nh1-226"/>
      <sheetName val="dtcong_nh0-126"/>
      <sheetName val="BU_11-1226"/>
      <sheetName val="DTcong_11-1226"/>
      <sheetName val="Pr-_CC26"/>
      <sheetName val="MD_3-426"/>
      <sheetName val="ND_3-426"/>
      <sheetName val="MD_1-226"/>
      <sheetName val="ND_1-226"/>
      <sheetName val="MD_0-126"/>
      <sheetName val="ND_0-126"/>
      <sheetName val="KL_tong26"/>
      <sheetName val="TH_(T1-6)26"/>
      <sheetName val="_NL26"/>
      <sheetName val="_NL_(2)26"/>
      <sheetName val="CDTHCT_(3)26"/>
      <sheetName val="thkl_(2)26"/>
      <sheetName val="long_tec26"/>
      <sheetName val="cd_viaK0-T626"/>
      <sheetName val="cdvia_T6-Tc2426"/>
      <sheetName val="cdvia_Tc24-T4626"/>
      <sheetName val="cd_btnL2k0+361-T1926"/>
      <sheetName val="CT_xa26"/>
      <sheetName val="CDTHU_CHI_T126"/>
      <sheetName val="THUCHI_226"/>
      <sheetName val="THU_CHI326"/>
      <sheetName val="THU_CHI_426"/>
      <sheetName val="THU_CHI526"/>
      <sheetName val="THU_CHI_626"/>
      <sheetName val="TU_CHI_726"/>
      <sheetName val="THU_CHI926"/>
      <sheetName val="THU_CHI_826"/>
      <sheetName val="THU_CHI_1026"/>
      <sheetName val="THU_CHI_1126"/>
      <sheetName val="THU_CHI_1226"/>
      <sheetName val="Xep_hang_20126"/>
      <sheetName val="toan_Cty26"/>
      <sheetName val="Cong_ty26"/>
      <sheetName val="XN_226"/>
      <sheetName val="XN_ong_CHi26"/>
      <sheetName val="N_XDCT&amp;_XKLD26"/>
      <sheetName val="CN_HCM26"/>
      <sheetName val="TT_XKLD(Nhan)26"/>
      <sheetName val="Ong_Hong26"/>
      <sheetName val="CN_hung_yen26"/>
      <sheetName val="Dong_nai26"/>
      <sheetName val="K249_K9826"/>
      <sheetName val="K249_K98_(2)26"/>
      <sheetName val="K251_K9826"/>
      <sheetName val="K251_SBase26"/>
      <sheetName val="K251_AC26"/>
      <sheetName val="K252_K9826"/>
      <sheetName val="K252_SBase26"/>
      <sheetName val="K252_AC26"/>
      <sheetName val="K253_K9826"/>
      <sheetName val="K253_Subbase26"/>
      <sheetName val="K253_Base_26"/>
      <sheetName val="K253_SBase26"/>
      <sheetName val="K253_AC26"/>
      <sheetName val="K255_SBase26"/>
      <sheetName val="K259_K9826"/>
      <sheetName val="K259_Subbase26"/>
      <sheetName val="K259_Base_26"/>
      <sheetName val="K259_AC26"/>
      <sheetName val="K260_K9826"/>
      <sheetName val="K260_Subbase26"/>
      <sheetName val="K260_Base26"/>
      <sheetName val="K260_AC26"/>
      <sheetName val="K261_K9826"/>
      <sheetName val="K261_Base26"/>
      <sheetName val="K261_AC26"/>
      <sheetName val="KL_Tram_Cty26"/>
      <sheetName val="Gam_may_Cty26"/>
      <sheetName val="KL_tram_KH26"/>
      <sheetName val="Gam_may_KH26"/>
      <sheetName val="Cach_dien26"/>
      <sheetName val="Mang_tai26"/>
      <sheetName val="KL_DDK26"/>
      <sheetName val="Mang_tai_DDK26"/>
      <sheetName val="KL_DDK0,426"/>
      <sheetName val="TT_Ky_thuat26"/>
      <sheetName val="CT_moi26"/>
      <sheetName val="Tu_dien26"/>
      <sheetName val="May_cat26"/>
      <sheetName val="Dao_Cly26"/>
      <sheetName val="Dao_Ptai26"/>
      <sheetName val="Tu_RMU26"/>
      <sheetName val="C_set26"/>
      <sheetName val="Sco_Cap26"/>
      <sheetName val="Sco_TB26"/>
      <sheetName val="TN_tram26"/>
      <sheetName val="TN_C_set26"/>
      <sheetName val="TN_TD_DDay26"/>
      <sheetName val="Phan_chung26"/>
      <sheetName val="cong_Q226"/>
      <sheetName val="T_U_luong_Q126"/>
      <sheetName val="T_U_luong_Q226"/>
      <sheetName val="T_U_luong_Q326"/>
      <sheetName val="Quyet_toan26"/>
      <sheetName val="Thu_hoi26"/>
      <sheetName val="Lai_vay26"/>
      <sheetName val="Tien_vay26"/>
      <sheetName val="Cong_no26"/>
      <sheetName val="Cop_pha26"/>
      <sheetName val="Gia_DAN26"/>
      <sheetName val="Phu_luc_HD26"/>
      <sheetName val="Gia_du_thau26"/>
      <sheetName val="Ca_xe26"/>
      <sheetName val="Dc_Dau26"/>
      <sheetName val="_o_to_Hien_826"/>
      <sheetName val="_o_to_Hien926"/>
      <sheetName val="_o_to_Hien1026"/>
      <sheetName val="_o_to_Hien1126"/>
      <sheetName val="_o_to_Hien12)26"/>
      <sheetName val="_o_to_Hien136"/>
      <sheetName val="_o_to_Hien226"/>
      <sheetName val="_o_to_Hien326"/>
      <sheetName val="_o_to_Hien426"/>
      <sheetName val="_o_to_Hien526"/>
      <sheetName val="_o_to_Phong_826"/>
      <sheetName val="_o_to_Phong926"/>
      <sheetName val="_o_to_Phong1026"/>
      <sheetName val="_o_to_Phong1126"/>
      <sheetName val="_o_to_Phong12)26"/>
      <sheetName val="_o_to_Phong136"/>
      <sheetName val="_o_to_Phong226"/>
      <sheetName val="_o_to_Phong326"/>
      <sheetName val="_o_to_Phong426"/>
      <sheetName val="_o_to_Phong526"/>
      <sheetName val="_o_to_Dung_8_26"/>
      <sheetName val="_D_tt_dau826"/>
      <sheetName val="_o_to_Dung_926"/>
      <sheetName val="_D9_tt_dau26"/>
      <sheetName val="_D10_tt_dau26"/>
      <sheetName val="_o_to_Dung_1026"/>
      <sheetName val="_o_to_Dung_1126"/>
      <sheetName val="_o_to_Dung_12)26"/>
      <sheetName val="_o_to_Dung_136"/>
      <sheetName val="_o_to_Dung226"/>
      <sheetName val="_o_to_Dung326"/>
      <sheetName val="_o_to_Dung426"/>
      <sheetName val="_o_totrongT10-1226"/>
      <sheetName val="_o_totrongT226"/>
      <sheetName val="_o_totrungT10-1226"/>
      <sheetName val="_o_toMinhT10-12_26"/>
      <sheetName val="_o_toMinhT226"/>
      <sheetName val="_o_toTrieuT10-12__26"/>
      <sheetName val="Luong_8_SP26"/>
      <sheetName val="Luong_9_SP_26"/>
      <sheetName val="Luong_10_SP_26"/>
      <sheetName val="Luong_11_SP_26"/>
      <sheetName val="Luong_12_SP26"/>
      <sheetName val="Luong_1_SP126"/>
      <sheetName val="Luong_2_SP226"/>
      <sheetName val="Luong_3_SP326"/>
      <sheetName val="Luong_4_SP426"/>
      <sheetName val="Luong_4_SP526"/>
      <sheetName val="KL_VL26"/>
      <sheetName val="QT_9-626"/>
      <sheetName val="Thuong_luu_HB26"/>
      <sheetName val="QT_Ky_T26"/>
      <sheetName val="bc_vt_TON_BAI26"/>
      <sheetName val="QT_Duoc_(Hai)26"/>
      <sheetName val="sent_to26"/>
      <sheetName val="KLTong_hop26"/>
      <sheetName val="Lan_can26"/>
      <sheetName val="Ranh_doc_(2)26"/>
      <sheetName val="Ranh_doc26"/>
      <sheetName val="Coc_tieu26"/>
      <sheetName val="Bien_bao26"/>
      <sheetName val="Nan_tuyen26"/>
      <sheetName val="Lan_126"/>
      <sheetName val="Lan__226"/>
      <sheetName val="Lan_326"/>
      <sheetName val="Gia_tri26"/>
      <sheetName val="Lan_526"/>
      <sheetName val="Cong_hop26"/>
      <sheetName val="kldukien_(107)26"/>
      <sheetName val="qui1_(2)26"/>
      <sheetName val="cap_so_lan_226"/>
      <sheetName val="cap_so_BHXH26"/>
      <sheetName val="tru_tien26"/>
      <sheetName val="yt_q226"/>
      <sheetName val="c45_t326"/>
      <sheetName val="c45_t626"/>
      <sheetName val="BHYT_Q3_200326"/>
      <sheetName val="C45_t726"/>
      <sheetName val="C47-t07_200326"/>
      <sheetName val="C45_t826"/>
      <sheetName val="C47-t08_200326"/>
      <sheetName val="C45_t0926"/>
      <sheetName val="C47-t09_200326"/>
      <sheetName val="C47_T1226"/>
      <sheetName val="BHYT_Q4-200326"/>
      <sheetName val="C45_T1026"/>
      <sheetName val="binh_do26"/>
      <sheetName val="cot_lieu26"/>
      <sheetName val="van_khuon26"/>
      <sheetName val="CT_BT26"/>
      <sheetName val="lay_mau26"/>
      <sheetName val="mat_ngoai_goi26"/>
      <sheetName val="coc_tram-bt26"/>
      <sheetName val="cong_bien_t1025"/>
      <sheetName val="luong_t9_25"/>
      <sheetName val="bb_t925"/>
      <sheetName val="KL_XL200025"/>
      <sheetName val="Chiet_tinh25"/>
      <sheetName val="Van_chuyen25"/>
      <sheetName val="THKP_(2)25"/>
      <sheetName val="T_Bi25"/>
      <sheetName val="Thiet_ke25"/>
      <sheetName val="K_luong25"/>
      <sheetName val="TT_L225"/>
      <sheetName val="TT_L125"/>
      <sheetName val="Thue_Ngoai25"/>
      <sheetName val="Dong_Dau25"/>
      <sheetName val="Dong_Dau_(2)25"/>
      <sheetName val="Sau_dong25"/>
      <sheetName val="Ma_xa25"/>
      <sheetName val="My_dinh25"/>
      <sheetName val="Tong_cong25"/>
      <sheetName val="Chi_tiet_-_Dv_lap25"/>
      <sheetName val="TH_KHTC25"/>
      <sheetName val="Gia_VL25"/>
      <sheetName val="Bang_gia_ca_may25"/>
      <sheetName val="Bang_luong_CB25"/>
      <sheetName val="Bang_P_tich_CT25"/>
      <sheetName val="D_toan_chi_tiet25"/>
      <sheetName val="Bang_TH_Dtoan25"/>
      <sheetName val="LUAN_CHUYEN25"/>
      <sheetName val="KE_QUY25"/>
      <sheetName val="LUONGGIAN_TIEP25"/>
      <sheetName val="VAY_VON25"/>
      <sheetName val="O_THAO25"/>
      <sheetName val="Q_TRUNG25"/>
      <sheetName val="Y_THANH25"/>
      <sheetName val="Sheet2_(2)25"/>
      <sheetName val="KH_2003_(moi_max)25"/>
      <sheetName val="Interim_payment25"/>
      <sheetName val="Bid_Sum25"/>
      <sheetName val="Item_B25"/>
      <sheetName val="Dg_A25"/>
      <sheetName val="Dg_B&amp;C25"/>
      <sheetName val="Material_at_site25"/>
      <sheetName val="Bang_VL25"/>
      <sheetName val="VL(No_V-c)25"/>
      <sheetName val="He_so25"/>
      <sheetName val="PL_Vua25"/>
      <sheetName val="Chitieu-dam_cac_loai25"/>
      <sheetName val="DG_Dam25"/>
      <sheetName val="DG_chung25"/>
      <sheetName val="VL-dac_chung25"/>
      <sheetName val="CT_1md_&amp;_dau_cong25"/>
      <sheetName val="Tong_hop25"/>
      <sheetName val="CT_cong25"/>
      <sheetName val="dg_cong25"/>
      <sheetName val="CDSL_(2)25"/>
      <sheetName val="__25"/>
      <sheetName val="san_vuon25"/>
      <sheetName val="khu_phu_tro25"/>
      <sheetName val="Thuyet_minh25"/>
      <sheetName val="be_tong25"/>
      <sheetName val="Tong_hop_thep25"/>
      <sheetName val="phan_tich_DG25"/>
      <sheetName val="gia_vat_lieu25"/>
      <sheetName val="gia_xe_may25"/>
      <sheetName val="gia_nhan_cong25"/>
      <sheetName val="BCC_(2)25"/>
      <sheetName val="Bao_cao25"/>
      <sheetName val="Bao_cao_225"/>
      <sheetName val="Khoi_luong25"/>
      <sheetName val="Khoi_luong_mat25"/>
      <sheetName val="Bang_ke25"/>
      <sheetName val="T_HopKL25"/>
      <sheetName val="S_Luong25"/>
      <sheetName val="D_Dap25"/>
      <sheetName val="Q_Toan25"/>
      <sheetName val="Phan_tich_chi_phi25"/>
      <sheetName val="Chi_phi_nen_theo_BVTC25"/>
      <sheetName val="nhan_cong_phu25"/>
      <sheetName val="nhan_cong_Hung25"/>
      <sheetName val="Nhan_cong25"/>
      <sheetName val="Khoi_luong_nen_theo_BVTC25"/>
      <sheetName val="cap_cho_cac_DT25"/>
      <sheetName val="Ung_-_hoan25"/>
      <sheetName val="CP_may25"/>
      <sheetName val="Phu_luc25"/>
      <sheetName val="Gia_trÞ25"/>
      <sheetName val="DS_them_luong_qui_4-200225"/>
      <sheetName val="Phuc_loi_2-9-0225"/>
      <sheetName val="Thuong_nhan_dip_21-12-0225"/>
      <sheetName val="Thuong_dip_nhan_danh_hieu_AHL25"/>
      <sheetName val="Thang_luong_thu_13_nam_200225"/>
      <sheetName val="Luong_SX#_dip_Tet_Qui_Mui(don25"/>
      <sheetName val="CT_Duong25"/>
      <sheetName val="D_gia25"/>
      <sheetName val="T_hop25"/>
      <sheetName val="CtP_tro25"/>
      <sheetName val="Nha_moi25"/>
      <sheetName val="TT-T_Tron_So_225"/>
      <sheetName val="Ct_Dam_25"/>
      <sheetName val="Ct_Duoi25"/>
      <sheetName val="Ct_Tren25"/>
      <sheetName val="D_giaMay25"/>
      <sheetName val="26+180-400_225"/>
      <sheetName val="26+180_Sub125"/>
      <sheetName val="26+180_Sub425"/>
      <sheetName val="26+180-400_5(k95)25"/>
      <sheetName val="26+400-620_3(k95)25"/>
      <sheetName val="26+400-640_1(k95)25"/>
      <sheetName val="26+960-27+150_925"/>
      <sheetName val="26+960-27+150_1025"/>
      <sheetName val="26+960-27+150_1125"/>
      <sheetName val="26+960-27+150_1225"/>
      <sheetName val="26+960-27+150_5(k95)25"/>
      <sheetName val="26+960-27+150_4(k95)25"/>
      <sheetName val="26+960-27+150_1(k95)25"/>
      <sheetName val="27+500-700_5(k95)25"/>
      <sheetName val="27+500-700_4(k95)25"/>
      <sheetName val="27+500-700_3(k95)25"/>
      <sheetName val="27+500-700_1(k95)25"/>
      <sheetName val="27+740-920_3(k95)25"/>
      <sheetName val="27+740-920_2125"/>
      <sheetName val="27+920-28+040_6,725"/>
      <sheetName val="27+920-28+040_1025"/>
      <sheetName val="27+920-28+160_Su325"/>
      <sheetName val="28+160-28+420_5K9525"/>
      <sheetName val="28+430-657_725"/>
      <sheetName val="Km28+430-657_825"/>
      <sheetName val="28+430-657_925"/>
      <sheetName val="28+430-667_1025"/>
      <sheetName val="28+430-657_1125"/>
      <sheetName val="28+430-657_4k9525"/>
      <sheetName val="28+500-657_1825"/>
      <sheetName val="28+520-657_1925"/>
      <sheetName val="C_TIEU25"/>
      <sheetName val="T_Luong25"/>
      <sheetName val="T_HAO25"/>
      <sheetName val="DT_TUYEN25"/>
      <sheetName val="DT_GIA25"/>
      <sheetName val="KHDT_(2)25"/>
      <sheetName val="CL_25"/>
      <sheetName val="KQ_(2)25"/>
      <sheetName val="Quang_Tri25"/>
      <sheetName val="Da_Nang25"/>
      <sheetName val="Quang_Nam25"/>
      <sheetName val="Quang_Ngai25"/>
      <sheetName val="TH_DH-QN25"/>
      <sheetName val="KP_HD25"/>
      <sheetName val="DB_HD25"/>
      <sheetName val="vat_tu25"/>
      <sheetName val="Thep_25"/>
      <sheetName val="Chi_tiet_Khoi_luong25"/>
      <sheetName val="TH_khoi_luong25"/>
      <sheetName val="Chiet_tinh_vat_lieu_25"/>
      <sheetName val="TH_KL_VL25"/>
      <sheetName val="AC_PC25"/>
      <sheetName val="TAI_TRONG25"/>
      <sheetName val="NOI_LUC25"/>
      <sheetName val="TINH_DUYET_THTT_CHINH25"/>
      <sheetName val="TDUYET_THTT_PHU25"/>
      <sheetName val="TINH_DAO_DONG_VA_DO_VONG25"/>
      <sheetName val="TINH_NEO25"/>
      <sheetName val="tong_hop_thanh_toan_thue25"/>
      <sheetName val="bang_ke_nop_thue25"/>
      <sheetName val="Tonh_hop_chi_phi25"/>
      <sheetName val="BK_chi_phi25"/>
      <sheetName val="KTra_DS_va_thue_GTGT25"/>
      <sheetName val="Kiãøm_tra_DS_thue_GTGT25"/>
      <sheetName val="XUAT(gia_von)25"/>
      <sheetName val="Xuat_(gia_ban)25"/>
      <sheetName val="Dchinh_TH_N-X-T25"/>
      <sheetName val="Tong_hop_N-X-T25"/>
      <sheetName val="thue_TH25"/>
      <sheetName val="tong_hop_200125"/>
      <sheetName val="qUYET_TOAN_THUE25"/>
      <sheetName val="BU_CTPH25"/>
      <sheetName val="BU_tran3+360_2225"/>
      <sheetName val="Tran3+360_2225"/>
      <sheetName val="BU_tran2+386_425"/>
      <sheetName val="Tran2+386_425"/>
      <sheetName val="DTcong_4-525"/>
      <sheetName val="Bu_1-225"/>
      <sheetName val="Bu_12-1325"/>
      <sheetName val="DTcong_12-1325"/>
      <sheetName val="DT_cong13-13+25"/>
      <sheetName val="BU-_nhanh25"/>
      <sheetName val="dtcong_nh1-225"/>
      <sheetName val="dtcong_nh0-125"/>
      <sheetName val="BU_11-1225"/>
      <sheetName val="DTcong_11-1225"/>
      <sheetName val="Pr-_CC25"/>
      <sheetName val="MD_3-425"/>
      <sheetName val="ND_3-425"/>
      <sheetName val="MD_1-225"/>
      <sheetName val="ND_1-225"/>
      <sheetName val="MD_0-125"/>
      <sheetName val="ND_0-125"/>
      <sheetName val="KL_tong25"/>
      <sheetName val="TH_(T1-6)25"/>
      <sheetName val="_NL25"/>
      <sheetName val="_NL_(2)25"/>
      <sheetName val="CDTHCT_(3)25"/>
      <sheetName val="thkl_(2)25"/>
      <sheetName val="long_tec25"/>
      <sheetName val="cd_viaK0-T625"/>
      <sheetName val="cdvia_T6-Tc2425"/>
      <sheetName val="cdvia_Tc24-T4625"/>
      <sheetName val="cd_btnL2k0+361-T1925"/>
      <sheetName val="CT_xa25"/>
      <sheetName val="CDTHU_CHI_T125"/>
      <sheetName val="THUCHI_225"/>
      <sheetName val="THU_CHI325"/>
      <sheetName val="THU_CHI_425"/>
      <sheetName val="THU_CHI525"/>
      <sheetName val="THU_CHI_625"/>
      <sheetName val="TU_CHI_725"/>
      <sheetName val="THU_CHI925"/>
      <sheetName val="THU_CHI_825"/>
      <sheetName val="THU_CHI_1025"/>
      <sheetName val="THU_CHI_1125"/>
      <sheetName val="THU_CHI_1225"/>
      <sheetName val="Xep_hang_20125"/>
      <sheetName val="toan_Cty25"/>
      <sheetName val="Cong_ty25"/>
      <sheetName val="XN_225"/>
      <sheetName val="XN_ong_CHi25"/>
      <sheetName val="N_XDCT&amp;_XKLD25"/>
      <sheetName val="CN_HCM25"/>
      <sheetName val="TT_XKLD(Nhan)25"/>
      <sheetName val="Ong_Hong25"/>
      <sheetName val="CN_hung_yen25"/>
      <sheetName val="Dong_nai25"/>
      <sheetName val="K249_K9825"/>
      <sheetName val="K249_K98_(2)25"/>
      <sheetName val="K251_K9825"/>
      <sheetName val="K251_SBase25"/>
      <sheetName val="K251_AC25"/>
      <sheetName val="K252_K9825"/>
      <sheetName val="K252_SBase25"/>
      <sheetName val="K252_AC25"/>
      <sheetName val="K253_K9825"/>
      <sheetName val="K253_Subbase25"/>
      <sheetName val="K253_Base_25"/>
      <sheetName val="K253_SBase25"/>
      <sheetName val="K253_AC25"/>
      <sheetName val="K255_SBase25"/>
      <sheetName val="K259_K9825"/>
      <sheetName val="K259_Subbase25"/>
      <sheetName val="K259_Base_25"/>
      <sheetName val="K259_AC25"/>
      <sheetName val="K260_K9825"/>
      <sheetName val="K260_Subbase25"/>
      <sheetName val="K260_Base25"/>
      <sheetName val="K260_AC25"/>
      <sheetName val="K261_K9825"/>
      <sheetName val="K261_Base25"/>
      <sheetName val="K261_AC25"/>
      <sheetName val="KL_Tram_Cty25"/>
      <sheetName val="Gam_may_Cty25"/>
      <sheetName val="KL_tram_KH25"/>
      <sheetName val="Gam_may_KH25"/>
      <sheetName val="Cach_dien25"/>
      <sheetName val="Mang_tai25"/>
      <sheetName val="KL_DDK25"/>
      <sheetName val="Mang_tai_DDK25"/>
      <sheetName val="KL_DDK0,425"/>
      <sheetName val="TT_Ky_thuat25"/>
      <sheetName val="CT_moi25"/>
      <sheetName val="Tu_dien25"/>
      <sheetName val="May_cat25"/>
      <sheetName val="Dao_Cly25"/>
      <sheetName val="Dao_Ptai25"/>
      <sheetName val="Tu_RMU25"/>
      <sheetName val="C_set25"/>
      <sheetName val="Sco_Cap25"/>
      <sheetName val="Sco_TB25"/>
      <sheetName val="TN_tram25"/>
      <sheetName val="TN_C_set25"/>
      <sheetName val="TN_TD_DDay25"/>
      <sheetName val="Phan_chung25"/>
      <sheetName val="cong_Q225"/>
      <sheetName val="T_U_luong_Q125"/>
      <sheetName val="T_U_luong_Q225"/>
      <sheetName val="T_U_luong_Q325"/>
      <sheetName val="Quyet_toan25"/>
      <sheetName val="Thu_hoi25"/>
      <sheetName val="Lai_vay25"/>
      <sheetName val="Tien_vay25"/>
      <sheetName val="Cong_no25"/>
      <sheetName val="Cop_pha25"/>
      <sheetName val="Gia_DAN25"/>
      <sheetName val="Phu_luc_HD25"/>
      <sheetName val="Gia_du_thau25"/>
      <sheetName val="Ca_xe25"/>
      <sheetName val="Dc_Dau25"/>
      <sheetName val="_o_to_Hien_825"/>
      <sheetName val="_o_to_Hien925"/>
      <sheetName val="_o_to_Hien1025"/>
      <sheetName val="_o_to_Hien1125"/>
      <sheetName val="_o_to_Hien12)25"/>
      <sheetName val="_o_to_Hien135"/>
      <sheetName val="_o_to_Hien225"/>
      <sheetName val="_o_to_Hien325"/>
      <sheetName val="_o_to_Hien425"/>
      <sheetName val="_o_to_Hien525"/>
      <sheetName val="_o_to_Phong_825"/>
      <sheetName val="_o_to_Phong925"/>
      <sheetName val="_o_to_Phong1025"/>
      <sheetName val="_o_to_Phong1125"/>
      <sheetName val="_o_to_Phong12)25"/>
      <sheetName val="_o_to_Phong135"/>
      <sheetName val="_o_to_Phong225"/>
      <sheetName val="_o_to_Phong325"/>
      <sheetName val="_o_to_Phong425"/>
      <sheetName val="_o_to_Phong525"/>
      <sheetName val="_o_to_Dung_8_25"/>
      <sheetName val="_D_tt_dau825"/>
      <sheetName val="_o_to_Dung_925"/>
      <sheetName val="_D9_tt_dau25"/>
      <sheetName val="_D10_tt_dau25"/>
      <sheetName val="_o_to_Dung_1025"/>
      <sheetName val="_o_to_Dung_1125"/>
      <sheetName val="_o_to_Dung_12)25"/>
      <sheetName val="_o_to_Dung_135"/>
      <sheetName val="_o_to_Dung225"/>
      <sheetName val="_o_to_Dung325"/>
      <sheetName val="_o_to_Dung425"/>
      <sheetName val="_o_totrongT10-1225"/>
      <sheetName val="_o_totrongT225"/>
      <sheetName val="_o_totrungT10-1225"/>
      <sheetName val="_o_toMinhT10-12_25"/>
      <sheetName val="_o_toMinhT225"/>
      <sheetName val="_o_toTrieuT10-12__25"/>
      <sheetName val="Luong_8_SP25"/>
      <sheetName val="Luong_9_SP_25"/>
      <sheetName val="Luong_10_SP_25"/>
      <sheetName val="Luong_11_SP_25"/>
      <sheetName val="Luong_12_SP25"/>
      <sheetName val="Luong_1_SP125"/>
      <sheetName val="Luong_2_SP225"/>
      <sheetName val="Luong_3_SP325"/>
      <sheetName val="Luong_4_SP425"/>
      <sheetName val="Luong_4_SP525"/>
      <sheetName val="KL_VL25"/>
      <sheetName val="QT_9-625"/>
      <sheetName val="Thuong_luu_HB25"/>
      <sheetName val="QT_Ky_T25"/>
      <sheetName val="bc_vt_TON_BAI25"/>
      <sheetName val="QT_Duoc_(Hai)25"/>
      <sheetName val="sent_to25"/>
      <sheetName val="KLTong_hop25"/>
      <sheetName val="Lan_can25"/>
      <sheetName val="Ranh_doc_(2)25"/>
      <sheetName val="Ranh_doc25"/>
      <sheetName val="Coc_tieu25"/>
      <sheetName val="Bien_bao25"/>
      <sheetName val="Nan_tuyen25"/>
      <sheetName val="Lan_125"/>
      <sheetName val="Lan__225"/>
      <sheetName val="Lan_325"/>
      <sheetName val="Gia_tri25"/>
      <sheetName val="Lan_525"/>
      <sheetName val="Cong_hop25"/>
      <sheetName val="kldukien_(107)25"/>
      <sheetName val="qui1_(2)25"/>
      <sheetName val="cap_so_lan_225"/>
      <sheetName val="cap_so_BHXH25"/>
      <sheetName val="tru_tien25"/>
      <sheetName val="yt_q225"/>
      <sheetName val="c45_t325"/>
      <sheetName val="c45_t625"/>
      <sheetName val="BHYT_Q3_200325"/>
      <sheetName val="C45_t725"/>
      <sheetName val="C47-t07_200325"/>
      <sheetName val="C45_t825"/>
      <sheetName val="C47-t08_200325"/>
      <sheetName val="C45_t0925"/>
      <sheetName val="C47-t09_200325"/>
      <sheetName val="C47_T1225"/>
      <sheetName val="BHYT_Q4-200325"/>
      <sheetName val="C45_T1025"/>
      <sheetName val="binh_do25"/>
      <sheetName val="cot_lieu25"/>
      <sheetName val="van_khuon25"/>
      <sheetName val="CT_BT25"/>
      <sheetName val="lay_mau25"/>
      <sheetName val="mat_ngoai_goi25"/>
      <sheetName val="coc_tram-bt25"/>
      <sheetName val="cong_bien_t1024"/>
      <sheetName val="luong_t9_24"/>
      <sheetName val="bb_t924"/>
      <sheetName val="KL_XL200024"/>
      <sheetName val="Chiet_tinh24"/>
      <sheetName val="Van_chuyen24"/>
      <sheetName val="THKP_(2)24"/>
      <sheetName val="T_Bi24"/>
      <sheetName val="Thiet_ke24"/>
      <sheetName val="K_luong24"/>
      <sheetName val="TT_L224"/>
      <sheetName val="TT_L124"/>
      <sheetName val="Thue_Ngoai24"/>
      <sheetName val="Dong_Dau24"/>
      <sheetName val="Dong_Dau_(2)24"/>
      <sheetName val="Sau_dong24"/>
      <sheetName val="Ma_xa24"/>
      <sheetName val="My_dinh24"/>
      <sheetName val="Tong_cong24"/>
      <sheetName val="Chi_tiet_-_Dv_lap24"/>
      <sheetName val="TH_KHTC24"/>
      <sheetName val="Gia_VL24"/>
      <sheetName val="Bang_gia_ca_may24"/>
      <sheetName val="Bang_luong_CB24"/>
      <sheetName val="Bang_P_tich_CT24"/>
      <sheetName val="D_toan_chi_tiet24"/>
      <sheetName val="Bang_TH_Dtoan24"/>
      <sheetName val="LUAN_CHUYEN24"/>
      <sheetName val="KE_QUY24"/>
      <sheetName val="LUONGGIAN_TIEP24"/>
      <sheetName val="VAY_VON24"/>
      <sheetName val="O_THAO24"/>
      <sheetName val="Q_TRUNG24"/>
      <sheetName val="Y_THANH24"/>
      <sheetName val="Sheet2_(2)24"/>
      <sheetName val="KH_2003_(moi_max)24"/>
      <sheetName val="Interim_payment24"/>
      <sheetName val="Bid_Sum24"/>
      <sheetName val="Item_B24"/>
      <sheetName val="Dg_A24"/>
      <sheetName val="Dg_B&amp;C24"/>
      <sheetName val="Material_at_site24"/>
      <sheetName val="Bang_VL24"/>
      <sheetName val="VL(No_V-c)24"/>
      <sheetName val="He_so24"/>
      <sheetName val="PL_Vua24"/>
      <sheetName val="Chitieu-dam_cac_loai24"/>
      <sheetName val="DG_Dam24"/>
      <sheetName val="DG_chung24"/>
      <sheetName val="VL-dac_chung24"/>
      <sheetName val="CT_1md_&amp;_dau_cong24"/>
      <sheetName val="Tong_hop24"/>
      <sheetName val="CT_cong24"/>
      <sheetName val="dg_cong24"/>
      <sheetName val="CDSL_(2)24"/>
      <sheetName val="__24"/>
      <sheetName val="san_vuon24"/>
      <sheetName val="khu_phu_tro24"/>
      <sheetName val="Thuyet_minh24"/>
      <sheetName val="be_tong24"/>
      <sheetName val="Tong_hop_thep24"/>
      <sheetName val="phan_tich_DG24"/>
      <sheetName val="gia_vat_lieu24"/>
      <sheetName val="gia_xe_may24"/>
      <sheetName val="gia_nhan_cong24"/>
      <sheetName val="BCC_(2)24"/>
      <sheetName val="Bao_cao24"/>
      <sheetName val="Bao_cao_224"/>
      <sheetName val="Khoi_luong24"/>
      <sheetName val="Khoi_luong_mat24"/>
      <sheetName val="Bang_ke24"/>
      <sheetName val="T_HopKL24"/>
      <sheetName val="S_Luong24"/>
      <sheetName val="D_Dap24"/>
      <sheetName val="Q_Toan24"/>
      <sheetName val="Phan_tich_chi_phi24"/>
      <sheetName val="Chi_phi_nen_theo_BVTC24"/>
      <sheetName val="nhan_cong_phu24"/>
      <sheetName val="nhan_cong_Hung24"/>
      <sheetName val="Nhan_cong24"/>
      <sheetName val="Khoi_luong_nen_theo_BVTC24"/>
      <sheetName val="cap_cho_cac_DT24"/>
      <sheetName val="Ung_-_hoan24"/>
      <sheetName val="CP_may24"/>
      <sheetName val="Phu_luc24"/>
      <sheetName val="Gia_trÞ24"/>
      <sheetName val="DS_them_luong_qui_4-200224"/>
      <sheetName val="Phuc_loi_2-9-0224"/>
      <sheetName val="Thuong_nhan_dip_21-12-0224"/>
      <sheetName val="Thuong_dip_nhan_danh_hieu_AHL24"/>
      <sheetName val="Thang_luong_thu_13_nam_200224"/>
      <sheetName val="Luong_SX#_dip_Tet_Qui_Mui(don24"/>
      <sheetName val="CT_Duong24"/>
      <sheetName val="D_gia24"/>
      <sheetName val="T_hop24"/>
      <sheetName val="CtP_tro24"/>
      <sheetName val="Nha_moi24"/>
      <sheetName val="TT-T_Tron_So_224"/>
      <sheetName val="Ct_Dam_24"/>
      <sheetName val="Ct_Duoi24"/>
      <sheetName val="Ct_Tren24"/>
      <sheetName val="D_giaMay24"/>
      <sheetName val="26+180-400_224"/>
      <sheetName val="26+180_Sub124"/>
      <sheetName val="26+180_Sub424"/>
      <sheetName val="26+180-400_5(k95)24"/>
      <sheetName val="26+400-620_3(k95)24"/>
      <sheetName val="26+400-640_1(k95)24"/>
      <sheetName val="26+960-27+150_924"/>
      <sheetName val="26+960-27+150_1024"/>
      <sheetName val="26+960-27+150_1124"/>
      <sheetName val="26+960-27+150_1224"/>
      <sheetName val="26+960-27+150_5(k95)24"/>
      <sheetName val="26+960-27+150_4(k95)24"/>
      <sheetName val="26+960-27+150_1(k95)24"/>
      <sheetName val="27+500-700_5(k95)24"/>
      <sheetName val="27+500-700_4(k95)24"/>
      <sheetName val="27+500-700_3(k95)24"/>
      <sheetName val="27+500-700_1(k95)24"/>
      <sheetName val="27+740-920_3(k95)24"/>
      <sheetName val="27+740-920_2124"/>
      <sheetName val="27+920-28+040_6,724"/>
      <sheetName val="27+920-28+040_1024"/>
      <sheetName val="27+920-28+160_Su324"/>
      <sheetName val="28+160-28+420_5K9524"/>
      <sheetName val="28+430-657_724"/>
      <sheetName val="Km28+430-657_824"/>
      <sheetName val="28+430-657_924"/>
      <sheetName val="28+430-667_1024"/>
      <sheetName val="28+430-657_1124"/>
      <sheetName val="28+430-657_4k9524"/>
      <sheetName val="28+500-657_1824"/>
      <sheetName val="28+520-657_1924"/>
      <sheetName val="C_TIEU24"/>
      <sheetName val="T_Luong24"/>
      <sheetName val="T_HAO24"/>
      <sheetName val="DT_TUYEN24"/>
      <sheetName val="DT_GIA24"/>
      <sheetName val="KHDT_(2)24"/>
      <sheetName val="CL_24"/>
      <sheetName val="KQ_(2)24"/>
      <sheetName val="Quang_Tri24"/>
      <sheetName val="Da_Nang24"/>
      <sheetName val="Quang_Nam24"/>
      <sheetName val="Quang_Ngai24"/>
      <sheetName val="TH_DH-QN24"/>
      <sheetName val="KP_HD24"/>
      <sheetName val="DB_HD24"/>
      <sheetName val="vat_tu24"/>
      <sheetName val="Thep_24"/>
      <sheetName val="Chi_tiet_Khoi_luong24"/>
      <sheetName val="TH_khoi_luong24"/>
      <sheetName val="Chiet_tinh_vat_lieu_24"/>
      <sheetName val="TH_KL_VL24"/>
      <sheetName val="AC_PC24"/>
      <sheetName val="TAI_TRONG24"/>
      <sheetName val="NOI_LUC24"/>
      <sheetName val="TINH_DUYET_THTT_CHINH24"/>
      <sheetName val="TDUYET_THTT_PHU24"/>
      <sheetName val="TINH_DAO_DONG_VA_DO_VONG24"/>
      <sheetName val="TINH_NEO24"/>
      <sheetName val="tong_hop_thanh_toan_thue24"/>
      <sheetName val="bang_ke_nop_thue24"/>
      <sheetName val="Tonh_hop_chi_phi24"/>
      <sheetName val="BK_chi_phi24"/>
      <sheetName val="KTra_DS_va_thue_GTGT24"/>
      <sheetName val="Kiãøm_tra_DS_thue_GTGT24"/>
      <sheetName val="XUAT(gia_von)24"/>
      <sheetName val="Xuat_(gia_ban)24"/>
      <sheetName val="Dchinh_TH_N-X-T24"/>
      <sheetName val="Tong_hop_N-X-T24"/>
      <sheetName val="thue_TH24"/>
      <sheetName val="tong_hop_200124"/>
      <sheetName val="qUYET_TOAN_THUE24"/>
      <sheetName val="BU_CTPH24"/>
      <sheetName val="BU_tran3+360_2224"/>
      <sheetName val="Tran3+360_2224"/>
      <sheetName val="BU_tran2+386_424"/>
      <sheetName val="Tran2+386_424"/>
      <sheetName val="DTcong_4-524"/>
      <sheetName val="Bu_1-224"/>
      <sheetName val="Bu_12-1324"/>
      <sheetName val="DTcong_12-1324"/>
      <sheetName val="DT_cong13-13+24"/>
      <sheetName val="BU-_nhanh24"/>
      <sheetName val="dtcong_nh1-224"/>
      <sheetName val="dtcong_nh0-124"/>
      <sheetName val="BU_11-1224"/>
      <sheetName val="DTcong_11-1224"/>
      <sheetName val="Pr-_CC24"/>
      <sheetName val="MD_3-424"/>
      <sheetName val="ND_3-424"/>
      <sheetName val="MD_1-224"/>
      <sheetName val="ND_1-224"/>
      <sheetName val="MD_0-124"/>
      <sheetName val="ND_0-124"/>
      <sheetName val="KL_tong24"/>
      <sheetName val="TH_(T1-6)24"/>
      <sheetName val="_NL24"/>
      <sheetName val="_NL_(2)24"/>
      <sheetName val="CDTHCT_(3)24"/>
      <sheetName val="thkl_(2)24"/>
      <sheetName val="long_tec24"/>
      <sheetName val="cd_viaK0-T624"/>
      <sheetName val="cdvia_T6-Tc2424"/>
      <sheetName val="cdvia_Tc24-T4624"/>
      <sheetName val="cd_btnL2k0+361-T1924"/>
      <sheetName val="CT_xa24"/>
      <sheetName val="CDTHU_CHI_T124"/>
      <sheetName val="THUCHI_224"/>
      <sheetName val="THU_CHI324"/>
      <sheetName val="THU_CHI_424"/>
      <sheetName val="THU_CHI524"/>
      <sheetName val="THU_CHI_624"/>
      <sheetName val="TU_CHI_724"/>
      <sheetName val="THU_CHI924"/>
      <sheetName val="THU_CHI_824"/>
      <sheetName val="THU_CHI_1024"/>
      <sheetName val="THU_CHI_1124"/>
      <sheetName val="THU_CHI_1224"/>
      <sheetName val="Xep_hang_20124"/>
      <sheetName val="toan_Cty24"/>
      <sheetName val="Cong_ty24"/>
      <sheetName val="XN_224"/>
      <sheetName val="XN_ong_CHi24"/>
      <sheetName val="N_XDCT&amp;_XKLD24"/>
      <sheetName val="CN_HCM24"/>
      <sheetName val="TT_XKLD(Nhan)24"/>
      <sheetName val="Ong_Hong24"/>
      <sheetName val="CN_hung_yen24"/>
      <sheetName val="Dong_nai24"/>
      <sheetName val="K249_K9824"/>
      <sheetName val="K249_K98_(2)24"/>
      <sheetName val="K251_K9824"/>
      <sheetName val="K251_SBase24"/>
      <sheetName val="K251_AC24"/>
      <sheetName val="K252_K9824"/>
      <sheetName val="K252_SBase24"/>
      <sheetName val="K252_AC24"/>
      <sheetName val="K253_K9824"/>
      <sheetName val="K253_Subbase24"/>
      <sheetName val="K253_Base_24"/>
      <sheetName val="K253_SBase24"/>
      <sheetName val="K253_AC24"/>
      <sheetName val="K255_SBase24"/>
      <sheetName val="K259_K9824"/>
      <sheetName val="K259_Subbase24"/>
      <sheetName val="K259_Base_24"/>
      <sheetName val="K259_AC24"/>
      <sheetName val="K260_K9824"/>
      <sheetName val="K260_Subbase24"/>
      <sheetName val="K260_Base24"/>
      <sheetName val="K260_AC24"/>
      <sheetName val="K261_K9824"/>
      <sheetName val="K261_Base24"/>
      <sheetName val="K261_AC24"/>
      <sheetName val="KL_Tram_Cty24"/>
      <sheetName val="Gam_may_Cty24"/>
      <sheetName val="KL_tram_KH24"/>
      <sheetName val="Gam_may_KH24"/>
      <sheetName val="Cach_dien24"/>
      <sheetName val="Mang_tai24"/>
      <sheetName val="KL_DDK24"/>
      <sheetName val="Mang_tai_DDK24"/>
      <sheetName val="KL_DDK0,424"/>
      <sheetName val="TT_Ky_thuat24"/>
      <sheetName val="CT_moi24"/>
      <sheetName val="Tu_dien24"/>
      <sheetName val="May_cat24"/>
      <sheetName val="Dao_Cly24"/>
      <sheetName val="Dao_Ptai24"/>
      <sheetName val="Tu_RMU24"/>
      <sheetName val="C_set24"/>
      <sheetName val="Sco_Cap24"/>
      <sheetName val="Sco_TB24"/>
      <sheetName val="TN_tram24"/>
      <sheetName val="TN_C_set24"/>
      <sheetName val="TN_TD_DDay24"/>
      <sheetName val="Phan_chung24"/>
      <sheetName val="cong_Q224"/>
      <sheetName val="T_U_luong_Q124"/>
      <sheetName val="T_U_luong_Q224"/>
      <sheetName val="T_U_luong_Q324"/>
      <sheetName val="Quyet_toan24"/>
      <sheetName val="Thu_hoi24"/>
      <sheetName val="Lai_vay24"/>
      <sheetName val="Tien_vay24"/>
      <sheetName val="Cong_no24"/>
      <sheetName val="Cop_pha24"/>
      <sheetName val="Gia_DAN24"/>
      <sheetName val="Phu_luc_HD24"/>
      <sheetName val="Gia_du_thau24"/>
      <sheetName val="Ca_xe24"/>
      <sheetName val="Dc_Dau24"/>
      <sheetName val="_o_to_Hien_824"/>
      <sheetName val="_o_to_Hien924"/>
      <sheetName val="_o_to_Hien1024"/>
      <sheetName val="_o_to_Hien1124"/>
      <sheetName val="_o_to_Hien12)24"/>
      <sheetName val="_o_to_Hien134"/>
      <sheetName val="_o_to_Hien224"/>
      <sheetName val="_o_to_Hien324"/>
      <sheetName val="_o_to_Hien424"/>
      <sheetName val="_o_to_Hien524"/>
      <sheetName val="_o_to_Phong_824"/>
      <sheetName val="_o_to_Phong924"/>
      <sheetName val="_o_to_Phong1024"/>
      <sheetName val="_o_to_Phong1124"/>
      <sheetName val="_o_to_Phong12)24"/>
      <sheetName val="_o_to_Phong134"/>
      <sheetName val="_o_to_Phong224"/>
      <sheetName val="_o_to_Phong324"/>
      <sheetName val="_o_to_Phong424"/>
      <sheetName val="_o_to_Phong524"/>
      <sheetName val="_o_to_Dung_8_24"/>
      <sheetName val="_D_tt_dau824"/>
      <sheetName val="_o_to_Dung_924"/>
      <sheetName val="_D9_tt_dau24"/>
      <sheetName val="_D10_tt_dau24"/>
      <sheetName val="_o_to_Dung_1024"/>
      <sheetName val="_o_to_Dung_1124"/>
      <sheetName val="_o_to_Dung_12)24"/>
      <sheetName val="_o_to_Dung_134"/>
      <sheetName val="_o_to_Dung224"/>
      <sheetName val="_o_to_Dung324"/>
      <sheetName val="_o_to_Dung424"/>
      <sheetName val="_o_totrongT10-1224"/>
      <sheetName val="_o_totrongT224"/>
      <sheetName val="_o_totrungT10-1224"/>
      <sheetName val="_o_toMinhT10-12_24"/>
      <sheetName val="_o_toMinhT224"/>
      <sheetName val="_o_toTrieuT10-12__24"/>
      <sheetName val="Luong_8_SP24"/>
      <sheetName val="Luong_9_SP_24"/>
      <sheetName val="Luong_10_SP_24"/>
      <sheetName val="Luong_11_SP_24"/>
      <sheetName val="Luong_12_SP24"/>
      <sheetName val="Luong_1_SP124"/>
      <sheetName val="Luong_2_SP224"/>
      <sheetName val="Luong_3_SP324"/>
      <sheetName val="Luong_4_SP424"/>
      <sheetName val="Luong_4_SP524"/>
      <sheetName val="KL_VL24"/>
      <sheetName val="QT_9-624"/>
      <sheetName val="Thuong_luu_HB24"/>
      <sheetName val="QT_Ky_T24"/>
      <sheetName val="bc_vt_TON_BAI24"/>
      <sheetName val="QT_Duoc_(Hai)24"/>
      <sheetName val="sent_to24"/>
      <sheetName val="KLTong_hop24"/>
      <sheetName val="Lan_can24"/>
      <sheetName val="Ranh_doc_(2)24"/>
      <sheetName val="Ranh_doc24"/>
      <sheetName val="Coc_tieu24"/>
      <sheetName val="Bien_bao24"/>
      <sheetName val="Nan_tuyen24"/>
      <sheetName val="Lan_124"/>
      <sheetName val="Lan__224"/>
      <sheetName val="Lan_324"/>
      <sheetName val="Gia_tri24"/>
      <sheetName val="Lan_524"/>
      <sheetName val="Cong_hop24"/>
      <sheetName val="kldukien_(107)24"/>
      <sheetName val="qui1_(2)24"/>
      <sheetName val="cap_so_lan_224"/>
      <sheetName val="cap_so_BHXH24"/>
      <sheetName val="tru_tien24"/>
      <sheetName val="yt_q224"/>
      <sheetName val="c45_t324"/>
      <sheetName val="c45_t624"/>
      <sheetName val="BHYT_Q3_200324"/>
      <sheetName val="C45_t724"/>
      <sheetName val="C47-t07_200324"/>
      <sheetName val="C45_t824"/>
      <sheetName val="C47-t08_200324"/>
      <sheetName val="C45_t0924"/>
      <sheetName val="C47-t09_200324"/>
      <sheetName val="C47_T1224"/>
      <sheetName val="BHYT_Q4-200324"/>
      <sheetName val="C45_T1024"/>
      <sheetName val="binh_do24"/>
      <sheetName val="cot_lieu24"/>
      <sheetName val="van_khuon24"/>
      <sheetName val="CT_BT24"/>
      <sheetName val="lay_mau24"/>
      <sheetName val="mat_ngoai_goi24"/>
      <sheetName val="coc_tram-bt24"/>
      <sheetName val="Valor mensal"/>
      <sheetName val="EST013"/>
      <sheetName val="Silo with internal cone"/>
      <sheetName val="labour coeff"/>
      <sheetName val="Meas.-Hotel Part"/>
      <sheetName val="Lead"/>
      <sheetName val="6,000"/>
      <sheetName val="R2_0908"/>
      <sheetName val="BOLT"/>
      <sheetName val="하도급업체"/>
      <sheetName val="(2)"/>
      <sheetName val="COMMERCIAL OFFER"/>
      <sheetName val="THDG"/>
      <sheetName val="THDG"/>
      <sheetName val="built-up rate"/>
      <sheetName val="List of works"/>
      <sheetName val="Bill 01 - CTN"/>
      <sheetName val="NEW-PANEL"/>
      <sheetName val="Phân tích hoàn thiện"/>
      <sheetName val="MAU Phân tích KC"/>
      <sheetName val="PL Vua (3)"/>
      <sheetName val="DATACOC"/>
      <sheetName val="DATA TV"/>
      <sheetName val="PN1"/>
      <sheetName val="PN1A"/>
      <sheetName val="PN2"/>
      <sheetName val="unitmass"/>
      <sheetName val="TH VL, NC, DDHT Thanhphuoc"/>
      <sheetName val="PGV-Th (2)"/>
      <sheetName val="PGV-C"/>
      <sheetName val="VVT"/>
      <sheetName val="D.toan chi thet"/>
      <sheetName val="Income Statement"/>
      <sheetName val="Shareholders' Equity"/>
      <sheetName val="Detail pg 5"/>
      <sheetName val="MTO REV.2(ARMOR)"/>
      <sheetName val="C45(DAU NAM)"/>
      <sheetName val="C45.(B.DONG)"/>
      <sheetName val="C47.1"/>
      <sheetName val="C47.2"/>
      <sheetName val="C47.3"/>
      <sheetName val="C47.4"/>
      <sheetName val="C47.5"/>
      <sheetName val="C47.6"/>
      <sheetName val="C47.7"/>
      <sheetName val="S53.1"/>
      <sheetName val="S53.2"/>
      <sheetName val="S53.3"/>
      <sheetName val="S53.4"/>
      <sheetName val="C46.1"/>
      <sheetName val="C46.2"/>
      <sheetName val="C46.3"/>
      <sheetName val="C46.4"/>
      <sheetName val="NAM 200"/>
      <sheetName val="NAM 200&lt;"/>
      <sheetName val="NAM 200_x0005_"/>
      <sheetName val="NAM_200"/>
      <sheetName val="NAM_200&lt;"/>
      <sheetName val="NAM_200"/>
      <sheetName val="沈阳"/>
      <sheetName val="重庆"/>
      <sheetName val="杭州调"/>
      <sheetName val="MAIN_DATA"/>
      <sheetName val="Executive Summary"/>
      <sheetName val="Don gia vung III"/>
      <sheetName val="CF -Update 31Jul06"/>
      <sheetName val="DM_BBNT"/>
      <sheetName val="TCVN"/>
      <sheetName val="Bgia"/>
      <sheetName val="WS"/>
      <sheetName val="VBA code"/>
      <sheetName val="SUM-WS"/>
      <sheetName val="SUM-WW"/>
      <sheetName val="F1 WS "/>
      <sheetName val=" F1 WW"/>
      <sheetName val="GI pipe"/>
      <sheetName val="data charging GAS"/>
      <sheetName val="2F WS"/>
      <sheetName val=" F2 WW "/>
      <sheetName val="F3 WS"/>
      <sheetName val=" F3 WW"/>
      <sheetName val="F9 WS "/>
      <sheetName val=" F9 WW "/>
      <sheetName val="F10 WS"/>
      <sheetName val=" F10 WW"/>
      <sheetName val="Main GH WS "/>
      <sheetName val=" Main GH WW"/>
      <sheetName val="Sub GH WS"/>
      <sheetName val="Sub GH WW"/>
      <sheetName val="TN"/>
      <sheetName val="VT,NC,M"/>
      <sheetName val="SEX"/>
      <sheetName val="SCoTT"/>
      <sheetName val="BDG"/>
      <sheetName val="Cap DUL"/>
      <sheetName val="WEON"/>
      <sheetName val="ctiet-KVThanhTri-YUR"/>
      <sheetName val="DATA BASE"/>
      <sheetName val="Detail"/>
      <sheetName val="COST"/>
      <sheetName val="B01b"/>
      <sheetName val="B01a"/>
      <sheetName val="B03a"/>
      <sheetName val="B03b"/>
      <sheetName val="B5"/>
      <sheetName val="B8,1"/>
      <sheetName val="B6b"/>
      <sheetName val="B4a"/>
      <sheetName val="B4b"/>
      <sheetName val="Van chtyen"/>
      <sheetName val="DS dang ky thi dua 2005"/>
      <sheetName val="DS khen thuong2004"/>
      <sheetName val="quy bao lu 05"/>
      <sheetName val="VT co phuong"/>
      <sheetName val="Da hai"/>
      <sheetName val="VT A ma"/>
      <sheetName val="VT van ho"/>
      <sheetName val="Son A Ma"/>
      <sheetName val="Son Co Ph"/>
      <sheetName val="Mau giao"/>
      <sheetName val="TT TH"/>
      <sheetName val="vat lieu tan hoat"/>
      <sheetName val="KL tonࡧ"/>
      <sheetName val="Congt}"/>
      <sheetName val="bang ke nop`thue"/>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3"/>
      <sheetName val="TK 341vay dai han "/>
      <sheetName val="TK 214"/>
      <sheetName val="TK 212"/>
      <sheetName val="Chi tiet TK 211"/>
      <sheetName val="TK 211"/>
      <sheetName val="TK 154"/>
      <sheetName val="Chi tiet TK 152"/>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TD_x0000_"/>
      <sheetName val="TDÕ"/>
      <sheetName val="TD@"/>
      <sheetName val="Cong hoþ"/>
      <sheetName val="2ÿÿ960-ÿÿ+1ÿÿÿÿ(k95)"/>
      <sheetName val="Aug-10(D)"/>
      <sheetName val="Data input"/>
      <sheetName val="Cong n_x0000_"/>
      <sheetName val="JanÐ"/>
      <sheetName val="BU13-_x0003__x0000_+"/>
      <sheetName val="clv¸"/>
      <sheetName val="GDTL cong D40"/>
      <sheetName val="THKPcong D40"/>
      <sheetName val="GDTran gieng"/>
      <sheetName val="THKPtran gieng"/>
      <sheetName val="XD"/>
      <sheetName val="THDT (2)"/>
      <sheetName val="DB (2)"/>
      <sheetName val="THTke"/>
      <sheetName val="DGTLdap dat (3)"/>
      <sheetName val="TM Du toan"/>
      <sheetName val="THKP dap chinh (3)"/>
      <sheetName val="TDþ"/>
      <sheetName val="B01þ"/>
      <sheetName val="LD Kien"/>
      <sheetName val="QLoc"/>
      <sheetName val="TT Qlao"/>
      <sheetName val="Yen Bai"/>
      <sheetName val="Yen Giang"/>
      <sheetName val="Yen Hung"/>
      <sheetName val="Yen Lam"/>
      <sheetName val="Yen lac"/>
      <sheetName val="Yen Ninh"/>
      <sheetName val="Yen Phong"/>
      <sheetName val="Yen Phu"/>
      <sheetName val="Yen thai"/>
      <sheetName val="Yen Thinh"/>
      <sheetName val="Yen Tho"/>
      <sheetName val="Yen Trung"/>
      <sheetName val="Yen Truong"/>
      <sheetName val="Yen Tam"/>
      <sheetName val="Dinh Binh"/>
      <sheetName val="Dinh Cong"/>
      <sheetName val="Dinh Hoa"/>
      <sheetName val=" Dinh Hung"/>
      <sheetName val="Dinh Hai"/>
      <sheetName val="Dinh Lien"/>
      <sheetName val="Dinh Long"/>
      <sheetName val="Dinh Thanh"/>
      <sheetName val="Dinh Tien"/>
      <sheetName val="Dinh Tang"/>
      <sheetName val="Dinh Tan"/>
      <sheetName val="THPT Thong Nhat"/>
      <sheetName val="Dinh Tuong"/>
      <sheetName val="TTBDChinh Tri"/>
      <sheetName val="Phong GD"/>
      <sheetName val="Khoi Mam Non"/>
      <sheetName val="BT Van Hoa"/>
      <sheetName val="Day Nghe"/>
      <sheetName val="TH Q Loc 1"/>
      <sheetName val="Q lao"/>
      <sheetName val="T nhat"/>
      <sheetName val="Y bai"/>
      <sheetName val="Y giang"/>
      <sheetName val="Y hung"/>
      <sheetName val="Y lam"/>
      <sheetName val="Y lac"/>
      <sheetName val="Y ninh"/>
      <sheetName val="Y phong"/>
      <sheetName val="Y phu"/>
      <sheetName val="Y thai"/>
      <sheetName val="Y thinh"/>
      <sheetName val="Y tho"/>
      <sheetName val="Y trung"/>
      <sheetName val="Y truong"/>
      <sheetName val="Y tam"/>
      <sheetName val="Dbinh"/>
      <sheetName val="D cong"/>
      <sheetName val="D hoa"/>
      <sheetName val="Dhung"/>
      <sheetName val="D hai"/>
      <sheetName val="D lien"/>
      <sheetName val="D long"/>
      <sheetName val="D thanh"/>
      <sheetName val="D tien"/>
      <sheetName val="D tang"/>
      <sheetName val="D tan"/>
      <sheetName val="D tuong"/>
      <sheetName val="Q loc 2"/>
      <sheetName val="DT 05"/>
      <sheetName val="Quý 1"/>
      <sheetName val="Thang3"/>
      <sheetName val="Quý2"/>
      <sheetName val="Quy 3"/>
      <sheetName val="KPCĐ"/>
      <sheetName val="Nghiep vu"/>
      <sheetName val="T10-11"/>
      <sheetName val="Quý4"/>
      <sheetName val="ctdg"/>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CD"/>
      <sheetName val="PACK"/>
      <sheetName val="INV"/>
      <sheetName val="設備分析"/>
      <sheetName val="SLGA"/>
      <sheetName val="huy_dong_von2"/>
      <sheetName val="Lai_vayxd2"/>
      <sheetName val="Lai_vayphaitra2"/>
      <sheetName val="Lai_vay_2"/>
      <sheetName val="tra_von2"/>
      <sheetName val="KH_chi_tiet2"/>
      <sheetName val="nguyen_lieu2"/>
      <sheetName val="soi_tho_soi_det2"/>
      <sheetName val="soi_thuong2"/>
      <sheetName val="vai_det2"/>
      <sheetName val="chi_phi_1tan2"/>
      <sheetName val="von_luu_dong2"/>
      <sheetName val="thue_VAT2"/>
      <sheetName val="doanh_thu2"/>
      <sheetName val="doanh_thu_loi_nhuan2"/>
      <sheetName val="dong_tien2"/>
      <sheetName val="thu_hoi_von2"/>
      <sheetName val="hoan_von2"/>
      <sheetName val="dothi_npv2"/>
      <sheetName val="diem_hoa_von2"/>
      <sheetName val="nop_ngan_sach2"/>
      <sheetName val="chi_tieu2"/>
      <sheetName val="TIEN_GOI1"/>
      <sheetName val="NHAT_KY_THU_TIEN_T_GOI1"/>
      <sheetName val="LUONG_GIAN_TIEP1"/>
      <sheetName val="NHAT_KY_THU_TIEN_TM1"/>
      <sheetName val="UOC_THUC_HIEN_THUE_TNDN1"/>
      <sheetName val="QUY_TM1"/>
      <sheetName val="NKCT_-_011"/>
      <sheetName val="_ｹ-ﾌﾞﾙ1"/>
      <sheetName val="General_Data1"/>
      <sheetName val="BLR_11"/>
      <sheetName val="Tong_Thu1"/>
      <sheetName val="Tong_Chi1"/>
      <sheetName val="Truong_hoc1"/>
      <sheetName val="Cty_CP1"/>
      <sheetName val="G_thau_3B1"/>
      <sheetName val="T_Hop_Thu-chi1"/>
      <sheetName val="TH_mau_moi_tu_T101"/>
      <sheetName val="Tong_hop_Quy_IV1"/>
      <sheetName val="gia_phan_mong1"/>
      <sheetName val="VAT_TU_NHAN_TXQN1"/>
      <sheetName val="bang_tong_ke_khoi_luong_vat_tu1"/>
      <sheetName val="hcong_tkhe1"/>
      <sheetName val="VAT_TU_NHAN_TKHE1"/>
      <sheetName val="hcong_qn1"/>
      <sheetName val="VAT_TU_NHAN_(2)1"/>
      <sheetName val="B_T_HOP1"/>
      <sheetName val="HT_HE_DUONG1"/>
      <sheetName val="DH_D1,21"/>
      <sheetName val="Tro_giup1"/>
      <sheetName val="내역서_1"/>
      <sheetName val="ITB_COST1"/>
      <sheetName val="Form_A_1_III1"/>
      <sheetName val="Form_A_11"/>
      <sheetName val="Form_A_1_11"/>
      <sheetName val="BOM_Indirect1"/>
      <sheetName val="Form_A_1_II_11"/>
      <sheetName val="Form_A_1_II_21"/>
      <sheetName val="Rekap-Base_Price1"/>
      <sheetName val="w't_table1"/>
      <sheetName val="LAI_-_LO1"/>
      <sheetName val="TO_KHAI_CHI_TIET1"/>
      <sheetName val="THUE_PII1"/>
      <sheetName val="THUE_PIII1"/>
      <sheetName val="QUYET_TOAN_THUE_TNDN1"/>
      <sheetName val="BANG_CAN_DOI_RUT_GON1"/>
      <sheetName val="BANG_CAN_DOI1"/>
      <sheetName val="NHAT_KY_CHI_TIEN1"/>
      <sheetName val="LAI_LO1"/>
      <sheetName val="TO_KHAI_THUE_DT_-TNDN-_CP1"/>
      <sheetName val="QUYET_TOAN_THUE-_CAC_KHOAN1"/>
      <sheetName val="GIA_THANH1"/>
      <sheetName val="BAI_DUNG_1"/>
      <sheetName val="BIA_NAM1"/>
      <sheetName val="TM_BAO_CAO1"/>
      <sheetName val="D_&amp;_B_Summary1"/>
      <sheetName val="Summary_Sheets1"/>
      <sheetName val="Data_-_Codes1"/>
      <sheetName val="CAL_1"/>
      <sheetName val="Architecture_Work1"/>
      <sheetName val="Cable_Data_CP52"/>
      <sheetName val="sc0314_Index"/>
      <sheetName val="4_주별물량Table1"/>
      <sheetName val="2_2_띠장의_설계1"/>
      <sheetName val="Cover_Sheet"/>
      <sheetName val="BREAK_DOWN"/>
      <sheetName val="THDG"/>
      <sheetName val="CBL_Termination"/>
      <sheetName val="Uhde_Equip_List"/>
      <sheetName val="Pengalaman_Per"/>
      <sheetName val="Engineering_Forecast"/>
      <sheetName val="GM_000"/>
      <sheetName val="Code_02"/>
      <sheetName val="Code_03"/>
      <sheetName val="Code_04"/>
      <sheetName val="Code_05"/>
      <sheetName val="Code_06"/>
      <sheetName val="Code_07"/>
      <sheetName val="Code_09"/>
      <sheetName val="PO_Contabilizado_31-12-041"/>
      <sheetName val="Du_thau1"/>
      <sheetName val="Phan_tich_don_gia_(doc)1"/>
      <sheetName val="HRSG_PRINT1"/>
      <sheetName val="luong_thang_101"/>
      <sheetName val="tong_hop_thang_101"/>
      <sheetName val="TH_111"/>
      <sheetName val="px_khai_thac_21"/>
      <sheetName val="dao_lo_so_21"/>
      <sheetName val="luong_vp_thang_101"/>
      <sheetName val="&lt;&lt;380V&gt;&gt;_1"/>
      <sheetName val="_Est_1"/>
      <sheetName val="tank_list"/>
      <sheetName val="공사비_내역_(가)1"/>
      <sheetName val="Resumen_Prestamos1"/>
      <sheetName val="Price_Sheet1"/>
      <sheetName val="REF_ONLY"/>
      <sheetName val="BQ_List"/>
      <sheetName val="Block#1-DVU_CDU"/>
      <sheetName val="Append__4_1__Cash_Flow_Input"/>
      <sheetName val="Append_5_1__Costing_Sheet"/>
      <sheetName val="Append_5_5__Labour_Cost_"/>
      <sheetName val="Append_5_1__Unit_Rates"/>
      <sheetName val="Append_5_4__Site_Staff_"/>
      <sheetName val="Append__5_3__SiteEstablishment"/>
      <sheetName val="Append_3__Investments"/>
      <sheetName val="Append_5_2__Material_Summary_"/>
      <sheetName val="Liệt_kê"/>
      <sheetName val="XXXXXXX"/>
      <sheetName val="bANG_THANH_TOAN_LUONG_SC"/>
      <sheetName val="DON_GIA_TIEN_LUONG_SXCB"/>
      <sheetName val="bang_ke_luong_sc"/>
      <sheetName val="DICH_VU"/>
      <sheetName val="BD_LE_TET"/>
      <sheetName val="BANG_THANH_TOAN_LUONG_TO_SO_CHE"/>
      <sheetName val="BANG_TONG_HOP_LUONG_SP"/>
      <sheetName val="Bang_ke_tien_luong_O_phong"/>
      <sheetName val="bang_ke_luong_SP"/>
      <sheetName val="tam_ung_luong_ky_I"/>
      <sheetName val="bao_cao_BHXH_6_thang"/>
      <sheetName val="CAU_1"/>
      <sheetName val="CAU5_A_Thu"/>
      <sheetName val="yen_lenh"/>
      <sheetName val="CAU5_(1+2)"/>
      <sheetName val="co-no_2"/>
      <sheetName val="CAL(1)_"/>
      <sheetName val="Articoli_da_prezziario"/>
      <sheetName val="Gravel_in_pond"/>
      <sheetName val="PRECAST_lightconc-II"/>
      <sheetName val="ﾄﾞﾊﾞｲFUEL_GAS追見"/>
      <sheetName val="BASE_MET"/>
      <sheetName val="PO_List"/>
      <sheetName val="Subcon_Status_-_Sum_New_Format"/>
      <sheetName val="Subcontract_Status_-_Sum_all_$"/>
      <sheetName val="SD_(1)"/>
      <sheetName val="COST_SUMM"/>
      <sheetName val="CC_Down_load_0716"/>
      <sheetName val="전차선로_물량표"/>
      <sheetName val="DESIGN_CRITERIA"/>
      <sheetName val="Repo_Date"/>
      <sheetName val="HELP項目"/>
      <sheetName val="Pr- AC"/>
      <sheetName val="뜃맟뭁돽띿ᘀ᨜԰"/>
      <sheetName val="BU13-_x0003_"/>
      <sheetName val="個案9411"/>
      <sheetName val="IBASE"/>
      <sheetName val="SOLIEU"/>
      <sheetName val="Wastage"/>
      <sheetName val="DS_10"/>
      <sheetName val="P7_HO Termination 07"/>
      <sheetName val="Package1"/>
      <sheetName val="Dept code"/>
      <sheetName val="docket"/>
      <sheetName val="Line code"/>
      <sheetName val="PSB.TB"/>
      <sheetName val="Weekly"/>
      <sheetName val="Ranh ࡤoc"/>
      <sheetName val="Cốt thép"/>
      <sheetName val="Civil"/>
      <sheetName val="Earthwork"/>
      <sheetName val="Btra"/>
      <sheetName val="CTDZTA(5)"/>
      <sheetName val="THONG SO"/>
      <sheetName val="Đơn giá chi tiết TN 39"/>
      <sheetName val="7.Khau tru "/>
      <sheetName val="Q1-0_x0018_"/>
      <sheetName val="Caod_x0000_"/>
      <sheetName val="Caod_x0005_"/>
      <sheetName val="Caodþ"/>
      <sheetName val="[PIPE-03E.XLS]_MGT_DRT_MGT_IM_2"/>
      <sheetName val="[PIPE-03E.XLS]_N_MGT_DRT_MGT__2"/>
      <sheetName val="TD"/>
      <sheetName val="Cong n"/>
      <sheetName val="Caod"/>
      <sheetName val="Para"/>
      <sheetName val="C253"/>
      <sheetName val="KHTTSP"/>
      <sheetName val="Chi tieu KT-KT"/>
      <sheetName val="CP"/>
      <sheetName val="dbld"/>
      <sheetName val="THTL"/>
      <sheetName val="CTKT"/>
      <sheetName val="BGDO Sdong"/>
      <sheetName val="BBtrang SD"/>
      <sheetName val="Vuong do l2 sd 17"/>
      <sheetName val="Vuong do SD17"/>
      <sheetName val="BG T SD17"/>
      <sheetName val="BGDSD"/>
      <sheetName val="SD 17"/>
      <sheetName val="dn x"/>
      <sheetName val="dn xay"/>
      <sheetName val="CO_SO_DU_LIEU_PTVL2"/>
      <sheetName val="Tien_ung2"/>
      <sheetName val="phi_luong32"/>
      <sheetName val="THVT_T52"/>
      <sheetName val="XL1_t52"/>
      <sheetName val="XL2_T52"/>
      <sheetName val="XL3_T52"/>
      <sheetName val="XL5_T52"/>
      <sheetName val="CC_XL12"/>
      <sheetName val="KKTS_042"/>
      <sheetName val="nha_kct2"/>
      <sheetName val="Thang_122"/>
      <sheetName val="Thang_13"/>
      <sheetName val="Thang_12_(2)2"/>
      <sheetName val="Thang_012"/>
      <sheetName val="XE_DAU2"/>
      <sheetName val="XE_XANG2"/>
      <sheetName val="THKL_H92"/>
      <sheetName val="THKL_H42"/>
      <sheetName val="Hat_12"/>
      <sheetName val="DG_SOC2"/>
      <sheetName val="DG_HQ2"/>
      <sheetName val="Bot_Giat_C2"/>
      <sheetName val="Bot_Giat_P_2"/>
      <sheetName val="THAY_THUNG_H2"/>
      <sheetName val="thi_nghiem2"/>
      <sheetName val="Chenh_lech2"/>
      <sheetName val="Kinh_phí2"/>
      <sheetName val="TH_du_toan_2"/>
      <sheetName val="Du_toan_2"/>
      <sheetName val="C_Tinh2"/>
      <sheetName val="congtac_vien-uy2"/>
      <sheetName val="Nhan_luc20012"/>
      <sheetName val="_H8_duong2"/>
      <sheetName val="Hat_7dg2"/>
      <sheetName val="TH_duong_1B2"/>
      <sheetName val="TH_cau_1B2"/>
      <sheetName val="cau_H12"/>
      <sheetName val="Son_dg2"/>
      <sheetName val="KH_200³_(moi_max)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2"/>
      <sheetName val="dang_ap_dung2"/>
      <sheetName val="bang_tong_hop_(dang_huong)2"/>
      <sheetName val="CT_032"/>
      <sheetName val="TH_032"/>
      <sheetName val="Cau_2(3)2"/>
      <sheetName val="MTO_REV_01"/>
      <sheetName val="Bang_gia_NC1"/>
      <sheetName val="TH_DZ351"/>
      <sheetName val="NAM_20042"/>
      <sheetName val="AC_equipment"/>
      <sheetName val="Chung_tu"/>
      <sheetName val="So_cai"/>
      <sheetName val="Can_doi"/>
      <sheetName val="Phat_sinh"/>
      <sheetName val="BB_NT_GD_H-thanh1"/>
      <sheetName val="BB_NT_KL1"/>
      <sheetName val="CL_PP1"/>
      <sheetName val="TH_DgPP1"/>
      <sheetName val="Dg_PP1"/>
      <sheetName val="CL_DgPP1"/>
      <sheetName val="TH_DDau1"/>
      <sheetName val="TH_DVu1"/>
      <sheetName val="CL_Dvu1"/>
      <sheetName val="TH_DgDvu1"/>
      <sheetName val="Dg_DV1"/>
      <sheetName val="C_O1"/>
      <sheetName val="TH_dg_OC1"/>
      <sheetName val="CL_CatOng1"/>
      <sheetName val="Bang_qui_cach_Vtu1"/>
      <sheetName val="D_Da01"/>
      <sheetName val="Div__A1"/>
      <sheetName val="TSCD_ko_dung1"/>
      <sheetName val="Tong_vat_tu1"/>
      <sheetName val="VT_luu1"/>
      <sheetName val="Vtu_u_dong1"/>
      <sheetName val="TSLD_khac1"/>
      <sheetName val="CC_da_pbo_het1"/>
      <sheetName val="26+960-27+050_91"/>
      <sheetName val="Du_toan1"/>
      <sheetName val="Chenh_lech_vat_tu1"/>
      <sheetName val="Phan_tich_vat_tu1"/>
      <sheetName val="Tong_hop_vat_tu1"/>
      <sheetName val="Gia_tri_vat_tu1"/>
      <sheetName val="Chi_phi_van_chuyen1"/>
      <sheetName val="Don_gia_chi_tiet1"/>
      <sheetName val="Tong_hop_kinh_phi1"/>
      <sheetName val="Tu_van_Thiet_ke1"/>
      <sheetName val="Tien_do_thi_cong1"/>
      <sheetName val="Bia_du_toan1"/>
      <sheetName val="[PIPE-03E_XLSÝ26+960-27+150_4(k"/>
      <sheetName val="L_D17041"/>
      <sheetName val="TK_331c11"/>
      <sheetName val="CT_3311"/>
      <sheetName val="CT_1311"/>
      <sheetName val="28+!60-28+420_5K951"/>
      <sheetName val="Thi_sinh1"/>
      <sheetName val="Cham_cong1"/>
      <sheetName val="Bang_luong1"/>
      <sheetName val="STH_1521"/>
      <sheetName val="CN_3311"/>
      <sheetName val="VC_MONG1"/>
      <sheetName val="LUONG_NC1"/>
      <sheetName val="BKE_CT_GOC1"/>
      <sheetName val="BKE_CT_GOC_(2)1"/>
      <sheetName val="CTGS10_(2)1"/>
      <sheetName val="PIPE-03E_XLS1"/>
      <sheetName val="THV_CHI_61"/>
      <sheetName val="27+500-700_4(k85)1"/>
      <sheetName val="B9_SCL_(2)1"/>
      <sheetName val="Thang_7-051"/>
      <sheetName val="Bia_dvi1"/>
      <sheetName val="B3_Tonghop_thang1"/>
      <sheetName val="CHIET_TINH_TBA1"/>
      <sheetName val="CHIET_TINH_DZ_0,41"/>
      <sheetName val="CHIET_TINH_CCT1"/>
      <sheetName val="Tong_hop_gia1"/>
      <sheetName val="cong_bien_t1&lt;1"/>
      <sheetName val="Bang_2B1"/>
      <sheetName val="Dgia_vat_tu1"/>
      <sheetName val="Don_gia_III1"/>
      <sheetName val="Dgia_VT1"/>
      <sheetName val="Cong_doan1"/>
      <sheetName val="VËt_liÖu"/>
      <sheetName val="K_L­¬ng_"/>
      <sheetName val="GTDT_"/>
      <sheetName val="Bï_VL_"/>
      <sheetName val="Tæng_Hîp"/>
      <sheetName val="Kinh_PhÝ"/>
      <sheetName val="T_kÕ"/>
      <sheetName val="tÝnh_VL"/>
      <sheetName val="KL_®Ëp"/>
      <sheetName val="Lµng_Lµ"/>
      <sheetName val="THDN_MBA_phu_tai"/>
      <sheetName val="TBA_CC"/>
      <sheetName val="Purchase_Order"/>
      <sheetName val="Customize_Your_Purchase_Order"/>
      <sheetName val="A__Building__"/>
      <sheetName val="Qty-(Arc_)"/>
      <sheetName val="TH_K_II"/>
      <sheetName val="TH_K_I"/>
      <sheetName val="Electrical_Breakdown"/>
      <sheetName val="DTcojg_4-5"/>
      <sheetName val="DGchitiet_"/>
      <sheetName val="P_LIST"/>
      <sheetName val="MAKING_BILL"/>
      <sheetName val="CO_FORM_A"/>
      <sheetName val="HOI_PHIEU"/>
      <sheetName val="YEU_CAU_TT_TECH_(LC)"/>
      <sheetName val="shipping_advice"/>
      <sheetName val="May_thi_cong"/>
      <sheetName val="Chi_phi_chung"/>
      <sheetName val="TH_du_toan¸"/>
      <sheetName val="TH_du_toann"/>
      <sheetName val="ND13-1+334"/>
      <sheetName val="26+960-27+150_5(k95!"/>
      <sheetName val="TH_du_toanþ"/>
      <sheetName val="DMVT1_(2)"/>
      <sheetName val="Chiet_tinh_6at_lieu_"/>
      <sheetName val="gia_vat_,ieu"/>
      <sheetName val="Ki泺m_tra_DS_thue_GTGT"/>
      <sheetName val="27+740-820_3(k95)"/>
      <sheetName val="20_9_05"/>
      <sheetName val="Thanh_toan"/>
      <sheetName val="B_11D_"/>
      <sheetName val="Bang_luong_"/>
      <sheetName val="Gia_tr?"/>
      <sheetName val="Ki??m_tra_DS_thue_GTGT"/>
      <sheetName val="Thuong_dip_nhan_danh_hieu_AHL?"/>
      <sheetName val="Tojg_hop_thep"/>
      <sheetName val="tph_AAHSTOT27"/>
      <sheetName val="Van_chtyen"/>
      <sheetName val="DS_dang_ky_thi_dua_2005"/>
      <sheetName val="DS_khen_thuong2004"/>
      <sheetName val="quy_bao_lu_05"/>
      <sheetName val="VT_co_phuong"/>
      <sheetName val="Da_hai"/>
      <sheetName val="VT_A_ma"/>
      <sheetName val="VT_van_ho"/>
      <sheetName val="Son_A_Ma"/>
      <sheetName val="Son_Co_Ph"/>
      <sheetName val="Mau_giao"/>
      <sheetName val="TT_TH"/>
      <sheetName val="vat_lieu_tan_hoat"/>
      <sheetName val="KL_tonࡧ"/>
      <sheetName val="QUY_TM_2004_(3)"/>
      <sheetName val="QUY_TM_2004_(2)"/>
      <sheetName val="SO_CAI_2004_TK_111_(2)"/>
      <sheetName val="CTGS_N111_(2)"/>
      <sheetName val="Can_doi_TK_(2)"/>
      <sheetName val="CTGS_Co_111"/>
      <sheetName val="Bang_"/>
      <sheetName val="So_TGNH__(2)"/>
      <sheetName val="N_111"/>
      <sheetName val="Sheet1_(3)"/>
      <sheetName val="C_111"/>
      <sheetName val="KD_Theo_YTo"/>
      <sheetName val="Tang_giam_TSCD"/>
      <sheetName val="TK_Ngoai_bang"/>
      <sheetName val="TMinh_BC_TC"/>
      <sheetName val="Can_doi_TK"/>
      <sheetName val="BCD_KToan"/>
      <sheetName val="So_TGNH_"/>
      <sheetName val="SO_CAI_TK_112"/>
      <sheetName val="SO_CAI_2004_TK_111"/>
      <sheetName val="Tien_Vay_311"/>
      <sheetName val="DT_BH"/>
      <sheetName val="So_QTM_2005"/>
      <sheetName val="QUY_TM_2004"/>
      <sheetName val="Ca_D"/>
      <sheetName val="bang_ke_nop`thue"/>
      <sheetName val="TK_911"/>
      <sheetName val="H_long"/>
      <sheetName val="C_Mong"/>
      <sheetName val="M_Phu"/>
      <sheetName val="T_Son"/>
      <sheetName val="V_Don"/>
      <sheetName val="Y_Kien"/>
      <sheetName val="V_Quang"/>
      <sheetName val="Q_Lam"/>
      <sheetName val="P_Thu"/>
      <sheetName val="T_Coc"/>
      <sheetName val="D_Nghia"/>
      <sheetName val="TT_DH"/>
      <sheetName val="P_Phu"/>
      <sheetName val="P_Lai"/>
      <sheetName val="N_Xuyen"/>
      <sheetName val="H_quan"/>
      <sheetName val="S_Dang"/>
      <sheetName val="N_Quan"/>
      <sheetName val="C_Dam"/>
      <sheetName val="B_luan"/>
      <sheetName val="M_Luong"/>
      <sheetName val="B_Doan"/>
      <sheetName val="H_Do"/>
      <sheetName val="D_Khe"/>
      <sheetName val="P_Trung"/>
      <sheetName val="V_du"/>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CAU_7_(O_Hien)"/>
      <sheetName val="CAU_7"/>
      <sheetName val="TCCG_(_NH)"/>
      <sheetName val="Cau_9"/>
      <sheetName val="Cau_11"/>
      <sheetName val="Chi_tieu_KT-KT"/>
      <sheetName val="BGDO_Sdong"/>
      <sheetName val="BBtrang_SD"/>
      <sheetName val="Vuong_do_l2_sd_17"/>
      <sheetName val="Vuong_do_SD17"/>
      <sheetName val="BG_T_SD17"/>
      <sheetName val="SD_17"/>
      <sheetName val="dn_x"/>
      <sheetName val="dn_xay"/>
      <sheetName val="TONG_HOP_VL-NC"/>
      <sheetName val="DM_67"/>
      <sheetName val="gia_vt,nc,may"/>
      <sheetName val="To_declare"/>
      <sheetName val="MAIN_GATE_HOUSE"/>
      <sheetName val="CT_Thang_Mo"/>
      <sheetName val="CT__PL"/>
      <sheetName val="Summary_(1)"/>
      <sheetName val="List_of_Houses"/>
      <sheetName val="B2_SITE_WORKS"/>
      <sheetName val="B3_CONCRETE_WORKS"/>
      <sheetName val="B4_MASONRY_WORKS"/>
      <sheetName val="B5_METAL_WORKS"/>
      <sheetName val="B6_THERMAL&amp;MOITURE"/>
      <sheetName val="B7_ALU_GLASS_D&amp;W"/>
      <sheetName val="B8_FINISHING_WORKS"/>
      <sheetName val="B12_EXTERNAL_WORKS"/>
      <sheetName val="DMVT_-_2"/>
      <sheetName val="B__Additional_items"/>
      <sheetName val="C__VE_items_Add1"/>
      <sheetName val="F__VE_items_Updated_Add1"/>
      <sheetName val="G__Duplicated_items"/>
      <sheetName val="CO_SO_DU_LIEU_PTVL3"/>
      <sheetName val="Tien_ung3"/>
      <sheetName val="phi_luong33"/>
      <sheetName val="THVT_T53"/>
      <sheetName val="XL1_t53"/>
      <sheetName val="XL2_T53"/>
      <sheetName val="XL3_T53"/>
      <sheetName val="XL5_T53"/>
      <sheetName val="CC_XL13"/>
      <sheetName val="KKTS_043"/>
      <sheetName val="nha_kct3"/>
      <sheetName val="Thang_123"/>
      <sheetName val="Thang_14"/>
      <sheetName val="Thang_12_(2)3"/>
      <sheetName val="Thang_013"/>
      <sheetName val="XE_DAU3"/>
      <sheetName val="XE_XANG3"/>
      <sheetName val="THKL_H93"/>
      <sheetName val="THKL_H43"/>
      <sheetName val="Hat_13"/>
      <sheetName val="VAT_TU_NHAN_TXQN2"/>
      <sheetName val="bang_tong_ke_khoi_luong_vat_tu2"/>
      <sheetName val="hcong_tkhe2"/>
      <sheetName val="VAT_TU_NHAN_TKHE2"/>
      <sheetName val="hcong_qn2"/>
      <sheetName val="VAT_TU_NHAN_(2)2"/>
      <sheetName val="DG_SOC3"/>
      <sheetName val="DG_HQ3"/>
      <sheetName val="Bot_Giat_C3"/>
      <sheetName val="Bot_Giat_P_3"/>
      <sheetName val="THAY_THUNG_H3"/>
      <sheetName val="thi_nghiem3"/>
      <sheetName val="TH_mau_moi_tu_T102"/>
      <sheetName val="Tong_hop_Quy_IV2"/>
      <sheetName val="Chenh_lech3"/>
      <sheetName val="Kinh_phí3"/>
      <sheetName val="TH_du_toan_3"/>
      <sheetName val="Du_toan_3"/>
      <sheetName val="C_Tinh3"/>
      <sheetName val="congtac_vien-uy3"/>
      <sheetName val="Nhan_luc20013"/>
      <sheetName val="Tong_Thu2"/>
      <sheetName val="Tong_Chi2"/>
      <sheetName val="Truong_hoc2"/>
      <sheetName val="Cty_CP2"/>
      <sheetName val="G_thau_3B2"/>
      <sheetName val="T_Hop_Thu-chi2"/>
      <sheetName val="_H8_duong3"/>
      <sheetName val="Hat_7dg3"/>
      <sheetName val="TH_duong_1B3"/>
      <sheetName val="huy_dong_von3"/>
      <sheetName val="Lai_vayxd3"/>
      <sheetName val="Lai_vayphaitra3"/>
      <sheetName val="Lai_vay_3"/>
      <sheetName val="tra_von3"/>
      <sheetName val="KH_chi_tiet3"/>
      <sheetName val="nguyen_lieu3"/>
      <sheetName val="soi_tho_soi_det3"/>
      <sheetName val="soi_thuong3"/>
      <sheetName val="vai_det3"/>
      <sheetName val="chi_phi_1tan3"/>
      <sheetName val="von_luu_dong3"/>
      <sheetName val="thue_VAT3"/>
      <sheetName val="doanh_thu3"/>
      <sheetName val="doanh_thu_loi_nhuan3"/>
      <sheetName val="dong_tien3"/>
      <sheetName val="thu_hoi_von3"/>
      <sheetName val="hoan_von3"/>
      <sheetName val="dothi_npv3"/>
      <sheetName val="diem_hoa_von3"/>
      <sheetName val="nop_ngan_sach3"/>
      <sheetName val="chi_tieu3"/>
      <sheetName val="TH_cau_1B3"/>
      <sheetName val="cau_H13"/>
      <sheetName val="Son_dg3"/>
      <sheetName val="KH_200³_(moi_max)3"/>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bang_so_sanh_tong_hop_(_PA_cho3"/>
      <sheetName val="dang_ap_dung3"/>
      <sheetName val="bang_tong_hop_(dang_huong)3"/>
      <sheetName val="CT_033"/>
      <sheetName val="TH_033"/>
      <sheetName val="Cau_2(3)3"/>
      <sheetName val="B_T_HOP2"/>
      <sheetName val="HT_HE_DUONG2"/>
      <sheetName val="DH_D1,22"/>
      <sheetName val="Tro_giup2"/>
      <sheetName val="MTO_REV_02"/>
      <sheetName val="Bang_gia_NC2"/>
      <sheetName val="gia_phan_mong2"/>
      <sheetName val="TH_DZ352"/>
      <sheetName val="NAM_20043"/>
      <sheetName val="AC_equipment1"/>
      <sheetName val="Chung_tu1"/>
      <sheetName val="So_cai1"/>
      <sheetName val="Can_doi1"/>
      <sheetName val="Phat_sinh1"/>
      <sheetName val="BB_NT_GD_H-thanh2"/>
      <sheetName val="BB_NT_KL2"/>
      <sheetName val="CL_PP2"/>
      <sheetName val="TH_DgPP2"/>
      <sheetName val="Dg_PP2"/>
      <sheetName val="CL_DgPP2"/>
      <sheetName val="TH_DDau2"/>
      <sheetName val="TH_DVu2"/>
      <sheetName val="CL_Dvu2"/>
      <sheetName val="TH_DgDvu2"/>
      <sheetName val="Dg_DV2"/>
      <sheetName val="C_O2"/>
      <sheetName val="TH_dg_OC2"/>
      <sheetName val="CL_CatOng2"/>
      <sheetName val="Bang_qui_cach_Vtu2"/>
      <sheetName val="BLR_12"/>
      <sheetName val="D_Da02"/>
      <sheetName val="Div__A2"/>
      <sheetName val="TSCD_ko_dung2"/>
      <sheetName val="Tong_vat_tu2"/>
      <sheetName val="VT_luu2"/>
      <sheetName val="Vtu_u_dong2"/>
      <sheetName val="TSLD_khac2"/>
      <sheetName val="CC_da_pbo_het2"/>
      <sheetName val="26+960-27+050_92"/>
      <sheetName val="luong_thang_102"/>
      <sheetName val="tong_hop_thang_102"/>
      <sheetName val="TH_112"/>
      <sheetName val="px_khai_thac_22"/>
      <sheetName val="dao_lo_so_22"/>
      <sheetName val="luong_vp_thang_102"/>
      <sheetName val="Du_thau2"/>
      <sheetName val="Phan_tich_don_gia_(doc)2"/>
      <sheetName val="Du_toan2"/>
      <sheetName val="Chenh_lech_vat_tu2"/>
      <sheetName val="Phan_tich_vat_tu2"/>
      <sheetName val="Tong_hop_vat_tu2"/>
      <sheetName val="Gia_tri_vat_tu2"/>
      <sheetName val="Chi_phi_van_chuyen2"/>
      <sheetName val="Don_gia_chi_tiet2"/>
      <sheetName val="Tong_hop_kinh_phi2"/>
      <sheetName val="Tu_van_Thiet_ke2"/>
      <sheetName val="Tien_do_thi_cong2"/>
      <sheetName val="Bia_du_toan2"/>
      <sheetName val="[PIPE-03E_XLSÝ26+960-27+150_4(1"/>
      <sheetName val="L_D17042"/>
      <sheetName val="TK_331c12"/>
      <sheetName val="CT_3312"/>
      <sheetName val="CT_1312"/>
      <sheetName val="28+!60-28+420_5K952"/>
      <sheetName val="Thi_sinh2"/>
      <sheetName val="Cham_cong2"/>
      <sheetName val="Bang_luong2"/>
      <sheetName val="STH_1522"/>
      <sheetName val="CN_3312"/>
      <sheetName val="VC_MONG2"/>
      <sheetName val="LUONG_NC2"/>
      <sheetName val="BKE_CT_GOC2"/>
      <sheetName val="BKE_CT_GOC_(2)2"/>
      <sheetName val="CTGS10_(2)2"/>
      <sheetName val="PIPE-03E_XLS2"/>
      <sheetName val="THV_CHI_62"/>
      <sheetName val="27+500-700_4(k85)2"/>
      <sheetName val="B9_SCL_(2)2"/>
      <sheetName val="Thang_7-052"/>
      <sheetName val="Bia_dvi2"/>
      <sheetName val="B3_Tonghop_thang2"/>
      <sheetName val="Liệt_kê1"/>
      <sheetName val="CHIET_TINH_TBA2"/>
      <sheetName val="CHIET_TINH_DZ_0,42"/>
      <sheetName val="CHIET_TINH_CCT2"/>
      <sheetName val="Tong_hop_gia2"/>
      <sheetName val="cong_bien_t1&lt;2"/>
      <sheetName val="Bang_2B2"/>
      <sheetName val="Dgia_vat_tu2"/>
      <sheetName val="Don_gia_III2"/>
      <sheetName val="Dgia_VT2"/>
      <sheetName val="Cong_doan2"/>
      <sheetName val="VËt_liÖu1"/>
      <sheetName val="K_L­¬ng_1"/>
      <sheetName val="GTDT_1"/>
      <sheetName val="Bï_VL_1"/>
      <sheetName val="Tæng_Hîp1"/>
      <sheetName val="Kinh_PhÝ1"/>
      <sheetName val="T_kÕ1"/>
      <sheetName val="tÝnh_VL1"/>
      <sheetName val="KL_®Ëp1"/>
      <sheetName val="Lµng_Lµ1"/>
      <sheetName val="THDN_MBA_phu_tai1"/>
      <sheetName val="TBA_CC1"/>
      <sheetName val="Purchase_Order1"/>
      <sheetName val="Customize_Your_Purchase_Order1"/>
      <sheetName val="A__Building__1"/>
      <sheetName val="Qty-(Arc_)1"/>
      <sheetName val="TH_K_II1"/>
      <sheetName val="TH_K_I1"/>
      <sheetName val="Electrical_Breakdown1"/>
      <sheetName val="DTcojg_4-51"/>
      <sheetName val="DGchitiet_1"/>
      <sheetName val="P_LIST1"/>
      <sheetName val="MAKING_BILL1"/>
      <sheetName val="CO_FORM_A1"/>
      <sheetName val="HOI_PHIEU1"/>
      <sheetName val="YEU_CAU_TT_TECH_(LC)1"/>
      <sheetName val="shipping_advice1"/>
      <sheetName val="May_thi_cong1"/>
      <sheetName val="Chi_phi_chung1"/>
      <sheetName val="TH_du_toan¸1"/>
      <sheetName val="TH_du_toann1"/>
      <sheetName val="26+960-27+150_5(k95!1"/>
      <sheetName val="TH_du_toanþ1"/>
      <sheetName val="bANG_THANH_TOAN_LUONG_SC1"/>
      <sheetName val="DON_GIA_TIEN_LUONG_SXCB1"/>
      <sheetName val="bang_ke_luong_sc1"/>
      <sheetName val="DICH_VU1"/>
      <sheetName val="BD_LE_TET1"/>
      <sheetName val="BANG_THANH_TOAN_LUONG_TO_SO_CH1"/>
      <sheetName val="BANG_TONG_HOP_LUONG_SP1"/>
      <sheetName val="Bang_ke_tien_luong_O_phong1"/>
      <sheetName val="bang_ke_luong_SP1"/>
      <sheetName val="tam_ung_luong_ky_I1"/>
      <sheetName val="bao_cao_BHXH_6_thang1"/>
      <sheetName val="DMVT1_(2)1"/>
      <sheetName val="Chiet_tinh_6at_lieu_1"/>
      <sheetName val="gia_vat_,ieu1"/>
      <sheetName val="Ki泺m_tra_DS_thue_GTGT1"/>
      <sheetName val="27+740-820_3(k95)1"/>
      <sheetName val="20_9_051"/>
      <sheetName val="Thanh_toan1"/>
      <sheetName val="B_11D_1"/>
      <sheetName val="Gia_tr?1"/>
      <sheetName val="Ki??m_tra_DS_thue_GTGT1"/>
      <sheetName val="Thuong_dip_nhan_danh_hieu_AHL?1"/>
      <sheetName val="Tojg_hop_thep1"/>
      <sheetName val="tph_AAHSTOT271"/>
      <sheetName val="Van_chtyen1"/>
      <sheetName val="DS_dang_ky_thi_dua_20051"/>
      <sheetName val="DS_khen_thuong20041"/>
      <sheetName val="quy_bao_lu_051"/>
      <sheetName val="VT_co_phuong1"/>
      <sheetName val="Da_hai1"/>
      <sheetName val="VT_A_ma1"/>
      <sheetName val="VT_van_ho1"/>
      <sheetName val="Son_A_Ma1"/>
      <sheetName val="Son_Co_Ph1"/>
      <sheetName val="Mau_giao1"/>
      <sheetName val="TT_TH1"/>
      <sheetName val="vat_lieu_tan_hoat1"/>
      <sheetName val="KL_tonࡧ1"/>
      <sheetName val="QUY_TM_2004_(3)1"/>
      <sheetName val="QUY_TM_2004_(2)1"/>
      <sheetName val="SO_CAI_2004_TK_111_(2)1"/>
      <sheetName val="CTGS_N111_(2)1"/>
      <sheetName val="Can_doi_TK_(2)1"/>
      <sheetName val="CTGS_Co_1111"/>
      <sheetName val="Bang_1"/>
      <sheetName val="So_TGNH__(2)1"/>
      <sheetName val="N_1111"/>
      <sheetName val="Sheet1_(3)1"/>
      <sheetName val="C_1111"/>
      <sheetName val="KD_Theo_YTo1"/>
      <sheetName val="Tang_giam_TSCD1"/>
      <sheetName val="TK_Ngoai_bang1"/>
      <sheetName val="TMinh_BC_TC1"/>
      <sheetName val="Can_doi_TK1"/>
      <sheetName val="BCD_KToan1"/>
      <sheetName val="So_TGNH_1"/>
      <sheetName val="SO_CAI_TK_1121"/>
      <sheetName val="SO_CAI_2004_TK_1111"/>
      <sheetName val="Tien_Vay_3111"/>
      <sheetName val="DT_BH1"/>
      <sheetName val="So_QTM_20051"/>
      <sheetName val="QUY_TM_20041"/>
      <sheetName val="Ca_D1"/>
      <sheetName val="bang_ke_nop`thue1"/>
      <sheetName val="TK_9111"/>
      <sheetName val="H_long1"/>
      <sheetName val="C_Mong1"/>
      <sheetName val="M_Phu1"/>
      <sheetName val="T_Son1"/>
      <sheetName val="V_Don1"/>
      <sheetName val="Y_Kien1"/>
      <sheetName val="V_Quang1"/>
      <sheetName val="Q_Lam1"/>
      <sheetName val="P_Thu1"/>
      <sheetName val="T_Coc1"/>
      <sheetName val="D_Nghia1"/>
      <sheetName val="TT_DH1"/>
      <sheetName val="P_Phu1"/>
      <sheetName val="P_Lai1"/>
      <sheetName val="N_Xuyen1"/>
      <sheetName val="H_quan1"/>
      <sheetName val="S_Dang1"/>
      <sheetName val="N_Quan1"/>
      <sheetName val="C_Dam1"/>
      <sheetName val="B_luan1"/>
      <sheetName val="M_Luong1"/>
      <sheetName val="B_Doan1"/>
      <sheetName val="H_Do1"/>
      <sheetName val="D_Khe1"/>
      <sheetName val="P_Trung1"/>
      <sheetName val="V_du1"/>
      <sheetName val="TK_7111"/>
      <sheetName val="TK_6321"/>
      <sheetName val="Chi_tiet_5111"/>
      <sheetName val="TK_5111"/>
      <sheetName val="TK_342_(_thue_T_C_)1"/>
      <sheetName val="Phat_sinh_20051"/>
      <sheetName val="TK_341vay_dai_han_1"/>
      <sheetName val="TK_2141"/>
      <sheetName val="TK_2121"/>
      <sheetName val="Chi_tiet_TK_2111"/>
      <sheetName val="TK_2111"/>
      <sheetName val="TK_1541"/>
      <sheetName val="Chi_tiet_TK_1521"/>
      <sheetName val="TK_1521"/>
      <sheetName val="Chung_tu_ghi_so_1"/>
      <sheetName val="TK_1421"/>
      <sheetName val="TK_1411"/>
      <sheetName val="TK_1331"/>
      <sheetName val="Chi_tiet_TK1311"/>
      <sheetName val="TK_1311"/>
      <sheetName val="TK_1121"/>
      <sheetName val="TK_1111"/>
      <sheetName val="Phieu_thu1"/>
      <sheetName val="Phieu_chi_1"/>
      <sheetName val="Phieu_nhap_VTu_1"/>
      <sheetName val="Phieu_xuat_VTu1"/>
      <sheetName val="Can_doi_vat_tu_nhap_xuat_1"/>
      <sheetName val="Vat_tu_nhapxuat_nam_20051"/>
      <sheetName val="Ca_may_can_dung_nam_20051"/>
      <sheetName val="Vat_Tu_can_cho_CT_nam_20051"/>
      <sheetName val="HD_thu_mua_hang_NLS_1"/>
      <sheetName val="HD_thu_mua_cat_soi_1"/>
      <sheetName val="TLy_HD_mua_ban_1"/>
      <sheetName val="CAU5_A_Thu1"/>
      <sheetName val="yen_lenh1"/>
      <sheetName val="CAU5_(1+2)1"/>
      <sheetName val="CAU_7_(O_Hien)1"/>
      <sheetName val="CAU_71"/>
      <sheetName val="TCCG_(_NH)1"/>
      <sheetName val="Cau_91"/>
      <sheetName val="Cau_111"/>
      <sheetName val="Chi_tieu_KT-KT1"/>
      <sheetName val="BGDO_Sdong1"/>
      <sheetName val="BBtrang_SD1"/>
      <sheetName val="Vuong_do_l2_sd_171"/>
      <sheetName val="Vuong_do_SD171"/>
      <sheetName val="BG_T_SD171"/>
      <sheetName val="SD_171"/>
      <sheetName val="dn_x1"/>
      <sheetName val="dn_xay1"/>
      <sheetName val="TONG_HOP_VL-NC1"/>
      <sheetName val="DM_671"/>
      <sheetName val="gia_vt,nc,may1"/>
      <sheetName val="To_declare1"/>
      <sheetName val="MAIN_GATE_HOUSE1"/>
      <sheetName val="CT_Thang_Mo1"/>
      <sheetName val="CT__PL1"/>
      <sheetName val="Summary_(1)1"/>
      <sheetName val="List_of_Houses1"/>
      <sheetName val="B2_SITE_WORKS1"/>
      <sheetName val="B3_CONCRETE_WORKS1"/>
      <sheetName val="B4_MASONRY_WORKS1"/>
      <sheetName val="B5_METAL_WORKS1"/>
      <sheetName val="B6_THERMAL&amp;MOITURE1"/>
      <sheetName val="B7_ALU_GLASS_D&amp;W1"/>
      <sheetName val="B8_FINISHING_WORKS1"/>
      <sheetName val="B12_EXTERNAL_WORKS1"/>
      <sheetName val="DMVT_-_21"/>
      <sheetName val="B__Additional_items1"/>
      <sheetName val="C__VE_items_Add11"/>
      <sheetName val="F__VE_items_Updated_Add11"/>
      <sheetName val="G__Duplicated_items1"/>
      <sheetName val="CSA-Rate Build Up"/>
      <sheetName val="Phương án 1"/>
      <sheetName val="Hạng mục chung (2)"/>
      <sheetName val="REMUNERASISTANDAR"/>
      <sheetName val="TABEL-DETASIR"/>
      <sheetName val="Corewall Rb-Mezz"/>
      <sheetName val="집계표"/>
      <sheetName val="실행철강하도"/>
      <sheetName val="149-2"/>
      <sheetName val="Analisa"/>
      <sheetName val="RAB AR&amp;STR"/>
      <sheetName val="DN d72"/>
      <sheetName val="ADuong"/>
      <sheetName val="DN72"/>
      <sheetName val="XN ! gach nen"/>
      <sheetName val="Anh Dung 100"/>
      <sheetName val="Anh Duong"/>
      <sheetName val="XN So 1"/>
      <sheetName val="Gach XN 725"/>
      <sheetName val="van chuyen 725"/>
      <sheetName val="gach chinh"/>
      <sheetName val="van chuyen Block"/>
      <sheetName val="Van chuyen C Dinh"/>
      <sheetName val="Ong N¨ng"/>
      <sheetName val="Vuong do"/>
      <sheetName val="HH Bê tông cọc"/>
      <sheetName val="D1000"/>
      <sheetName val="D1500 LOẠI 1"/>
      <sheetName val="D1500 LOẠI 2"/>
      <sheetName val="D1500 LOẠI 3"/>
      <sheetName val="D1500 LOẠI 4"/>
      <sheetName val="SỐ LIỆU"/>
      <sheetName val="HH Bê tông cọc (2)"/>
      <sheetName val="노임단가"/>
      <sheetName val="전기"/>
      <sheetName val="1. THGT(cu)"/>
      <sheetName val="00- BIA"/>
      <sheetName val="Đọc số"/>
      <sheetName val="THGT ĐC"/>
      <sheetName val="GT PS"/>
      <sheetName val="XÁC NHẬN ĐMPS"/>
      <sheetName val="PHÁT SINH"/>
      <sheetName val="1. THGT HĐ"/>
      <sheetName val="2. Dự thầu"/>
      <sheetName val="3. Cẩu tháp"/>
      <sheetName val="4. Đặt chờ ME"/>
      <sheetName val="3- BG.TRI"/>
      <sheetName val="5. DMVT"/>
      <sheetName val="6. PVCV"/>
      <sheetName val="1.3 Chi Phí HSES - Br"/>
      <sheetName val="1.3 Điện nước tạm"/>
      <sheetName val="2.1 TH ME Tạm"/>
      <sheetName val="2.2 ME tạm "/>
      <sheetName val="3. CP thí nghiệm"/>
      <sheetName val="TN đặt chờ ME"/>
      <sheetName val="Chi tiet tủ điện"/>
      <sheetName val="Data (2)"/>
      <sheetName val="등급변환"/>
      <sheetName val="예산M2"/>
      <sheetName val="예산M5A"/>
      <sheetName val="SG"/>
      <sheetName val="예산M12A"/>
      <sheetName val="각종양식"/>
      <sheetName val="단가산출1"/>
      <sheetName val="THDGÆ"/>
      <sheetName val="THDGH"/>
      <sheetName val="THDGX"/>
      <sheetName val="THDG"/>
      <sheetName val="THDG_x0018_"/>
      <sheetName val="THDG_x0008_"/>
      <sheetName val="THDG¨"/>
      <sheetName val="THDG("/>
      <sheetName val="THDGÈ"/>
      <sheetName val="THDG"/>
      <sheetName val="THDG8"/>
      <sheetName val="THDG°"/>
      <sheetName val="合成単価作成表-BLD窤"/>
      <sheetName val="Setup"/>
      <sheetName val="Check Sheet"/>
      <sheetName val="PANEL가격"/>
      <sheetName val="Level 1- A"/>
      <sheetName val="ﾄﾞﾊﾞｲFUEL_GAS追見1"/>
      <sheetName val="Code_021"/>
      <sheetName val="Code_031"/>
      <sheetName val="Code_041"/>
      <sheetName val="Code_051"/>
      <sheetName val="Code_061"/>
      <sheetName val="Code_071"/>
      <sheetName val="Code_091"/>
      <sheetName val="sc0314_Index1"/>
      <sheetName val="Cover_Sheet1"/>
      <sheetName val="BREAK_DOWN1"/>
      <sheetName val="CBL_Termination1"/>
      <sheetName val="Uhde_Equip_List1"/>
      <sheetName val="Pengalaman_Per1"/>
      <sheetName val="Engineering_Forecast1"/>
      <sheetName val="GM_0001"/>
      <sheetName val="atap"/>
      <sheetName val="harga"/>
      <sheetName val="Sensitivitas"/>
      <sheetName val="대치판정"/>
      <sheetName val="ￒaￒg_TH_Dtoan1"/>
      <sheetName val="TIEN_GOI2"/>
      <sheetName val="NHAT_KY_THU_TIEN_T_GOI2"/>
      <sheetName val="LUONG_GIAN_TIEP2"/>
      <sheetName val="NHAT_KY_THU_TIEN_TM2"/>
      <sheetName val="UOC_THUC_HIEN_THUE_TNDN2"/>
      <sheetName val="QUY_TM2"/>
      <sheetName val="NKCT_-_012"/>
      <sheetName val="_ｹ-ﾌﾞﾙ2"/>
      <sheetName val="General_Data2"/>
      <sheetName val="내역서_2"/>
      <sheetName val="ITB_COST2"/>
      <sheetName val="Form_A_1_III2"/>
      <sheetName val="Form_A_12"/>
      <sheetName val="Form_A_1_12"/>
      <sheetName val="BOM_Indirect2"/>
      <sheetName val="Form_A_1_II_12"/>
      <sheetName val="Form_A_1_II_22"/>
      <sheetName val="Rekap-Base_Price2"/>
      <sheetName val="LAI_-_LO2"/>
      <sheetName val="TO_KHAI_CHI_TIET2"/>
      <sheetName val="THUE_PII2"/>
      <sheetName val="THUE_PIII2"/>
      <sheetName val="Architecture_Work2"/>
      <sheetName val="w't_table2"/>
      <sheetName val="QUYET_TOAN_THUE_TNDN2"/>
      <sheetName val="BANG_CAN_DOI_RUT_GON2"/>
      <sheetName val="BANG_CAN_DOI2"/>
      <sheetName val="NHAT_KY_CHI_TIEN2"/>
      <sheetName val="LAI_LO2"/>
      <sheetName val="TO_KHAI_THUE_DT_-TNDN-_CP2"/>
      <sheetName val="QUYET_TOAN_THUE-_CAC_KHOAN2"/>
      <sheetName val="GIA_THANH2"/>
      <sheetName val="BAI_DUNG_2"/>
      <sheetName val="BIA_NAM2"/>
      <sheetName val="TM_BAO_CAO2"/>
      <sheetName val="D_&amp;_B_Summary2"/>
      <sheetName val="Summary_Sheets2"/>
      <sheetName val="Data_-_Codes2"/>
      <sheetName val="Cable_Data_CP53"/>
      <sheetName val="CAL_2"/>
      <sheetName val="4_주별물량Table2"/>
      <sheetName val="2_2_띠장의_설계2"/>
      <sheetName val="PO_Contabilizado_31-12-042"/>
      <sheetName val="HRSG_PRINT2"/>
      <sheetName val="&lt;&lt;380V&gt;&gt;_2"/>
      <sheetName val="_Est_2"/>
      <sheetName val="tank_list1"/>
      <sheetName val="공사비_내역_(가)2"/>
      <sheetName val="Price_Sheet2"/>
      <sheetName val="Resumen_Prestamos2"/>
      <sheetName val="Articoli_da_prezziario1"/>
      <sheetName val="CAL(1)_1"/>
      <sheetName val="Gravel_in_pond1"/>
      <sheetName val="PRECAST_lightconc-II1"/>
      <sheetName val="BASE_MET1"/>
      <sheetName val="REF_ONLY1"/>
      <sheetName val="BQ_List1"/>
      <sheetName val="Block#1-DVU_CDU1"/>
      <sheetName val="Append__4_1__Cash_Flow_Input1"/>
      <sheetName val="Append_5_1__Costing_Sheet1"/>
      <sheetName val="Append_5_5__Labour_Cost_1"/>
      <sheetName val="Append_5_1__Unit_Rates1"/>
      <sheetName val="Append_5_4__Site_Staff_1"/>
      <sheetName val="Append__5_3__SiteEstablishment1"/>
      <sheetName val="Append_3__Investments1"/>
      <sheetName val="Append_5_2__Material_Summary_1"/>
      <sheetName val="co-no_21"/>
      <sheetName val="PO_List1"/>
      <sheetName val="Subcon_Status_-_Sum_New_Format1"/>
      <sheetName val="Subcontract_Status_-_Sum_all_$1"/>
      <sheetName val="SD_(1)1"/>
      <sheetName val="COST_SUMM1"/>
      <sheetName val="CC_Down_load_07161"/>
      <sheetName val="전차선로_물량표1"/>
      <sheetName val="DESIGN_CRITERIA1"/>
      <sheetName val="Repo_Date1"/>
      <sheetName val="견적대비_견적서"/>
      <sheetName val="1_우편집중내역서"/>
      <sheetName val="BSD_(2)"/>
      <sheetName val="간접인원_급료산출"/>
      <sheetName val="30개월기준대비표_아랍택)"/>
      <sheetName val="총괄표_(2)"/>
      <sheetName val="project_management"/>
      <sheetName val="clv"/>
      <sheetName val="PGV-Th_(2)"/>
      <sheetName val="Q5434_EQ_LIST"/>
      <sheetName val="motor_power"/>
      <sheetName val="NONS__60"/>
      <sheetName val="VALVE_LIST"/>
      <sheetName val="Build_Up"/>
      <sheetName val="1_설계조건"/>
      <sheetName val="Valor_mensal"/>
      <sheetName val="A1_Thru_A11-_LUMP_SUM_CONSTR"/>
      <sheetName val="Process_Piping"/>
      <sheetName val="OCT_FDN"/>
      <sheetName val="33628-Rev__A"/>
      <sheetName val="studbolt_no_"/>
      <sheetName val="studbolt_size"/>
      <sheetName val="item_sort_no"/>
      <sheetName val="Silo_with_internal_cone"/>
      <sheetName val="labour_coeff"/>
      <sheetName val="Meas_-Hotel_Part"/>
      <sheetName val="huy_dong_von4"/>
      <sheetName val="Lai_vayxd4"/>
      <sheetName val="Lai_vayphaitra4"/>
      <sheetName val="Lai_vay_4"/>
      <sheetName val="tra_von4"/>
      <sheetName val="KH_chi_tiet4"/>
      <sheetName val="nguyen_lieu4"/>
      <sheetName val="soi_tho_soi_det4"/>
      <sheetName val="soi_thuong4"/>
      <sheetName val="vai_det4"/>
      <sheetName val="chi_phi_1tan4"/>
      <sheetName val="von_luu_dong4"/>
      <sheetName val="thue_VAT4"/>
      <sheetName val="doanh_thu4"/>
      <sheetName val="doanh_thu_loi_nhuan4"/>
      <sheetName val="dong_tien4"/>
      <sheetName val="thu_hoi_von4"/>
      <sheetName val="hoan_von4"/>
      <sheetName val="dothi_npv4"/>
      <sheetName val="diem_hoa_von4"/>
      <sheetName val="nop_ngan_sach4"/>
      <sheetName val="chi_tieu4"/>
      <sheetName val="TIEN_GOI3"/>
      <sheetName val="NHAT_KY_THU_TIEN_T_GOI3"/>
      <sheetName val="LUONG_GIAN_TIEP3"/>
      <sheetName val="NHAT_KY_THU_TIEN_TM3"/>
      <sheetName val="UOC_THUC_HIEN_THUE_TNDN3"/>
      <sheetName val="QUY_TM3"/>
      <sheetName val="NKCT_-_013"/>
      <sheetName val="_ｹ-ﾌﾞﾙ3"/>
      <sheetName val="General_Data3"/>
      <sheetName val="BLR_13"/>
      <sheetName val="Tong_Thu3"/>
      <sheetName val="Tong_Chi3"/>
      <sheetName val="Truong_hoc3"/>
      <sheetName val="Cty_CP3"/>
      <sheetName val="G_thau_3B3"/>
      <sheetName val="T_Hop_Thu-chi3"/>
      <sheetName val="TH_mau_moi_tu_T103"/>
      <sheetName val="Tong_hop_Quy_IV3"/>
      <sheetName val="gia_phan_mong3"/>
      <sheetName val="VAT_TU_NHAN_TXQN3"/>
      <sheetName val="bang_tong_ke_khoi_luong_vat_tu3"/>
      <sheetName val="hcong_tkhe3"/>
      <sheetName val="VAT_TU_NHAN_TKHE3"/>
      <sheetName val="hcong_qn3"/>
      <sheetName val="VAT_TU_NHAN_(2)3"/>
      <sheetName val="B_T_HOP3"/>
      <sheetName val="HT_HE_DUONG3"/>
      <sheetName val="DH_D1,23"/>
      <sheetName val="Tro_giup3"/>
      <sheetName val="내역서_3"/>
      <sheetName val="ITB_COST3"/>
      <sheetName val="Form_A_1_III3"/>
      <sheetName val="Form_A_13"/>
      <sheetName val="Form_A_1_13"/>
      <sheetName val="BOM_Indirect3"/>
      <sheetName val="Form_A_1_II_13"/>
      <sheetName val="Form_A_1_II_23"/>
      <sheetName val="Rekap-Base_Price3"/>
      <sheetName val="LAI_-_LO3"/>
      <sheetName val="TO_KHAI_CHI_TIET3"/>
      <sheetName val="THUE_PII3"/>
      <sheetName val="THUE_PIII3"/>
      <sheetName val="Architecture_Work3"/>
      <sheetName val="w't_table3"/>
      <sheetName val="QUYET_TOAN_THUE_TNDN3"/>
      <sheetName val="BANG_CAN_DOI_RUT_GON3"/>
      <sheetName val="BANG_CAN_DOI3"/>
      <sheetName val="NHAT_KY_CHI_TIEN3"/>
      <sheetName val="LAI_LO3"/>
      <sheetName val="TO_KHAI_THUE_DT_-TNDN-_CP3"/>
      <sheetName val="QUYET_TOAN_THUE-_CAC_KHOAN3"/>
      <sheetName val="GIA_THANH3"/>
      <sheetName val="BAI_DUNG_3"/>
      <sheetName val="BIA_NAM3"/>
      <sheetName val="TM_BAO_CAO3"/>
      <sheetName val="D_&amp;_B_Summary3"/>
      <sheetName val="Summary_Sheets3"/>
      <sheetName val="Data_-_Codes3"/>
      <sheetName val="Cable_Data_CP54"/>
      <sheetName val="CAL_3"/>
      <sheetName val="sc0314_Index2"/>
      <sheetName val="4_주별물량Table3"/>
      <sheetName val="2_2_띠장의_설계3"/>
      <sheetName val="Cover_Sheet2"/>
      <sheetName val="BREAK_DOWN2"/>
      <sheetName val="CBL_Termination2"/>
      <sheetName val="Uhde_Equip_List2"/>
      <sheetName val="Pengalaman_Per2"/>
      <sheetName val="Engineering_Forecast2"/>
      <sheetName val="GM_0002"/>
      <sheetName val="Code_022"/>
      <sheetName val="Code_032"/>
      <sheetName val="Code_042"/>
      <sheetName val="Code_052"/>
      <sheetName val="Code_062"/>
      <sheetName val="Code_072"/>
      <sheetName val="Code_092"/>
      <sheetName val="PO_Contabilizado_31-12-043"/>
      <sheetName val="Du_thau3"/>
      <sheetName val="Phan_tich_don_gia_(doc)3"/>
      <sheetName val="HRSG_PRINT3"/>
      <sheetName val="luong_thang_103"/>
      <sheetName val="tong_hop_thang_103"/>
      <sheetName val="TH_113"/>
      <sheetName val="px_khai_thac_23"/>
      <sheetName val="dao_lo_so_23"/>
      <sheetName val="luong_vp_thang_103"/>
      <sheetName val="&lt;&lt;380V&gt;&gt;_3"/>
      <sheetName val="_Est_3"/>
      <sheetName val="tank_list2"/>
      <sheetName val="공사비_내역_(가)3"/>
      <sheetName val="Price_Sheet3"/>
      <sheetName val="Resumen_Prestamos3"/>
      <sheetName val="Articoli_da_prezziario2"/>
      <sheetName val="CAL(1)_2"/>
      <sheetName val="Gravel_in_pond2"/>
      <sheetName val="PRECAST_lightconc-II2"/>
      <sheetName val="ﾄﾞﾊﾞｲFUEL_GAS追見2"/>
      <sheetName val="BASE_MET2"/>
      <sheetName val="REF_ONLY2"/>
      <sheetName val="BQ_List2"/>
      <sheetName val="Block#1-DVU_CDU2"/>
      <sheetName val="Append__4_1__Cash_Flow_Input2"/>
      <sheetName val="Append_5_1__Costing_Sheet2"/>
      <sheetName val="Append_5_5__Labour_Cost_2"/>
      <sheetName val="Append_5_1__Unit_Rates2"/>
      <sheetName val="Append_5_4__Site_Staff_2"/>
      <sheetName val="Append__5_3__SiteEstablishment2"/>
      <sheetName val="Append_3__Investments2"/>
      <sheetName val="Append_5_2__Material_Summary_2"/>
      <sheetName val="Liệt_kê2"/>
      <sheetName val="bANG_THANH_TOAN_LUONG_SC2"/>
      <sheetName val="DON_GIA_TIEN_LUONG_SXCB2"/>
      <sheetName val="bang_ke_luong_sc2"/>
      <sheetName val="DICH_VU2"/>
      <sheetName val="BD_LE_TET2"/>
      <sheetName val="BANG_THANH_TOAN_LUONG_TO_SO_CH2"/>
      <sheetName val="BANG_TONG_HOP_LUONG_SP2"/>
      <sheetName val="Bang_ke_tien_luong_O_phong2"/>
      <sheetName val="bang_ke_luong_SP2"/>
      <sheetName val="tam_ung_luong_ky_I2"/>
      <sheetName val="bao_cao_BHXH_6_thang2"/>
      <sheetName val="CAU_12"/>
      <sheetName val="CAU5_A_Thu2"/>
      <sheetName val="yen_lenh2"/>
      <sheetName val="CAU5_(1+2)2"/>
      <sheetName val="co-no_22"/>
      <sheetName val="PO_List2"/>
      <sheetName val="Subcon_Status_-_Sum_New_Format2"/>
      <sheetName val="Subcontract_Status_-_Sum_all_$2"/>
      <sheetName val="SD_(1)2"/>
      <sheetName val="COST_SUMM2"/>
      <sheetName val="CC_Down_load_07162"/>
      <sheetName val="전차선로_물량표2"/>
      <sheetName val="DESIGN_CRITERIA2"/>
      <sheetName val="Repo_Date2"/>
      <sheetName val="견적대비_견적서1"/>
      <sheetName val="1_우편집중내역서1"/>
      <sheetName val="BSD_(2)1"/>
      <sheetName val="간접인원_급료산출1"/>
      <sheetName val="30개월기준대비표_아랍택)1"/>
      <sheetName val="총괄표_(2)1"/>
      <sheetName val="project_management1"/>
      <sheetName val="PGV-Th_(2)1"/>
      <sheetName val="Q5434_EQ_LIST1"/>
      <sheetName val="motor_power1"/>
      <sheetName val="NONS__601"/>
      <sheetName val="VALVE_LIST1"/>
      <sheetName val="Build_Up1"/>
      <sheetName val="1_설계조건1"/>
      <sheetName val="Valor_mensal1"/>
      <sheetName val="A1_Thru_A11-_LUMP_SUM_CONSTR1"/>
      <sheetName val="Process_Piping1"/>
      <sheetName val="OCT_FDN1"/>
      <sheetName val="33628-Rev__A1"/>
      <sheetName val="studbolt_no_1"/>
      <sheetName val="studbolt_size1"/>
      <sheetName val="item_sort_no1"/>
      <sheetName val="Silo_with_internal_cone1"/>
      <sheetName val="labour_coeff1"/>
      <sheetName val="Meas_-Hotel_Part1"/>
      <sheetName val="TIEN_GOI4"/>
      <sheetName val="XE_DAU4"/>
      <sheetName val="XE_XANG4"/>
      <sheetName val="Tien_ung4"/>
      <sheetName val="phi_luong34"/>
      <sheetName val="THVT_T54"/>
      <sheetName val="XL1_t54"/>
      <sheetName val="XL2_T54"/>
      <sheetName val="XL3_T54"/>
      <sheetName val="XL5_T54"/>
      <sheetName val="CC_XL14"/>
      <sheetName val="BLR_14"/>
      <sheetName val="Tong_Thu4"/>
      <sheetName val="Tong_Chi4"/>
      <sheetName val="Truong_hoc4"/>
      <sheetName val="Cty_CP4"/>
      <sheetName val="G_thau_3B4"/>
      <sheetName val="T_Hop_Thu-chi4"/>
      <sheetName val="TH_mau_moi_tu_T104"/>
      <sheetName val="Tong_hop_Quy_IV4"/>
      <sheetName val="KKTS_044"/>
      <sheetName val="nha_kct4"/>
      <sheetName val="Chenh_lech4"/>
      <sheetName val="Kinh_phí4"/>
      <sheetName val="THKL_H94"/>
      <sheetName val="THKL_H44"/>
      <sheetName val="NAM_20044"/>
      <sheetName val="CO_SO_DU_LIEU_PTVL4"/>
      <sheetName val="DG_SOC4"/>
      <sheetName val="DG_HQ4"/>
      <sheetName val="Bot_Giat_C4"/>
      <sheetName val="Bot_Giat_P_4"/>
      <sheetName val="THAY_THUNG_H4"/>
      <sheetName val="thi_nghiem4"/>
      <sheetName val="gia_phan_mong4"/>
      <sheetName val="VAT_TU_NHAN_TXQN4"/>
      <sheetName val="bang_tong_ke_khoi_luong_vat_tu4"/>
      <sheetName val="hcong_tkhe4"/>
      <sheetName val="VAT_TU_NHAN_TKHE4"/>
      <sheetName val="hcong_qn4"/>
      <sheetName val="VAT_TU_NHAN_(2)4"/>
      <sheetName val="huy_dong_von5"/>
      <sheetName val="Lai_vayxd5"/>
      <sheetName val="Lai_vayphaitra5"/>
      <sheetName val="Lai_vay_5"/>
      <sheetName val="tra_von5"/>
      <sheetName val="KH_chi_tiet5"/>
      <sheetName val="nguyen_lieu5"/>
      <sheetName val="soi_tho_soi_det5"/>
      <sheetName val="soi_thuong5"/>
      <sheetName val="vai_det5"/>
      <sheetName val="chi_phi_1tan5"/>
      <sheetName val="von_luu_dong5"/>
      <sheetName val="thue_VAT5"/>
      <sheetName val="doanh_thu5"/>
      <sheetName val="Cau_2(3)4"/>
      <sheetName val="Hat_14"/>
      <sheetName val="_H8_duong4"/>
      <sheetName val="Hat_7dg4"/>
      <sheetName val="TH_duong_1B4"/>
      <sheetName val="TH_cau_1B4"/>
      <sheetName val="cau_H14"/>
      <sheetName val="Son_dg4"/>
      <sheetName val="congtac_vien-uy4"/>
      <sheetName val="Nhan_luc20014"/>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bang_so_sanh_tong_hop_(_PA_cho4"/>
      <sheetName val="dang_ap_dung4"/>
      <sheetName val="bang_tong_hop_(dang_huong)4"/>
      <sheetName val="KH_200³_(moi_max)4"/>
      <sheetName val="TH_du_toan_4"/>
      <sheetName val="Du_toan_4"/>
      <sheetName val="C_Tinh4"/>
      <sheetName val="B_T_HOP4"/>
      <sheetName val="HT_HE_DUONG4"/>
      <sheetName val="DH_D1,24"/>
      <sheetName val="Tro_giup4"/>
      <sheetName val="내역서_4"/>
      <sheetName val="NHAT_KY_THU_TIEN_T_GOI4"/>
      <sheetName val="LUONG_GIAN_TIEP4"/>
      <sheetName val="NHAT_KY_THU_TIEN_TM4"/>
      <sheetName val="UOC_THUC_HIEN_THUE_TNDN4"/>
      <sheetName val="QUY_TM4"/>
      <sheetName val="NKCT_-_014"/>
      <sheetName val="doanh_thu_loi_nhuan5"/>
      <sheetName val="dong_tien5"/>
      <sheetName val="thu_hoi_von5"/>
      <sheetName val="hoan_von5"/>
      <sheetName val="dothi_npv5"/>
      <sheetName val="diem_hoa_von5"/>
      <sheetName val="nop_ngan_sach5"/>
      <sheetName val="chi_tieu5"/>
      <sheetName val="_ｹ-ﾌﾞﾙ4"/>
      <sheetName val="General_Data4"/>
      <sheetName val="ITB_COST4"/>
      <sheetName val="Form_A_1_III4"/>
      <sheetName val="Form_A_14"/>
      <sheetName val="Form_A_1_14"/>
      <sheetName val="BOM_Indirect4"/>
      <sheetName val="Form_A_1_II_14"/>
      <sheetName val="Form_A_1_II_24"/>
      <sheetName val="Rekap-Base_Price4"/>
      <sheetName val="LAI_-_LO4"/>
      <sheetName val="TO_KHAI_CHI_TIET4"/>
      <sheetName val="THUE_PII4"/>
      <sheetName val="THUE_PIII4"/>
      <sheetName val="Architecture_Work4"/>
      <sheetName val="w't_table4"/>
      <sheetName val="QUYET_TOAN_THUE_TNDN4"/>
      <sheetName val="BANG_CAN_DOI_RUT_GON4"/>
      <sheetName val="BANG_CAN_DOI4"/>
      <sheetName val="NHAT_KY_CHI_TIEN4"/>
      <sheetName val="LAI_LO4"/>
      <sheetName val="TO_KHAI_THUE_DT_-TNDN-_CP4"/>
      <sheetName val="QUYET_TOAN_THUE-_CAC_KHOAN4"/>
      <sheetName val="GIA_THANH4"/>
      <sheetName val="BAI_DUNG_4"/>
      <sheetName val="BIA_NAM4"/>
      <sheetName val="TM_BAO_CAO4"/>
      <sheetName val="D_&amp;_B_Summary4"/>
      <sheetName val="Summary_Sheets4"/>
      <sheetName val="Data_-_Codes4"/>
      <sheetName val="Cable_Data_CP55"/>
      <sheetName val="CAL_4"/>
      <sheetName val="PO_Contabilizado_31-12-044"/>
      <sheetName val="2_2_띠장의_설계4"/>
      <sheetName val="tank_list3"/>
      <sheetName val="sc0314_Index3"/>
      <sheetName val="4_주별물량Table4"/>
      <sheetName val="Cover_Sheet3"/>
      <sheetName val="BREAK_DOWN3"/>
      <sheetName val="CBL_Termination3"/>
      <sheetName val="Uhde_Equip_List3"/>
      <sheetName val="Pengalaman_Per3"/>
      <sheetName val="Engineering_Forecast3"/>
      <sheetName val="GM_0003"/>
      <sheetName val="Code_023"/>
      <sheetName val="Code_033"/>
      <sheetName val="Code_043"/>
      <sheetName val="Code_053"/>
      <sheetName val="Code_063"/>
      <sheetName val="Code_073"/>
      <sheetName val="Code_093"/>
      <sheetName val="Du_thau4"/>
      <sheetName val="Phan_tich_don_gia_(doc)4"/>
      <sheetName val="HRSG_PRINT4"/>
      <sheetName val="luong_thang_104"/>
      <sheetName val="tong_hop_thang_104"/>
      <sheetName val="TH_114"/>
      <sheetName val="px_khai_thac_24"/>
      <sheetName val="dao_lo_so_24"/>
      <sheetName val="luong_vp_thang_104"/>
      <sheetName val="&lt;&lt;380V&gt;&gt;_4"/>
      <sheetName val="_Est_4"/>
      <sheetName val="공사비_내역_(가)4"/>
      <sheetName val="Price_Sheet4"/>
      <sheetName val="Resumen_Prestamos4"/>
      <sheetName val="Articoli_da_prezziario3"/>
      <sheetName val="CAL(1)_3"/>
      <sheetName val="Gravel_in_pond3"/>
      <sheetName val="PRECAST_lightconc-II3"/>
      <sheetName val="PIPE-03E_XLS3"/>
      <sheetName val="ﾄﾞﾊﾞｲFUEL_GAS追見3"/>
      <sheetName val="BASE_MET3"/>
      <sheetName val="Liệt_kê3"/>
      <sheetName val="PO_List3"/>
      <sheetName val="Subcon_Status_-_Sum_New_Format3"/>
      <sheetName val="Subcontract_Status_-_Sum_all_$3"/>
      <sheetName val="SD_(1)3"/>
      <sheetName val="COST_SUMM3"/>
      <sheetName val="CC_Down_load_07163"/>
      <sheetName val="전차선로_물량표3"/>
      <sheetName val="MTO_REV_03"/>
      <sheetName val="Bang_gia_NC3"/>
      <sheetName val="TH_DZ353"/>
      <sheetName val="bANG_THANH_TOAN_LUONG_SC3"/>
      <sheetName val="DON_GIA_TIEN_LUONG_SXCB3"/>
      <sheetName val="bang_ke_luong_sc3"/>
      <sheetName val="DICH_VU3"/>
      <sheetName val="BD_LE_TET3"/>
      <sheetName val="BANG_THANH_TOAN_LUONG_TO_SO_CH3"/>
      <sheetName val="BANG_TONG_HOP_LUONG_SP3"/>
      <sheetName val="Bang_ke_tien_luong_O_phong3"/>
      <sheetName val="bang_ke_luong_SP3"/>
      <sheetName val="tam_ung_luong_ky_I3"/>
      <sheetName val="bao_cao_BHXH_6_thang3"/>
      <sheetName val="CAU_13"/>
      <sheetName val="CAU5_A_Thu3"/>
      <sheetName val="yen_lenh3"/>
      <sheetName val="CAU5_(1+2)3"/>
      <sheetName val="co-no_23"/>
      <sheetName val="REF_ONLY3"/>
      <sheetName val="BQ_List3"/>
      <sheetName val="Block#1-DVU_CDU3"/>
      <sheetName val="Append__4_1__Cash_Flow_Input3"/>
      <sheetName val="Append_5_1__Costing_Sheet3"/>
      <sheetName val="Append_5_5__Labour_Cost_3"/>
      <sheetName val="Append_5_1__Unit_Rates3"/>
      <sheetName val="Append_5_4__Site_Staff_3"/>
      <sheetName val="Append__5_3__SiteEstablishment3"/>
      <sheetName val="Append_3__Investments3"/>
      <sheetName val="Append_5_2__Material_Summary_3"/>
      <sheetName val="DESIGN_CRITERIA3"/>
      <sheetName val="Repo_Date3"/>
      <sheetName val="견적대비_견적서2"/>
      <sheetName val="VËt_liÖu2"/>
      <sheetName val="K_L­¬ng_2"/>
      <sheetName val="GTDT_2"/>
      <sheetName val="Bï_VL_2"/>
      <sheetName val="Tæng_Hîp2"/>
      <sheetName val="Kinh_PhÝ2"/>
      <sheetName val="T_kÕ2"/>
      <sheetName val="tÝnh_VL2"/>
      <sheetName val="KL_®Ëp2"/>
      <sheetName val="Lµng_Lµ2"/>
      <sheetName val="1_우편집중내역서2"/>
      <sheetName val="BSD_(2)2"/>
      <sheetName val="간접인원_급료산출2"/>
      <sheetName val="30개월기준대비표_아랍택)2"/>
      <sheetName val="총괄표_(2)2"/>
      <sheetName val="project_management2"/>
      <sheetName val="PGV-Th_(2)2"/>
      <sheetName val="Q5434_EQ_LIST2"/>
      <sheetName val="motor_power2"/>
      <sheetName val="NONS__602"/>
      <sheetName val="VALVE_LIST2"/>
      <sheetName val="Build_Up2"/>
      <sheetName val="1_설계조건2"/>
      <sheetName val="Valor_mensal2"/>
      <sheetName val="A1_Thru_A11-_LUMP_SUM_CONSTR2"/>
      <sheetName val="Process_Piping2"/>
      <sheetName val="OCT_FDN2"/>
      <sheetName val="33628-Rev__A2"/>
      <sheetName val="studbolt_no_2"/>
      <sheetName val="studbolt_size2"/>
      <sheetName val="item_sort_no2"/>
      <sheetName val="Silo_with_internal_cone2"/>
      <sheetName val="labour_coeff2"/>
      <sheetName val="Meas_-Hotel_Part2"/>
      <sheetName val="一発シート"/>
      <sheetName val="LB020A(月)"/>
      <sheetName val="完成工事"/>
      <sheetName val="未成工事"/>
      <sheetName val="外気負荷"/>
      <sheetName val="FI"/>
      <sheetName val="工事名、社内ﾚｰﾄ"/>
      <sheetName val="電気設備表"/>
      <sheetName val="AG原単位"/>
      <sheetName val="社内ﾚｰﾄ"/>
      <sheetName val="当初予算"/>
      <sheetName val="4月分"/>
      <sheetName val="6月分"/>
      <sheetName val="8月分"/>
      <sheetName val="#REF!"/>
      <sheetName val="設備Pe"/>
      <sheetName val="p1016-p1069(Aｻｲﾄ内訳) "/>
      <sheetName val="MOTO"/>
      <sheetName val="Temp&amp;Site"/>
      <sheetName val="FitOutConfCentre"/>
      <sheetName val="B3A - TOWER A"/>
      <sheetName val="Page 3"/>
      <sheetName val="Budget E"/>
      <sheetName val="K260 BßGe"/>
      <sheetName val="T.Tinh"/>
      <sheetName val="DSHD DH"/>
      <sheetName val="CANDOI"/>
      <sheetName val="Nhap VT oto"/>
      <sheetName val="Daodat"/>
      <sheetName val="VCTC"/>
      <sheetName val="gia vaԀ_x0000__x0000__x0000_Ȁ_x0000_"/>
      <sheetName val="gia vaԀ_x0000__x0000__x0000__x0000__x0000_"/>
      <sheetName val="Dec3þ"/>
      <sheetName val="_x0000_"/>
      <sheetName val="gia vaԀ"/>
      <sheetName val="dongia (2)"/>
      <sheetName val="Doi so"/>
      <sheetName val="BMS"/>
      <sheetName val="Elec LG"/>
      <sheetName val="01. KHO A-&gt;E"/>
      <sheetName val="Phieu_NX"/>
      <sheetName val="THEKHO"/>
      <sheetName val="SALA"/>
      <sheetName val="_x0005__x0004_é_x0001_"/>
      <sheetName val="発注"/>
      <sheetName val="EXF"/>
      <sheetName val="SADSAQ"/>
      <sheetName val="Chi tiet"/>
      <sheetName val="COTTHEP"/>
      <sheetName val="Gia_GC_Satthep"/>
      <sheetName val="CT_034"/>
      <sheetName val="TH_034"/>
      <sheetName val="Thang_124"/>
      <sheetName val="Du_toan3"/>
      <sheetName val="Phan_tich_vat_tu3"/>
      <sheetName val="Tong_hop_vat_tu3"/>
      <sheetName val="Tong_hop_gia3"/>
      <sheetName val="Thang_15"/>
      <sheetName val="Thang_12_(2)4"/>
      <sheetName val="Thang_014"/>
      <sheetName val="TK_331c13"/>
      <sheetName val="cong_bien_t1&lt;3"/>
      <sheetName val="Bang_2B3"/>
      <sheetName val="Dgia_vat_tu3"/>
      <sheetName val="Don_gia_III3"/>
      <sheetName val="Dgia_VT3"/>
      <sheetName val="TSCD_ko_dung3"/>
      <sheetName val="Tong_vat_tu3"/>
      <sheetName val="VT_luu3"/>
      <sheetName val="Vtu_u_dong3"/>
      <sheetName val="TSLD_khac3"/>
      <sheetName val="CC_da_pbo_het3"/>
      <sheetName val="Chenh_lech_vat_tu3"/>
      <sheetName val="Gia_tri_vat_tu3"/>
      <sheetName val="Chi_phi_van_chuyen3"/>
      <sheetName val="Don_gia_chi_tiet3"/>
      <sheetName val="Tong_hop_kinh_phi3"/>
      <sheetName val="Tu_van_Thiet_ke3"/>
      <sheetName val="Tien_do_thi_cong3"/>
      <sheetName val="Bia_du_toan3"/>
      <sheetName val="L_D17043"/>
      <sheetName val="THV_CHI_63"/>
      <sheetName val="27+500-700_4(k85)3"/>
      <sheetName val="D_Da03"/>
      <sheetName val="26+960-27+050_93"/>
      <sheetName val="CT_3313"/>
      <sheetName val="CT_1313"/>
      <sheetName val="28+!60-28+420_5K953"/>
      <sheetName val="Thi_sinh3"/>
      <sheetName val="Cham_cong3"/>
      <sheetName val="Bang_luong3"/>
      <sheetName val="STH_1523"/>
      <sheetName val="CN_3313"/>
      <sheetName val="VC_MONG3"/>
      <sheetName val="LUONG_NC3"/>
      <sheetName val="BKE_CT_GOC3"/>
      <sheetName val="BKE_CT_GOC_(2)3"/>
      <sheetName val="CTGS10_(2)3"/>
      <sheetName val="B9_SCL_(2)3"/>
      <sheetName val="Thang_7-053"/>
      <sheetName val="Bia_dvi3"/>
      <sheetName val="B3_Tonghop_thang3"/>
      <sheetName val="BB_NT_GD_H-thanh3"/>
      <sheetName val="BB_NT_KL3"/>
      <sheetName val="CL_PP3"/>
      <sheetName val="TH_DgPP3"/>
      <sheetName val="Dg_PP3"/>
      <sheetName val="CL_DgPP3"/>
      <sheetName val="TH_DDau3"/>
      <sheetName val="TH_DVu3"/>
      <sheetName val="CL_Dvu3"/>
      <sheetName val="TH_DgDvu3"/>
      <sheetName val="Dg_DV3"/>
      <sheetName val="C_O3"/>
      <sheetName val="TH_dg_OC3"/>
      <sheetName val="CL_CatOng3"/>
      <sheetName val="Bang_qui_cach_Vtu3"/>
      <sheetName val="Div__A3"/>
      <sheetName val="CHIET_TINH_TBA3"/>
      <sheetName val="CHIET_TINH_DZ_0,43"/>
      <sheetName val="CHIET_TINH_CCT3"/>
      <sheetName val="Cong_doan3"/>
      <sheetName val="26+960-27+150_5(k95!2"/>
      <sheetName val="TH_du_toanþ2"/>
      <sheetName val="THDN_MBA_phu_tai2"/>
      <sheetName val="TBA_CC2"/>
      <sheetName val="Purchase_Order2"/>
      <sheetName val="Customize_Your_Purchase_Order2"/>
      <sheetName val="A__Building__2"/>
      <sheetName val="Qty-(Arc_)2"/>
      <sheetName val="TH_K_II2"/>
      <sheetName val="TH_K_I2"/>
      <sheetName val="Electrical_Breakdown2"/>
      <sheetName val="TH_du_toan¸2"/>
      <sheetName val="TH_du_toann2"/>
      <sheetName val="DGchitiet_2"/>
      <sheetName val="DTcojg_4-52"/>
      <sheetName val="P_LIST2"/>
      <sheetName val="MAKING_BILL2"/>
      <sheetName val="CO_FORM_A2"/>
      <sheetName val="HOI_PHIEU2"/>
      <sheetName val="YEU_CAU_TT_TECH_(LC)2"/>
      <sheetName val="shipping_advice2"/>
      <sheetName val="May_thi_cong2"/>
      <sheetName val="Chi_phi_chung2"/>
      <sheetName val="20_9_052"/>
      <sheetName val="Thanh_toan2"/>
      <sheetName val="B_11D_2"/>
      <sheetName val="Gia_tr?2"/>
      <sheetName val="Ki??m_tra_DS_thue_GTGT2"/>
      <sheetName val="Thuong_dip_nhan_danh_hieu_AHL?2"/>
      <sheetName val="연령현황"/>
      <sheetName val="총무"/>
      <sheetName val="고객별 담당자"/>
      <sheetName val="chitimc"/>
      <sheetName val="BX T7"/>
      <sheetName val="Giai trinh"/>
      <sheetName val="Đon gia"/>
      <sheetName val="Rates"/>
      <sheetName val="SITE-E"/>
      <sheetName val="날개벽(시점좌측)"/>
      <sheetName val="설계조건"/>
      <sheetName val="안정계산"/>
      <sheetName val="단면검토"/>
      <sheetName val="마산방향철근집계"/>
      <sheetName val="진주방향"/>
      <sheetName val="마산방향"/>
      <sheetName val="ABUT수량-A1"/>
      <sheetName val="GAEYO"/>
      <sheetName val="sub struc-Omission"/>
      <sheetName val="BQ-E20-02(Rp)"/>
      <sheetName val="alpha1"/>
      <sheetName val="경비2내역"/>
      <sheetName val="Đầu vào"/>
      <sheetName val="ATS Report"/>
      <sheetName val="Doc Count"/>
      <sheetName val="Electrical"/>
      <sheetName val="Instrument"/>
      <sheetName val="Structural"/>
      <sheetName val="Mechanical"/>
      <sheetName val="Process"/>
      <sheetName val="Safety"/>
      <sheetName val="Telecoms"/>
      <sheetName val="Pipeline"/>
      <sheetName val="DATA ENTRY"/>
      <sheetName val="van_phong_Quy_1"/>
      <sheetName val="Cong_ty_Quy_1"/>
      <sheetName val="Buy_vs__Lease_Car"/>
      <sheetName val="CP_Khac_cuoc_VC"/>
      <sheetName val="T_KE_CP1"/>
      <sheetName val="MainPage"/>
      <sheetName val="SELECTION"/>
      <sheetName val="QUOTATION"/>
      <sheetName val="ALLOCATION FORM"/>
      <sheetName val="RPO"/>
      <sheetName val="Customer Database"/>
      <sheetName val="T&amp;C"/>
      <sheetName val="Price Vlookup"/>
      <sheetName val="Spec Database(All)"/>
      <sheetName val="RHS"/>
      <sheetName val="Chi tiet_x0000__x0000__x0000__x0000__x0000__x0000__x0000__x0000__x0000_"/>
    </sheetNames>
    <definedNames>
      <definedName name="DataFilter"/>
      <definedName name="DataSort"/>
      <definedName name="GoBack" sheetI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sheetData sheetId="1156"/>
      <sheetData sheetId="1157"/>
      <sheetData sheetId="1158" refreshError="1"/>
      <sheetData sheetId="1159" refreshError="1"/>
      <sheetData sheetId="1160" refreshError="1"/>
      <sheetData sheetId="1161" refreshError="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sheetData sheetId="1226" refreshError="1"/>
      <sheetData sheetId="1227" refreshError="1"/>
      <sheetData sheetId="1228" refreshError="1"/>
      <sheetData sheetId="1229" refreshError="1"/>
      <sheetData sheetId="1230"/>
      <sheetData sheetId="1231"/>
      <sheetData sheetId="1232"/>
      <sheetData sheetId="1233" refreshError="1"/>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refreshError="1"/>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refreshError="1"/>
      <sheetData sheetId="1746" refreshError="1"/>
      <sheetData sheetId="1747" refreshError="1"/>
      <sheetData sheetId="1748" refreshError="1"/>
      <sheetData sheetId="1749"/>
      <sheetData sheetId="1750"/>
      <sheetData sheetId="1751"/>
      <sheetData sheetId="1752" refreshError="1"/>
      <sheetData sheetId="1753"/>
      <sheetData sheetId="1754"/>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refreshError="1"/>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sheetData sheetId="2424"/>
      <sheetData sheetId="2425"/>
      <sheetData sheetId="2426"/>
      <sheetData sheetId="2427"/>
      <sheetData sheetId="2428" refreshError="1"/>
      <sheetData sheetId="2429" refreshError="1"/>
      <sheetData sheetId="2430" refreshError="1"/>
      <sheetData sheetId="243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sheetData sheetId="2446" refreshError="1"/>
      <sheetData sheetId="2447" refreshError="1"/>
      <sheetData sheetId="2448" refreshError="1"/>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sheetData sheetId="2898"/>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sheetData sheetId="2973"/>
      <sheetData sheetId="2974" refreshError="1"/>
      <sheetData sheetId="2975" refreshError="1"/>
      <sheetData sheetId="2976" refreshError="1"/>
      <sheetData sheetId="2977" refreshError="1"/>
      <sheetData sheetId="2978" refreshError="1"/>
      <sheetData sheetId="2979" refreshError="1"/>
      <sheetData sheetId="2980" refreshError="1"/>
      <sheetData sheetId="298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sheetData sheetId="13778" refreshError="1"/>
      <sheetData sheetId="13779"/>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sheetData sheetId="14016" refreshError="1"/>
      <sheetData sheetId="14017" refreshError="1"/>
      <sheetData sheetId="14018" refreshError="1"/>
      <sheetData sheetId="14019" refreshError="1"/>
      <sheetData sheetId="14020" refreshError="1"/>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sheetData sheetId="14971"/>
      <sheetData sheetId="14972"/>
      <sheetData sheetId="14973"/>
      <sheetData sheetId="14974"/>
      <sheetData sheetId="14975"/>
      <sheetData sheetId="14976"/>
      <sheetData sheetId="14977"/>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sheetData sheetId="15600"/>
      <sheetData sheetId="15601"/>
      <sheetData sheetId="15602" refreshError="1"/>
      <sheetData sheetId="15603" refreshError="1"/>
      <sheetData sheetId="15604"/>
      <sheetData sheetId="15605"/>
      <sheetData sheetId="15606"/>
      <sheetData sheetId="15607"/>
      <sheetData sheetId="15608" refreshError="1"/>
      <sheetData sheetId="15609" refreshError="1"/>
      <sheetData sheetId="15610"/>
      <sheetData sheetId="15611" refreshError="1"/>
      <sheetData sheetId="15612"/>
      <sheetData sheetId="15613"/>
      <sheetData sheetId="15614"/>
      <sheetData sheetId="15615" refreshError="1"/>
      <sheetData sheetId="15616" refreshError="1"/>
      <sheetData sheetId="15617" refreshError="1"/>
      <sheetData sheetId="15618" refreshError="1"/>
      <sheetData sheetId="15619" refreshError="1"/>
      <sheetData sheetId="15620"/>
      <sheetData sheetId="15621"/>
      <sheetData sheetId="15622"/>
      <sheetData sheetId="15623" refreshError="1"/>
      <sheetData sheetId="15624"/>
      <sheetData sheetId="15625"/>
      <sheetData sheetId="15626"/>
      <sheetData sheetId="15627"/>
      <sheetData sheetId="15628"/>
      <sheetData sheetId="15629"/>
      <sheetData sheetId="15630"/>
      <sheetData sheetId="15631"/>
      <sheetData sheetId="15632"/>
      <sheetData sheetId="15633"/>
      <sheetData sheetId="15634"/>
      <sheetData sheetId="15635"/>
      <sheetData sheetId="15636"/>
      <sheetData sheetId="15637"/>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sheetData sheetId="15674"/>
      <sheetData sheetId="15675"/>
      <sheetData sheetId="15676"/>
      <sheetData sheetId="15677"/>
      <sheetData sheetId="15678"/>
      <sheetData sheetId="15679"/>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refreshError="1"/>
      <sheetData sheetId="15707" refreshError="1"/>
      <sheetData sheetId="15708"/>
      <sheetData sheetId="15709"/>
      <sheetData sheetId="15710"/>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ông trình"/>
      <sheetName val="Đơn Giá "/>
      <sheetName val="HaoPhiVatTu"/>
      <sheetName val="Chiết tính"/>
      <sheetName val="Phân tích VT"/>
      <sheetName val="HSXL"/>
      <sheetName val="Sheet1"/>
      <sheetName val="1.R18 BF"/>
      <sheetName val="A"/>
      <sheetName val="G"/>
      <sheetName val="F-B"/>
      <sheetName val="H-J"/>
      <sheetName val="6.External works-R18"/>
      <sheetName val="SITE-E"/>
      <sheetName val="Ro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ummary"/>
      <sheetName val="Summary"/>
      <sheetName val="cover-B"/>
      <sheetName val="Sitework"/>
      <sheetName val="cover-C"/>
      <sheetName val="Concrete"/>
      <sheetName val="cover-D"/>
      <sheetName val="Masonry"/>
      <sheetName val="cover -E"/>
      <sheetName val="Metalwork"/>
      <sheetName val="cover -F"/>
      <sheetName val="Woodwork"/>
      <sheetName val="cover - F"/>
      <sheetName val="Woodworks"/>
      <sheetName val="cover -G"/>
      <sheetName val="Thermal and Moisture"/>
      <sheetName val="cover -H"/>
      <sheetName val="Doors&amp;Windows"/>
      <sheetName val="cover -J"/>
      <sheetName val="Finishes"/>
      <sheetName val="cover-K"/>
      <sheetName val="Accessories"/>
      <sheetName val="cover-Q"/>
      <sheetName val="MEI"/>
      <sheetName val="cover-PS"/>
      <sheetName val="PS"/>
      <sheetName val="cover-DW"/>
      <sheetName val="Dayworks"/>
      <sheetName val="cover-Prelims"/>
      <sheetName val="Prelims "/>
      <sheetName val="cover -R"/>
      <sheetName val="Electrical  "/>
      <sheetName val="Duc_bk"/>
      <sheetName val="Sheet1"/>
      <sheetName val="Sheet2"/>
      <sheetName val="Earthwork"/>
      <sheetName val="Đơn Giá "/>
      <sheetName val="APK"/>
      <sheetName val="APL"/>
      <sheetName val="APM"/>
      <sheetName val="APX"/>
      <sheetName val="CAC"/>
      <sheetName val="CCD"/>
      <sheetName val="CCE"/>
      <sheetName val="CFB"/>
      <sheetName val="CSD"/>
      <sheetName val="DWA"/>
      <sheetName val="DWR"/>
      <sheetName val="DWV"/>
      <sheetName val="KCE"/>
      <sheetName val="KCE-M"/>
      <sheetName val="KCF"/>
      <sheetName val="KMS"/>
      <sheetName val="MTD"/>
      <sheetName val="MTD Silent"/>
      <sheetName val="RDC"/>
      <sheetName val="BIDDING-SUM"/>
      <sheetName val="GIAVLIEU"/>
      <sheetName val="Quantity"/>
      <sheetName val="chitimc"/>
      <sheetName val="dongia (2)"/>
      <sheetName val="giathanh1"/>
      <sheetName val="Dinh muc CP KTCB khac"/>
      <sheetName val="TH May TC"/>
      <sheetName val="KLDT DIEN"/>
      <sheetName val="TH kinh phi"/>
      <sheetName val="Thong ke thiet bi"/>
      <sheetName val="TH vat tu"/>
      <sheetName val="LEGEND"/>
      <sheetName val="Unit Ro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01-Prelims"/>
      <sheetName val="CTC-Preliminaries"/>
      <sheetName val="CHIA PRELIMS"/>
      <sheetName val="BAOCHE A"/>
      <sheetName val="ANTOAN A"/>
      <sheetName val="BAOCHE B"/>
      <sheetName val="ANTOAN B"/>
      <sheetName val="HSE Budget"/>
      <sheetName val="TBNH"/>
      <sheetName val="COMATRET"/>
      <sheetName val="Bao che cau noi"/>
      <sheetName val="thangmayA"/>
      <sheetName val="Coma cau noi"/>
      <sheetName val="thangmayB"/>
      <sheetName val="tinh toan khac"/>
      <sheetName val="실행철강하도"/>
      <sheetName val="Duc_bk"/>
      <sheetName val="GFA"/>
      <sheetName val="Summary"/>
      <sheetName val="NKC6"/>
      <sheetName val="LEGEND"/>
      <sheetName val="차액보증"/>
      <sheetName val="SCOPE OF WORK"/>
      <sheetName val="BIDDING-SUM"/>
      <sheetName val="125x125"/>
      <sheetName val="GRAPH DATA"/>
      <sheetName val="SEX"/>
      <sheetName val="조명시설"/>
      <sheetName val="침하계"/>
      <sheetName val="현장별"/>
      <sheetName val="입찰안"/>
      <sheetName val="산근"/>
      <sheetName val="갑지(추정)"/>
      <sheetName val="날개벽수량표"/>
      <sheetName val="Earthwork"/>
      <sheetName val="6MONTHS"/>
      <sheetName val="Sheet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_WAREHOUSE"/>
      <sheetName val="BQ CHEMICAL"/>
      <sheetName val="BQ_MAINTENANCE"/>
      <sheetName val="SUMMARY-B"/>
      <sheetName val="BIDDING-SUM"/>
      <sheetName val="00000000"/>
      <sheetName val="10000000"/>
      <sheetName val="20000000"/>
      <sheetName val="30000000"/>
      <sheetName val="40000000"/>
      <sheetName val="XL4Poppy"/>
      <sheetName val="FERTILIZER3WAREHOUSE"/>
      <sheetName val="BIDDING_SUM"/>
      <sheetName val="PRI-LS"/>
      <sheetName val="Bill 1_Quy dinh chung"/>
      <sheetName val="Quantity"/>
      <sheetName val="Bill No.3 - Prov. Sum (Ph2&amp;3)"/>
      <sheetName val="Data"/>
      <sheetName val="NKC6"/>
      <sheetName val="NVL"/>
      <sheetName val="LEGEND"/>
      <sheetName val="khung ten TD"/>
      <sheetName val="Đơn Giá "/>
      <sheetName val="BG"/>
      <sheetName val="BQ_CHEMICAL"/>
      <sheetName val="IMF Code"/>
      <sheetName val="차액보증"/>
      <sheetName val="NOTE"/>
      <sheetName val="Don gia"/>
      <sheetName val="Gia du thau"/>
      <sheetName val="Duc_bk"/>
      <sheetName val="BAOCHE A"/>
      <sheetName val="Table 8-MEP"/>
      <sheetName val="6MONTHS"/>
      <sheetName val="Rates"/>
      <sheetName val="Earthwork"/>
      <sheetName val="DonGia chetao"/>
      <sheetName val="DonGia VatTuLK"/>
      <sheetName val="GIAVLIE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ate to PMH"/>
      <sheetName val="SUM (2BF)"/>
      <sheetName val="Sum (1BF)"/>
      <sheetName val="Compare"/>
      <sheetName val="1.Prelim"/>
      <sheetName val="3.Common Area"/>
      <sheetName val="4. Apartment Units"/>
      <sheetName val="2.Basement"/>
      <sheetName val="3.Material Rate"/>
      <sheetName val="5. Interior Decor"/>
      <sheetName val="6.External works"/>
      <sheetName val="7.M&amp;E works"/>
      <sheetName val="8. Furniture"/>
      <sheetName val="9. Other Fee"/>
      <sheetName val="2.Material list"/>
      <sheetName val="4.MEP-TP"/>
      <sheetName val="GFA"/>
      <sheetName val="Dia.W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KC6"/>
      <sheetName val="THUCHI"/>
      <sheetName val="CONGNO"/>
      <sheetName val="TONGCN"/>
      <sheetName val="VATTUMUA"/>
      <sheetName val="Sheet7"/>
      <sheetName val="Sheet3"/>
      <sheetName val="NKCTHANG06"/>
      <sheetName val="PRI-LS"/>
      <sheetName val="BIDDING-SUM"/>
      <sheetName val="Quantity"/>
      <sheetName val="Đơn Giá "/>
      <sheetName val="1.R18 BF"/>
      <sheetName val="A"/>
      <sheetName val="G"/>
      <sheetName val="F-B"/>
      <sheetName val="H-J"/>
      <sheetName val="6.External works-R18"/>
      <sheetName val="Div26 - Elect"/>
      <sheetName val="LEGEND"/>
      <sheetName val="Villa A"/>
      <sheetName val="PT BEAM 2F"/>
      <sheetName val="Input"/>
      <sheetName val="PHAN TICH DG"/>
      <sheetName val="luong"/>
      <sheetName val="BAOCHE A"/>
      <sheetName val="Bang tra"/>
      <sheetName val="VT Điện"/>
      <sheetName val="VT Cơ"/>
      <sheetName val="Unit Room"/>
      <sheetName val="MAIN GATE HOUSE"/>
      <sheetName val="실행철강하도"/>
      <sheetName val="대비"/>
      <sheetName val="Para"/>
      <sheetName val="MAU 07a"/>
      <sheetName val="vc+vl"/>
      <sheetName val="Summary - Budget"/>
      <sheetName val="Khoi luong"/>
      <sheetName val="Define finishing"/>
      <sheetName val="Sheet1"/>
      <sheetName val="3.Material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st estimate"/>
      <sheetName val="Report update"/>
      <sheetName val="Table 1-Basic ARC "/>
      <sheetName val="Table 2-STR"/>
      <sheetName val="Table 3-External work"/>
      <sheetName val="Table 4-ID work"/>
      <sheetName val="Table 5-LS,furniture, equipment"/>
      <sheetName val="Table 6-elevator "/>
      <sheetName val="Table 7-Landscape"/>
      <sheetName val="Table 8-MEP"/>
      <sheetName val="Table 9-Design Fee"/>
      <sheetName val="Table 10-Consultancy &amp; PM Fee"/>
      <sheetName val="FS- Comment on VK "/>
      <sheetName val="FS- for estimated cost"/>
      <sheetName val="BF"/>
      <sheetName val="1F"/>
      <sheetName val="2F"/>
      <sheetName val="3F"/>
      <sheetName val="4F"/>
      <sheetName val="5F"/>
      <sheetName val="RF"/>
      <sheetName val="BIDDING-SUM"/>
      <sheetName val="NKC6"/>
      <sheetName val="LEGEND"/>
      <sheetName val="BOQ-1"/>
    </sheetNames>
    <definedNames>
      <definedName name="BTRAM" refersTo="#REF!" sheetId="1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95"/>
      <sheetName val="Sheet1"/>
      <sheetName val="\\Sang\hien hai\HIEN HAI\Du tha"/>
      <sheetName val="THOP95.XLS"/>
      <sheetName val="CHITIET VL-NCHT1 (2)"/>
      <sheetName val="dg-VTu"/>
      <sheetName val="bieu_solieu"/>
      <sheetName val="TNHCHINH"/>
      <sheetName val="\\May4\D\Documents and Settings"/>
      <sheetName val="Sheet2"/>
      <sheetName val="MTP"/>
      <sheetName val="CHITIET VL-NC-TT1p"/>
      <sheetName val="TONGKE3p"/>
      <sheetName val="hinhhoc"/>
      <sheetName val="CHITIET_VL-NC-TT1p"/>
      <sheetName val="Giathanh1m3BT"/>
      <sheetName val="Chi tiet"/>
      <sheetName val="NKC6"/>
      <sheetName val="Table 8-MEP"/>
      <sheetName val="BIDDING-SUM"/>
      <sheetName val="Quantity"/>
      <sheetName val="Nhan cong"/>
      <sheetName val="PHU LUC2"/>
      <sheetName val="GVL"/>
      <sheetName val="TONGHOP"/>
      <sheetName val="NXT-TP-11-03"/>
      <sheetName val="Chitietnhap -11-03"/>
      <sheetName val="Chitietxuat-11-03"/>
      <sheetName val="TH xuat kho"/>
      <sheetName val="luy ke nhap kho"/>
      <sheetName val="XL4Poppy"/>
      <sheetName val="#REF!"/>
      <sheetName val="LE"/>
      <sheetName val="\\Ketoan\d\Data\HO SO\Van\THUE "/>
      <sheetName val="Data"/>
      <sheetName val="VP-MM"/>
      <sheetName val="VP-2115"/>
      <sheetName val="VP-PT"/>
      <sheetName val="Sh"/>
      <sheetName val="Sh2"/>
      <sheetName val="Sh3"/>
      <sheetName val="Sh4"/>
      <sheetName val="Sh5"/>
      <sheetName val="Sheet9"/>
      <sheetName val="Sheet10"/>
      <sheetName val="Sheet11"/>
      <sheetName val="Sheet12"/>
      <sheetName val="GCL THU"/>
      <sheetName val="PHIEU THU"/>
      <sheetName val="PHIEU CHI"/>
      <sheetName val="GCL CHI"/>
      <sheetName val=" CHUNG TU GHI SO"/>
      <sheetName val="SO TIEN MAT"/>
      <sheetName val="~         "/>
      <sheetName val="DN"/>
      <sheetName val="VP"/>
      <sheetName val="KD"/>
      <sheetName val="DD"/>
      <sheetName val="CT"/>
      <sheetName val="PX"/>
      <sheetName val="GR"/>
      <sheetName val="00000000"/>
      <sheetName val="XNTN1"/>
      <sheetName val="XNTN2"/>
      <sheetName val="XNTN3"/>
      <sheetName val="XNTN4"/>
      <sheetName val="XNTN5"/>
      <sheetName val="XNTN6"/>
      <sheetName val="Ngay 27-5-2002"/>
      <sheetName val="Ngay 11-6-2002"/>
      <sheetName val="Ngay 20-6-2002"/>
      <sheetName val="Ngay 21-6-2002"/>
      <sheetName val="Ngay 8-9-2002"/>
      <sheetName val="Ngay9-10-02"/>
      <sheetName val="11-10-02"/>
      <sheetName val="NhanSu"/>
      <sheetName val="NGUON"/>
      <sheetName val="NganHan"/>
      <sheetName val="Trghan"/>
      <sheetName val="TH"/>
      <sheetName val="DN Cty NTACO"/>
      <sheetName val="01-DNNVV"/>
      <sheetName val="03-DNNVV"/>
      <sheetName val="04-DNNVV"/>
      <sheetName val="No BG"/>
      <sheetName val="Dinh Muc VT"/>
      <sheetName val="Tien Luong"/>
      <sheetName val="CHITIET VL-NC"/>
      <sheetName val="DON GIA"/>
      <sheetName val="SUM"/>
      <sheetName val="[THOP95.XLS]\\Ketoan\d\Data\HO "/>
      <sheetName val="[THOP95.XLS]\\May4\D\Documents "/>
      <sheetName val="LEGEND"/>
      <sheetName val="1.R18 BF"/>
      <sheetName val="A"/>
      <sheetName val="G"/>
      <sheetName val="F-B"/>
      <sheetName val="H-J"/>
      <sheetName val="6.External works-R18"/>
      <sheetName val="PRI-LS"/>
      <sheetName val="Giai trinh"/>
      <sheetName val="NEW-PANEL"/>
      <sheetName val="LUAN CHUYEN"/>
      <sheetName val="__Ketoan_d_Data_HO SO_Van_THUE "/>
      <sheetName val="__May4_D_Documents and Settings"/>
      <sheetName val="_THOP95.XLS___Ketoan_d_Data_HO "/>
      <sheetName val="_THOP95.XLS___May4_D_Documents "/>
      <sheetName val="__Sang_hien hai_HIEN HAI_Du tha"/>
      <sheetName val="B"/>
      <sheetName val="DFA"/>
      <sheetName val="TH kinh phi"/>
      <sheetName val="KLDT DIEN"/>
      <sheetName val="Dinh muc CP KTCB khac"/>
      <sheetName val="집계표"/>
      <sheetName val="입찰안"/>
      <sheetName val="SITE-E"/>
      <sheetName val="MAIN GATE HOUSE"/>
      <sheetName val="실행철강하도"/>
      <sheetName val="대비"/>
      <sheetName val="vc+vl"/>
      <sheetName val="GAEYO"/>
      <sheetName val="TT04"/>
    </sheetNames>
    <definedNames>
      <definedName name="NToS"/>
    </defined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xz"/>
      <sheetName val="Refer"/>
      <sheetName val="A6.1"/>
      <sheetName val="A6-CONSTRUCTION NOTE"/>
      <sheetName val="A6"/>
      <sheetName val="Room"/>
      <sheetName val="Doo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xz"/>
      <sheetName val="A6"/>
      <sheetName val="Refer"/>
      <sheetName val="F.S A3"/>
      <sheetName val="A3-CONSTRUCTION NOTE"/>
      <sheetName val="A3"/>
      <sheetName val="Roo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ment"/>
      <sheetName val="FS_MC"/>
      <sheetName val="II.Upper Floor"/>
      <sheetName val="FS_ID"/>
      <sheetName val="III. Interior Decor"/>
      <sheetName val="Unit Room"/>
      <sheetName val="Door"/>
      <sheetName val="Sanitary"/>
      <sheetName val="sent tt"/>
      <sheetName val="Table 8-MEP"/>
      <sheetName val="1.R18 BF"/>
      <sheetName val="A"/>
      <sheetName val="G"/>
      <sheetName val="F-B"/>
      <sheetName val="H-J"/>
      <sheetName val="6.External works-R18"/>
      <sheetName val="Duc_bk"/>
      <sheetName val="GIAVLIEU"/>
      <sheetName val="Book 1 Summary"/>
      <sheetName val="Ro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NKC6"/>
      <sheetName val="PRI-LS"/>
      <sheetName val="Bill 3-2&amp;3"/>
      <sheetName val="01.truongliencap"/>
      <sheetName val="1.R18 BF"/>
      <sheetName val="A"/>
      <sheetName val="G"/>
      <sheetName val="F-B"/>
      <sheetName val="H-J"/>
      <sheetName val="6.External works-R18"/>
      <sheetName val="수_01"/>
      <sheetName val="DT"/>
      <sheetName val="Quantity"/>
      <sheetName val="DG3285"/>
      <sheetName val="Đơn Giá "/>
      <sheetName val="BIDDING-SUM"/>
      <sheetName val="Sheet2"/>
      <sheetName val="ptvt"/>
      <sheetName val="2. Planning Assignment"/>
      <sheetName val="NVL"/>
      <sheetName val="TOSHIBA-Structure"/>
      <sheetName val="LUAN CHUYEN"/>
      <sheetName val="Sheet1"/>
      <sheetName val="CDKT"/>
      <sheetName val="CD_PSINH"/>
      <sheetName val="Du tru CP-Bieu 01"/>
      <sheetName val="MAU 07a"/>
      <sheetName val="Unit Room"/>
      <sheetName val="Input"/>
      <sheetName val="CDSPS"/>
      <sheetName val="NH-KY"/>
      <sheetName val="D_MUC"/>
      <sheetName val="Gia VLNCMTC"/>
      <sheetName val="Scheme B Estimate "/>
      <sheetName val="ESTI."/>
      <sheetName val="DI-ESTI"/>
      <sheetName val="10.% Thanh toán"/>
      <sheetName val="9.Don gia"/>
      <sheetName val="8.Danh sach TP"/>
      <sheetName val="RAB AR&amp;STR"/>
      <sheetName val="NOTE"/>
      <sheetName val="KL thanh toan-Xuan Dao"/>
      <sheetName val="DLDTLN"/>
      <sheetName val="Tong_ke"/>
      <sheetName val="giathanh1"/>
      <sheetName val="Khoi luong"/>
      <sheetName val="FAB별"/>
      <sheetName val="집계표"/>
      <sheetName val="Duc_bk"/>
      <sheetName val="3.Material Rate"/>
      <sheetName val="TTT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R18"/>
      <sheetName val="Sum-FULL R18"/>
      <sheetName val="Milestone"/>
      <sheetName val="Preliminary fee-R18"/>
      <sheetName val="1.R18 BF"/>
      <sheetName val="PC Rate"/>
      <sheetName val="Sum-A"/>
      <sheetName val="A"/>
      <sheetName val="Sum-G"/>
      <sheetName val="G"/>
      <sheetName val="Sum-F-B"/>
      <sheetName val="F-B"/>
      <sheetName val="Sum-H-J "/>
      <sheetName val="H-J"/>
      <sheetName val="6.External works-R18"/>
      <sheetName val="7.M&amp;E works-R18"/>
      <sheetName val="Unit Room"/>
      <sheetName val="Div26 - Elect"/>
      <sheetName val="NKC6"/>
      <sheetName val="Tai chinh"/>
      <sheetName val="LEG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2595"/>
  <sheetViews>
    <sheetView zoomScaleNormal="100" zoomScaleSheetLayoutView="100" workbookViewId="0">
      <pane xSplit="5" ySplit="6" topLeftCell="F1007" activePane="bottomRight" state="frozen"/>
      <selection pane="bottomRight" activeCell="C1020" sqref="C1020"/>
      <selection pane="bottomLeft" activeCell="C10" sqref="C10"/>
      <selection pane="topRight" activeCell="C10" sqref="C10"/>
    </sheetView>
  </sheetViews>
  <sheetFormatPr defaultRowHeight="12.75" outlineLevelRow="3"/>
  <cols>
    <col min="1" max="1" width="8.75" style="1"/>
    <col min="2" max="2" width="4.625" style="63" customWidth="1"/>
    <col min="3" max="3" width="50" style="63" customWidth="1"/>
    <col min="4" max="4" width="7.625" style="77" customWidth="1"/>
    <col min="5" max="5" width="10" style="78" customWidth="1"/>
    <col min="6" max="6" width="12.875" style="79" customWidth="1"/>
    <col min="7" max="7" width="11.125" style="79" customWidth="1"/>
    <col min="8" max="8" width="12.875" style="79" customWidth="1"/>
    <col min="9" max="9" width="16.5" style="80" customWidth="1"/>
    <col min="10" max="10" width="14.625" style="79" customWidth="1"/>
    <col min="11" max="11" width="12.25" style="62" bestFit="1" customWidth="1"/>
    <col min="12" max="12" width="10.375" style="63" customWidth="1"/>
    <col min="13" max="257" width="8.75" style="63"/>
    <col min="258" max="258" width="7.625" style="63" customWidth="1"/>
    <col min="259" max="259" width="52.25" style="63" customWidth="1"/>
    <col min="260" max="260" width="7.625" style="63" customWidth="1"/>
    <col min="261" max="261" width="11.125" style="63" customWidth="1"/>
    <col min="262" max="262" width="12.875" style="63" customWidth="1"/>
    <col min="263" max="263" width="11.125" style="63" customWidth="1"/>
    <col min="264" max="264" width="14.625" style="63" customWidth="1"/>
    <col min="265" max="265" width="17.25" style="63" customWidth="1"/>
    <col min="266" max="266" width="14.625" style="63" customWidth="1"/>
    <col min="267" max="267" width="10.875" style="63" customWidth="1"/>
    <col min="268" max="268" width="10.375" style="63" customWidth="1"/>
    <col min="269" max="513" width="8.75" style="63"/>
    <col min="514" max="514" width="7.625" style="63" customWidth="1"/>
    <col min="515" max="515" width="52.25" style="63" customWidth="1"/>
    <col min="516" max="516" width="7.625" style="63" customWidth="1"/>
    <col min="517" max="517" width="11.125" style="63" customWidth="1"/>
    <col min="518" max="518" width="12.875" style="63" customWidth="1"/>
    <col min="519" max="519" width="11.125" style="63" customWidth="1"/>
    <col min="520" max="520" width="14.625" style="63" customWidth="1"/>
    <col min="521" max="521" width="17.25" style="63" customWidth="1"/>
    <col min="522" max="522" width="14.625" style="63" customWidth="1"/>
    <col min="523" max="523" width="10.875" style="63" customWidth="1"/>
    <col min="524" max="524" width="10.375" style="63" customWidth="1"/>
    <col min="525" max="769" width="8.75" style="63"/>
    <col min="770" max="770" width="7.625" style="63" customWidth="1"/>
    <col min="771" max="771" width="52.25" style="63" customWidth="1"/>
    <col min="772" max="772" width="7.625" style="63" customWidth="1"/>
    <col min="773" max="773" width="11.125" style="63" customWidth="1"/>
    <col min="774" max="774" width="12.875" style="63" customWidth="1"/>
    <col min="775" max="775" width="11.125" style="63" customWidth="1"/>
    <col min="776" max="776" width="14.625" style="63" customWidth="1"/>
    <col min="777" max="777" width="17.25" style="63" customWidth="1"/>
    <col min="778" max="778" width="14.625" style="63" customWidth="1"/>
    <col min="779" max="779" width="10.875" style="63" customWidth="1"/>
    <col min="780" max="780" width="10.375" style="63" customWidth="1"/>
    <col min="781" max="1025" width="8.75" style="63"/>
    <col min="1026" max="1026" width="7.625" style="63" customWidth="1"/>
    <col min="1027" max="1027" width="52.25" style="63" customWidth="1"/>
    <col min="1028" max="1028" width="7.625" style="63" customWidth="1"/>
    <col min="1029" max="1029" width="11.125" style="63" customWidth="1"/>
    <col min="1030" max="1030" width="12.875" style="63" customWidth="1"/>
    <col min="1031" max="1031" width="11.125" style="63" customWidth="1"/>
    <col min="1032" max="1032" width="14.625" style="63" customWidth="1"/>
    <col min="1033" max="1033" width="17.25" style="63" customWidth="1"/>
    <col min="1034" max="1034" width="14.625" style="63" customWidth="1"/>
    <col min="1035" max="1035" width="10.875" style="63" customWidth="1"/>
    <col min="1036" max="1036" width="10.375" style="63" customWidth="1"/>
    <col min="1037" max="1281" width="8.75" style="63"/>
    <col min="1282" max="1282" width="7.625" style="63" customWidth="1"/>
    <col min="1283" max="1283" width="52.25" style="63" customWidth="1"/>
    <col min="1284" max="1284" width="7.625" style="63" customWidth="1"/>
    <col min="1285" max="1285" width="11.125" style="63" customWidth="1"/>
    <col min="1286" max="1286" width="12.875" style="63" customWidth="1"/>
    <col min="1287" max="1287" width="11.125" style="63" customWidth="1"/>
    <col min="1288" max="1288" width="14.625" style="63" customWidth="1"/>
    <col min="1289" max="1289" width="17.25" style="63" customWidth="1"/>
    <col min="1290" max="1290" width="14.625" style="63" customWidth="1"/>
    <col min="1291" max="1291" width="10.875" style="63" customWidth="1"/>
    <col min="1292" max="1292" width="10.375" style="63" customWidth="1"/>
    <col min="1293" max="1537" width="8.75" style="63"/>
    <col min="1538" max="1538" width="7.625" style="63" customWidth="1"/>
    <col min="1539" max="1539" width="52.25" style="63" customWidth="1"/>
    <col min="1540" max="1540" width="7.625" style="63" customWidth="1"/>
    <col min="1541" max="1541" width="11.125" style="63" customWidth="1"/>
    <col min="1542" max="1542" width="12.875" style="63" customWidth="1"/>
    <col min="1543" max="1543" width="11.125" style="63" customWidth="1"/>
    <col min="1544" max="1544" width="14.625" style="63" customWidth="1"/>
    <col min="1545" max="1545" width="17.25" style="63" customWidth="1"/>
    <col min="1546" max="1546" width="14.625" style="63" customWidth="1"/>
    <col min="1547" max="1547" width="10.875" style="63" customWidth="1"/>
    <col min="1548" max="1548" width="10.375" style="63" customWidth="1"/>
    <col min="1549" max="1793" width="8.75" style="63"/>
    <col min="1794" max="1794" width="7.625" style="63" customWidth="1"/>
    <col min="1795" max="1795" width="52.25" style="63" customWidth="1"/>
    <col min="1796" max="1796" width="7.625" style="63" customWidth="1"/>
    <col min="1797" max="1797" width="11.125" style="63" customWidth="1"/>
    <col min="1798" max="1798" width="12.875" style="63" customWidth="1"/>
    <col min="1799" max="1799" width="11.125" style="63" customWidth="1"/>
    <col min="1800" max="1800" width="14.625" style="63" customWidth="1"/>
    <col min="1801" max="1801" width="17.25" style="63" customWidth="1"/>
    <col min="1802" max="1802" width="14.625" style="63" customWidth="1"/>
    <col min="1803" max="1803" width="10.875" style="63" customWidth="1"/>
    <col min="1804" max="1804" width="10.375" style="63" customWidth="1"/>
    <col min="1805" max="2049" width="8.75" style="63"/>
    <col min="2050" max="2050" width="7.625" style="63" customWidth="1"/>
    <col min="2051" max="2051" width="52.25" style="63" customWidth="1"/>
    <col min="2052" max="2052" width="7.625" style="63" customWidth="1"/>
    <col min="2053" max="2053" width="11.125" style="63" customWidth="1"/>
    <col min="2054" max="2054" width="12.875" style="63" customWidth="1"/>
    <col min="2055" max="2055" width="11.125" style="63" customWidth="1"/>
    <col min="2056" max="2056" width="14.625" style="63" customWidth="1"/>
    <col min="2057" max="2057" width="17.25" style="63" customWidth="1"/>
    <col min="2058" max="2058" width="14.625" style="63" customWidth="1"/>
    <col min="2059" max="2059" width="10.875" style="63" customWidth="1"/>
    <col min="2060" max="2060" width="10.375" style="63" customWidth="1"/>
    <col min="2061" max="2305" width="8.75" style="63"/>
    <col min="2306" max="2306" width="7.625" style="63" customWidth="1"/>
    <col min="2307" max="2307" width="52.25" style="63" customWidth="1"/>
    <col min="2308" max="2308" width="7.625" style="63" customWidth="1"/>
    <col min="2309" max="2309" width="11.125" style="63" customWidth="1"/>
    <col min="2310" max="2310" width="12.875" style="63" customWidth="1"/>
    <col min="2311" max="2311" width="11.125" style="63" customWidth="1"/>
    <col min="2312" max="2312" width="14.625" style="63" customWidth="1"/>
    <col min="2313" max="2313" width="17.25" style="63" customWidth="1"/>
    <col min="2314" max="2314" width="14.625" style="63" customWidth="1"/>
    <col min="2315" max="2315" width="10.875" style="63" customWidth="1"/>
    <col min="2316" max="2316" width="10.375" style="63" customWidth="1"/>
    <col min="2317" max="2561" width="8.75" style="63"/>
    <col min="2562" max="2562" width="7.625" style="63" customWidth="1"/>
    <col min="2563" max="2563" width="52.25" style="63" customWidth="1"/>
    <col min="2564" max="2564" width="7.625" style="63" customWidth="1"/>
    <col min="2565" max="2565" width="11.125" style="63" customWidth="1"/>
    <col min="2566" max="2566" width="12.875" style="63" customWidth="1"/>
    <col min="2567" max="2567" width="11.125" style="63" customWidth="1"/>
    <col min="2568" max="2568" width="14.625" style="63" customWidth="1"/>
    <col min="2569" max="2569" width="17.25" style="63" customWidth="1"/>
    <col min="2570" max="2570" width="14.625" style="63" customWidth="1"/>
    <col min="2571" max="2571" width="10.875" style="63" customWidth="1"/>
    <col min="2572" max="2572" width="10.375" style="63" customWidth="1"/>
    <col min="2573" max="2817" width="8.75" style="63"/>
    <col min="2818" max="2818" width="7.625" style="63" customWidth="1"/>
    <col min="2819" max="2819" width="52.25" style="63" customWidth="1"/>
    <col min="2820" max="2820" width="7.625" style="63" customWidth="1"/>
    <col min="2821" max="2821" width="11.125" style="63" customWidth="1"/>
    <col min="2822" max="2822" width="12.875" style="63" customWidth="1"/>
    <col min="2823" max="2823" width="11.125" style="63" customWidth="1"/>
    <col min="2824" max="2824" width="14.625" style="63" customWidth="1"/>
    <col min="2825" max="2825" width="17.25" style="63" customWidth="1"/>
    <col min="2826" max="2826" width="14.625" style="63" customWidth="1"/>
    <col min="2827" max="2827" width="10.875" style="63" customWidth="1"/>
    <col min="2828" max="2828" width="10.375" style="63" customWidth="1"/>
    <col min="2829" max="3073" width="8.75" style="63"/>
    <col min="3074" max="3074" width="7.625" style="63" customWidth="1"/>
    <col min="3075" max="3075" width="52.25" style="63" customWidth="1"/>
    <col min="3076" max="3076" width="7.625" style="63" customWidth="1"/>
    <col min="3077" max="3077" width="11.125" style="63" customWidth="1"/>
    <col min="3078" max="3078" width="12.875" style="63" customWidth="1"/>
    <col min="3079" max="3079" width="11.125" style="63" customWidth="1"/>
    <col min="3080" max="3080" width="14.625" style="63" customWidth="1"/>
    <col min="3081" max="3081" width="17.25" style="63" customWidth="1"/>
    <col min="3082" max="3082" width="14.625" style="63" customWidth="1"/>
    <col min="3083" max="3083" width="10.875" style="63" customWidth="1"/>
    <col min="3084" max="3084" width="10.375" style="63" customWidth="1"/>
    <col min="3085" max="3329" width="8.75" style="63"/>
    <col min="3330" max="3330" width="7.625" style="63" customWidth="1"/>
    <col min="3331" max="3331" width="52.25" style="63" customWidth="1"/>
    <col min="3332" max="3332" width="7.625" style="63" customWidth="1"/>
    <col min="3333" max="3333" width="11.125" style="63" customWidth="1"/>
    <col min="3334" max="3334" width="12.875" style="63" customWidth="1"/>
    <col min="3335" max="3335" width="11.125" style="63" customWidth="1"/>
    <col min="3336" max="3336" width="14.625" style="63" customWidth="1"/>
    <col min="3337" max="3337" width="17.25" style="63" customWidth="1"/>
    <col min="3338" max="3338" width="14.625" style="63" customWidth="1"/>
    <col min="3339" max="3339" width="10.875" style="63" customWidth="1"/>
    <col min="3340" max="3340" width="10.375" style="63" customWidth="1"/>
    <col min="3341" max="3585" width="8.75" style="63"/>
    <col min="3586" max="3586" width="7.625" style="63" customWidth="1"/>
    <col min="3587" max="3587" width="52.25" style="63" customWidth="1"/>
    <col min="3588" max="3588" width="7.625" style="63" customWidth="1"/>
    <col min="3589" max="3589" width="11.125" style="63" customWidth="1"/>
    <col min="3590" max="3590" width="12.875" style="63" customWidth="1"/>
    <col min="3591" max="3591" width="11.125" style="63" customWidth="1"/>
    <col min="3592" max="3592" width="14.625" style="63" customWidth="1"/>
    <col min="3593" max="3593" width="17.25" style="63" customWidth="1"/>
    <col min="3594" max="3594" width="14.625" style="63" customWidth="1"/>
    <col min="3595" max="3595" width="10.875" style="63" customWidth="1"/>
    <col min="3596" max="3596" width="10.375" style="63" customWidth="1"/>
    <col min="3597" max="3841" width="8.75" style="63"/>
    <col min="3842" max="3842" width="7.625" style="63" customWidth="1"/>
    <col min="3843" max="3843" width="52.25" style="63" customWidth="1"/>
    <col min="3844" max="3844" width="7.625" style="63" customWidth="1"/>
    <col min="3845" max="3845" width="11.125" style="63" customWidth="1"/>
    <col min="3846" max="3846" width="12.875" style="63" customWidth="1"/>
    <col min="3847" max="3847" width="11.125" style="63" customWidth="1"/>
    <col min="3848" max="3848" width="14.625" style="63" customWidth="1"/>
    <col min="3849" max="3849" width="17.25" style="63" customWidth="1"/>
    <col min="3850" max="3850" width="14.625" style="63" customWidth="1"/>
    <col min="3851" max="3851" width="10.875" style="63" customWidth="1"/>
    <col min="3852" max="3852" width="10.375" style="63" customWidth="1"/>
    <col min="3853" max="4097" width="8.75" style="63"/>
    <col min="4098" max="4098" width="7.625" style="63" customWidth="1"/>
    <col min="4099" max="4099" width="52.25" style="63" customWidth="1"/>
    <col min="4100" max="4100" width="7.625" style="63" customWidth="1"/>
    <col min="4101" max="4101" width="11.125" style="63" customWidth="1"/>
    <col min="4102" max="4102" width="12.875" style="63" customWidth="1"/>
    <col min="4103" max="4103" width="11.125" style="63" customWidth="1"/>
    <col min="4104" max="4104" width="14.625" style="63" customWidth="1"/>
    <col min="4105" max="4105" width="17.25" style="63" customWidth="1"/>
    <col min="4106" max="4106" width="14.625" style="63" customWidth="1"/>
    <col min="4107" max="4107" width="10.875" style="63" customWidth="1"/>
    <col min="4108" max="4108" width="10.375" style="63" customWidth="1"/>
    <col min="4109" max="4353" width="8.75" style="63"/>
    <col min="4354" max="4354" width="7.625" style="63" customWidth="1"/>
    <col min="4355" max="4355" width="52.25" style="63" customWidth="1"/>
    <col min="4356" max="4356" width="7.625" style="63" customWidth="1"/>
    <col min="4357" max="4357" width="11.125" style="63" customWidth="1"/>
    <col min="4358" max="4358" width="12.875" style="63" customWidth="1"/>
    <col min="4359" max="4359" width="11.125" style="63" customWidth="1"/>
    <col min="4360" max="4360" width="14.625" style="63" customWidth="1"/>
    <col min="4361" max="4361" width="17.25" style="63" customWidth="1"/>
    <col min="4362" max="4362" width="14.625" style="63" customWidth="1"/>
    <col min="4363" max="4363" width="10.875" style="63" customWidth="1"/>
    <col min="4364" max="4364" width="10.375" style="63" customWidth="1"/>
    <col min="4365" max="4609" width="8.75" style="63"/>
    <col min="4610" max="4610" width="7.625" style="63" customWidth="1"/>
    <col min="4611" max="4611" width="52.25" style="63" customWidth="1"/>
    <col min="4612" max="4612" width="7.625" style="63" customWidth="1"/>
    <col min="4613" max="4613" width="11.125" style="63" customWidth="1"/>
    <col min="4614" max="4614" width="12.875" style="63" customWidth="1"/>
    <col min="4615" max="4615" width="11.125" style="63" customWidth="1"/>
    <col min="4616" max="4616" width="14.625" style="63" customWidth="1"/>
    <col min="4617" max="4617" width="17.25" style="63" customWidth="1"/>
    <col min="4618" max="4618" width="14.625" style="63" customWidth="1"/>
    <col min="4619" max="4619" width="10.875" style="63" customWidth="1"/>
    <col min="4620" max="4620" width="10.375" style="63" customWidth="1"/>
    <col min="4621" max="4865" width="8.75" style="63"/>
    <col min="4866" max="4866" width="7.625" style="63" customWidth="1"/>
    <col min="4867" max="4867" width="52.25" style="63" customWidth="1"/>
    <col min="4868" max="4868" width="7.625" style="63" customWidth="1"/>
    <col min="4869" max="4869" width="11.125" style="63" customWidth="1"/>
    <col min="4870" max="4870" width="12.875" style="63" customWidth="1"/>
    <col min="4871" max="4871" width="11.125" style="63" customWidth="1"/>
    <col min="4872" max="4872" width="14.625" style="63" customWidth="1"/>
    <col min="4873" max="4873" width="17.25" style="63" customWidth="1"/>
    <col min="4874" max="4874" width="14.625" style="63" customWidth="1"/>
    <col min="4875" max="4875" width="10.875" style="63" customWidth="1"/>
    <col min="4876" max="4876" width="10.375" style="63" customWidth="1"/>
    <col min="4877" max="5121" width="8.75" style="63"/>
    <col min="5122" max="5122" width="7.625" style="63" customWidth="1"/>
    <col min="5123" max="5123" width="52.25" style="63" customWidth="1"/>
    <col min="5124" max="5124" width="7.625" style="63" customWidth="1"/>
    <col min="5125" max="5125" width="11.125" style="63" customWidth="1"/>
    <col min="5126" max="5126" width="12.875" style="63" customWidth="1"/>
    <col min="5127" max="5127" width="11.125" style="63" customWidth="1"/>
    <col min="5128" max="5128" width="14.625" style="63" customWidth="1"/>
    <col min="5129" max="5129" width="17.25" style="63" customWidth="1"/>
    <col min="5130" max="5130" width="14.625" style="63" customWidth="1"/>
    <col min="5131" max="5131" width="10.875" style="63" customWidth="1"/>
    <col min="5132" max="5132" width="10.375" style="63" customWidth="1"/>
    <col min="5133" max="5377" width="8.75" style="63"/>
    <col min="5378" max="5378" width="7.625" style="63" customWidth="1"/>
    <col min="5379" max="5379" width="52.25" style="63" customWidth="1"/>
    <col min="5380" max="5380" width="7.625" style="63" customWidth="1"/>
    <col min="5381" max="5381" width="11.125" style="63" customWidth="1"/>
    <col min="5382" max="5382" width="12.875" style="63" customWidth="1"/>
    <col min="5383" max="5383" width="11.125" style="63" customWidth="1"/>
    <col min="5384" max="5384" width="14.625" style="63" customWidth="1"/>
    <col min="5385" max="5385" width="17.25" style="63" customWidth="1"/>
    <col min="5386" max="5386" width="14.625" style="63" customWidth="1"/>
    <col min="5387" max="5387" width="10.875" style="63" customWidth="1"/>
    <col min="5388" max="5388" width="10.375" style="63" customWidth="1"/>
    <col min="5389" max="5633" width="8.75" style="63"/>
    <col min="5634" max="5634" width="7.625" style="63" customWidth="1"/>
    <col min="5635" max="5635" width="52.25" style="63" customWidth="1"/>
    <col min="5636" max="5636" width="7.625" style="63" customWidth="1"/>
    <col min="5637" max="5637" width="11.125" style="63" customWidth="1"/>
    <col min="5638" max="5638" width="12.875" style="63" customWidth="1"/>
    <col min="5639" max="5639" width="11.125" style="63" customWidth="1"/>
    <col min="5640" max="5640" width="14.625" style="63" customWidth="1"/>
    <col min="5641" max="5641" width="17.25" style="63" customWidth="1"/>
    <col min="5642" max="5642" width="14.625" style="63" customWidth="1"/>
    <col min="5643" max="5643" width="10.875" style="63" customWidth="1"/>
    <col min="5644" max="5644" width="10.375" style="63" customWidth="1"/>
    <col min="5645" max="5889" width="8.75" style="63"/>
    <col min="5890" max="5890" width="7.625" style="63" customWidth="1"/>
    <col min="5891" max="5891" width="52.25" style="63" customWidth="1"/>
    <col min="5892" max="5892" width="7.625" style="63" customWidth="1"/>
    <col min="5893" max="5893" width="11.125" style="63" customWidth="1"/>
    <col min="5894" max="5894" width="12.875" style="63" customWidth="1"/>
    <col min="5895" max="5895" width="11.125" style="63" customWidth="1"/>
    <col min="5896" max="5896" width="14.625" style="63" customWidth="1"/>
    <col min="5897" max="5897" width="17.25" style="63" customWidth="1"/>
    <col min="5898" max="5898" width="14.625" style="63" customWidth="1"/>
    <col min="5899" max="5899" width="10.875" style="63" customWidth="1"/>
    <col min="5900" max="5900" width="10.375" style="63" customWidth="1"/>
    <col min="5901" max="6145" width="8.75" style="63"/>
    <col min="6146" max="6146" width="7.625" style="63" customWidth="1"/>
    <col min="6147" max="6147" width="52.25" style="63" customWidth="1"/>
    <col min="6148" max="6148" width="7.625" style="63" customWidth="1"/>
    <col min="6149" max="6149" width="11.125" style="63" customWidth="1"/>
    <col min="6150" max="6150" width="12.875" style="63" customWidth="1"/>
    <col min="6151" max="6151" width="11.125" style="63" customWidth="1"/>
    <col min="6152" max="6152" width="14.625" style="63" customWidth="1"/>
    <col min="6153" max="6153" width="17.25" style="63" customWidth="1"/>
    <col min="6154" max="6154" width="14.625" style="63" customWidth="1"/>
    <col min="6155" max="6155" width="10.875" style="63" customWidth="1"/>
    <col min="6156" max="6156" width="10.375" style="63" customWidth="1"/>
    <col min="6157" max="6401" width="8.75" style="63"/>
    <col min="6402" max="6402" width="7.625" style="63" customWidth="1"/>
    <col min="6403" max="6403" width="52.25" style="63" customWidth="1"/>
    <col min="6404" max="6404" width="7.625" style="63" customWidth="1"/>
    <col min="6405" max="6405" width="11.125" style="63" customWidth="1"/>
    <col min="6406" max="6406" width="12.875" style="63" customWidth="1"/>
    <col min="6407" max="6407" width="11.125" style="63" customWidth="1"/>
    <col min="6408" max="6408" width="14.625" style="63" customWidth="1"/>
    <col min="6409" max="6409" width="17.25" style="63" customWidth="1"/>
    <col min="6410" max="6410" width="14.625" style="63" customWidth="1"/>
    <col min="6411" max="6411" width="10.875" style="63" customWidth="1"/>
    <col min="6412" max="6412" width="10.375" style="63" customWidth="1"/>
    <col min="6413" max="6657" width="8.75" style="63"/>
    <col min="6658" max="6658" width="7.625" style="63" customWidth="1"/>
    <col min="6659" max="6659" width="52.25" style="63" customWidth="1"/>
    <col min="6660" max="6660" width="7.625" style="63" customWidth="1"/>
    <col min="6661" max="6661" width="11.125" style="63" customWidth="1"/>
    <col min="6662" max="6662" width="12.875" style="63" customWidth="1"/>
    <col min="6663" max="6663" width="11.125" style="63" customWidth="1"/>
    <col min="6664" max="6664" width="14.625" style="63" customWidth="1"/>
    <col min="6665" max="6665" width="17.25" style="63" customWidth="1"/>
    <col min="6666" max="6666" width="14.625" style="63" customWidth="1"/>
    <col min="6667" max="6667" width="10.875" style="63" customWidth="1"/>
    <col min="6668" max="6668" width="10.375" style="63" customWidth="1"/>
    <col min="6669" max="6913" width="8.75" style="63"/>
    <col min="6914" max="6914" width="7.625" style="63" customWidth="1"/>
    <col min="6915" max="6915" width="52.25" style="63" customWidth="1"/>
    <col min="6916" max="6916" width="7.625" style="63" customWidth="1"/>
    <col min="6917" max="6917" width="11.125" style="63" customWidth="1"/>
    <col min="6918" max="6918" width="12.875" style="63" customWidth="1"/>
    <col min="6919" max="6919" width="11.125" style="63" customWidth="1"/>
    <col min="6920" max="6920" width="14.625" style="63" customWidth="1"/>
    <col min="6921" max="6921" width="17.25" style="63" customWidth="1"/>
    <col min="6922" max="6922" width="14.625" style="63" customWidth="1"/>
    <col min="6923" max="6923" width="10.875" style="63" customWidth="1"/>
    <col min="6924" max="6924" width="10.375" style="63" customWidth="1"/>
    <col min="6925" max="7169" width="8.75" style="63"/>
    <col min="7170" max="7170" width="7.625" style="63" customWidth="1"/>
    <col min="7171" max="7171" width="52.25" style="63" customWidth="1"/>
    <col min="7172" max="7172" width="7.625" style="63" customWidth="1"/>
    <col min="7173" max="7173" width="11.125" style="63" customWidth="1"/>
    <col min="7174" max="7174" width="12.875" style="63" customWidth="1"/>
    <col min="7175" max="7175" width="11.125" style="63" customWidth="1"/>
    <col min="7176" max="7176" width="14.625" style="63" customWidth="1"/>
    <col min="7177" max="7177" width="17.25" style="63" customWidth="1"/>
    <col min="7178" max="7178" width="14.625" style="63" customWidth="1"/>
    <col min="7179" max="7179" width="10.875" style="63" customWidth="1"/>
    <col min="7180" max="7180" width="10.375" style="63" customWidth="1"/>
    <col min="7181" max="7425" width="8.75" style="63"/>
    <col min="7426" max="7426" width="7.625" style="63" customWidth="1"/>
    <col min="7427" max="7427" width="52.25" style="63" customWidth="1"/>
    <col min="7428" max="7428" width="7.625" style="63" customWidth="1"/>
    <col min="7429" max="7429" width="11.125" style="63" customWidth="1"/>
    <col min="7430" max="7430" width="12.875" style="63" customWidth="1"/>
    <col min="7431" max="7431" width="11.125" style="63" customWidth="1"/>
    <col min="7432" max="7432" width="14.625" style="63" customWidth="1"/>
    <col min="7433" max="7433" width="17.25" style="63" customWidth="1"/>
    <col min="7434" max="7434" width="14.625" style="63" customWidth="1"/>
    <col min="7435" max="7435" width="10.875" style="63" customWidth="1"/>
    <col min="7436" max="7436" width="10.375" style="63" customWidth="1"/>
    <col min="7437" max="7681" width="8.75" style="63"/>
    <col min="7682" max="7682" width="7.625" style="63" customWidth="1"/>
    <col min="7683" max="7683" width="52.25" style="63" customWidth="1"/>
    <col min="7684" max="7684" width="7.625" style="63" customWidth="1"/>
    <col min="7685" max="7685" width="11.125" style="63" customWidth="1"/>
    <col min="7686" max="7686" width="12.875" style="63" customWidth="1"/>
    <col min="7687" max="7687" width="11.125" style="63" customWidth="1"/>
    <col min="7688" max="7688" width="14.625" style="63" customWidth="1"/>
    <col min="7689" max="7689" width="17.25" style="63" customWidth="1"/>
    <col min="7690" max="7690" width="14.625" style="63" customWidth="1"/>
    <col min="7691" max="7691" width="10.875" style="63" customWidth="1"/>
    <col min="7692" max="7692" width="10.375" style="63" customWidth="1"/>
    <col min="7693" max="7937" width="8.75" style="63"/>
    <col min="7938" max="7938" width="7.625" style="63" customWidth="1"/>
    <col min="7939" max="7939" width="52.25" style="63" customWidth="1"/>
    <col min="7940" max="7940" width="7.625" style="63" customWidth="1"/>
    <col min="7941" max="7941" width="11.125" style="63" customWidth="1"/>
    <col min="7942" max="7942" width="12.875" style="63" customWidth="1"/>
    <col min="7943" max="7943" width="11.125" style="63" customWidth="1"/>
    <col min="7944" max="7944" width="14.625" style="63" customWidth="1"/>
    <col min="7945" max="7945" width="17.25" style="63" customWidth="1"/>
    <col min="7946" max="7946" width="14.625" style="63" customWidth="1"/>
    <col min="7947" max="7947" width="10.875" style="63" customWidth="1"/>
    <col min="7948" max="7948" width="10.375" style="63" customWidth="1"/>
    <col min="7949" max="8193" width="8.75" style="63"/>
    <col min="8194" max="8194" width="7.625" style="63" customWidth="1"/>
    <col min="8195" max="8195" width="52.25" style="63" customWidth="1"/>
    <col min="8196" max="8196" width="7.625" style="63" customWidth="1"/>
    <col min="8197" max="8197" width="11.125" style="63" customWidth="1"/>
    <col min="8198" max="8198" width="12.875" style="63" customWidth="1"/>
    <col min="8199" max="8199" width="11.125" style="63" customWidth="1"/>
    <col min="8200" max="8200" width="14.625" style="63" customWidth="1"/>
    <col min="8201" max="8201" width="17.25" style="63" customWidth="1"/>
    <col min="8202" max="8202" width="14.625" style="63" customWidth="1"/>
    <col min="8203" max="8203" width="10.875" style="63" customWidth="1"/>
    <col min="8204" max="8204" width="10.375" style="63" customWidth="1"/>
    <col min="8205" max="8449" width="8.75" style="63"/>
    <col min="8450" max="8450" width="7.625" style="63" customWidth="1"/>
    <col min="8451" max="8451" width="52.25" style="63" customWidth="1"/>
    <col min="8452" max="8452" width="7.625" style="63" customWidth="1"/>
    <col min="8453" max="8453" width="11.125" style="63" customWidth="1"/>
    <col min="8454" max="8454" width="12.875" style="63" customWidth="1"/>
    <col min="8455" max="8455" width="11.125" style="63" customWidth="1"/>
    <col min="8456" max="8456" width="14.625" style="63" customWidth="1"/>
    <col min="8457" max="8457" width="17.25" style="63" customWidth="1"/>
    <col min="8458" max="8458" width="14.625" style="63" customWidth="1"/>
    <col min="8459" max="8459" width="10.875" style="63" customWidth="1"/>
    <col min="8460" max="8460" width="10.375" style="63" customWidth="1"/>
    <col min="8461" max="8705" width="8.75" style="63"/>
    <col min="8706" max="8706" width="7.625" style="63" customWidth="1"/>
    <col min="8707" max="8707" width="52.25" style="63" customWidth="1"/>
    <col min="8708" max="8708" width="7.625" style="63" customWidth="1"/>
    <col min="8709" max="8709" width="11.125" style="63" customWidth="1"/>
    <col min="8710" max="8710" width="12.875" style="63" customWidth="1"/>
    <col min="8711" max="8711" width="11.125" style="63" customWidth="1"/>
    <col min="8712" max="8712" width="14.625" style="63" customWidth="1"/>
    <col min="8713" max="8713" width="17.25" style="63" customWidth="1"/>
    <col min="8714" max="8714" width="14.625" style="63" customWidth="1"/>
    <col min="8715" max="8715" width="10.875" style="63" customWidth="1"/>
    <col min="8716" max="8716" width="10.375" style="63" customWidth="1"/>
    <col min="8717" max="8961" width="8.75" style="63"/>
    <col min="8962" max="8962" width="7.625" style="63" customWidth="1"/>
    <col min="8963" max="8963" width="52.25" style="63" customWidth="1"/>
    <col min="8964" max="8964" width="7.625" style="63" customWidth="1"/>
    <col min="8965" max="8965" width="11.125" style="63" customWidth="1"/>
    <col min="8966" max="8966" width="12.875" style="63" customWidth="1"/>
    <col min="8967" max="8967" width="11.125" style="63" customWidth="1"/>
    <col min="8968" max="8968" width="14.625" style="63" customWidth="1"/>
    <col min="8969" max="8969" width="17.25" style="63" customWidth="1"/>
    <col min="8970" max="8970" width="14.625" style="63" customWidth="1"/>
    <col min="8971" max="8971" width="10.875" style="63" customWidth="1"/>
    <col min="8972" max="8972" width="10.375" style="63" customWidth="1"/>
    <col min="8973" max="9217" width="8.75" style="63"/>
    <col min="9218" max="9218" width="7.625" style="63" customWidth="1"/>
    <col min="9219" max="9219" width="52.25" style="63" customWidth="1"/>
    <col min="9220" max="9220" width="7.625" style="63" customWidth="1"/>
    <col min="9221" max="9221" width="11.125" style="63" customWidth="1"/>
    <col min="9222" max="9222" width="12.875" style="63" customWidth="1"/>
    <col min="9223" max="9223" width="11.125" style="63" customWidth="1"/>
    <col min="9224" max="9224" width="14.625" style="63" customWidth="1"/>
    <col min="9225" max="9225" width="17.25" style="63" customWidth="1"/>
    <col min="9226" max="9226" width="14.625" style="63" customWidth="1"/>
    <col min="9227" max="9227" width="10.875" style="63" customWidth="1"/>
    <col min="9228" max="9228" width="10.375" style="63" customWidth="1"/>
    <col min="9229" max="9473" width="8.75" style="63"/>
    <col min="9474" max="9474" width="7.625" style="63" customWidth="1"/>
    <col min="9475" max="9475" width="52.25" style="63" customWidth="1"/>
    <col min="9476" max="9476" width="7.625" style="63" customWidth="1"/>
    <col min="9477" max="9477" width="11.125" style="63" customWidth="1"/>
    <col min="9478" max="9478" width="12.875" style="63" customWidth="1"/>
    <col min="9479" max="9479" width="11.125" style="63" customWidth="1"/>
    <col min="9480" max="9480" width="14.625" style="63" customWidth="1"/>
    <col min="9481" max="9481" width="17.25" style="63" customWidth="1"/>
    <col min="9482" max="9482" width="14.625" style="63" customWidth="1"/>
    <col min="9483" max="9483" width="10.875" style="63" customWidth="1"/>
    <col min="9484" max="9484" width="10.375" style="63" customWidth="1"/>
    <col min="9485" max="9729" width="8.75" style="63"/>
    <col min="9730" max="9730" width="7.625" style="63" customWidth="1"/>
    <col min="9731" max="9731" width="52.25" style="63" customWidth="1"/>
    <col min="9732" max="9732" width="7.625" style="63" customWidth="1"/>
    <col min="9733" max="9733" width="11.125" style="63" customWidth="1"/>
    <col min="9734" max="9734" width="12.875" style="63" customWidth="1"/>
    <col min="9735" max="9735" width="11.125" style="63" customWidth="1"/>
    <col min="9736" max="9736" width="14.625" style="63" customWidth="1"/>
    <col min="9737" max="9737" width="17.25" style="63" customWidth="1"/>
    <col min="9738" max="9738" width="14.625" style="63" customWidth="1"/>
    <col min="9739" max="9739" width="10.875" style="63" customWidth="1"/>
    <col min="9740" max="9740" width="10.375" style="63" customWidth="1"/>
    <col min="9741" max="9985" width="8.75" style="63"/>
    <col min="9986" max="9986" width="7.625" style="63" customWidth="1"/>
    <col min="9987" max="9987" width="52.25" style="63" customWidth="1"/>
    <col min="9988" max="9988" width="7.625" style="63" customWidth="1"/>
    <col min="9989" max="9989" width="11.125" style="63" customWidth="1"/>
    <col min="9990" max="9990" width="12.875" style="63" customWidth="1"/>
    <col min="9991" max="9991" width="11.125" style="63" customWidth="1"/>
    <col min="9992" max="9992" width="14.625" style="63" customWidth="1"/>
    <col min="9993" max="9993" width="17.25" style="63" customWidth="1"/>
    <col min="9994" max="9994" width="14.625" style="63" customWidth="1"/>
    <col min="9995" max="9995" width="10.875" style="63" customWidth="1"/>
    <col min="9996" max="9996" width="10.375" style="63" customWidth="1"/>
    <col min="9997" max="10241" width="8.75" style="63"/>
    <col min="10242" max="10242" width="7.625" style="63" customWidth="1"/>
    <col min="10243" max="10243" width="52.25" style="63" customWidth="1"/>
    <col min="10244" max="10244" width="7.625" style="63" customWidth="1"/>
    <col min="10245" max="10245" width="11.125" style="63" customWidth="1"/>
    <col min="10246" max="10246" width="12.875" style="63" customWidth="1"/>
    <col min="10247" max="10247" width="11.125" style="63" customWidth="1"/>
    <col min="10248" max="10248" width="14.625" style="63" customWidth="1"/>
    <col min="10249" max="10249" width="17.25" style="63" customWidth="1"/>
    <col min="10250" max="10250" width="14.625" style="63" customWidth="1"/>
    <col min="10251" max="10251" width="10.875" style="63" customWidth="1"/>
    <col min="10252" max="10252" width="10.375" style="63" customWidth="1"/>
    <col min="10253" max="10497" width="8.75" style="63"/>
    <col min="10498" max="10498" width="7.625" style="63" customWidth="1"/>
    <col min="10499" max="10499" width="52.25" style="63" customWidth="1"/>
    <col min="10500" max="10500" width="7.625" style="63" customWidth="1"/>
    <col min="10501" max="10501" width="11.125" style="63" customWidth="1"/>
    <col min="10502" max="10502" width="12.875" style="63" customWidth="1"/>
    <col min="10503" max="10503" width="11.125" style="63" customWidth="1"/>
    <col min="10504" max="10504" width="14.625" style="63" customWidth="1"/>
    <col min="10505" max="10505" width="17.25" style="63" customWidth="1"/>
    <col min="10506" max="10506" width="14.625" style="63" customWidth="1"/>
    <col min="10507" max="10507" width="10.875" style="63" customWidth="1"/>
    <col min="10508" max="10508" width="10.375" style="63" customWidth="1"/>
    <col min="10509" max="10753" width="8.75" style="63"/>
    <col min="10754" max="10754" width="7.625" style="63" customWidth="1"/>
    <col min="10755" max="10755" width="52.25" style="63" customWidth="1"/>
    <col min="10756" max="10756" width="7.625" style="63" customWidth="1"/>
    <col min="10757" max="10757" width="11.125" style="63" customWidth="1"/>
    <col min="10758" max="10758" width="12.875" style="63" customWidth="1"/>
    <col min="10759" max="10759" width="11.125" style="63" customWidth="1"/>
    <col min="10760" max="10760" width="14.625" style="63" customWidth="1"/>
    <col min="10761" max="10761" width="17.25" style="63" customWidth="1"/>
    <col min="10762" max="10762" width="14.625" style="63" customWidth="1"/>
    <col min="10763" max="10763" width="10.875" style="63" customWidth="1"/>
    <col min="10764" max="10764" width="10.375" style="63" customWidth="1"/>
    <col min="10765" max="11009" width="8.75" style="63"/>
    <col min="11010" max="11010" width="7.625" style="63" customWidth="1"/>
    <col min="11011" max="11011" width="52.25" style="63" customWidth="1"/>
    <col min="11012" max="11012" width="7.625" style="63" customWidth="1"/>
    <col min="11013" max="11013" width="11.125" style="63" customWidth="1"/>
    <col min="11014" max="11014" width="12.875" style="63" customWidth="1"/>
    <col min="11015" max="11015" width="11.125" style="63" customWidth="1"/>
    <col min="11016" max="11016" width="14.625" style="63" customWidth="1"/>
    <col min="11017" max="11017" width="17.25" style="63" customWidth="1"/>
    <col min="11018" max="11018" width="14.625" style="63" customWidth="1"/>
    <col min="11019" max="11019" width="10.875" style="63" customWidth="1"/>
    <col min="11020" max="11020" width="10.375" style="63" customWidth="1"/>
    <col min="11021" max="11265" width="8.75" style="63"/>
    <col min="11266" max="11266" width="7.625" style="63" customWidth="1"/>
    <col min="11267" max="11267" width="52.25" style="63" customWidth="1"/>
    <col min="11268" max="11268" width="7.625" style="63" customWidth="1"/>
    <col min="11269" max="11269" width="11.125" style="63" customWidth="1"/>
    <col min="11270" max="11270" width="12.875" style="63" customWidth="1"/>
    <col min="11271" max="11271" width="11.125" style="63" customWidth="1"/>
    <col min="11272" max="11272" width="14.625" style="63" customWidth="1"/>
    <col min="11273" max="11273" width="17.25" style="63" customWidth="1"/>
    <col min="11274" max="11274" width="14.625" style="63" customWidth="1"/>
    <col min="11275" max="11275" width="10.875" style="63" customWidth="1"/>
    <col min="11276" max="11276" width="10.375" style="63" customWidth="1"/>
    <col min="11277" max="11521" width="8.75" style="63"/>
    <col min="11522" max="11522" width="7.625" style="63" customWidth="1"/>
    <col min="11523" max="11523" width="52.25" style="63" customWidth="1"/>
    <col min="11524" max="11524" width="7.625" style="63" customWidth="1"/>
    <col min="11525" max="11525" width="11.125" style="63" customWidth="1"/>
    <col min="11526" max="11526" width="12.875" style="63" customWidth="1"/>
    <col min="11527" max="11527" width="11.125" style="63" customWidth="1"/>
    <col min="11528" max="11528" width="14.625" style="63" customWidth="1"/>
    <col min="11529" max="11529" width="17.25" style="63" customWidth="1"/>
    <col min="11530" max="11530" width="14.625" style="63" customWidth="1"/>
    <col min="11531" max="11531" width="10.875" style="63" customWidth="1"/>
    <col min="11532" max="11532" width="10.375" style="63" customWidth="1"/>
    <col min="11533" max="11777" width="8.75" style="63"/>
    <col min="11778" max="11778" width="7.625" style="63" customWidth="1"/>
    <col min="11779" max="11779" width="52.25" style="63" customWidth="1"/>
    <col min="11780" max="11780" width="7.625" style="63" customWidth="1"/>
    <col min="11781" max="11781" width="11.125" style="63" customWidth="1"/>
    <col min="11782" max="11782" width="12.875" style="63" customWidth="1"/>
    <col min="11783" max="11783" width="11.125" style="63" customWidth="1"/>
    <col min="11784" max="11784" width="14.625" style="63" customWidth="1"/>
    <col min="11785" max="11785" width="17.25" style="63" customWidth="1"/>
    <col min="11786" max="11786" width="14.625" style="63" customWidth="1"/>
    <col min="11787" max="11787" width="10.875" style="63" customWidth="1"/>
    <col min="11788" max="11788" width="10.375" style="63" customWidth="1"/>
    <col min="11789" max="12033" width="8.75" style="63"/>
    <col min="12034" max="12034" width="7.625" style="63" customWidth="1"/>
    <col min="12035" max="12035" width="52.25" style="63" customWidth="1"/>
    <col min="12036" max="12036" width="7.625" style="63" customWidth="1"/>
    <col min="12037" max="12037" width="11.125" style="63" customWidth="1"/>
    <col min="12038" max="12038" width="12.875" style="63" customWidth="1"/>
    <col min="12039" max="12039" width="11.125" style="63" customWidth="1"/>
    <col min="12040" max="12040" width="14.625" style="63" customWidth="1"/>
    <col min="12041" max="12041" width="17.25" style="63" customWidth="1"/>
    <col min="12042" max="12042" width="14.625" style="63" customWidth="1"/>
    <col min="12043" max="12043" width="10.875" style="63" customWidth="1"/>
    <col min="12044" max="12044" width="10.375" style="63" customWidth="1"/>
    <col min="12045" max="12289" width="8.75" style="63"/>
    <col min="12290" max="12290" width="7.625" style="63" customWidth="1"/>
    <col min="12291" max="12291" width="52.25" style="63" customWidth="1"/>
    <col min="12292" max="12292" width="7.625" style="63" customWidth="1"/>
    <col min="12293" max="12293" width="11.125" style="63" customWidth="1"/>
    <col min="12294" max="12294" width="12.875" style="63" customWidth="1"/>
    <col min="12295" max="12295" width="11.125" style="63" customWidth="1"/>
    <col min="12296" max="12296" width="14.625" style="63" customWidth="1"/>
    <col min="12297" max="12297" width="17.25" style="63" customWidth="1"/>
    <col min="12298" max="12298" width="14.625" style="63" customWidth="1"/>
    <col min="12299" max="12299" width="10.875" style="63" customWidth="1"/>
    <col min="12300" max="12300" width="10.375" style="63" customWidth="1"/>
    <col min="12301" max="12545" width="8.75" style="63"/>
    <col min="12546" max="12546" width="7.625" style="63" customWidth="1"/>
    <col min="12547" max="12547" width="52.25" style="63" customWidth="1"/>
    <col min="12548" max="12548" width="7.625" style="63" customWidth="1"/>
    <col min="12549" max="12549" width="11.125" style="63" customWidth="1"/>
    <col min="12550" max="12550" width="12.875" style="63" customWidth="1"/>
    <col min="12551" max="12551" width="11.125" style="63" customWidth="1"/>
    <col min="12552" max="12552" width="14.625" style="63" customWidth="1"/>
    <col min="12553" max="12553" width="17.25" style="63" customWidth="1"/>
    <col min="12554" max="12554" width="14.625" style="63" customWidth="1"/>
    <col min="12555" max="12555" width="10.875" style="63" customWidth="1"/>
    <col min="12556" max="12556" width="10.375" style="63" customWidth="1"/>
    <col min="12557" max="12801" width="8.75" style="63"/>
    <col min="12802" max="12802" width="7.625" style="63" customWidth="1"/>
    <col min="12803" max="12803" width="52.25" style="63" customWidth="1"/>
    <col min="12804" max="12804" width="7.625" style="63" customWidth="1"/>
    <col min="12805" max="12805" width="11.125" style="63" customWidth="1"/>
    <col min="12806" max="12806" width="12.875" style="63" customWidth="1"/>
    <col min="12807" max="12807" width="11.125" style="63" customWidth="1"/>
    <col min="12808" max="12808" width="14.625" style="63" customWidth="1"/>
    <col min="12809" max="12809" width="17.25" style="63" customWidth="1"/>
    <col min="12810" max="12810" width="14.625" style="63" customWidth="1"/>
    <col min="12811" max="12811" width="10.875" style="63" customWidth="1"/>
    <col min="12812" max="12812" width="10.375" style="63" customWidth="1"/>
    <col min="12813" max="13057" width="8.75" style="63"/>
    <col min="13058" max="13058" width="7.625" style="63" customWidth="1"/>
    <col min="13059" max="13059" width="52.25" style="63" customWidth="1"/>
    <col min="13060" max="13060" width="7.625" style="63" customWidth="1"/>
    <col min="13061" max="13061" width="11.125" style="63" customWidth="1"/>
    <col min="13062" max="13062" width="12.875" style="63" customWidth="1"/>
    <col min="13063" max="13063" width="11.125" style="63" customWidth="1"/>
    <col min="13064" max="13064" width="14.625" style="63" customWidth="1"/>
    <col min="13065" max="13065" width="17.25" style="63" customWidth="1"/>
    <col min="13066" max="13066" width="14.625" style="63" customWidth="1"/>
    <col min="13067" max="13067" width="10.875" style="63" customWidth="1"/>
    <col min="13068" max="13068" width="10.375" style="63" customWidth="1"/>
    <col min="13069" max="13313" width="8.75" style="63"/>
    <col min="13314" max="13314" width="7.625" style="63" customWidth="1"/>
    <col min="13315" max="13315" width="52.25" style="63" customWidth="1"/>
    <col min="13316" max="13316" width="7.625" style="63" customWidth="1"/>
    <col min="13317" max="13317" width="11.125" style="63" customWidth="1"/>
    <col min="13318" max="13318" width="12.875" style="63" customWidth="1"/>
    <col min="13319" max="13319" width="11.125" style="63" customWidth="1"/>
    <col min="13320" max="13320" width="14.625" style="63" customWidth="1"/>
    <col min="13321" max="13321" width="17.25" style="63" customWidth="1"/>
    <col min="13322" max="13322" width="14.625" style="63" customWidth="1"/>
    <col min="13323" max="13323" width="10.875" style="63" customWidth="1"/>
    <col min="13324" max="13324" width="10.375" style="63" customWidth="1"/>
    <col min="13325" max="13569" width="8.75" style="63"/>
    <col min="13570" max="13570" width="7.625" style="63" customWidth="1"/>
    <col min="13571" max="13571" width="52.25" style="63" customWidth="1"/>
    <col min="13572" max="13572" width="7.625" style="63" customWidth="1"/>
    <col min="13573" max="13573" width="11.125" style="63" customWidth="1"/>
    <col min="13574" max="13574" width="12.875" style="63" customWidth="1"/>
    <col min="13575" max="13575" width="11.125" style="63" customWidth="1"/>
    <col min="13576" max="13576" width="14.625" style="63" customWidth="1"/>
    <col min="13577" max="13577" width="17.25" style="63" customWidth="1"/>
    <col min="13578" max="13578" width="14.625" style="63" customWidth="1"/>
    <col min="13579" max="13579" width="10.875" style="63" customWidth="1"/>
    <col min="13580" max="13580" width="10.375" style="63" customWidth="1"/>
    <col min="13581" max="13825" width="8.75" style="63"/>
    <col min="13826" max="13826" width="7.625" style="63" customWidth="1"/>
    <col min="13827" max="13827" width="52.25" style="63" customWidth="1"/>
    <col min="13828" max="13828" width="7.625" style="63" customWidth="1"/>
    <col min="13829" max="13829" width="11.125" style="63" customWidth="1"/>
    <col min="13830" max="13830" width="12.875" style="63" customWidth="1"/>
    <col min="13831" max="13831" width="11.125" style="63" customWidth="1"/>
    <col min="13832" max="13832" width="14.625" style="63" customWidth="1"/>
    <col min="13833" max="13833" width="17.25" style="63" customWidth="1"/>
    <col min="13834" max="13834" width="14.625" style="63" customWidth="1"/>
    <col min="13835" max="13835" width="10.875" style="63" customWidth="1"/>
    <col min="13836" max="13836" width="10.375" style="63" customWidth="1"/>
    <col min="13837" max="14081" width="8.75" style="63"/>
    <col min="14082" max="14082" width="7.625" style="63" customWidth="1"/>
    <col min="14083" max="14083" width="52.25" style="63" customWidth="1"/>
    <col min="14084" max="14084" width="7.625" style="63" customWidth="1"/>
    <col min="14085" max="14085" width="11.125" style="63" customWidth="1"/>
    <col min="14086" max="14086" width="12.875" style="63" customWidth="1"/>
    <col min="14087" max="14087" width="11.125" style="63" customWidth="1"/>
    <col min="14088" max="14088" width="14.625" style="63" customWidth="1"/>
    <col min="14089" max="14089" width="17.25" style="63" customWidth="1"/>
    <col min="14090" max="14090" width="14.625" style="63" customWidth="1"/>
    <col min="14091" max="14091" width="10.875" style="63" customWidth="1"/>
    <col min="14092" max="14092" width="10.375" style="63" customWidth="1"/>
    <col min="14093" max="14337" width="8.75" style="63"/>
    <col min="14338" max="14338" width="7.625" style="63" customWidth="1"/>
    <col min="14339" max="14339" width="52.25" style="63" customWidth="1"/>
    <col min="14340" max="14340" width="7.625" style="63" customWidth="1"/>
    <col min="14341" max="14341" width="11.125" style="63" customWidth="1"/>
    <col min="14342" max="14342" width="12.875" style="63" customWidth="1"/>
    <col min="14343" max="14343" width="11.125" style="63" customWidth="1"/>
    <col min="14344" max="14344" width="14.625" style="63" customWidth="1"/>
    <col min="14345" max="14345" width="17.25" style="63" customWidth="1"/>
    <col min="14346" max="14346" width="14.625" style="63" customWidth="1"/>
    <col min="14347" max="14347" width="10.875" style="63" customWidth="1"/>
    <col min="14348" max="14348" width="10.375" style="63" customWidth="1"/>
    <col min="14349" max="14593" width="8.75" style="63"/>
    <col min="14594" max="14594" width="7.625" style="63" customWidth="1"/>
    <col min="14595" max="14595" width="52.25" style="63" customWidth="1"/>
    <col min="14596" max="14596" width="7.625" style="63" customWidth="1"/>
    <col min="14597" max="14597" width="11.125" style="63" customWidth="1"/>
    <col min="14598" max="14598" width="12.875" style="63" customWidth="1"/>
    <col min="14599" max="14599" width="11.125" style="63" customWidth="1"/>
    <col min="14600" max="14600" width="14.625" style="63" customWidth="1"/>
    <col min="14601" max="14601" width="17.25" style="63" customWidth="1"/>
    <col min="14602" max="14602" width="14.625" style="63" customWidth="1"/>
    <col min="14603" max="14603" width="10.875" style="63" customWidth="1"/>
    <col min="14604" max="14604" width="10.375" style="63" customWidth="1"/>
    <col min="14605" max="14849" width="8.75" style="63"/>
    <col min="14850" max="14850" width="7.625" style="63" customWidth="1"/>
    <col min="14851" max="14851" width="52.25" style="63" customWidth="1"/>
    <col min="14852" max="14852" width="7.625" style="63" customWidth="1"/>
    <col min="14853" max="14853" width="11.125" style="63" customWidth="1"/>
    <col min="14854" max="14854" width="12.875" style="63" customWidth="1"/>
    <col min="14855" max="14855" width="11.125" style="63" customWidth="1"/>
    <col min="14856" max="14856" width="14.625" style="63" customWidth="1"/>
    <col min="14857" max="14857" width="17.25" style="63" customWidth="1"/>
    <col min="14858" max="14858" width="14.625" style="63" customWidth="1"/>
    <col min="14859" max="14859" width="10.875" style="63" customWidth="1"/>
    <col min="14860" max="14860" width="10.375" style="63" customWidth="1"/>
    <col min="14861" max="15105" width="8.75" style="63"/>
    <col min="15106" max="15106" width="7.625" style="63" customWidth="1"/>
    <col min="15107" max="15107" width="52.25" style="63" customWidth="1"/>
    <col min="15108" max="15108" width="7.625" style="63" customWidth="1"/>
    <col min="15109" max="15109" width="11.125" style="63" customWidth="1"/>
    <col min="15110" max="15110" width="12.875" style="63" customWidth="1"/>
    <col min="15111" max="15111" width="11.125" style="63" customWidth="1"/>
    <col min="15112" max="15112" width="14.625" style="63" customWidth="1"/>
    <col min="15113" max="15113" width="17.25" style="63" customWidth="1"/>
    <col min="15114" max="15114" width="14.625" style="63" customWidth="1"/>
    <col min="15115" max="15115" width="10.875" style="63" customWidth="1"/>
    <col min="15116" max="15116" width="10.375" style="63" customWidth="1"/>
    <col min="15117" max="15361" width="8.75" style="63"/>
    <col min="15362" max="15362" width="7.625" style="63" customWidth="1"/>
    <col min="15363" max="15363" width="52.25" style="63" customWidth="1"/>
    <col min="15364" max="15364" width="7.625" style="63" customWidth="1"/>
    <col min="15365" max="15365" width="11.125" style="63" customWidth="1"/>
    <col min="15366" max="15366" width="12.875" style="63" customWidth="1"/>
    <col min="15367" max="15367" width="11.125" style="63" customWidth="1"/>
    <col min="15368" max="15368" width="14.625" style="63" customWidth="1"/>
    <col min="15369" max="15369" width="17.25" style="63" customWidth="1"/>
    <col min="15370" max="15370" width="14.625" style="63" customWidth="1"/>
    <col min="15371" max="15371" width="10.875" style="63" customWidth="1"/>
    <col min="15372" max="15372" width="10.375" style="63" customWidth="1"/>
    <col min="15373" max="15617" width="8.75" style="63"/>
    <col min="15618" max="15618" width="7.625" style="63" customWidth="1"/>
    <col min="15619" max="15619" width="52.25" style="63" customWidth="1"/>
    <col min="15620" max="15620" width="7.625" style="63" customWidth="1"/>
    <col min="15621" max="15621" width="11.125" style="63" customWidth="1"/>
    <col min="15622" max="15622" width="12.875" style="63" customWidth="1"/>
    <col min="15623" max="15623" width="11.125" style="63" customWidth="1"/>
    <col min="15624" max="15624" width="14.625" style="63" customWidth="1"/>
    <col min="15625" max="15625" width="17.25" style="63" customWidth="1"/>
    <col min="15626" max="15626" width="14.625" style="63" customWidth="1"/>
    <col min="15627" max="15627" width="10.875" style="63" customWidth="1"/>
    <col min="15628" max="15628" width="10.375" style="63" customWidth="1"/>
    <col min="15629" max="15873" width="8.75" style="63"/>
    <col min="15874" max="15874" width="7.625" style="63" customWidth="1"/>
    <col min="15875" max="15875" width="52.25" style="63" customWidth="1"/>
    <col min="15876" max="15876" width="7.625" style="63" customWidth="1"/>
    <col min="15877" max="15877" width="11.125" style="63" customWidth="1"/>
    <col min="15878" max="15878" width="12.875" style="63" customWidth="1"/>
    <col min="15879" max="15879" width="11.125" style="63" customWidth="1"/>
    <col min="15880" max="15880" width="14.625" style="63" customWidth="1"/>
    <col min="15881" max="15881" width="17.25" style="63" customWidth="1"/>
    <col min="15882" max="15882" width="14.625" style="63" customWidth="1"/>
    <col min="15883" max="15883" width="10.875" style="63" customWidth="1"/>
    <col min="15884" max="15884" width="10.375" style="63" customWidth="1"/>
    <col min="15885" max="16129" width="8.75" style="63"/>
    <col min="16130" max="16130" width="7.625" style="63" customWidth="1"/>
    <col min="16131" max="16131" width="52.25" style="63" customWidth="1"/>
    <col min="16132" max="16132" width="7.625" style="63" customWidth="1"/>
    <col min="16133" max="16133" width="11.125" style="63" customWidth="1"/>
    <col min="16134" max="16134" width="12.875" style="63" customWidth="1"/>
    <col min="16135" max="16135" width="11.125" style="63" customWidth="1"/>
    <col min="16136" max="16136" width="14.625" style="63" customWidth="1"/>
    <col min="16137" max="16137" width="17.25" style="63" customWidth="1"/>
    <col min="16138" max="16138" width="14.625" style="63" customWidth="1"/>
    <col min="16139" max="16139" width="10.875" style="63" customWidth="1"/>
    <col min="16140" max="16140" width="10.375" style="63" customWidth="1"/>
    <col min="16141" max="16384" width="8.75" style="63"/>
  </cols>
  <sheetData>
    <row r="1" spans="1:16" s="9" customFormat="1" ht="15.75">
      <c r="A1" s="1" t="s">
        <v>0</v>
      </c>
      <c r="B1" s="2" t="s">
        <v>1</v>
      </c>
      <c r="C1" s="3"/>
      <c r="D1" s="4"/>
      <c r="E1" s="5"/>
      <c r="F1" s="6"/>
      <c r="G1" s="6"/>
      <c r="H1" s="6"/>
      <c r="I1" s="6"/>
      <c r="J1" s="7"/>
      <c r="K1" s="8"/>
    </row>
    <row r="2" spans="1:16" s="9" customFormat="1" ht="15.75">
      <c r="A2" s="1"/>
      <c r="B2" s="10" t="s">
        <v>2</v>
      </c>
      <c r="C2" s="11"/>
      <c r="D2" s="4"/>
      <c r="E2" s="5"/>
      <c r="F2" s="6"/>
      <c r="G2" s="6"/>
      <c r="H2" s="6"/>
      <c r="I2" s="6"/>
      <c r="J2" s="7"/>
      <c r="K2" s="8"/>
    </row>
    <row r="3" spans="1:16" s="9" customFormat="1" ht="15.75">
      <c r="A3" s="1"/>
      <c r="B3" s="12" t="s">
        <v>3</v>
      </c>
      <c r="C3" s="11"/>
      <c r="D3" s="4"/>
      <c r="E3" s="5"/>
      <c r="F3" s="6"/>
      <c r="G3" s="6"/>
      <c r="H3" s="6"/>
      <c r="I3" s="6"/>
      <c r="J3" s="7"/>
      <c r="K3" s="8"/>
    </row>
    <row r="4" spans="1:16" s="9" customFormat="1" ht="13.5" thickBot="1">
      <c r="A4" s="1"/>
      <c r="B4" s="13"/>
      <c r="C4" s="11"/>
      <c r="D4" s="4"/>
      <c r="E4" s="5"/>
      <c r="F4" s="6"/>
      <c r="G4" s="6"/>
      <c r="H4" s="6"/>
      <c r="I4" s="6"/>
      <c r="J4" s="7"/>
      <c r="K4" s="8"/>
    </row>
    <row r="5" spans="1:16" s="16" customFormat="1" ht="18" customHeight="1">
      <c r="A5" s="14"/>
      <c r="B5" s="203" t="s">
        <v>4</v>
      </c>
      <c r="C5" s="205" t="s">
        <v>5</v>
      </c>
      <c r="D5" s="205" t="s">
        <v>6</v>
      </c>
      <c r="E5" s="205" t="s">
        <v>7</v>
      </c>
      <c r="F5" s="207" t="s">
        <v>8</v>
      </c>
      <c r="G5" s="208"/>
      <c r="H5" s="209" t="s">
        <v>9</v>
      </c>
      <c r="I5" s="199" t="s">
        <v>10</v>
      </c>
      <c r="J5" s="201" t="s">
        <v>11</v>
      </c>
      <c r="K5" s="15"/>
    </row>
    <row r="6" spans="1:16" s="16" customFormat="1" ht="13.5" thickBot="1">
      <c r="A6" s="14"/>
      <c r="B6" s="204"/>
      <c r="C6" s="206"/>
      <c r="D6" s="206"/>
      <c r="E6" s="206"/>
      <c r="F6" s="179" t="s">
        <v>12</v>
      </c>
      <c r="G6" s="179" t="s">
        <v>13</v>
      </c>
      <c r="H6" s="210"/>
      <c r="I6" s="200"/>
      <c r="J6" s="202"/>
      <c r="K6" s="15"/>
    </row>
    <row r="7" spans="1:16" s="16" customFormat="1" ht="27" customHeight="1">
      <c r="A7" s="14"/>
      <c r="B7" s="17"/>
      <c r="C7" s="18" t="s">
        <v>14</v>
      </c>
      <c r="D7" s="19"/>
      <c r="E7" s="20"/>
      <c r="F7" s="21"/>
      <c r="G7" s="21"/>
      <c r="H7" s="21"/>
      <c r="I7" s="22"/>
      <c r="J7" s="23"/>
      <c r="K7" s="15"/>
    </row>
    <row r="8" spans="1:16" s="16" customFormat="1" ht="102">
      <c r="A8" s="14"/>
      <c r="B8" s="24"/>
      <c r="C8" s="211" t="s">
        <v>15</v>
      </c>
      <c r="D8" s="212"/>
      <c r="E8" s="213"/>
      <c r="F8" s="214"/>
      <c r="G8" s="214"/>
      <c r="H8" s="214"/>
      <c r="I8" s="180"/>
      <c r="J8" s="25"/>
      <c r="K8" s="15"/>
    </row>
    <row r="9" spans="1:16" s="16" customFormat="1" ht="26.25">
      <c r="A9" s="14"/>
      <c r="B9" s="26" t="s">
        <v>16</v>
      </c>
      <c r="C9" s="215" t="s">
        <v>17</v>
      </c>
      <c r="D9" s="216"/>
      <c r="E9" s="217"/>
      <c r="F9" s="218"/>
      <c r="G9" s="218"/>
      <c r="H9" s="218"/>
      <c r="I9" s="219">
        <f>SUBTOTAL(9,I10:I2517)</f>
        <v>60484467016.726883</v>
      </c>
      <c r="J9" s="27"/>
      <c r="K9" s="15"/>
      <c r="M9" s="16" t="s">
        <v>16</v>
      </c>
      <c r="P9" s="16" t="s">
        <v>16</v>
      </c>
    </row>
    <row r="10" spans="1:16" s="16" customFormat="1" ht="26.25" outlineLevel="1">
      <c r="A10" s="14"/>
      <c r="B10" s="28" t="s">
        <v>18</v>
      </c>
      <c r="C10" s="220" t="s">
        <v>19</v>
      </c>
      <c r="D10" s="221"/>
      <c r="E10" s="222"/>
      <c r="F10" s="223"/>
      <c r="G10" s="223"/>
      <c r="H10" s="223"/>
      <c r="I10" s="224">
        <f>SUBTOTAL(9,I11:I1120)</f>
        <v>25359281750</v>
      </c>
      <c r="J10" s="29"/>
      <c r="K10" s="15"/>
      <c r="M10" s="16" t="s">
        <v>18</v>
      </c>
      <c r="O10" s="16" t="s">
        <v>18</v>
      </c>
    </row>
    <row r="11" spans="1:16" s="33" customFormat="1" ht="26.25" outlineLevel="2">
      <c r="A11" s="14"/>
      <c r="B11" s="30" t="s">
        <v>20</v>
      </c>
      <c r="C11" s="225" t="s">
        <v>21</v>
      </c>
      <c r="D11" s="225"/>
      <c r="E11" s="226"/>
      <c r="F11" s="225"/>
      <c r="G11" s="225"/>
      <c r="H11" s="225"/>
      <c r="I11" s="180">
        <f>SUBTOTAL(9,I12:I58)</f>
        <v>6005020608</v>
      </c>
      <c r="J11" s="31"/>
      <c r="K11" s="32"/>
      <c r="M11" s="16" t="s">
        <v>20</v>
      </c>
      <c r="N11" s="33" t="s">
        <v>20</v>
      </c>
    </row>
    <row r="12" spans="1:16" s="33" customFormat="1" ht="26.25" outlineLevel="3">
      <c r="A12" s="34"/>
      <c r="B12" s="30" t="s">
        <v>22</v>
      </c>
      <c r="C12" s="227" t="s">
        <v>23</v>
      </c>
      <c r="D12" s="212"/>
      <c r="E12" s="228"/>
      <c r="F12" s="214"/>
      <c r="G12" s="214"/>
      <c r="H12" s="214"/>
      <c r="I12" s="180">
        <f>SUBTOTAL(9,I13:I21)</f>
        <v>570441201</v>
      </c>
      <c r="J12" s="25"/>
      <c r="K12" s="32"/>
    </row>
    <row r="13" spans="1:16" s="33" customFormat="1" ht="25.5" outlineLevel="3">
      <c r="A13" s="14"/>
      <c r="B13" s="35">
        <f>MAXA($B$6:B12)+1</f>
        <v>1</v>
      </c>
      <c r="C13" s="229" t="s">
        <v>24</v>
      </c>
      <c r="D13" s="230" t="s">
        <v>25</v>
      </c>
      <c r="E13" s="231">
        <v>250</v>
      </c>
      <c r="F13" s="232">
        <v>1637327</v>
      </c>
      <c r="G13" s="232">
        <v>135476</v>
      </c>
      <c r="H13" s="138">
        <f>G13+F13</f>
        <v>1772803</v>
      </c>
      <c r="I13" s="138">
        <f t="shared" ref="I13:I21" si="0">H13*E13</f>
        <v>443200750</v>
      </c>
      <c r="J13" s="25"/>
      <c r="K13" s="32"/>
    </row>
    <row r="14" spans="1:16" s="33" customFormat="1" ht="25.5" outlineLevel="3">
      <c r="A14" s="14"/>
      <c r="B14" s="35">
        <f>MAXA($B$6:B13)+1</f>
        <v>2</v>
      </c>
      <c r="C14" s="229" t="s">
        <v>26</v>
      </c>
      <c r="D14" s="230" t="s">
        <v>25</v>
      </c>
      <c r="E14" s="231">
        <v>250</v>
      </c>
      <c r="F14" s="232">
        <v>172119</v>
      </c>
      <c r="G14" s="232">
        <v>33134</v>
      </c>
      <c r="H14" s="138">
        <f t="shared" ref="H14:H21" si="1">G14+F14</f>
        <v>205253</v>
      </c>
      <c r="I14" s="138">
        <f t="shared" si="0"/>
        <v>51313250</v>
      </c>
      <c r="J14" s="25"/>
      <c r="K14" s="32"/>
    </row>
    <row r="15" spans="1:16" s="33" customFormat="1" ht="25.5" outlineLevel="3">
      <c r="A15" s="14"/>
      <c r="B15" s="35">
        <f>MAXA($B$6:B14)+1</f>
        <v>3</v>
      </c>
      <c r="C15" s="229" t="s">
        <v>27</v>
      </c>
      <c r="D15" s="230" t="s">
        <v>28</v>
      </c>
      <c r="E15" s="231">
        <v>5</v>
      </c>
      <c r="F15" s="232">
        <v>359781</v>
      </c>
      <c r="G15" s="232">
        <v>77415</v>
      </c>
      <c r="H15" s="138">
        <f t="shared" si="1"/>
        <v>437196</v>
      </c>
      <c r="I15" s="138">
        <f t="shared" si="0"/>
        <v>2185980</v>
      </c>
      <c r="J15" s="25"/>
      <c r="K15" s="32"/>
    </row>
    <row r="16" spans="1:16" s="33" customFormat="1" ht="25.5" outlineLevel="3">
      <c r="A16" s="14"/>
      <c r="B16" s="35">
        <f>MAXA($B$6:B15)+1</f>
        <v>4</v>
      </c>
      <c r="C16" s="229" t="s">
        <v>29</v>
      </c>
      <c r="D16" s="230" t="s">
        <v>28</v>
      </c>
      <c r="E16" s="231">
        <v>8</v>
      </c>
      <c r="F16" s="232">
        <v>69674</v>
      </c>
      <c r="G16" s="232">
        <v>20843</v>
      </c>
      <c r="H16" s="138">
        <f t="shared" si="1"/>
        <v>90517</v>
      </c>
      <c r="I16" s="138">
        <f t="shared" si="0"/>
        <v>724136</v>
      </c>
      <c r="J16" s="25"/>
      <c r="K16" s="32"/>
    </row>
    <row r="17" spans="1:11" s="33" customFormat="1" ht="25.5" outlineLevel="3">
      <c r="A17" s="14"/>
      <c r="B17" s="35">
        <f>MAXA($B$6:B16)+1</f>
        <v>5</v>
      </c>
      <c r="C17" s="229" t="s">
        <v>30</v>
      </c>
      <c r="D17" s="230" t="s">
        <v>25</v>
      </c>
      <c r="E17" s="231">
        <v>150</v>
      </c>
      <c r="F17" s="232">
        <v>4180</v>
      </c>
      <c r="G17" s="232">
        <v>0</v>
      </c>
      <c r="H17" s="138">
        <f t="shared" si="1"/>
        <v>4180</v>
      </c>
      <c r="I17" s="138">
        <f t="shared" si="0"/>
        <v>627000</v>
      </c>
      <c r="J17" s="25"/>
      <c r="K17" s="32"/>
    </row>
    <row r="18" spans="1:11" s="33" customFormat="1" ht="25.5" outlineLevel="3">
      <c r="A18" s="14"/>
      <c r="B18" s="35">
        <f>MAXA($B$6:B17)+1</f>
        <v>6</v>
      </c>
      <c r="C18" s="229" t="s">
        <v>31</v>
      </c>
      <c r="D18" s="230" t="s">
        <v>32</v>
      </c>
      <c r="E18" s="231">
        <v>120</v>
      </c>
      <c r="F18" s="232">
        <v>0</v>
      </c>
      <c r="G18" s="232">
        <v>93791</v>
      </c>
      <c r="H18" s="138">
        <f t="shared" si="1"/>
        <v>93791</v>
      </c>
      <c r="I18" s="138">
        <f t="shared" si="0"/>
        <v>11254920</v>
      </c>
      <c r="J18" s="25"/>
      <c r="K18" s="32"/>
    </row>
    <row r="19" spans="1:11" s="33" customFormat="1" ht="25.5" outlineLevel="3">
      <c r="A19" s="14"/>
      <c r="B19" s="35">
        <f>MAXA($B$6:B18)+1</f>
        <v>7</v>
      </c>
      <c r="C19" s="229" t="s">
        <v>33</v>
      </c>
      <c r="D19" s="230" t="s">
        <v>34</v>
      </c>
      <c r="E19" s="231">
        <v>5</v>
      </c>
      <c r="F19" s="232">
        <v>6967350</v>
      </c>
      <c r="G19" s="232">
        <v>1563188</v>
      </c>
      <c r="H19" s="138">
        <f t="shared" si="1"/>
        <v>8530538</v>
      </c>
      <c r="I19" s="138">
        <f t="shared" si="0"/>
        <v>42652690</v>
      </c>
      <c r="J19" s="25"/>
      <c r="K19" s="32"/>
    </row>
    <row r="20" spans="1:11" s="33" customFormat="1" ht="25.5" outlineLevel="3">
      <c r="A20" s="14"/>
      <c r="B20" s="35">
        <f>MAXA($B$6:B19)+1</f>
        <v>8</v>
      </c>
      <c r="C20" s="229" t="s">
        <v>35</v>
      </c>
      <c r="D20" s="230" t="s">
        <v>36</v>
      </c>
      <c r="E20" s="231">
        <v>600</v>
      </c>
      <c r="F20" s="232">
        <v>2369</v>
      </c>
      <c r="G20" s="232">
        <v>0</v>
      </c>
      <c r="H20" s="138">
        <f t="shared" si="1"/>
        <v>2369</v>
      </c>
      <c r="I20" s="138">
        <f t="shared" si="0"/>
        <v>1421400</v>
      </c>
      <c r="J20" s="25"/>
      <c r="K20" s="32"/>
    </row>
    <row r="21" spans="1:11" s="33" customFormat="1" ht="25.5" outlineLevel="3">
      <c r="A21" s="14"/>
      <c r="B21" s="35">
        <f>MAXA($B$6:B20)+1</f>
        <v>9</v>
      </c>
      <c r="C21" s="229" t="s">
        <v>37</v>
      </c>
      <c r="D21" s="230" t="s">
        <v>38</v>
      </c>
      <c r="E21" s="231">
        <v>1</v>
      </c>
      <c r="F21" s="232">
        <v>13934700</v>
      </c>
      <c r="G21" s="232">
        <v>3126375</v>
      </c>
      <c r="H21" s="138">
        <f t="shared" si="1"/>
        <v>17061075</v>
      </c>
      <c r="I21" s="138">
        <f t="shared" si="0"/>
        <v>17061075</v>
      </c>
      <c r="J21" s="25"/>
      <c r="K21" s="32"/>
    </row>
    <row r="22" spans="1:11" s="33" customFormat="1" ht="26.25" outlineLevel="3">
      <c r="A22" s="34"/>
      <c r="B22" s="30" t="s">
        <v>39</v>
      </c>
      <c r="C22" s="227" t="s">
        <v>40</v>
      </c>
      <c r="D22" s="212"/>
      <c r="E22" s="228"/>
      <c r="F22" s="232">
        <v>0</v>
      </c>
      <c r="G22" s="232">
        <v>0</v>
      </c>
      <c r="H22" s="214"/>
      <c r="I22" s="180">
        <f>SUBTOTAL(9,I23:I39)</f>
        <v>2382990866</v>
      </c>
      <c r="J22" s="25"/>
      <c r="K22" s="32"/>
    </row>
    <row r="23" spans="1:11" s="33" customFormat="1" ht="27" outlineLevel="3">
      <c r="A23" s="14"/>
      <c r="B23" s="30" t="s">
        <v>41</v>
      </c>
      <c r="C23" s="227" t="s">
        <v>42</v>
      </c>
      <c r="D23" s="212"/>
      <c r="E23" s="228"/>
      <c r="F23" s="232">
        <v>0</v>
      </c>
      <c r="G23" s="232">
        <v>0</v>
      </c>
      <c r="H23" s="214"/>
      <c r="I23" s="180"/>
      <c r="J23" s="25"/>
      <c r="K23" s="32"/>
    </row>
    <row r="24" spans="1:11" s="16" customFormat="1" ht="51" outlineLevel="3">
      <c r="A24" s="14"/>
      <c r="B24" s="35">
        <f>MAXA($B$6:B23)+1</f>
        <v>10</v>
      </c>
      <c r="C24" s="229" t="s">
        <v>43</v>
      </c>
      <c r="D24" s="233" t="s">
        <v>44</v>
      </c>
      <c r="E24" s="231">
        <v>1</v>
      </c>
      <c r="F24" s="232">
        <v>210413970</v>
      </c>
      <c r="G24" s="232">
        <v>7989625</v>
      </c>
      <c r="H24" s="234">
        <f t="shared" ref="H24:H32" si="2">G24+F24</f>
        <v>218403595</v>
      </c>
      <c r="I24" s="138">
        <f t="shared" ref="I24:I32" si="3">H24*E24</f>
        <v>218403595</v>
      </c>
      <c r="J24" s="36"/>
      <c r="K24" s="15"/>
    </row>
    <row r="25" spans="1:11" s="16" customFormat="1" ht="51" outlineLevel="3">
      <c r="A25" s="14"/>
      <c r="B25" s="35">
        <f>MAXA($B$6:B24)+1</f>
        <v>11</v>
      </c>
      <c r="C25" s="235" t="s">
        <v>45</v>
      </c>
      <c r="D25" s="233" t="s">
        <v>44</v>
      </c>
      <c r="E25" s="231">
        <v>1</v>
      </c>
      <c r="F25" s="232">
        <v>561568410</v>
      </c>
      <c r="G25" s="232">
        <v>11413750</v>
      </c>
      <c r="H25" s="234">
        <f t="shared" si="2"/>
        <v>572982160</v>
      </c>
      <c r="I25" s="138">
        <f t="shared" si="3"/>
        <v>572982160</v>
      </c>
      <c r="J25" s="36"/>
      <c r="K25" s="15"/>
    </row>
    <row r="26" spans="1:11" s="16" customFormat="1" ht="25.5" outlineLevel="3">
      <c r="A26" s="14"/>
      <c r="B26" s="35">
        <f>MAXA($B$6:B25)+1</f>
        <v>12</v>
      </c>
      <c r="C26" s="236" t="s">
        <v>46</v>
      </c>
      <c r="D26" s="230" t="s">
        <v>38</v>
      </c>
      <c r="E26" s="231">
        <v>1</v>
      </c>
      <c r="F26" s="232">
        <v>4459104</v>
      </c>
      <c r="G26" s="232">
        <v>2084250</v>
      </c>
      <c r="H26" s="138">
        <f t="shared" si="2"/>
        <v>6543354</v>
      </c>
      <c r="I26" s="138">
        <f t="shared" si="3"/>
        <v>6543354</v>
      </c>
      <c r="J26" s="36"/>
      <c r="K26" s="15"/>
    </row>
    <row r="27" spans="1:11" s="16" customFormat="1" ht="25.5" outlineLevel="3">
      <c r="A27" s="14"/>
      <c r="B27" s="35">
        <f>MAXA($B$6:B26)+1</f>
        <v>13</v>
      </c>
      <c r="C27" s="236" t="s">
        <v>47</v>
      </c>
      <c r="D27" s="230" t="s">
        <v>25</v>
      </c>
      <c r="E27" s="231">
        <v>42</v>
      </c>
      <c r="F27" s="232">
        <v>431976</v>
      </c>
      <c r="G27" s="232">
        <v>31264</v>
      </c>
      <c r="H27" s="138">
        <f t="shared" si="2"/>
        <v>463240</v>
      </c>
      <c r="I27" s="138">
        <f t="shared" si="3"/>
        <v>19456080</v>
      </c>
      <c r="J27" s="36"/>
      <c r="K27" s="15"/>
    </row>
    <row r="28" spans="1:11" s="16" customFormat="1" ht="25.5" outlineLevel="3">
      <c r="A28" s="14"/>
      <c r="B28" s="35">
        <f>MAXA($B$6:B27)+1</f>
        <v>14</v>
      </c>
      <c r="C28" s="237" t="s">
        <v>48</v>
      </c>
      <c r="D28" s="233" t="s">
        <v>49</v>
      </c>
      <c r="E28" s="231">
        <v>2</v>
      </c>
      <c r="F28" s="232">
        <v>13237965</v>
      </c>
      <c r="G28" s="232">
        <v>2605313</v>
      </c>
      <c r="H28" s="138">
        <f t="shared" si="2"/>
        <v>15843278</v>
      </c>
      <c r="I28" s="138">
        <f t="shared" si="3"/>
        <v>31686556</v>
      </c>
      <c r="J28" s="36"/>
      <c r="K28" s="15"/>
    </row>
    <row r="29" spans="1:11" s="16" customFormat="1" ht="25.5" outlineLevel="3">
      <c r="A29" s="14"/>
      <c r="B29" s="35">
        <f>MAXA($B$6:B28)+1</f>
        <v>15</v>
      </c>
      <c r="C29" s="236" t="s">
        <v>50</v>
      </c>
      <c r="D29" s="230" t="s">
        <v>25</v>
      </c>
      <c r="E29" s="231">
        <v>10</v>
      </c>
      <c r="F29" s="232">
        <v>348368</v>
      </c>
      <c r="G29" s="232">
        <v>156319</v>
      </c>
      <c r="H29" s="138">
        <f t="shared" si="2"/>
        <v>504687</v>
      </c>
      <c r="I29" s="138">
        <f t="shared" si="3"/>
        <v>5046870</v>
      </c>
      <c r="J29" s="36"/>
      <c r="K29" s="15"/>
    </row>
    <row r="30" spans="1:11" s="16" customFormat="1" ht="25.5" outlineLevel="3">
      <c r="A30" s="14"/>
      <c r="B30" s="35">
        <f>MAXA($B$6:B29)+1</f>
        <v>16</v>
      </c>
      <c r="C30" s="236" t="s">
        <v>51</v>
      </c>
      <c r="D30" s="233" t="s">
        <v>44</v>
      </c>
      <c r="E30" s="231">
        <v>3</v>
      </c>
      <c r="F30" s="232">
        <v>418041</v>
      </c>
      <c r="G30" s="232">
        <v>156319</v>
      </c>
      <c r="H30" s="138">
        <f t="shared" si="2"/>
        <v>574360</v>
      </c>
      <c r="I30" s="138">
        <f t="shared" si="3"/>
        <v>1723080</v>
      </c>
      <c r="J30" s="36"/>
      <c r="K30" s="15"/>
    </row>
    <row r="31" spans="1:11" s="16" customFormat="1" ht="25.5" outlineLevel="3">
      <c r="A31" s="14"/>
      <c r="B31" s="35">
        <f>MAXA($B$6:B30)+1</f>
        <v>17</v>
      </c>
      <c r="C31" s="238" t="s">
        <v>52</v>
      </c>
      <c r="D31" s="230" t="s">
        <v>38</v>
      </c>
      <c r="E31" s="231">
        <v>1</v>
      </c>
      <c r="F31" s="232">
        <v>27869400</v>
      </c>
      <c r="G31" s="232">
        <v>5002200</v>
      </c>
      <c r="H31" s="138">
        <f t="shared" si="2"/>
        <v>32871600</v>
      </c>
      <c r="I31" s="138">
        <f t="shared" si="3"/>
        <v>32871600</v>
      </c>
      <c r="J31" s="36"/>
      <c r="K31" s="15"/>
    </row>
    <row r="32" spans="1:11" s="16" customFormat="1" ht="102" outlineLevel="3">
      <c r="A32" s="14"/>
      <c r="B32" s="35">
        <f>MAXA($B$6:B31)+1</f>
        <v>18</v>
      </c>
      <c r="C32" s="238" t="s">
        <v>53</v>
      </c>
      <c r="D32" s="230" t="s">
        <v>38</v>
      </c>
      <c r="E32" s="231">
        <v>1</v>
      </c>
      <c r="F32" s="232">
        <v>0</v>
      </c>
      <c r="G32" s="232">
        <v>260531250</v>
      </c>
      <c r="H32" s="138">
        <f t="shared" si="2"/>
        <v>260531250</v>
      </c>
      <c r="I32" s="138">
        <f t="shared" si="3"/>
        <v>260531250</v>
      </c>
      <c r="J32" s="36"/>
      <c r="K32" s="15"/>
    </row>
    <row r="33" spans="1:11" s="33" customFormat="1" ht="26.25" outlineLevel="3">
      <c r="A33" s="14"/>
      <c r="B33" s="30" t="s">
        <v>54</v>
      </c>
      <c r="C33" s="227" t="s">
        <v>55</v>
      </c>
      <c r="D33" s="212"/>
      <c r="E33" s="228"/>
      <c r="F33" s="232">
        <v>0</v>
      </c>
      <c r="G33" s="232">
        <v>0</v>
      </c>
      <c r="H33" s="214"/>
      <c r="I33" s="180"/>
      <c r="J33" s="25"/>
      <c r="K33" s="32"/>
    </row>
    <row r="34" spans="1:11" s="16" customFormat="1" ht="63" customHeight="1" outlineLevel="3">
      <c r="A34" s="14"/>
      <c r="B34" s="35">
        <f>MAXA($B$6:B33)+1</f>
        <v>19</v>
      </c>
      <c r="C34" s="238" t="s">
        <v>56</v>
      </c>
      <c r="D34" s="233" t="s">
        <v>44</v>
      </c>
      <c r="E34" s="231">
        <v>1</v>
      </c>
      <c r="F34" s="232">
        <v>1033788000</v>
      </c>
      <c r="G34" s="232">
        <v>25805000</v>
      </c>
      <c r="H34" s="138">
        <f t="shared" ref="H34:H39" si="4">G34+F34</f>
        <v>1059593000</v>
      </c>
      <c r="I34" s="138">
        <f t="shared" ref="I34:I39" si="5">H34*E34</f>
        <v>1059593000</v>
      </c>
      <c r="J34" s="36"/>
      <c r="K34" s="15"/>
    </row>
    <row r="35" spans="1:11" s="16" customFormat="1" ht="25.5" outlineLevel="3">
      <c r="A35" s="14"/>
      <c r="B35" s="35">
        <f>MAXA($B$6:B34)+1</f>
        <v>20</v>
      </c>
      <c r="C35" s="238" t="s">
        <v>57</v>
      </c>
      <c r="D35" s="230" t="s">
        <v>25</v>
      </c>
      <c r="E35" s="231">
        <v>156</v>
      </c>
      <c r="F35" s="232">
        <v>773376</v>
      </c>
      <c r="G35" s="232">
        <v>62528</v>
      </c>
      <c r="H35" s="138">
        <f t="shared" si="4"/>
        <v>835904</v>
      </c>
      <c r="I35" s="138">
        <f t="shared" si="5"/>
        <v>130401024</v>
      </c>
      <c r="J35" s="36"/>
      <c r="K35" s="15"/>
    </row>
    <row r="36" spans="1:11" s="16" customFormat="1" ht="25.5" outlineLevel="3">
      <c r="A36" s="14"/>
      <c r="B36" s="35">
        <f>MAXA($B$6:B35)+1</f>
        <v>21</v>
      </c>
      <c r="C36" s="238" t="s">
        <v>58</v>
      </c>
      <c r="D36" s="230" t="s">
        <v>25</v>
      </c>
      <c r="E36" s="231">
        <v>13</v>
      </c>
      <c r="F36" s="232">
        <v>731572</v>
      </c>
      <c r="G36" s="232">
        <v>62528</v>
      </c>
      <c r="H36" s="138">
        <f t="shared" si="4"/>
        <v>794100</v>
      </c>
      <c r="I36" s="138">
        <f t="shared" si="5"/>
        <v>10323300</v>
      </c>
      <c r="J36" s="36"/>
      <c r="K36" s="15"/>
    </row>
    <row r="37" spans="1:11" s="16" customFormat="1" ht="25.5" outlineLevel="3">
      <c r="A37" s="14"/>
      <c r="B37" s="35">
        <f>MAXA($B$6:B36)+1</f>
        <v>22</v>
      </c>
      <c r="C37" s="238" t="s">
        <v>59</v>
      </c>
      <c r="D37" s="230" t="s">
        <v>25</v>
      </c>
      <c r="E37" s="231">
        <v>10</v>
      </c>
      <c r="F37" s="232">
        <v>627062</v>
      </c>
      <c r="G37" s="232">
        <v>156319</v>
      </c>
      <c r="H37" s="138">
        <f t="shared" si="4"/>
        <v>783381</v>
      </c>
      <c r="I37" s="138">
        <f t="shared" si="5"/>
        <v>7833810</v>
      </c>
      <c r="J37" s="36"/>
      <c r="K37" s="15"/>
    </row>
    <row r="38" spans="1:11" s="16" customFormat="1" ht="25.5" outlineLevel="3">
      <c r="A38" s="14"/>
      <c r="B38" s="35">
        <f>MAXA($B$6:B37)+1</f>
        <v>23</v>
      </c>
      <c r="C38" s="238" t="s">
        <v>60</v>
      </c>
      <c r="D38" s="230" t="s">
        <v>28</v>
      </c>
      <c r="E38" s="231">
        <v>2</v>
      </c>
      <c r="F38" s="232">
        <v>627062</v>
      </c>
      <c r="G38" s="232">
        <v>156319</v>
      </c>
      <c r="H38" s="138">
        <f t="shared" si="4"/>
        <v>783381</v>
      </c>
      <c r="I38" s="138">
        <f t="shared" si="5"/>
        <v>1566762</v>
      </c>
      <c r="J38" s="36"/>
      <c r="K38" s="15"/>
    </row>
    <row r="39" spans="1:11" s="16" customFormat="1" ht="25.5" outlineLevel="3">
      <c r="A39" s="14"/>
      <c r="B39" s="35">
        <f>MAXA($B$6:B38)+1</f>
        <v>24</v>
      </c>
      <c r="C39" s="238" t="s">
        <v>52</v>
      </c>
      <c r="D39" s="230" t="s">
        <v>38</v>
      </c>
      <c r="E39" s="231">
        <v>1</v>
      </c>
      <c r="F39" s="232">
        <v>20902050</v>
      </c>
      <c r="G39" s="232">
        <v>3126375</v>
      </c>
      <c r="H39" s="138">
        <f t="shared" si="4"/>
        <v>24028425</v>
      </c>
      <c r="I39" s="138">
        <f t="shared" si="5"/>
        <v>24028425</v>
      </c>
      <c r="J39" s="36"/>
      <c r="K39" s="15"/>
    </row>
    <row r="40" spans="1:11" s="33" customFormat="1" ht="26.25" outlineLevel="3">
      <c r="A40" s="34"/>
      <c r="B40" s="30" t="s">
        <v>61</v>
      </c>
      <c r="C40" s="227" t="s">
        <v>62</v>
      </c>
      <c r="D40" s="212"/>
      <c r="E40" s="228"/>
      <c r="F40" s="232">
        <v>0</v>
      </c>
      <c r="G40" s="232">
        <v>0</v>
      </c>
      <c r="H40" s="214"/>
      <c r="I40" s="180">
        <f>SUBTOTAL(9,I41:I58)</f>
        <v>3051588541</v>
      </c>
      <c r="J40" s="25"/>
      <c r="K40" s="32"/>
    </row>
    <row r="41" spans="1:11" s="16" customFormat="1" ht="38.25" outlineLevel="3">
      <c r="A41" s="14"/>
      <c r="B41" s="35">
        <f>MAXA($B$6:B40)+1</f>
        <v>25</v>
      </c>
      <c r="C41" s="239" t="s">
        <v>63</v>
      </c>
      <c r="D41" s="136" t="s">
        <v>64</v>
      </c>
      <c r="E41" s="231">
        <v>1</v>
      </c>
      <c r="F41" s="232">
        <v>1319151600</v>
      </c>
      <c r="G41" s="232">
        <v>31263750</v>
      </c>
      <c r="H41" s="138">
        <f t="shared" ref="H41:H58" si="6">G41+F41</f>
        <v>1350415350</v>
      </c>
      <c r="I41" s="138">
        <f t="shared" ref="I41:I58" si="7">H41*E41</f>
        <v>1350415350</v>
      </c>
      <c r="J41" s="36"/>
      <c r="K41" s="15"/>
    </row>
    <row r="42" spans="1:11" s="16" customFormat="1" ht="25.5" outlineLevel="3">
      <c r="A42" s="14"/>
      <c r="B42" s="35">
        <f>MAXA($B$6:B41)+1</f>
        <v>26</v>
      </c>
      <c r="C42" s="238" t="s">
        <v>65</v>
      </c>
      <c r="D42" s="230" t="s">
        <v>38</v>
      </c>
      <c r="E42" s="231">
        <v>1</v>
      </c>
      <c r="F42" s="232">
        <v>275442570</v>
      </c>
      <c r="G42" s="232">
        <v>47729325</v>
      </c>
      <c r="H42" s="138">
        <f t="shared" si="6"/>
        <v>323171895</v>
      </c>
      <c r="I42" s="138">
        <f t="shared" si="7"/>
        <v>323171895</v>
      </c>
      <c r="J42" s="36"/>
      <c r="K42" s="15"/>
    </row>
    <row r="43" spans="1:11" s="16" customFormat="1" ht="25.5" outlineLevel="3">
      <c r="A43" s="14"/>
      <c r="B43" s="35">
        <f>MAXA($B$6:B42)+1</f>
        <v>27</v>
      </c>
      <c r="C43" s="238" t="s">
        <v>66</v>
      </c>
      <c r="D43" s="233" t="s">
        <v>44</v>
      </c>
      <c r="E43" s="231">
        <v>1</v>
      </c>
      <c r="F43" s="232">
        <v>204375600</v>
      </c>
      <c r="G43" s="232">
        <v>33147912</v>
      </c>
      <c r="H43" s="138">
        <f t="shared" si="6"/>
        <v>237523512</v>
      </c>
      <c r="I43" s="138">
        <f t="shared" si="7"/>
        <v>237523512</v>
      </c>
      <c r="J43" s="36"/>
      <c r="K43" s="15"/>
    </row>
    <row r="44" spans="1:11" s="16" customFormat="1" ht="25.5" outlineLevel="3">
      <c r="A44" s="14"/>
      <c r="B44" s="35">
        <f>MAXA($B$6:B43)+1</f>
        <v>28</v>
      </c>
      <c r="C44" s="239" t="s">
        <v>67</v>
      </c>
      <c r="D44" s="233" t="s">
        <v>44</v>
      </c>
      <c r="E44" s="231">
        <v>1</v>
      </c>
      <c r="F44" s="232">
        <v>0</v>
      </c>
      <c r="G44" s="232">
        <v>0</v>
      </c>
      <c r="H44" s="138">
        <f t="shared" si="6"/>
        <v>0</v>
      </c>
      <c r="I44" s="138">
        <f t="shared" si="7"/>
        <v>0</v>
      </c>
      <c r="J44" s="36"/>
      <c r="K44" s="15"/>
    </row>
    <row r="45" spans="1:11" s="16" customFormat="1" ht="25.5" outlineLevel="3">
      <c r="A45" s="14"/>
      <c r="B45" s="35">
        <f>MAXA($B$6:B44)+1</f>
        <v>29</v>
      </c>
      <c r="C45" s="238" t="s">
        <v>68</v>
      </c>
      <c r="D45" s="233" t="s">
        <v>44</v>
      </c>
      <c r="E45" s="231">
        <v>1</v>
      </c>
      <c r="F45" s="232">
        <v>69673500</v>
      </c>
      <c r="G45" s="232">
        <v>5210625</v>
      </c>
      <c r="H45" s="138">
        <f t="shared" si="6"/>
        <v>74884125</v>
      </c>
      <c r="I45" s="138">
        <f t="shared" si="7"/>
        <v>74884125</v>
      </c>
      <c r="J45" s="36"/>
      <c r="K45" s="15"/>
    </row>
    <row r="46" spans="1:11" s="16" customFormat="1" ht="38.25" outlineLevel="3">
      <c r="A46" s="14"/>
      <c r="B46" s="35">
        <f>MAXA($B$6:B45)+1</f>
        <v>30</v>
      </c>
      <c r="C46" s="238" t="s">
        <v>69</v>
      </c>
      <c r="D46" s="230" t="s">
        <v>38</v>
      </c>
      <c r="E46" s="231">
        <v>1</v>
      </c>
      <c r="F46" s="232">
        <v>189628043</v>
      </c>
      <c r="G46" s="232">
        <v>27616313</v>
      </c>
      <c r="H46" s="138">
        <f t="shared" si="6"/>
        <v>217244356</v>
      </c>
      <c r="I46" s="138">
        <f t="shared" si="7"/>
        <v>217244356</v>
      </c>
      <c r="J46" s="36"/>
      <c r="K46" s="15"/>
    </row>
    <row r="47" spans="1:11" s="16" customFormat="1" ht="25.5" outlineLevel="3">
      <c r="A47" s="14"/>
      <c r="B47" s="35">
        <f>MAXA($B$6:B46)+1</f>
        <v>31</v>
      </c>
      <c r="C47" s="238" t="s">
        <v>70</v>
      </c>
      <c r="D47" s="230" t="s">
        <v>38</v>
      </c>
      <c r="E47" s="231">
        <v>1</v>
      </c>
      <c r="F47" s="232">
        <v>34836750</v>
      </c>
      <c r="G47" s="232">
        <v>2084250</v>
      </c>
      <c r="H47" s="138">
        <f t="shared" si="6"/>
        <v>36921000</v>
      </c>
      <c r="I47" s="138">
        <f t="shared" si="7"/>
        <v>36921000</v>
      </c>
      <c r="J47" s="36"/>
      <c r="K47" s="15"/>
    </row>
    <row r="48" spans="1:11" s="16" customFormat="1" ht="25.5" outlineLevel="3">
      <c r="A48" s="14"/>
      <c r="B48" s="35">
        <f>MAXA($B$6:B47)+1</f>
        <v>32</v>
      </c>
      <c r="C48" s="238" t="s">
        <v>71</v>
      </c>
      <c r="D48" s="230" t="s">
        <v>72</v>
      </c>
      <c r="E48" s="231">
        <v>3000</v>
      </c>
      <c r="F48" s="232">
        <v>29031</v>
      </c>
      <c r="G48" s="232">
        <v>3126</v>
      </c>
      <c r="H48" s="138">
        <f t="shared" si="6"/>
        <v>32157</v>
      </c>
      <c r="I48" s="138">
        <f t="shared" si="7"/>
        <v>96471000</v>
      </c>
      <c r="J48" s="36"/>
      <c r="K48" s="15"/>
    </row>
    <row r="49" spans="1:14" s="16" customFormat="1" ht="25.5" outlineLevel="3">
      <c r="A49" s="14"/>
      <c r="B49" s="35">
        <f>MAXA($B$6:B48)+1</f>
        <v>33</v>
      </c>
      <c r="C49" s="238" t="s">
        <v>73</v>
      </c>
      <c r="D49" s="230" t="s">
        <v>38</v>
      </c>
      <c r="E49" s="231">
        <v>1</v>
      </c>
      <c r="F49" s="232">
        <v>156087220</v>
      </c>
      <c r="G49" s="232">
        <v>27266159</v>
      </c>
      <c r="H49" s="138">
        <f t="shared" si="6"/>
        <v>183353379</v>
      </c>
      <c r="I49" s="138">
        <f t="shared" si="7"/>
        <v>183353379</v>
      </c>
      <c r="J49" s="36"/>
      <c r="K49" s="15"/>
    </row>
    <row r="50" spans="1:14" s="16" customFormat="1" ht="25.5" outlineLevel="3">
      <c r="A50" s="14"/>
      <c r="B50" s="35">
        <f>MAXA($B$6:B49)+1</f>
        <v>34</v>
      </c>
      <c r="C50" s="238" t="s">
        <v>74</v>
      </c>
      <c r="D50" s="230" t="s">
        <v>25</v>
      </c>
      <c r="E50" s="231">
        <v>552</v>
      </c>
      <c r="F50" s="232">
        <v>496284</v>
      </c>
      <c r="G50" s="232">
        <v>46896</v>
      </c>
      <c r="H50" s="138">
        <f t="shared" si="6"/>
        <v>543180</v>
      </c>
      <c r="I50" s="138">
        <f t="shared" si="7"/>
        <v>299835360</v>
      </c>
      <c r="J50" s="36"/>
      <c r="K50" s="15"/>
    </row>
    <row r="51" spans="1:14" s="16" customFormat="1" ht="25.5" outlineLevel="3">
      <c r="A51" s="14"/>
      <c r="B51" s="35">
        <f>MAXA($B$6:B50)+1</f>
        <v>35</v>
      </c>
      <c r="C51" s="238" t="s">
        <v>75</v>
      </c>
      <c r="D51" s="230" t="s">
        <v>25</v>
      </c>
      <c r="E51" s="231">
        <v>69</v>
      </c>
      <c r="F51" s="232">
        <v>467672</v>
      </c>
      <c r="G51" s="232">
        <v>46896</v>
      </c>
      <c r="H51" s="138">
        <f t="shared" si="6"/>
        <v>514568</v>
      </c>
      <c r="I51" s="138">
        <f t="shared" si="7"/>
        <v>35505192</v>
      </c>
      <c r="J51" s="36"/>
      <c r="K51" s="15"/>
    </row>
    <row r="52" spans="1:14" s="16" customFormat="1" ht="25.5" outlineLevel="3">
      <c r="A52" s="14"/>
      <c r="B52" s="35">
        <f>MAXA($B$6:B51)+1</f>
        <v>36</v>
      </c>
      <c r="C52" s="238" t="s">
        <v>76</v>
      </c>
      <c r="D52" s="230" t="s">
        <v>25</v>
      </c>
      <c r="E52" s="231">
        <v>50</v>
      </c>
      <c r="F52" s="232">
        <v>33536</v>
      </c>
      <c r="G52" s="232">
        <v>15632</v>
      </c>
      <c r="H52" s="138">
        <f t="shared" si="6"/>
        <v>49168</v>
      </c>
      <c r="I52" s="138">
        <f t="shared" si="7"/>
        <v>2458400</v>
      </c>
      <c r="J52" s="36"/>
      <c r="K52" s="15"/>
    </row>
    <row r="53" spans="1:14" s="16" customFormat="1" ht="25.5" outlineLevel="3">
      <c r="A53" s="14"/>
      <c r="B53" s="35">
        <f>MAXA($B$6:B52)+1</f>
        <v>37</v>
      </c>
      <c r="C53" s="238" t="s">
        <v>77</v>
      </c>
      <c r="D53" s="230" t="s">
        <v>25</v>
      </c>
      <c r="E53" s="231">
        <v>50</v>
      </c>
      <c r="F53" s="232">
        <v>6886</v>
      </c>
      <c r="G53" s="232">
        <v>5211</v>
      </c>
      <c r="H53" s="138">
        <f t="shared" si="6"/>
        <v>12097</v>
      </c>
      <c r="I53" s="138">
        <f t="shared" si="7"/>
        <v>604850</v>
      </c>
      <c r="J53" s="36"/>
      <c r="K53" s="15"/>
    </row>
    <row r="54" spans="1:14" s="16" customFormat="1" ht="25.5" outlineLevel="3">
      <c r="A54" s="14"/>
      <c r="B54" s="35">
        <f>MAXA($B$6:B53)+1</f>
        <v>38</v>
      </c>
      <c r="C54" s="238" t="s">
        <v>78</v>
      </c>
      <c r="D54" s="230" t="s">
        <v>25</v>
      </c>
      <c r="E54" s="231">
        <v>20</v>
      </c>
      <c r="F54" s="232">
        <v>233406</v>
      </c>
      <c r="G54" s="232">
        <v>156319</v>
      </c>
      <c r="H54" s="138">
        <f t="shared" si="6"/>
        <v>389725</v>
      </c>
      <c r="I54" s="138">
        <f t="shared" si="7"/>
        <v>7794500</v>
      </c>
      <c r="J54" s="36"/>
      <c r="K54" s="15"/>
    </row>
    <row r="55" spans="1:14" s="16" customFormat="1" ht="25.5" outlineLevel="3">
      <c r="A55" s="14"/>
      <c r="B55" s="35">
        <f>MAXA($B$6:B54)+1</f>
        <v>39</v>
      </c>
      <c r="C55" s="238" t="s">
        <v>79</v>
      </c>
      <c r="D55" s="230" t="s">
        <v>28</v>
      </c>
      <c r="E55" s="231">
        <v>2</v>
      </c>
      <c r="F55" s="232">
        <v>401784</v>
      </c>
      <c r="G55" s="232">
        <v>156319</v>
      </c>
      <c r="H55" s="138">
        <f t="shared" si="6"/>
        <v>558103</v>
      </c>
      <c r="I55" s="138">
        <f t="shared" si="7"/>
        <v>1116206</v>
      </c>
      <c r="J55" s="36"/>
      <c r="K55" s="15"/>
    </row>
    <row r="56" spans="1:14" s="16" customFormat="1" ht="25.5" outlineLevel="3">
      <c r="A56" s="14"/>
      <c r="B56" s="35">
        <f>MAXA($B$6:B55)+1</f>
        <v>40</v>
      </c>
      <c r="C56" s="238" t="s">
        <v>80</v>
      </c>
      <c r="D56" s="230" t="s">
        <v>28</v>
      </c>
      <c r="E56" s="231">
        <v>1</v>
      </c>
      <c r="F56" s="232">
        <v>401784</v>
      </c>
      <c r="G56" s="232">
        <v>156319</v>
      </c>
      <c r="H56" s="138">
        <f t="shared" si="6"/>
        <v>558103</v>
      </c>
      <c r="I56" s="138">
        <f t="shared" si="7"/>
        <v>558103</v>
      </c>
      <c r="J56" s="36"/>
      <c r="K56" s="15"/>
    </row>
    <row r="57" spans="1:14" s="16" customFormat="1" ht="25.5" outlineLevel="3">
      <c r="A57" s="14"/>
      <c r="B57" s="35">
        <f>MAXA($B$6:B56)+1</f>
        <v>41</v>
      </c>
      <c r="C57" s="238" t="s">
        <v>81</v>
      </c>
      <c r="D57" s="230" t="s">
        <v>38</v>
      </c>
      <c r="E57" s="231">
        <v>1</v>
      </c>
      <c r="F57" s="232">
        <v>31411290</v>
      </c>
      <c r="G57" s="232">
        <v>11275848</v>
      </c>
      <c r="H57" s="138">
        <f t="shared" si="6"/>
        <v>42687138</v>
      </c>
      <c r="I57" s="138">
        <f t="shared" si="7"/>
        <v>42687138</v>
      </c>
      <c r="J57" s="36"/>
      <c r="K57" s="15"/>
    </row>
    <row r="58" spans="1:14" s="16" customFormat="1" ht="25.5" outlineLevel="3">
      <c r="A58" s="14"/>
      <c r="B58" s="35">
        <f>MAXA($B$6:B57)+1</f>
        <v>42</v>
      </c>
      <c r="C58" s="238" t="s">
        <v>82</v>
      </c>
      <c r="D58" s="230" t="s">
        <v>38</v>
      </c>
      <c r="E58" s="240">
        <v>1</v>
      </c>
      <c r="F58" s="232">
        <v>125412300</v>
      </c>
      <c r="G58" s="232">
        <v>15631875</v>
      </c>
      <c r="H58" s="138">
        <f t="shared" si="6"/>
        <v>141044175</v>
      </c>
      <c r="I58" s="138">
        <f t="shared" si="7"/>
        <v>141044175</v>
      </c>
      <c r="J58" s="37"/>
      <c r="K58" s="15"/>
    </row>
    <row r="59" spans="1:14" s="33" customFormat="1" ht="26.25" outlineLevel="2">
      <c r="A59" s="14"/>
      <c r="B59" s="30" t="s">
        <v>83</v>
      </c>
      <c r="C59" s="225" t="s">
        <v>84</v>
      </c>
      <c r="D59" s="225"/>
      <c r="E59" s="226"/>
      <c r="F59" s="232">
        <v>0</v>
      </c>
      <c r="G59" s="232">
        <v>0</v>
      </c>
      <c r="H59" s="225"/>
      <c r="I59" s="180">
        <f>SUBTOTAL(9,I60:I961)</f>
        <v>8627602282</v>
      </c>
      <c r="J59" s="31"/>
      <c r="K59" s="32"/>
      <c r="M59" s="16" t="s">
        <v>83</v>
      </c>
      <c r="N59" s="33" t="s">
        <v>83</v>
      </c>
    </row>
    <row r="60" spans="1:14" s="33" customFormat="1" ht="26.25" outlineLevel="3">
      <c r="A60" s="34"/>
      <c r="B60" s="38" t="s">
        <v>85</v>
      </c>
      <c r="C60" s="227" t="s">
        <v>86</v>
      </c>
      <c r="D60" s="212"/>
      <c r="E60" s="228"/>
      <c r="F60" s="232">
        <v>0</v>
      </c>
      <c r="G60" s="232">
        <v>0</v>
      </c>
      <c r="H60" s="214"/>
      <c r="I60" s="180">
        <f>SUBTOTAL(9,I61:I804)</f>
        <v>1921090234</v>
      </c>
      <c r="J60" s="25"/>
      <c r="K60" s="32"/>
    </row>
    <row r="61" spans="1:14" s="33" customFormat="1" ht="25.5" outlineLevel="3">
      <c r="A61" s="14"/>
      <c r="B61" s="35">
        <f>MAXA($B$6:B60)+1</f>
        <v>43</v>
      </c>
      <c r="C61" s="229" t="s">
        <v>87</v>
      </c>
      <c r="D61" s="230" t="s">
        <v>38</v>
      </c>
      <c r="E61" s="231">
        <v>1</v>
      </c>
      <c r="F61" s="232">
        <v>989995962</v>
      </c>
      <c r="G61" s="232">
        <v>26053125</v>
      </c>
      <c r="H61" s="138">
        <f>G61+F61</f>
        <v>1016049087</v>
      </c>
      <c r="I61" s="138">
        <f>H61*E61</f>
        <v>1016049087</v>
      </c>
      <c r="J61" s="36"/>
      <c r="K61" s="32"/>
    </row>
    <row r="62" spans="1:14" s="33" customFormat="1" ht="25.5" outlineLevel="3">
      <c r="A62" s="14"/>
      <c r="B62" s="38"/>
      <c r="C62" s="241" t="s">
        <v>88</v>
      </c>
      <c r="D62" s="212"/>
      <c r="E62" s="228"/>
      <c r="F62" s="232">
        <v>0</v>
      </c>
      <c r="G62" s="232">
        <v>0</v>
      </c>
      <c r="H62" s="214"/>
      <c r="I62" s="180"/>
      <c r="J62" s="25"/>
      <c r="K62" s="32"/>
    </row>
    <row r="63" spans="1:14" s="33" customFormat="1" ht="25.5" outlineLevel="3">
      <c r="A63" s="14"/>
      <c r="B63" s="38"/>
      <c r="C63" s="229" t="s">
        <v>89</v>
      </c>
      <c r="D63" s="230" t="s">
        <v>28</v>
      </c>
      <c r="E63" s="231">
        <v>1</v>
      </c>
      <c r="F63" s="232">
        <v>0</v>
      </c>
      <c r="G63" s="232">
        <v>0</v>
      </c>
      <c r="H63" s="138">
        <f t="shared" ref="H63:H74" si="8">G63+F63</f>
        <v>0</v>
      </c>
      <c r="I63" s="138">
        <f t="shared" ref="I63:I74" si="9">H63*E63</f>
        <v>0</v>
      </c>
      <c r="J63" s="25"/>
      <c r="K63" s="32"/>
    </row>
    <row r="64" spans="1:14" s="33" customFormat="1" ht="25.5" outlineLevel="3">
      <c r="A64" s="14"/>
      <c r="B64" s="38"/>
      <c r="C64" s="229" t="s">
        <v>90</v>
      </c>
      <c r="D64" s="230" t="s">
        <v>28</v>
      </c>
      <c r="E64" s="231">
        <v>1</v>
      </c>
      <c r="F64" s="232">
        <v>0</v>
      </c>
      <c r="G64" s="232">
        <v>0</v>
      </c>
      <c r="H64" s="138">
        <f t="shared" si="8"/>
        <v>0</v>
      </c>
      <c r="I64" s="138">
        <f t="shared" si="9"/>
        <v>0</v>
      </c>
      <c r="J64" s="25"/>
      <c r="K64" s="32"/>
    </row>
    <row r="65" spans="1:11" s="33" customFormat="1" ht="25.5" outlineLevel="3">
      <c r="A65" s="14"/>
      <c r="B65" s="38"/>
      <c r="C65" s="229" t="s">
        <v>91</v>
      </c>
      <c r="D65" s="230" t="s">
        <v>28</v>
      </c>
      <c r="E65" s="231">
        <v>1</v>
      </c>
      <c r="F65" s="232">
        <v>0</v>
      </c>
      <c r="G65" s="232">
        <v>0</v>
      </c>
      <c r="H65" s="138">
        <f t="shared" si="8"/>
        <v>0</v>
      </c>
      <c r="I65" s="138">
        <f t="shared" si="9"/>
        <v>0</v>
      </c>
      <c r="J65" s="25"/>
      <c r="K65" s="32"/>
    </row>
    <row r="66" spans="1:11" s="33" customFormat="1" ht="25.5" outlineLevel="3">
      <c r="A66" s="14"/>
      <c r="B66" s="38"/>
      <c r="C66" s="229" t="s">
        <v>92</v>
      </c>
      <c r="D66" s="230" t="s">
        <v>28</v>
      </c>
      <c r="E66" s="231">
        <v>1</v>
      </c>
      <c r="F66" s="232">
        <v>0</v>
      </c>
      <c r="G66" s="232">
        <v>0</v>
      </c>
      <c r="H66" s="138">
        <f t="shared" si="8"/>
        <v>0</v>
      </c>
      <c r="I66" s="138">
        <f t="shared" si="9"/>
        <v>0</v>
      </c>
      <c r="J66" s="25"/>
      <c r="K66" s="32"/>
    </row>
    <row r="67" spans="1:11" s="33" customFormat="1" ht="25.5" outlineLevel="3">
      <c r="A67" s="14"/>
      <c r="B67" s="38"/>
      <c r="C67" s="229" t="s">
        <v>93</v>
      </c>
      <c r="D67" s="230" t="s">
        <v>28</v>
      </c>
      <c r="E67" s="231">
        <v>4</v>
      </c>
      <c r="F67" s="232">
        <v>0</v>
      </c>
      <c r="G67" s="232">
        <v>0</v>
      </c>
      <c r="H67" s="138">
        <f t="shared" si="8"/>
        <v>0</v>
      </c>
      <c r="I67" s="138">
        <f t="shared" si="9"/>
        <v>0</v>
      </c>
      <c r="J67" s="25"/>
      <c r="K67" s="32"/>
    </row>
    <row r="68" spans="1:11" s="33" customFormat="1" ht="25.5" outlineLevel="3">
      <c r="A68" s="14"/>
      <c r="B68" s="38"/>
      <c r="C68" s="242" t="s">
        <v>94</v>
      </c>
      <c r="D68" s="230" t="s">
        <v>28</v>
      </c>
      <c r="E68" s="231">
        <v>9</v>
      </c>
      <c r="F68" s="232">
        <v>0</v>
      </c>
      <c r="G68" s="232">
        <v>0</v>
      </c>
      <c r="H68" s="138">
        <f t="shared" si="8"/>
        <v>0</v>
      </c>
      <c r="I68" s="138">
        <f t="shared" si="9"/>
        <v>0</v>
      </c>
      <c r="J68" s="25"/>
      <c r="K68" s="32"/>
    </row>
    <row r="69" spans="1:11" s="33" customFormat="1" ht="25.5" outlineLevel="3">
      <c r="A69" s="14"/>
      <c r="B69" s="38"/>
      <c r="C69" s="242" t="s">
        <v>95</v>
      </c>
      <c r="D69" s="230" t="s">
        <v>28</v>
      </c>
      <c r="E69" s="231">
        <v>9</v>
      </c>
      <c r="F69" s="232">
        <v>0</v>
      </c>
      <c r="G69" s="232">
        <v>0</v>
      </c>
      <c r="H69" s="138">
        <f t="shared" si="8"/>
        <v>0</v>
      </c>
      <c r="I69" s="138">
        <f t="shared" si="9"/>
        <v>0</v>
      </c>
      <c r="J69" s="25"/>
      <c r="K69" s="32"/>
    </row>
    <row r="70" spans="1:11" s="33" customFormat="1" ht="25.5" outlineLevel="3">
      <c r="A70" s="14"/>
      <c r="B70" s="38"/>
      <c r="C70" s="242" t="s">
        <v>96</v>
      </c>
      <c r="D70" s="230" t="s">
        <v>28</v>
      </c>
      <c r="E70" s="231">
        <v>2</v>
      </c>
      <c r="F70" s="232">
        <v>0</v>
      </c>
      <c r="G70" s="232">
        <v>0</v>
      </c>
      <c r="H70" s="138">
        <f t="shared" si="8"/>
        <v>0</v>
      </c>
      <c r="I70" s="138">
        <f t="shared" si="9"/>
        <v>0</v>
      </c>
      <c r="J70" s="25"/>
      <c r="K70" s="32"/>
    </row>
    <row r="71" spans="1:11" s="33" customFormat="1" ht="25.5" outlineLevel="3">
      <c r="A71" s="14"/>
      <c r="B71" s="38"/>
      <c r="C71" s="242" t="s">
        <v>97</v>
      </c>
      <c r="D71" s="230" t="s">
        <v>28</v>
      </c>
      <c r="E71" s="231">
        <v>2</v>
      </c>
      <c r="F71" s="232">
        <v>0</v>
      </c>
      <c r="G71" s="232">
        <v>0</v>
      </c>
      <c r="H71" s="138">
        <f t="shared" si="8"/>
        <v>0</v>
      </c>
      <c r="I71" s="138">
        <f t="shared" si="9"/>
        <v>0</v>
      </c>
      <c r="J71" s="25"/>
      <c r="K71" s="32"/>
    </row>
    <row r="72" spans="1:11" s="33" customFormat="1" ht="25.5" outlineLevel="3">
      <c r="A72" s="14"/>
      <c r="B72" s="38"/>
      <c r="C72" s="242" t="s">
        <v>98</v>
      </c>
      <c r="D72" s="230" t="s">
        <v>28</v>
      </c>
      <c r="E72" s="231">
        <v>2</v>
      </c>
      <c r="F72" s="232">
        <v>0</v>
      </c>
      <c r="G72" s="232">
        <v>0</v>
      </c>
      <c r="H72" s="138">
        <f t="shared" si="8"/>
        <v>0</v>
      </c>
      <c r="I72" s="138">
        <f t="shared" si="9"/>
        <v>0</v>
      </c>
      <c r="J72" s="25"/>
      <c r="K72" s="32"/>
    </row>
    <row r="73" spans="1:11" s="33" customFormat="1" ht="25.5" outlineLevel="3">
      <c r="A73" s="14"/>
      <c r="B73" s="38"/>
      <c r="C73" s="229" t="s">
        <v>99</v>
      </c>
      <c r="D73" s="230" t="s">
        <v>28</v>
      </c>
      <c r="E73" s="231">
        <v>1</v>
      </c>
      <c r="F73" s="232">
        <v>0</v>
      </c>
      <c r="G73" s="232">
        <v>0</v>
      </c>
      <c r="H73" s="138">
        <f t="shared" si="8"/>
        <v>0</v>
      </c>
      <c r="I73" s="138">
        <f t="shared" si="9"/>
        <v>0</v>
      </c>
      <c r="J73" s="25"/>
      <c r="K73" s="32"/>
    </row>
    <row r="74" spans="1:11" s="33" customFormat="1" ht="25.5" outlineLevel="3">
      <c r="A74" s="14"/>
      <c r="B74" s="38"/>
      <c r="C74" s="229" t="s">
        <v>100</v>
      </c>
      <c r="D74" s="230" t="s">
        <v>28</v>
      </c>
      <c r="E74" s="231">
        <v>3</v>
      </c>
      <c r="F74" s="232">
        <v>0</v>
      </c>
      <c r="G74" s="232">
        <v>0</v>
      </c>
      <c r="H74" s="138">
        <f t="shared" si="8"/>
        <v>0</v>
      </c>
      <c r="I74" s="138">
        <f t="shared" si="9"/>
        <v>0</v>
      </c>
      <c r="J74" s="25"/>
      <c r="K74" s="32"/>
    </row>
    <row r="75" spans="1:11" s="33" customFormat="1" ht="25.5" outlineLevel="3">
      <c r="A75" s="14"/>
      <c r="B75" s="38"/>
      <c r="C75" s="241" t="s">
        <v>101</v>
      </c>
      <c r="D75" s="233"/>
      <c r="E75" s="231"/>
      <c r="F75" s="232">
        <v>0</v>
      </c>
      <c r="G75" s="232">
        <v>0</v>
      </c>
      <c r="H75" s="214"/>
      <c r="I75" s="180"/>
      <c r="J75" s="25"/>
      <c r="K75" s="32"/>
    </row>
    <row r="76" spans="1:11" s="33" customFormat="1" ht="25.5" outlineLevel="3">
      <c r="A76" s="14"/>
      <c r="B76" s="38"/>
      <c r="C76" s="229" t="s">
        <v>102</v>
      </c>
      <c r="D76" s="230" t="s">
        <v>28</v>
      </c>
      <c r="E76" s="231">
        <v>2</v>
      </c>
      <c r="F76" s="232">
        <v>0</v>
      </c>
      <c r="G76" s="232">
        <v>0</v>
      </c>
      <c r="H76" s="138">
        <f t="shared" ref="H76:H89" si="10">G76+F76</f>
        <v>0</v>
      </c>
      <c r="I76" s="138">
        <f t="shared" ref="I76:I89" si="11">H76*E76</f>
        <v>0</v>
      </c>
      <c r="J76" s="25"/>
      <c r="K76" s="32"/>
    </row>
    <row r="77" spans="1:11" s="33" customFormat="1" ht="25.5" outlineLevel="3">
      <c r="A77" s="14"/>
      <c r="B77" s="38"/>
      <c r="C77" s="229" t="s">
        <v>90</v>
      </c>
      <c r="D77" s="230" t="s">
        <v>28</v>
      </c>
      <c r="E77" s="231">
        <v>2</v>
      </c>
      <c r="F77" s="232">
        <v>0</v>
      </c>
      <c r="G77" s="232">
        <v>0</v>
      </c>
      <c r="H77" s="138">
        <f t="shared" si="10"/>
        <v>0</v>
      </c>
      <c r="I77" s="138">
        <f t="shared" si="11"/>
        <v>0</v>
      </c>
      <c r="J77" s="25"/>
      <c r="K77" s="32"/>
    </row>
    <row r="78" spans="1:11" s="33" customFormat="1" ht="25.5" outlineLevel="3">
      <c r="A78" s="14"/>
      <c r="B78" s="38"/>
      <c r="C78" s="229" t="s">
        <v>103</v>
      </c>
      <c r="D78" s="230" t="s">
        <v>28</v>
      </c>
      <c r="E78" s="231">
        <v>2</v>
      </c>
      <c r="F78" s="232">
        <v>0</v>
      </c>
      <c r="G78" s="232">
        <v>0</v>
      </c>
      <c r="H78" s="138">
        <f t="shared" si="10"/>
        <v>0</v>
      </c>
      <c r="I78" s="138">
        <f t="shared" si="11"/>
        <v>0</v>
      </c>
      <c r="J78" s="25"/>
      <c r="K78" s="32"/>
    </row>
    <row r="79" spans="1:11" s="33" customFormat="1" ht="25.5" outlineLevel="3">
      <c r="A79" s="14"/>
      <c r="B79" s="38"/>
      <c r="C79" s="229" t="s">
        <v>104</v>
      </c>
      <c r="D79" s="230" t="s">
        <v>28</v>
      </c>
      <c r="E79" s="231">
        <v>2</v>
      </c>
      <c r="F79" s="232">
        <v>0</v>
      </c>
      <c r="G79" s="232">
        <v>0</v>
      </c>
      <c r="H79" s="138">
        <f t="shared" si="10"/>
        <v>0</v>
      </c>
      <c r="I79" s="138">
        <f t="shared" si="11"/>
        <v>0</v>
      </c>
      <c r="J79" s="25"/>
      <c r="K79" s="32"/>
    </row>
    <row r="80" spans="1:11" s="33" customFormat="1" ht="25.5" outlineLevel="3">
      <c r="A80" s="14"/>
      <c r="B80" s="38"/>
      <c r="C80" s="229" t="s">
        <v>105</v>
      </c>
      <c r="D80" s="230" t="s">
        <v>28</v>
      </c>
      <c r="E80" s="231">
        <v>2</v>
      </c>
      <c r="F80" s="232">
        <v>0</v>
      </c>
      <c r="G80" s="232">
        <v>0</v>
      </c>
      <c r="H80" s="138">
        <f t="shared" si="10"/>
        <v>0</v>
      </c>
      <c r="I80" s="138">
        <f t="shared" si="11"/>
        <v>0</v>
      </c>
      <c r="J80" s="25"/>
      <c r="K80" s="32"/>
    </row>
    <row r="81" spans="1:11" s="33" customFormat="1" ht="25.5" outlineLevel="3">
      <c r="A81" s="14"/>
      <c r="B81" s="38"/>
      <c r="C81" s="229" t="s">
        <v>106</v>
      </c>
      <c r="D81" s="230" t="s">
        <v>28</v>
      </c>
      <c r="E81" s="231">
        <v>2</v>
      </c>
      <c r="F81" s="232">
        <v>0</v>
      </c>
      <c r="G81" s="232">
        <v>0</v>
      </c>
      <c r="H81" s="138">
        <f t="shared" si="10"/>
        <v>0</v>
      </c>
      <c r="I81" s="138">
        <f t="shared" si="11"/>
        <v>0</v>
      </c>
      <c r="J81" s="25"/>
      <c r="K81" s="32"/>
    </row>
    <row r="82" spans="1:11" s="33" customFormat="1" ht="25.5" outlineLevel="3">
      <c r="A82" s="14"/>
      <c r="B82" s="38"/>
      <c r="C82" s="229" t="s">
        <v>107</v>
      </c>
      <c r="D82" s="230" t="s">
        <v>28</v>
      </c>
      <c r="E82" s="231">
        <v>1</v>
      </c>
      <c r="F82" s="232">
        <v>0</v>
      </c>
      <c r="G82" s="232">
        <v>0</v>
      </c>
      <c r="H82" s="138">
        <f t="shared" si="10"/>
        <v>0</v>
      </c>
      <c r="I82" s="138">
        <f t="shared" si="11"/>
        <v>0</v>
      </c>
      <c r="J82" s="25"/>
      <c r="K82" s="32"/>
    </row>
    <row r="83" spans="1:11" s="33" customFormat="1" ht="25.5" outlineLevel="3">
      <c r="A83" s="14"/>
      <c r="B83" s="38"/>
      <c r="C83" s="242" t="s">
        <v>94</v>
      </c>
      <c r="D83" s="230" t="s">
        <v>28</v>
      </c>
      <c r="E83" s="231">
        <v>15</v>
      </c>
      <c r="F83" s="232">
        <v>0</v>
      </c>
      <c r="G83" s="232">
        <v>0</v>
      </c>
      <c r="H83" s="138">
        <f t="shared" si="10"/>
        <v>0</v>
      </c>
      <c r="I83" s="138">
        <f t="shared" si="11"/>
        <v>0</v>
      </c>
      <c r="J83" s="25"/>
      <c r="K83" s="32"/>
    </row>
    <row r="84" spans="1:11" s="33" customFormat="1" ht="25.5" outlineLevel="3">
      <c r="A84" s="14"/>
      <c r="B84" s="38"/>
      <c r="C84" s="242" t="s">
        <v>95</v>
      </c>
      <c r="D84" s="230" t="s">
        <v>28</v>
      </c>
      <c r="E84" s="231">
        <v>15</v>
      </c>
      <c r="F84" s="232">
        <v>0</v>
      </c>
      <c r="G84" s="232">
        <v>0</v>
      </c>
      <c r="H84" s="138">
        <f t="shared" si="10"/>
        <v>0</v>
      </c>
      <c r="I84" s="138">
        <f t="shared" si="11"/>
        <v>0</v>
      </c>
      <c r="J84" s="25"/>
      <c r="K84" s="32"/>
    </row>
    <row r="85" spans="1:11" s="33" customFormat="1" ht="25.5" outlineLevel="3">
      <c r="A85" s="14"/>
      <c r="B85" s="38"/>
      <c r="C85" s="242" t="s">
        <v>96</v>
      </c>
      <c r="D85" s="230" t="s">
        <v>28</v>
      </c>
      <c r="E85" s="231">
        <v>4</v>
      </c>
      <c r="F85" s="232">
        <v>0</v>
      </c>
      <c r="G85" s="232">
        <v>0</v>
      </c>
      <c r="H85" s="138">
        <f t="shared" si="10"/>
        <v>0</v>
      </c>
      <c r="I85" s="138">
        <f t="shared" si="11"/>
        <v>0</v>
      </c>
      <c r="J85" s="25"/>
      <c r="K85" s="32"/>
    </row>
    <row r="86" spans="1:11" s="33" customFormat="1" ht="25.5" outlineLevel="3">
      <c r="A86" s="14"/>
      <c r="B86" s="38"/>
      <c r="C86" s="242" t="s">
        <v>97</v>
      </c>
      <c r="D86" s="230" t="s">
        <v>28</v>
      </c>
      <c r="E86" s="231">
        <v>4</v>
      </c>
      <c r="F86" s="232">
        <v>0</v>
      </c>
      <c r="G86" s="232">
        <v>0</v>
      </c>
      <c r="H86" s="138">
        <f t="shared" si="10"/>
        <v>0</v>
      </c>
      <c r="I86" s="138">
        <f t="shared" si="11"/>
        <v>0</v>
      </c>
      <c r="J86" s="25"/>
      <c r="K86" s="32"/>
    </row>
    <row r="87" spans="1:11" s="33" customFormat="1" ht="25.5" outlineLevel="3">
      <c r="A87" s="14"/>
      <c r="B87" s="38"/>
      <c r="C87" s="242" t="s">
        <v>98</v>
      </c>
      <c r="D87" s="230" t="s">
        <v>28</v>
      </c>
      <c r="E87" s="231">
        <v>4</v>
      </c>
      <c r="F87" s="232">
        <v>0</v>
      </c>
      <c r="G87" s="232">
        <v>0</v>
      </c>
      <c r="H87" s="138">
        <f t="shared" si="10"/>
        <v>0</v>
      </c>
      <c r="I87" s="138">
        <f t="shared" si="11"/>
        <v>0</v>
      </c>
      <c r="J87" s="25"/>
      <c r="K87" s="32"/>
    </row>
    <row r="88" spans="1:11" s="33" customFormat="1" ht="25.5" outlineLevel="3">
      <c r="A88" s="14"/>
      <c r="B88" s="38"/>
      <c r="C88" s="229" t="s">
        <v>99</v>
      </c>
      <c r="D88" s="230" t="s">
        <v>28</v>
      </c>
      <c r="E88" s="231">
        <v>1</v>
      </c>
      <c r="F88" s="232">
        <v>0</v>
      </c>
      <c r="G88" s="232">
        <v>0</v>
      </c>
      <c r="H88" s="138">
        <f t="shared" si="10"/>
        <v>0</v>
      </c>
      <c r="I88" s="138">
        <f t="shared" si="11"/>
        <v>0</v>
      </c>
      <c r="J88" s="25"/>
      <c r="K88" s="32"/>
    </row>
    <row r="89" spans="1:11" s="33" customFormat="1" ht="25.5" outlineLevel="3">
      <c r="A89" s="14"/>
      <c r="B89" s="38"/>
      <c r="C89" s="229" t="s">
        <v>108</v>
      </c>
      <c r="D89" s="230" t="s">
        <v>28</v>
      </c>
      <c r="E89" s="231">
        <v>3</v>
      </c>
      <c r="F89" s="232">
        <v>0</v>
      </c>
      <c r="G89" s="232">
        <v>0</v>
      </c>
      <c r="H89" s="138">
        <f t="shared" si="10"/>
        <v>0</v>
      </c>
      <c r="I89" s="138">
        <f t="shared" si="11"/>
        <v>0</v>
      </c>
      <c r="J89" s="25"/>
      <c r="K89" s="32"/>
    </row>
    <row r="90" spans="1:11" s="33" customFormat="1" ht="25.5" outlineLevel="3">
      <c r="A90" s="14"/>
      <c r="B90" s="38"/>
      <c r="C90" s="241" t="s">
        <v>109</v>
      </c>
      <c r="D90" s="233"/>
      <c r="E90" s="231"/>
      <c r="F90" s="232">
        <v>0</v>
      </c>
      <c r="G90" s="232">
        <v>0</v>
      </c>
      <c r="H90" s="214"/>
      <c r="I90" s="180"/>
      <c r="J90" s="25"/>
      <c r="K90" s="32"/>
    </row>
    <row r="91" spans="1:11" s="33" customFormat="1" ht="25.5" outlineLevel="3">
      <c r="A91" s="14"/>
      <c r="B91" s="38"/>
      <c r="C91" s="229" t="s">
        <v>110</v>
      </c>
      <c r="D91" s="230" t="s">
        <v>28</v>
      </c>
      <c r="E91" s="231">
        <v>1</v>
      </c>
      <c r="F91" s="232">
        <v>0</v>
      </c>
      <c r="G91" s="232">
        <v>0</v>
      </c>
      <c r="H91" s="138">
        <f t="shared" ref="H91:H111" si="12">G91+F91</f>
        <v>0</v>
      </c>
      <c r="I91" s="138">
        <f t="shared" ref="I91:I111" si="13">H91*E91</f>
        <v>0</v>
      </c>
      <c r="J91" s="25"/>
      <c r="K91" s="32"/>
    </row>
    <row r="92" spans="1:11" s="33" customFormat="1" ht="25.5" outlineLevel="3">
      <c r="A92" s="14"/>
      <c r="B92" s="38"/>
      <c r="C92" s="229" t="s">
        <v>90</v>
      </c>
      <c r="D92" s="230" t="s">
        <v>28</v>
      </c>
      <c r="E92" s="231">
        <v>1</v>
      </c>
      <c r="F92" s="232">
        <v>0</v>
      </c>
      <c r="G92" s="232">
        <v>0</v>
      </c>
      <c r="H92" s="138">
        <f t="shared" si="12"/>
        <v>0</v>
      </c>
      <c r="I92" s="138">
        <f t="shared" si="13"/>
        <v>0</v>
      </c>
      <c r="J92" s="25"/>
      <c r="K92" s="32"/>
    </row>
    <row r="93" spans="1:11" s="33" customFormat="1" ht="25.5" outlineLevel="3">
      <c r="A93" s="14"/>
      <c r="B93" s="38"/>
      <c r="C93" s="229" t="s">
        <v>103</v>
      </c>
      <c r="D93" s="230" t="s">
        <v>28</v>
      </c>
      <c r="E93" s="231">
        <v>1</v>
      </c>
      <c r="F93" s="232">
        <v>0</v>
      </c>
      <c r="G93" s="232">
        <v>0</v>
      </c>
      <c r="H93" s="138">
        <f t="shared" si="12"/>
        <v>0</v>
      </c>
      <c r="I93" s="138">
        <f t="shared" si="13"/>
        <v>0</v>
      </c>
      <c r="J93" s="25"/>
      <c r="K93" s="32"/>
    </row>
    <row r="94" spans="1:11" s="33" customFormat="1" ht="25.5" outlineLevel="3">
      <c r="A94" s="14"/>
      <c r="B94" s="38"/>
      <c r="C94" s="242" t="s">
        <v>94</v>
      </c>
      <c r="D94" s="230" t="s">
        <v>28</v>
      </c>
      <c r="E94" s="231">
        <v>3</v>
      </c>
      <c r="F94" s="232">
        <v>0</v>
      </c>
      <c r="G94" s="232">
        <v>0</v>
      </c>
      <c r="H94" s="138">
        <f t="shared" si="12"/>
        <v>0</v>
      </c>
      <c r="I94" s="138">
        <f t="shared" si="13"/>
        <v>0</v>
      </c>
      <c r="J94" s="25"/>
      <c r="K94" s="32"/>
    </row>
    <row r="95" spans="1:11" s="33" customFormat="1" ht="25.5" outlineLevel="3">
      <c r="A95" s="14"/>
      <c r="B95" s="38"/>
      <c r="C95" s="242" t="s">
        <v>95</v>
      </c>
      <c r="D95" s="230" t="s">
        <v>28</v>
      </c>
      <c r="E95" s="231">
        <v>3</v>
      </c>
      <c r="F95" s="232">
        <v>0</v>
      </c>
      <c r="G95" s="232">
        <v>0</v>
      </c>
      <c r="H95" s="138">
        <f t="shared" si="12"/>
        <v>0</v>
      </c>
      <c r="I95" s="138">
        <f t="shared" si="13"/>
        <v>0</v>
      </c>
      <c r="J95" s="25"/>
      <c r="K95" s="32"/>
    </row>
    <row r="96" spans="1:11" s="33" customFormat="1" ht="25.5" outlineLevel="3">
      <c r="A96" s="14"/>
      <c r="B96" s="38"/>
      <c r="C96" s="242" t="s">
        <v>96</v>
      </c>
      <c r="D96" s="230" t="s">
        <v>28</v>
      </c>
      <c r="E96" s="231">
        <v>1</v>
      </c>
      <c r="F96" s="232">
        <v>0</v>
      </c>
      <c r="G96" s="232">
        <v>0</v>
      </c>
      <c r="H96" s="138">
        <f t="shared" si="12"/>
        <v>0</v>
      </c>
      <c r="I96" s="138">
        <f t="shared" si="13"/>
        <v>0</v>
      </c>
      <c r="J96" s="25"/>
      <c r="K96" s="32"/>
    </row>
    <row r="97" spans="1:11" s="33" customFormat="1" ht="25.5" outlineLevel="3">
      <c r="A97" s="14"/>
      <c r="B97" s="38"/>
      <c r="C97" s="242" t="s">
        <v>97</v>
      </c>
      <c r="D97" s="230" t="s">
        <v>28</v>
      </c>
      <c r="E97" s="231">
        <v>1</v>
      </c>
      <c r="F97" s="232">
        <v>0</v>
      </c>
      <c r="G97" s="232">
        <v>0</v>
      </c>
      <c r="H97" s="138">
        <f t="shared" si="12"/>
        <v>0</v>
      </c>
      <c r="I97" s="138">
        <f t="shared" si="13"/>
        <v>0</v>
      </c>
      <c r="J97" s="25"/>
      <c r="K97" s="32"/>
    </row>
    <row r="98" spans="1:11" s="33" customFormat="1" ht="25.5" outlineLevel="3">
      <c r="A98" s="14"/>
      <c r="B98" s="38"/>
      <c r="C98" s="242" t="s">
        <v>98</v>
      </c>
      <c r="D98" s="230" t="s">
        <v>28</v>
      </c>
      <c r="E98" s="231">
        <v>1</v>
      </c>
      <c r="F98" s="232">
        <v>0</v>
      </c>
      <c r="G98" s="232">
        <v>0</v>
      </c>
      <c r="H98" s="138">
        <f t="shared" si="12"/>
        <v>0</v>
      </c>
      <c r="I98" s="138">
        <f t="shared" si="13"/>
        <v>0</v>
      </c>
      <c r="J98" s="25"/>
      <c r="K98" s="32"/>
    </row>
    <row r="99" spans="1:11" s="33" customFormat="1" ht="25.5" outlineLevel="3">
      <c r="A99" s="14"/>
      <c r="B99" s="38"/>
      <c r="C99" s="229" t="s">
        <v>111</v>
      </c>
      <c r="D99" s="230" t="s">
        <v>28</v>
      </c>
      <c r="E99" s="231">
        <v>1</v>
      </c>
      <c r="F99" s="232">
        <v>0</v>
      </c>
      <c r="G99" s="232">
        <v>0</v>
      </c>
      <c r="H99" s="138">
        <f t="shared" si="12"/>
        <v>0</v>
      </c>
      <c r="I99" s="138">
        <f t="shared" si="13"/>
        <v>0</v>
      </c>
      <c r="J99" s="25"/>
      <c r="K99" s="32"/>
    </row>
    <row r="100" spans="1:11" s="33" customFormat="1" ht="25.5" outlineLevel="3">
      <c r="A100" s="14"/>
      <c r="B100" s="38"/>
      <c r="C100" s="229" t="s">
        <v>112</v>
      </c>
      <c r="D100" s="230" t="s">
        <v>28</v>
      </c>
      <c r="E100" s="231">
        <v>2</v>
      </c>
      <c r="F100" s="232">
        <v>0</v>
      </c>
      <c r="G100" s="232">
        <v>0</v>
      </c>
      <c r="H100" s="138">
        <f t="shared" si="12"/>
        <v>0</v>
      </c>
      <c r="I100" s="138">
        <f t="shared" si="13"/>
        <v>0</v>
      </c>
      <c r="J100" s="25"/>
      <c r="K100" s="32"/>
    </row>
    <row r="101" spans="1:11" s="33" customFormat="1" ht="25.5" outlineLevel="3">
      <c r="A101" s="14"/>
      <c r="B101" s="38"/>
      <c r="C101" s="229" t="s">
        <v>113</v>
      </c>
      <c r="D101" s="230" t="s">
        <v>28</v>
      </c>
      <c r="E101" s="231">
        <v>1</v>
      </c>
      <c r="F101" s="232">
        <v>0</v>
      </c>
      <c r="G101" s="232">
        <v>0</v>
      </c>
      <c r="H101" s="138">
        <f t="shared" si="12"/>
        <v>0</v>
      </c>
      <c r="I101" s="138">
        <f t="shared" si="13"/>
        <v>0</v>
      </c>
      <c r="J101" s="25"/>
      <c r="K101" s="32"/>
    </row>
    <row r="102" spans="1:11" s="33" customFormat="1" ht="25.5" outlineLevel="3">
      <c r="A102" s="14"/>
      <c r="B102" s="38"/>
      <c r="C102" s="229" t="s">
        <v>114</v>
      </c>
      <c r="D102" s="230" t="s">
        <v>28</v>
      </c>
      <c r="E102" s="231">
        <v>1</v>
      </c>
      <c r="F102" s="232">
        <v>0</v>
      </c>
      <c r="G102" s="232">
        <v>0</v>
      </c>
      <c r="H102" s="138">
        <f t="shared" si="12"/>
        <v>0</v>
      </c>
      <c r="I102" s="138">
        <f t="shared" si="13"/>
        <v>0</v>
      </c>
      <c r="J102" s="25"/>
      <c r="K102" s="32"/>
    </row>
    <row r="103" spans="1:11" s="33" customFormat="1" ht="25.5" outlineLevel="3">
      <c r="A103" s="14"/>
      <c r="B103" s="38"/>
      <c r="C103" s="229" t="s">
        <v>115</v>
      </c>
      <c r="D103" s="230" t="s">
        <v>28</v>
      </c>
      <c r="E103" s="231">
        <v>3</v>
      </c>
      <c r="F103" s="232">
        <v>0</v>
      </c>
      <c r="G103" s="232">
        <v>0</v>
      </c>
      <c r="H103" s="138">
        <f t="shared" si="12"/>
        <v>0</v>
      </c>
      <c r="I103" s="138">
        <f t="shared" si="13"/>
        <v>0</v>
      </c>
      <c r="J103" s="25"/>
      <c r="K103" s="32"/>
    </row>
    <row r="104" spans="1:11" s="33" customFormat="1" ht="25.5" outlineLevel="3">
      <c r="A104" s="14"/>
      <c r="B104" s="38"/>
      <c r="C104" s="229" t="s">
        <v>116</v>
      </c>
      <c r="D104" s="230" t="s">
        <v>28</v>
      </c>
      <c r="E104" s="231">
        <v>1</v>
      </c>
      <c r="F104" s="232">
        <v>0</v>
      </c>
      <c r="G104" s="232">
        <v>0</v>
      </c>
      <c r="H104" s="138">
        <f t="shared" si="12"/>
        <v>0</v>
      </c>
      <c r="I104" s="138">
        <f t="shared" si="13"/>
        <v>0</v>
      </c>
      <c r="J104" s="25"/>
      <c r="K104" s="32"/>
    </row>
    <row r="105" spans="1:11" s="33" customFormat="1" ht="25.5" outlineLevel="3">
      <c r="A105" s="14"/>
      <c r="B105" s="38"/>
      <c r="C105" s="229" t="s">
        <v>117</v>
      </c>
      <c r="D105" s="230" t="s">
        <v>28</v>
      </c>
      <c r="E105" s="231">
        <v>1</v>
      </c>
      <c r="F105" s="232">
        <v>0</v>
      </c>
      <c r="G105" s="232">
        <v>0</v>
      </c>
      <c r="H105" s="138">
        <f t="shared" si="12"/>
        <v>0</v>
      </c>
      <c r="I105" s="138">
        <f t="shared" si="13"/>
        <v>0</v>
      </c>
      <c r="J105" s="25"/>
      <c r="K105" s="32"/>
    </row>
    <row r="106" spans="1:11" s="33" customFormat="1" ht="25.5" outlineLevel="3">
      <c r="A106" s="14"/>
      <c r="B106" s="38"/>
      <c r="C106" s="229" t="s">
        <v>118</v>
      </c>
      <c r="D106" s="230" t="s">
        <v>28</v>
      </c>
      <c r="E106" s="231">
        <v>7</v>
      </c>
      <c r="F106" s="232">
        <v>0</v>
      </c>
      <c r="G106" s="232">
        <v>0</v>
      </c>
      <c r="H106" s="138">
        <f t="shared" si="12"/>
        <v>0</v>
      </c>
      <c r="I106" s="138">
        <f t="shared" si="13"/>
        <v>0</v>
      </c>
      <c r="J106" s="25"/>
      <c r="K106" s="32"/>
    </row>
    <row r="107" spans="1:11" s="33" customFormat="1" ht="25.5" outlineLevel="3">
      <c r="A107" s="14"/>
      <c r="B107" s="38"/>
      <c r="C107" s="229" t="s">
        <v>92</v>
      </c>
      <c r="D107" s="230" t="s">
        <v>28</v>
      </c>
      <c r="E107" s="231">
        <v>7</v>
      </c>
      <c r="F107" s="232">
        <v>0</v>
      </c>
      <c r="G107" s="232">
        <v>0</v>
      </c>
      <c r="H107" s="138">
        <f t="shared" si="12"/>
        <v>0</v>
      </c>
      <c r="I107" s="138">
        <f t="shared" si="13"/>
        <v>0</v>
      </c>
      <c r="J107" s="25"/>
      <c r="K107" s="32"/>
    </row>
    <row r="108" spans="1:11" s="33" customFormat="1" ht="25.5" outlineLevel="3">
      <c r="A108" s="14"/>
      <c r="B108" s="38"/>
      <c r="C108" s="229" t="s">
        <v>119</v>
      </c>
      <c r="D108" s="230" t="s">
        <v>28</v>
      </c>
      <c r="E108" s="231">
        <v>4</v>
      </c>
      <c r="F108" s="232">
        <v>0</v>
      </c>
      <c r="G108" s="232">
        <v>0</v>
      </c>
      <c r="H108" s="138">
        <f t="shared" si="12"/>
        <v>0</v>
      </c>
      <c r="I108" s="138">
        <f t="shared" si="13"/>
        <v>0</v>
      </c>
      <c r="J108" s="25"/>
      <c r="K108" s="32"/>
    </row>
    <row r="109" spans="1:11" s="33" customFormat="1" ht="25.5" outlineLevel="3">
      <c r="A109" s="14"/>
      <c r="B109" s="38"/>
      <c r="C109" s="229" t="s">
        <v>120</v>
      </c>
      <c r="D109" s="230" t="s">
        <v>28</v>
      </c>
      <c r="E109" s="231">
        <v>24</v>
      </c>
      <c r="F109" s="232">
        <v>0</v>
      </c>
      <c r="G109" s="232">
        <v>0</v>
      </c>
      <c r="H109" s="138">
        <f t="shared" si="12"/>
        <v>0</v>
      </c>
      <c r="I109" s="138">
        <f t="shared" si="13"/>
        <v>0</v>
      </c>
      <c r="J109" s="25"/>
      <c r="K109" s="32"/>
    </row>
    <row r="110" spans="1:11" s="33" customFormat="1" ht="25.5" outlineLevel="3">
      <c r="A110" s="14"/>
      <c r="B110" s="38"/>
      <c r="C110" s="229" t="s">
        <v>112</v>
      </c>
      <c r="D110" s="230" t="s">
        <v>28</v>
      </c>
      <c r="E110" s="231">
        <v>1</v>
      </c>
      <c r="F110" s="232">
        <v>0</v>
      </c>
      <c r="G110" s="232">
        <v>0</v>
      </c>
      <c r="H110" s="138">
        <f t="shared" si="12"/>
        <v>0</v>
      </c>
      <c r="I110" s="138">
        <f t="shared" si="13"/>
        <v>0</v>
      </c>
      <c r="J110" s="25"/>
      <c r="K110" s="32"/>
    </row>
    <row r="111" spans="1:11" s="33" customFormat="1" ht="25.5" outlineLevel="3">
      <c r="A111" s="14"/>
      <c r="B111" s="38"/>
      <c r="C111" s="229" t="s">
        <v>121</v>
      </c>
      <c r="D111" s="230" t="s">
        <v>122</v>
      </c>
      <c r="E111" s="231">
        <v>1</v>
      </c>
      <c r="F111" s="232">
        <v>0</v>
      </c>
      <c r="G111" s="232">
        <v>0</v>
      </c>
      <c r="H111" s="138">
        <f t="shared" si="12"/>
        <v>0</v>
      </c>
      <c r="I111" s="138">
        <f t="shared" si="13"/>
        <v>0</v>
      </c>
      <c r="J111" s="25"/>
      <c r="K111" s="32"/>
    </row>
    <row r="112" spans="1:11" s="33" customFormat="1" ht="25.5" outlineLevel="3">
      <c r="A112" s="14"/>
      <c r="B112" s="38"/>
      <c r="C112" s="243" t="s">
        <v>123</v>
      </c>
      <c r="D112" s="233"/>
      <c r="E112" s="231"/>
      <c r="F112" s="232">
        <v>0</v>
      </c>
      <c r="G112" s="232">
        <v>0</v>
      </c>
      <c r="H112" s="214"/>
      <c r="I112" s="180"/>
      <c r="J112" s="25"/>
      <c r="K112" s="32"/>
    </row>
    <row r="113" spans="1:11" s="33" customFormat="1" ht="25.5" outlineLevel="3">
      <c r="A113" s="14"/>
      <c r="B113" s="38"/>
      <c r="C113" s="229" t="s">
        <v>124</v>
      </c>
      <c r="D113" s="230" t="s">
        <v>28</v>
      </c>
      <c r="E113" s="231">
        <v>1</v>
      </c>
      <c r="F113" s="232">
        <v>0</v>
      </c>
      <c r="G113" s="232">
        <v>0</v>
      </c>
      <c r="H113" s="138">
        <f t="shared" ref="H113:H119" si="14">G113+F113</f>
        <v>0</v>
      </c>
      <c r="I113" s="138">
        <f t="shared" ref="I113:I119" si="15">H113*E113</f>
        <v>0</v>
      </c>
      <c r="J113" s="25"/>
      <c r="K113" s="32"/>
    </row>
    <row r="114" spans="1:11" s="33" customFormat="1" ht="25.5" outlineLevel="3">
      <c r="A114" s="14"/>
      <c r="B114" s="38"/>
      <c r="C114" s="229" t="s">
        <v>125</v>
      </c>
      <c r="D114" s="230" t="s">
        <v>28</v>
      </c>
      <c r="E114" s="231">
        <v>6</v>
      </c>
      <c r="F114" s="232">
        <v>0</v>
      </c>
      <c r="G114" s="232">
        <v>0</v>
      </c>
      <c r="H114" s="138">
        <f t="shared" si="14"/>
        <v>0</v>
      </c>
      <c r="I114" s="138">
        <f t="shared" si="15"/>
        <v>0</v>
      </c>
      <c r="J114" s="25"/>
      <c r="K114" s="32"/>
    </row>
    <row r="115" spans="1:11" s="33" customFormat="1" ht="25.5" outlineLevel="3">
      <c r="A115" s="14"/>
      <c r="B115" s="38"/>
      <c r="C115" s="229" t="s">
        <v>126</v>
      </c>
      <c r="D115" s="230" t="s">
        <v>28</v>
      </c>
      <c r="E115" s="231">
        <v>6</v>
      </c>
      <c r="F115" s="232">
        <v>0</v>
      </c>
      <c r="G115" s="232">
        <v>0</v>
      </c>
      <c r="H115" s="138">
        <f t="shared" si="14"/>
        <v>0</v>
      </c>
      <c r="I115" s="138">
        <f t="shared" si="15"/>
        <v>0</v>
      </c>
      <c r="J115" s="25"/>
      <c r="K115" s="32"/>
    </row>
    <row r="116" spans="1:11" s="33" customFormat="1" ht="25.5" outlineLevel="3">
      <c r="A116" s="14"/>
      <c r="B116" s="38"/>
      <c r="C116" s="229" t="s">
        <v>127</v>
      </c>
      <c r="D116" s="230" t="s">
        <v>28</v>
      </c>
      <c r="E116" s="231">
        <v>12</v>
      </c>
      <c r="F116" s="232">
        <v>0</v>
      </c>
      <c r="G116" s="232">
        <v>0</v>
      </c>
      <c r="H116" s="138">
        <f t="shared" si="14"/>
        <v>0</v>
      </c>
      <c r="I116" s="138">
        <f t="shared" si="15"/>
        <v>0</v>
      </c>
      <c r="J116" s="25"/>
      <c r="K116" s="32"/>
    </row>
    <row r="117" spans="1:11" s="33" customFormat="1" ht="25.5" outlineLevel="3">
      <c r="A117" s="14"/>
      <c r="B117" s="38"/>
      <c r="C117" s="229" t="s">
        <v>128</v>
      </c>
      <c r="D117" s="230" t="s">
        <v>28</v>
      </c>
      <c r="E117" s="231">
        <v>6</v>
      </c>
      <c r="F117" s="232">
        <v>0</v>
      </c>
      <c r="G117" s="232">
        <v>0</v>
      </c>
      <c r="H117" s="138">
        <f t="shared" si="14"/>
        <v>0</v>
      </c>
      <c r="I117" s="138">
        <f t="shared" si="15"/>
        <v>0</v>
      </c>
      <c r="J117" s="25"/>
      <c r="K117" s="32"/>
    </row>
    <row r="118" spans="1:11" s="33" customFormat="1" ht="25.5" outlineLevel="3">
      <c r="A118" s="14"/>
      <c r="B118" s="38"/>
      <c r="C118" s="229" t="s">
        <v>129</v>
      </c>
      <c r="D118" s="230" t="s">
        <v>28</v>
      </c>
      <c r="E118" s="231">
        <v>1</v>
      </c>
      <c r="F118" s="232">
        <v>0</v>
      </c>
      <c r="G118" s="232">
        <v>0</v>
      </c>
      <c r="H118" s="138">
        <f t="shared" si="14"/>
        <v>0</v>
      </c>
      <c r="I118" s="138">
        <f t="shared" si="15"/>
        <v>0</v>
      </c>
      <c r="J118" s="25"/>
      <c r="K118" s="32"/>
    </row>
    <row r="119" spans="1:11" s="33" customFormat="1" ht="25.5" outlineLevel="3">
      <c r="A119" s="14"/>
      <c r="B119" s="38"/>
      <c r="C119" s="229" t="s">
        <v>100</v>
      </c>
      <c r="D119" s="230" t="s">
        <v>28</v>
      </c>
      <c r="E119" s="231">
        <v>1</v>
      </c>
      <c r="F119" s="232">
        <v>0</v>
      </c>
      <c r="G119" s="232">
        <v>0</v>
      </c>
      <c r="H119" s="138">
        <f t="shared" si="14"/>
        <v>0</v>
      </c>
      <c r="I119" s="138">
        <f t="shared" si="15"/>
        <v>0</v>
      </c>
      <c r="J119" s="25"/>
      <c r="K119" s="32"/>
    </row>
    <row r="120" spans="1:11" s="33" customFormat="1" ht="25.5" outlineLevel="3">
      <c r="A120" s="14"/>
      <c r="B120" s="38"/>
      <c r="C120" s="241" t="s">
        <v>130</v>
      </c>
      <c r="D120" s="233"/>
      <c r="E120" s="231"/>
      <c r="F120" s="232">
        <v>0</v>
      </c>
      <c r="G120" s="232">
        <v>0</v>
      </c>
      <c r="H120" s="214"/>
      <c r="I120" s="180"/>
      <c r="J120" s="25"/>
      <c r="K120" s="32"/>
    </row>
    <row r="121" spans="1:11" s="33" customFormat="1" ht="25.5" outlineLevel="3">
      <c r="A121" s="14"/>
      <c r="B121" s="38"/>
      <c r="C121" s="229" t="s">
        <v>111</v>
      </c>
      <c r="D121" s="230" t="s">
        <v>28</v>
      </c>
      <c r="E121" s="231">
        <v>1</v>
      </c>
      <c r="F121" s="232">
        <v>0</v>
      </c>
      <c r="G121" s="232">
        <v>0</v>
      </c>
      <c r="H121" s="138">
        <f t="shared" ref="H121:H139" si="16">G121+F121</f>
        <v>0</v>
      </c>
      <c r="I121" s="138">
        <f t="shared" ref="I121:I139" si="17">H121*E121</f>
        <v>0</v>
      </c>
      <c r="J121" s="25"/>
      <c r="K121" s="32"/>
    </row>
    <row r="122" spans="1:11" s="33" customFormat="1" ht="25.5" outlineLevel="3">
      <c r="A122" s="14"/>
      <c r="B122" s="38"/>
      <c r="C122" s="229" t="s">
        <v>131</v>
      </c>
      <c r="D122" s="230" t="s">
        <v>28</v>
      </c>
      <c r="E122" s="231">
        <v>2</v>
      </c>
      <c r="F122" s="232">
        <v>0</v>
      </c>
      <c r="G122" s="232">
        <v>0</v>
      </c>
      <c r="H122" s="138">
        <f t="shared" si="16"/>
        <v>0</v>
      </c>
      <c r="I122" s="138">
        <f t="shared" si="17"/>
        <v>0</v>
      </c>
      <c r="J122" s="25"/>
      <c r="K122" s="32"/>
    </row>
    <row r="123" spans="1:11" s="33" customFormat="1" ht="25.5" outlineLevel="3">
      <c r="A123" s="14"/>
      <c r="B123" s="38"/>
      <c r="C123" s="229" t="s">
        <v>132</v>
      </c>
      <c r="D123" s="230" t="s">
        <v>28</v>
      </c>
      <c r="E123" s="231">
        <v>2</v>
      </c>
      <c r="F123" s="232">
        <v>0</v>
      </c>
      <c r="G123" s="232">
        <v>0</v>
      </c>
      <c r="H123" s="138">
        <f t="shared" si="16"/>
        <v>0</v>
      </c>
      <c r="I123" s="138">
        <f t="shared" si="17"/>
        <v>0</v>
      </c>
      <c r="J123" s="25"/>
      <c r="K123" s="32"/>
    </row>
    <row r="124" spans="1:11" s="33" customFormat="1" ht="25.5" outlineLevel="3">
      <c r="A124" s="14"/>
      <c r="B124" s="38"/>
      <c r="C124" s="229" t="s">
        <v>133</v>
      </c>
      <c r="D124" s="230" t="s">
        <v>28</v>
      </c>
      <c r="E124" s="231">
        <v>2</v>
      </c>
      <c r="F124" s="232">
        <v>0</v>
      </c>
      <c r="G124" s="232">
        <v>0</v>
      </c>
      <c r="H124" s="138">
        <f t="shared" si="16"/>
        <v>0</v>
      </c>
      <c r="I124" s="138">
        <f t="shared" si="17"/>
        <v>0</v>
      </c>
      <c r="J124" s="25"/>
      <c r="K124" s="32"/>
    </row>
    <row r="125" spans="1:11" s="33" customFormat="1" ht="25.5" outlineLevel="3">
      <c r="A125" s="14"/>
      <c r="B125" s="38"/>
      <c r="C125" s="229" t="s">
        <v>134</v>
      </c>
      <c r="D125" s="230" t="s">
        <v>28</v>
      </c>
      <c r="E125" s="231">
        <v>1</v>
      </c>
      <c r="F125" s="232">
        <v>0</v>
      </c>
      <c r="G125" s="232">
        <v>0</v>
      </c>
      <c r="H125" s="138">
        <f t="shared" si="16"/>
        <v>0</v>
      </c>
      <c r="I125" s="138">
        <f t="shared" si="17"/>
        <v>0</v>
      </c>
      <c r="J125" s="25"/>
      <c r="K125" s="32"/>
    </row>
    <row r="126" spans="1:11" s="33" customFormat="1" ht="25.5" outlineLevel="3">
      <c r="A126" s="14"/>
      <c r="B126" s="38"/>
      <c r="C126" s="229" t="s">
        <v>112</v>
      </c>
      <c r="D126" s="230" t="s">
        <v>28</v>
      </c>
      <c r="E126" s="231">
        <v>2</v>
      </c>
      <c r="F126" s="232">
        <v>0</v>
      </c>
      <c r="G126" s="232">
        <v>0</v>
      </c>
      <c r="H126" s="138">
        <f t="shared" si="16"/>
        <v>0</v>
      </c>
      <c r="I126" s="138">
        <f t="shared" si="17"/>
        <v>0</v>
      </c>
      <c r="J126" s="25"/>
      <c r="K126" s="32"/>
    </row>
    <row r="127" spans="1:11" s="33" customFormat="1" ht="25.5" outlineLevel="3">
      <c r="A127" s="14"/>
      <c r="B127" s="38"/>
      <c r="C127" s="229" t="s">
        <v>114</v>
      </c>
      <c r="D127" s="230" t="s">
        <v>28</v>
      </c>
      <c r="E127" s="231">
        <v>1</v>
      </c>
      <c r="F127" s="232">
        <v>0</v>
      </c>
      <c r="G127" s="232">
        <v>0</v>
      </c>
      <c r="H127" s="138">
        <f t="shared" si="16"/>
        <v>0</v>
      </c>
      <c r="I127" s="138">
        <f t="shared" si="17"/>
        <v>0</v>
      </c>
      <c r="J127" s="25"/>
      <c r="K127" s="32"/>
    </row>
    <row r="128" spans="1:11" s="33" customFormat="1" ht="25.5" outlineLevel="3">
      <c r="A128" s="14"/>
      <c r="B128" s="38"/>
      <c r="C128" s="229" t="s">
        <v>115</v>
      </c>
      <c r="D128" s="230" t="s">
        <v>28</v>
      </c>
      <c r="E128" s="231">
        <v>5</v>
      </c>
      <c r="F128" s="232">
        <v>0</v>
      </c>
      <c r="G128" s="232">
        <v>0</v>
      </c>
      <c r="H128" s="138">
        <f t="shared" si="16"/>
        <v>0</v>
      </c>
      <c r="I128" s="138">
        <f t="shared" si="17"/>
        <v>0</v>
      </c>
      <c r="J128" s="25"/>
      <c r="K128" s="32"/>
    </row>
    <row r="129" spans="1:11" s="33" customFormat="1" ht="25.5" outlineLevel="3">
      <c r="A129" s="14"/>
      <c r="B129" s="38"/>
      <c r="C129" s="229" t="s">
        <v>135</v>
      </c>
      <c r="D129" s="230" t="s">
        <v>28</v>
      </c>
      <c r="E129" s="231">
        <v>3</v>
      </c>
      <c r="F129" s="232">
        <v>0</v>
      </c>
      <c r="G129" s="232">
        <v>0</v>
      </c>
      <c r="H129" s="138">
        <f t="shared" si="16"/>
        <v>0</v>
      </c>
      <c r="I129" s="138">
        <f t="shared" si="17"/>
        <v>0</v>
      </c>
      <c r="J129" s="25"/>
      <c r="K129" s="32"/>
    </row>
    <row r="130" spans="1:11" s="33" customFormat="1" ht="25.5" outlineLevel="3">
      <c r="A130" s="14"/>
      <c r="B130" s="38"/>
      <c r="C130" s="229" t="s">
        <v>116</v>
      </c>
      <c r="D130" s="230" t="s">
        <v>28</v>
      </c>
      <c r="E130" s="231">
        <v>2</v>
      </c>
      <c r="F130" s="232">
        <v>0</v>
      </c>
      <c r="G130" s="232">
        <v>0</v>
      </c>
      <c r="H130" s="138">
        <f t="shared" si="16"/>
        <v>0</v>
      </c>
      <c r="I130" s="138">
        <f t="shared" si="17"/>
        <v>0</v>
      </c>
      <c r="J130" s="25"/>
      <c r="K130" s="32"/>
    </row>
    <row r="131" spans="1:11" s="33" customFormat="1" ht="25.5" outlineLevel="3">
      <c r="A131" s="14"/>
      <c r="B131" s="38"/>
      <c r="C131" s="229" t="s">
        <v>117</v>
      </c>
      <c r="D131" s="230" t="s">
        <v>28</v>
      </c>
      <c r="E131" s="231">
        <v>2</v>
      </c>
      <c r="F131" s="232">
        <v>0</v>
      </c>
      <c r="G131" s="232">
        <v>0</v>
      </c>
      <c r="H131" s="138">
        <f t="shared" si="16"/>
        <v>0</v>
      </c>
      <c r="I131" s="138">
        <f t="shared" si="17"/>
        <v>0</v>
      </c>
      <c r="J131" s="25"/>
      <c r="K131" s="32"/>
    </row>
    <row r="132" spans="1:11" s="33" customFormat="1" ht="25.5" outlineLevel="3">
      <c r="A132" s="14"/>
      <c r="B132" s="38"/>
      <c r="C132" s="229" t="s">
        <v>118</v>
      </c>
      <c r="D132" s="230" t="s">
        <v>28</v>
      </c>
      <c r="E132" s="231">
        <v>11</v>
      </c>
      <c r="F132" s="232">
        <v>0</v>
      </c>
      <c r="G132" s="232">
        <v>0</v>
      </c>
      <c r="H132" s="138">
        <f t="shared" si="16"/>
        <v>0</v>
      </c>
      <c r="I132" s="138">
        <f t="shared" si="17"/>
        <v>0</v>
      </c>
      <c r="J132" s="25"/>
      <c r="K132" s="32"/>
    </row>
    <row r="133" spans="1:11" s="33" customFormat="1" ht="25.5" outlineLevel="3">
      <c r="A133" s="14"/>
      <c r="B133" s="38"/>
      <c r="C133" s="229" t="s">
        <v>92</v>
      </c>
      <c r="D133" s="230" t="s">
        <v>28</v>
      </c>
      <c r="E133" s="231">
        <v>10</v>
      </c>
      <c r="F133" s="232">
        <v>0</v>
      </c>
      <c r="G133" s="232">
        <v>0</v>
      </c>
      <c r="H133" s="138">
        <f t="shared" si="16"/>
        <v>0</v>
      </c>
      <c r="I133" s="138">
        <f t="shared" si="17"/>
        <v>0</v>
      </c>
      <c r="J133" s="25"/>
      <c r="K133" s="32"/>
    </row>
    <row r="134" spans="1:11" s="33" customFormat="1" ht="25.5" outlineLevel="3">
      <c r="A134" s="14"/>
      <c r="B134" s="38"/>
      <c r="C134" s="229" t="s">
        <v>136</v>
      </c>
      <c r="D134" s="230" t="s">
        <v>28</v>
      </c>
      <c r="E134" s="231">
        <v>8</v>
      </c>
      <c r="F134" s="232">
        <v>0</v>
      </c>
      <c r="G134" s="232">
        <v>0</v>
      </c>
      <c r="H134" s="138">
        <f t="shared" si="16"/>
        <v>0</v>
      </c>
      <c r="I134" s="138">
        <f t="shared" si="17"/>
        <v>0</v>
      </c>
      <c r="J134" s="25"/>
      <c r="K134" s="32"/>
    </row>
    <row r="135" spans="1:11" s="33" customFormat="1" ht="25.5" outlineLevel="3">
      <c r="A135" s="14"/>
      <c r="B135" s="38"/>
      <c r="C135" s="229" t="s">
        <v>137</v>
      </c>
      <c r="D135" s="230" t="s">
        <v>28</v>
      </c>
      <c r="E135" s="231">
        <v>8</v>
      </c>
      <c r="F135" s="232">
        <v>0</v>
      </c>
      <c r="G135" s="232">
        <v>0</v>
      </c>
      <c r="H135" s="138">
        <f t="shared" si="16"/>
        <v>0</v>
      </c>
      <c r="I135" s="138">
        <f t="shared" si="17"/>
        <v>0</v>
      </c>
      <c r="J135" s="25"/>
      <c r="K135" s="32"/>
    </row>
    <row r="136" spans="1:11" s="33" customFormat="1" ht="25.5" outlineLevel="3">
      <c r="A136" s="14"/>
      <c r="B136" s="38"/>
      <c r="C136" s="229" t="s">
        <v>138</v>
      </c>
      <c r="D136" s="230" t="s">
        <v>28</v>
      </c>
      <c r="E136" s="231">
        <v>4</v>
      </c>
      <c r="F136" s="232">
        <v>0</v>
      </c>
      <c r="G136" s="232">
        <v>0</v>
      </c>
      <c r="H136" s="138">
        <f t="shared" si="16"/>
        <v>0</v>
      </c>
      <c r="I136" s="138">
        <f t="shared" si="17"/>
        <v>0</v>
      </c>
      <c r="J136" s="25"/>
      <c r="K136" s="32"/>
    </row>
    <row r="137" spans="1:11" s="33" customFormat="1" ht="25.5" outlineLevel="3">
      <c r="A137" s="14"/>
      <c r="B137" s="38"/>
      <c r="C137" s="229" t="s">
        <v>120</v>
      </c>
      <c r="D137" s="230" t="s">
        <v>28</v>
      </c>
      <c r="E137" s="231">
        <v>20</v>
      </c>
      <c r="F137" s="232">
        <v>0</v>
      </c>
      <c r="G137" s="232">
        <v>0</v>
      </c>
      <c r="H137" s="138">
        <f t="shared" si="16"/>
        <v>0</v>
      </c>
      <c r="I137" s="138">
        <f t="shared" si="17"/>
        <v>0</v>
      </c>
      <c r="J137" s="25"/>
      <c r="K137" s="32"/>
    </row>
    <row r="138" spans="1:11" s="33" customFormat="1" ht="25.5" outlineLevel="3">
      <c r="A138" s="14"/>
      <c r="B138" s="38"/>
      <c r="C138" s="229" t="s">
        <v>139</v>
      </c>
      <c r="D138" s="230" t="s">
        <v>38</v>
      </c>
      <c r="E138" s="231">
        <v>1</v>
      </c>
      <c r="F138" s="232">
        <v>0</v>
      </c>
      <c r="G138" s="232">
        <v>0</v>
      </c>
      <c r="H138" s="138">
        <f t="shared" si="16"/>
        <v>0</v>
      </c>
      <c r="I138" s="138">
        <f t="shared" si="17"/>
        <v>0</v>
      </c>
      <c r="J138" s="25"/>
      <c r="K138" s="32"/>
    </row>
    <row r="139" spans="1:11" s="33" customFormat="1" ht="25.5" outlineLevel="3">
      <c r="A139" s="14"/>
      <c r="B139" s="35">
        <f>MAXA($B$6:B138)+1</f>
        <v>44</v>
      </c>
      <c r="C139" s="229" t="s">
        <v>140</v>
      </c>
      <c r="D139" s="230" t="s">
        <v>38</v>
      </c>
      <c r="E139" s="231">
        <v>1</v>
      </c>
      <c r="F139" s="232">
        <v>56390247</v>
      </c>
      <c r="G139" s="232">
        <v>3647438</v>
      </c>
      <c r="H139" s="138">
        <f t="shared" si="16"/>
        <v>60037685</v>
      </c>
      <c r="I139" s="138">
        <f t="shared" si="17"/>
        <v>60037685</v>
      </c>
      <c r="J139" s="25"/>
      <c r="K139" s="32"/>
    </row>
    <row r="140" spans="1:11" s="33" customFormat="1" ht="25.5" outlineLevel="3">
      <c r="A140" s="14"/>
      <c r="B140" s="38"/>
      <c r="C140" s="241" t="s">
        <v>141</v>
      </c>
      <c r="D140" s="212"/>
      <c r="E140" s="228"/>
      <c r="F140" s="232">
        <v>0</v>
      </c>
      <c r="G140" s="232">
        <v>0</v>
      </c>
      <c r="H140" s="214"/>
      <c r="I140" s="180"/>
      <c r="J140" s="25"/>
      <c r="K140" s="32"/>
    </row>
    <row r="141" spans="1:11" s="33" customFormat="1" ht="25.5" outlineLevel="3">
      <c r="A141" s="14"/>
      <c r="B141" s="38"/>
      <c r="C141" s="229" t="s">
        <v>142</v>
      </c>
      <c r="D141" s="230" t="s">
        <v>28</v>
      </c>
      <c r="E141" s="231">
        <v>1</v>
      </c>
      <c r="F141" s="232">
        <v>0</v>
      </c>
      <c r="G141" s="232">
        <v>0</v>
      </c>
      <c r="H141" s="138">
        <f t="shared" ref="H141:H151" si="18">G141+F141</f>
        <v>0</v>
      </c>
      <c r="I141" s="138">
        <f t="shared" ref="I141:I151" si="19">H141*E141</f>
        <v>0</v>
      </c>
      <c r="J141" s="25"/>
      <c r="K141" s="32"/>
    </row>
    <row r="142" spans="1:11" s="33" customFormat="1" ht="25.5" outlineLevel="3">
      <c r="A142" s="14"/>
      <c r="B142" s="38"/>
      <c r="C142" s="242" t="s">
        <v>94</v>
      </c>
      <c r="D142" s="230" t="s">
        <v>28</v>
      </c>
      <c r="E142" s="231">
        <v>9</v>
      </c>
      <c r="F142" s="232">
        <v>0</v>
      </c>
      <c r="G142" s="232">
        <v>0</v>
      </c>
      <c r="H142" s="138">
        <f t="shared" si="18"/>
        <v>0</v>
      </c>
      <c r="I142" s="138">
        <f t="shared" si="19"/>
        <v>0</v>
      </c>
      <c r="J142" s="25"/>
      <c r="K142" s="32"/>
    </row>
    <row r="143" spans="1:11" s="33" customFormat="1" ht="25.5" outlineLevel="3">
      <c r="A143" s="14"/>
      <c r="B143" s="38"/>
      <c r="C143" s="242" t="s">
        <v>95</v>
      </c>
      <c r="D143" s="230" t="s">
        <v>28</v>
      </c>
      <c r="E143" s="231">
        <v>9</v>
      </c>
      <c r="F143" s="232">
        <v>0</v>
      </c>
      <c r="G143" s="232">
        <v>0</v>
      </c>
      <c r="H143" s="138">
        <f t="shared" si="18"/>
        <v>0</v>
      </c>
      <c r="I143" s="138">
        <f t="shared" si="19"/>
        <v>0</v>
      </c>
      <c r="J143" s="25"/>
      <c r="K143" s="32"/>
    </row>
    <row r="144" spans="1:11" s="33" customFormat="1" ht="25.5" outlineLevel="3">
      <c r="A144" s="14"/>
      <c r="B144" s="38"/>
      <c r="C144" s="242" t="s">
        <v>96</v>
      </c>
      <c r="D144" s="230" t="s">
        <v>28</v>
      </c>
      <c r="E144" s="231">
        <v>2</v>
      </c>
      <c r="F144" s="232">
        <v>0</v>
      </c>
      <c r="G144" s="232">
        <v>0</v>
      </c>
      <c r="H144" s="138">
        <f t="shared" si="18"/>
        <v>0</v>
      </c>
      <c r="I144" s="138">
        <f t="shared" si="19"/>
        <v>0</v>
      </c>
      <c r="J144" s="25"/>
      <c r="K144" s="32"/>
    </row>
    <row r="145" spans="1:12" s="33" customFormat="1" ht="25.5" outlineLevel="3">
      <c r="A145" s="14"/>
      <c r="B145" s="38"/>
      <c r="C145" s="242" t="s">
        <v>97</v>
      </c>
      <c r="D145" s="230" t="s">
        <v>28</v>
      </c>
      <c r="E145" s="231">
        <v>2</v>
      </c>
      <c r="F145" s="232">
        <v>0</v>
      </c>
      <c r="G145" s="232">
        <v>0</v>
      </c>
      <c r="H145" s="138">
        <f t="shared" si="18"/>
        <v>0</v>
      </c>
      <c r="I145" s="138">
        <f t="shared" si="19"/>
        <v>0</v>
      </c>
      <c r="J145" s="25"/>
      <c r="K145" s="32"/>
    </row>
    <row r="146" spans="1:12" s="33" customFormat="1" ht="25.5" outlineLevel="3">
      <c r="A146" s="14"/>
      <c r="B146" s="38"/>
      <c r="C146" s="242" t="s">
        <v>98</v>
      </c>
      <c r="D146" s="230" t="s">
        <v>28</v>
      </c>
      <c r="E146" s="231">
        <v>2</v>
      </c>
      <c r="F146" s="232">
        <v>0</v>
      </c>
      <c r="G146" s="232">
        <v>0</v>
      </c>
      <c r="H146" s="138">
        <f t="shared" si="18"/>
        <v>0</v>
      </c>
      <c r="I146" s="138">
        <f t="shared" si="19"/>
        <v>0</v>
      </c>
      <c r="J146" s="25"/>
      <c r="K146" s="32"/>
    </row>
    <row r="147" spans="1:12" s="33" customFormat="1" ht="25.5" outlineLevel="3">
      <c r="A147" s="14"/>
      <c r="B147" s="38"/>
      <c r="C147" s="242" t="s">
        <v>143</v>
      </c>
      <c r="D147" s="230" t="s">
        <v>28</v>
      </c>
      <c r="E147" s="231">
        <v>1</v>
      </c>
      <c r="F147" s="232">
        <v>0</v>
      </c>
      <c r="G147" s="232">
        <v>0</v>
      </c>
      <c r="H147" s="138">
        <f t="shared" si="18"/>
        <v>0</v>
      </c>
      <c r="I147" s="138">
        <f t="shared" si="19"/>
        <v>0</v>
      </c>
      <c r="J147" s="25"/>
      <c r="K147" s="32"/>
    </row>
    <row r="148" spans="1:12" s="33" customFormat="1" ht="25.5" outlineLevel="3">
      <c r="A148" s="14"/>
      <c r="B148" s="38"/>
      <c r="C148" s="242" t="s">
        <v>144</v>
      </c>
      <c r="D148" s="230" t="s">
        <v>28</v>
      </c>
      <c r="E148" s="231">
        <v>1</v>
      </c>
      <c r="F148" s="232">
        <v>0</v>
      </c>
      <c r="G148" s="232">
        <v>0</v>
      </c>
      <c r="H148" s="138">
        <f t="shared" si="18"/>
        <v>0</v>
      </c>
      <c r="I148" s="138">
        <f t="shared" si="19"/>
        <v>0</v>
      </c>
      <c r="J148" s="25"/>
      <c r="K148" s="32"/>
    </row>
    <row r="149" spans="1:12" s="33" customFormat="1" ht="25.5" outlineLevel="3">
      <c r="A149" s="14"/>
      <c r="B149" s="38"/>
      <c r="C149" s="229" t="s">
        <v>145</v>
      </c>
      <c r="D149" s="230" t="s">
        <v>28</v>
      </c>
      <c r="E149" s="231">
        <v>1</v>
      </c>
      <c r="F149" s="232">
        <v>0</v>
      </c>
      <c r="G149" s="232">
        <v>0</v>
      </c>
      <c r="H149" s="138">
        <f t="shared" si="18"/>
        <v>0</v>
      </c>
      <c r="I149" s="138">
        <f t="shared" si="19"/>
        <v>0</v>
      </c>
      <c r="J149" s="25"/>
      <c r="K149" s="32"/>
    </row>
    <row r="150" spans="1:12" s="33" customFormat="1" ht="25.5" outlineLevel="3">
      <c r="A150" s="14"/>
      <c r="B150" s="38"/>
      <c r="C150" s="242" t="s">
        <v>146</v>
      </c>
      <c r="D150" s="230" t="s">
        <v>28</v>
      </c>
      <c r="E150" s="231">
        <v>1</v>
      </c>
      <c r="F150" s="232">
        <v>0</v>
      </c>
      <c r="G150" s="232">
        <v>0</v>
      </c>
      <c r="H150" s="138">
        <f t="shared" si="18"/>
        <v>0</v>
      </c>
      <c r="I150" s="138">
        <f t="shared" si="19"/>
        <v>0</v>
      </c>
      <c r="J150" s="25"/>
      <c r="K150" s="32"/>
    </row>
    <row r="151" spans="1:12" s="33" customFormat="1" ht="25.5" outlineLevel="3">
      <c r="A151" s="14"/>
      <c r="B151" s="38"/>
      <c r="C151" s="229" t="s">
        <v>147</v>
      </c>
      <c r="D151" s="230" t="s">
        <v>28</v>
      </c>
      <c r="E151" s="231">
        <v>3</v>
      </c>
      <c r="F151" s="232">
        <v>0</v>
      </c>
      <c r="G151" s="232">
        <v>0</v>
      </c>
      <c r="H151" s="138">
        <f t="shared" si="18"/>
        <v>0</v>
      </c>
      <c r="I151" s="138">
        <f t="shared" si="19"/>
        <v>0</v>
      </c>
      <c r="J151" s="25"/>
      <c r="K151" s="32"/>
    </row>
    <row r="152" spans="1:12" s="33" customFormat="1" ht="25.5" outlineLevel="3">
      <c r="A152" s="14"/>
      <c r="B152" s="38"/>
      <c r="C152" s="241" t="s">
        <v>148</v>
      </c>
      <c r="D152" s="233"/>
      <c r="E152" s="231"/>
      <c r="F152" s="232">
        <v>0</v>
      </c>
      <c r="G152" s="232">
        <v>0</v>
      </c>
      <c r="H152" s="214"/>
      <c r="I152" s="180"/>
      <c r="J152" s="25"/>
      <c r="K152" s="32"/>
    </row>
    <row r="153" spans="1:12" s="33" customFormat="1" ht="25.5" outlineLevel="3">
      <c r="A153" s="14"/>
      <c r="B153" s="38"/>
      <c r="C153" s="229" t="s">
        <v>149</v>
      </c>
      <c r="D153" s="230" t="s">
        <v>28</v>
      </c>
      <c r="E153" s="231">
        <v>14</v>
      </c>
      <c r="F153" s="232">
        <v>0</v>
      </c>
      <c r="G153" s="232">
        <v>0</v>
      </c>
      <c r="H153" s="138">
        <f t="shared" ref="H153:H169" si="20">G153+F153</f>
        <v>0</v>
      </c>
      <c r="I153" s="138">
        <f t="shared" ref="I153:I169" si="21">H153*E153</f>
        <v>0</v>
      </c>
      <c r="J153" s="25"/>
      <c r="K153" s="32"/>
    </row>
    <row r="154" spans="1:12" s="33" customFormat="1" ht="25.5" outlineLevel="3">
      <c r="A154" s="14"/>
      <c r="B154" s="38"/>
      <c r="C154" s="229" t="s">
        <v>150</v>
      </c>
      <c r="D154" s="230" t="s">
        <v>28</v>
      </c>
      <c r="E154" s="231">
        <v>3</v>
      </c>
      <c r="F154" s="232">
        <v>0</v>
      </c>
      <c r="G154" s="232">
        <v>0</v>
      </c>
      <c r="H154" s="138">
        <f t="shared" si="20"/>
        <v>0</v>
      </c>
      <c r="I154" s="138">
        <f t="shared" si="21"/>
        <v>0</v>
      </c>
      <c r="J154" s="25"/>
      <c r="K154" s="32"/>
    </row>
    <row r="155" spans="1:12" s="33" customFormat="1" ht="25.5" outlineLevel="3">
      <c r="A155" s="14"/>
      <c r="B155" s="38"/>
      <c r="C155" s="229" t="s">
        <v>151</v>
      </c>
      <c r="D155" s="230" t="s">
        <v>28</v>
      </c>
      <c r="E155" s="231">
        <v>3</v>
      </c>
      <c r="F155" s="232">
        <v>0</v>
      </c>
      <c r="G155" s="232">
        <v>0</v>
      </c>
      <c r="H155" s="138">
        <f t="shared" si="20"/>
        <v>0</v>
      </c>
      <c r="I155" s="138">
        <f t="shared" si="21"/>
        <v>0</v>
      </c>
      <c r="J155" s="25"/>
      <c r="K155" s="32"/>
    </row>
    <row r="156" spans="1:12" s="33" customFormat="1" ht="25.5" outlineLevel="3">
      <c r="A156" s="14"/>
      <c r="B156" s="38"/>
      <c r="C156" s="229" t="s">
        <v>152</v>
      </c>
      <c r="D156" s="230" t="s">
        <v>28</v>
      </c>
      <c r="E156" s="231">
        <v>3</v>
      </c>
      <c r="F156" s="232">
        <v>0</v>
      </c>
      <c r="G156" s="232">
        <v>0</v>
      </c>
      <c r="H156" s="138">
        <f t="shared" si="20"/>
        <v>0</v>
      </c>
      <c r="I156" s="138">
        <f t="shared" si="21"/>
        <v>0</v>
      </c>
      <c r="J156" s="25"/>
      <c r="K156" s="32"/>
    </row>
    <row r="157" spans="1:12" s="33" customFormat="1" ht="25.5" outlineLevel="3">
      <c r="A157" s="14"/>
      <c r="B157" s="38"/>
      <c r="C157" s="229" t="s">
        <v>153</v>
      </c>
      <c r="D157" s="230" t="s">
        <v>28</v>
      </c>
      <c r="E157" s="231">
        <v>1</v>
      </c>
      <c r="F157" s="232">
        <v>0</v>
      </c>
      <c r="G157" s="232">
        <v>0</v>
      </c>
      <c r="H157" s="138">
        <f t="shared" si="20"/>
        <v>0</v>
      </c>
      <c r="I157" s="138">
        <f t="shared" si="21"/>
        <v>0</v>
      </c>
      <c r="J157" s="25"/>
      <c r="K157" s="32"/>
    </row>
    <row r="158" spans="1:12" s="33" customFormat="1" ht="25.5" outlineLevel="3">
      <c r="A158" s="14" t="s">
        <v>154</v>
      </c>
      <c r="B158" s="38"/>
      <c r="C158" s="229" t="s">
        <v>155</v>
      </c>
      <c r="D158" s="230" t="s">
        <v>28</v>
      </c>
      <c r="E158" s="231">
        <v>3</v>
      </c>
      <c r="F158" s="232">
        <v>0</v>
      </c>
      <c r="G158" s="232">
        <v>0</v>
      </c>
      <c r="H158" s="138">
        <f t="shared" si="20"/>
        <v>0</v>
      </c>
      <c r="I158" s="138">
        <f t="shared" si="21"/>
        <v>0</v>
      </c>
      <c r="J158" s="25"/>
      <c r="K158" s="15" t="s">
        <v>156</v>
      </c>
      <c r="L158" s="16" t="s">
        <v>157</v>
      </c>
    </row>
    <row r="159" spans="1:12" s="33" customFormat="1" ht="25.5" outlineLevel="3">
      <c r="A159" s="14"/>
      <c r="B159" s="38"/>
      <c r="C159" s="229" t="s">
        <v>158</v>
      </c>
      <c r="D159" s="230" t="s">
        <v>28</v>
      </c>
      <c r="E159" s="231">
        <v>1</v>
      </c>
      <c r="F159" s="232">
        <v>0</v>
      </c>
      <c r="G159" s="232">
        <v>0</v>
      </c>
      <c r="H159" s="138">
        <f t="shared" si="20"/>
        <v>0</v>
      </c>
      <c r="I159" s="138">
        <f t="shared" si="21"/>
        <v>0</v>
      </c>
      <c r="J159" s="25"/>
      <c r="K159" s="32"/>
    </row>
    <row r="160" spans="1:12" s="33" customFormat="1" ht="25.5" outlineLevel="3">
      <c r="A160" s="14"/>
      <c r="B160" s="38"/>
      <c r="C160" s="229" t="s">
        <v>159</v>
      </c>
      <c r="D160" s="230" t="s">
        <v>28</v>
      </c>
      <c r="E160" s="231">
        <v>2</v>
      </c>
      <c r="F160" s="232">
        <v>0</v>
      </c>
      <c r="G160" s="232">
        <v>0</v>
      </c>
      <c r="H160" s="138">
        <f t="shared" si="20"/>
        <v>0</v>
      </c>
      <c r="I160" s="138">
        <f t="shared" si="21"/>
        <v>0</v>
      </c>
      <c r="J160" s="25"/>
      <c r="K160" s="32"/>
    </row>
    <row r="161" spans="1:11" s="33" customFormat="1" ht="25.5" outlineLevel="3">
      <c r="A161" s="14"/>
      <c r="B161" s="38"/>
      <c r="C161" s="229" t="s">
        <v>160</v>
      </c>
      <c r="D161" s="230" t="s">
        <v>28</v>
      </c>
      <c r="E161" s="231">
        <v>1</v>
      </c>
      <c r="F161" s="232">
        <v>0</v>
      </c>
      <c r="G161" s="232">
        <v>0</v>
      </c>
      <c r="H161" s="138">
        <f t="shared" si="20"/>
        <v>0</v>
      </c>
      <c r="I161" s="138">
        <f t="shared" si="21"/>
        <v>0</v>
      </c>
      <c r="J161" s="25"/>
      <c r="K161" s="32"/>
    </row>
    <row r="162" spans="1:11" s="33" customFormat="1" ht="25.5" outlineLevel="3">
      <c r="A162" s="14"/>
      <c r="B162" s="38"/>
      <c r="C162" s="242" t="s">
        <v>161</v>
      </c>
      <c r="D162" s="230" t="s">
        <v>162</v>
      </c>
      <c r="E162" s="231">
        <v>1</v>
      </c>
      <c r="F162" s="232">
        <v>0</v>
      </c>
      <c r="G162" s="232">
        <v>0</v>
      </c>
      <c r="H162" s="138">
        <f t="shared" si="20"/>
        <v>0</v>
      </c>
      <c r="I162" s="138">
        <f t="shared" si="21"/>
        <v>0</v>
      </c>
      <c r="J162" s="25"/>
      <c r="K162" s="32"/>
    </row>
    <row r="163" spans="1:11" s="33" customFormat="1" ht="25.5" outlineLevel="3">
      <c r="A163" s="14"/>
      <c r="B163" s="38"/>
      <c r="C163" s="229" t="s">
        <v>163</v>
      </c>
      <c r="D163" s="230" t="s">
        <v>28</v>
      </c>
      <c r="E163" s="231">
        <v>3</v>
      </c>
      <c r="F163" s="232">
        <v>0</v>
      </c>
      <c r="G163" s="232">
        <v>0</v>
      </c>
      <c r="H163" s="138">
        <f t="shared" si="20"/>
        <v>0</v>
      </c>
      <c r="I163" s="138">
        <f t="shared" si="21"/>
        <v>0</v>
      </c>
      <c r="J163" s="25"/>
      <c r="K163" s="32"/>
    </row>
    <row r="164" spans="1:11" s="33" customFormat="1" ht="25.5" outlineLevel="3">
      <c r="A164" s="14"/>
      <c r="B164" s="38"/>
      <c r="C164" s="229" t="s">
        <v>164</v>
      </c>
      <c r="D164" s="230" t="s">
        <v>28</v>
      </c>
      <c r="E164" s="231">
        <v>2</v>
      </c>
      <c r="F164" s="232">
        <v>0</v>
      </c>
      <c r="G164" s="232">
        <v>0</v>
      </c>
      <c r="H164" s="138">
        <f t="shared" si="20"/>
        <v>0</v>
      </c>
      <c r="I164" s="138">
        <f t="shared" si="21"/>
        <v>0</v>
      </c>
      <c r="J164" s="25"/>
      <c r="K164" s="32"/>
    </row>
    <row r="165" spans="1:11" s="33" customFormat="1" ht="25.5" outlineLevel="3">
      <c r="A165" s="14"/>
      <c r="B165" s="38"/>
      <c r="C165" s="229" t="s">
        <v>165</v>
      </c>
      <c r="D165" s="230" t="s">
        <v>28</v>
      </c>
      <c r="E165" s="231">
        <v>7</v>
      </c>
      <c r="F165" s="232">
        <v>0</v>
      </c>
      <c r="G165" s="232">
        <v>0</v>
      </c>
      <c r="H165" s="138">
        <f t="shared" si="20"/>
        <v>0</v>
      </c>
      <c r="I165" s="138">
        <f t="shared" si="21"/>
        <v>0</v>
      </c>
      <c r="J165" s="25"/>
      <c r="K165" s="32"/>
    </row>
    <row r="166" spans="1:11" s="33" customFormat="1" ht="25.5" outlineLevel="3">
      <c r="A166" s="14"/>
      <c r="B166" s="38"/>
      <c r="C166" s="229" t="s">
        <v>166</v>
      </c>
      <c r="D166" s="230" t="s">
        <v>28</v>
      </c>
      <c r="E166" s="231">
        <v>3</v>
      </c>
      <c r="F166" s="232">
        <v>0</v>
      </c>
      <c r="G166" s="232">
        <v>0</v>
      </c>
      <c r="H166" s="138">
        <f t="shared" si="20"/>
        <v>0</v>
      </c>
      <c r="I166" s="138">
        <f t="shared" si="21"/>
        <v>0</v>
      </c>
      <c r="J166" s="25"/>
      <c r="K166" s="32"/>
    </row>
    <row r="167" spans="1:11" s="33" customFormat="1" ht="25.5" outlineLevel="3">
      <c r="A167" s="14"/>
      <c r="B167" s="38"/>
      <c r="C167" s="229" t="s">
        <v>167</v>
      </c>
      <c r="D167" s="230" t="s">
        <v>28</v>
      </c>
      <c r="E167" s="231">
        <v>7</v>
      </c>
      <c r="F167" s="232">
        <v>0</v>
      </c>
      <c r="G167" s="232">
        <v>0</v>
      </c>
      <c r="H167" s="138">
        <f t="shared" si="20"/>
        <v>0</v>
      </c>
      <c r="I167" s="138">
        <f t="shared" si="21"/>
        <v>0</v>
      </c>
      <c r="J167" s="25"/>
      <c r="K167" s="32"/>
    </row>
    <row r="168" spans="1:11" s="33" customFormat="1" ht="25.5" outlineLevel="3">
      <c r="A168" s="14"/>
      <c r="B168" s="38"/>
      <c r="C168" s="229" t="s">
        <v>139</v>
      </c>
      <c r="D168" s="230" t="s">
        <v>38</v>
      </c>
      <c r="E168" s="231">
        <v>1</v>
      </c>
      <c r="F168" s="232">
        <v>0</v>
      </c>
      <c r="G168" s="232">
        <v>0</v>
      </c>
      <c r="H168" s="138">
        <f t="shared" si="20"/>
        <v>0</v>
      </c>
      <c r="I168" s="138">
        <f t="shared" si="21"/>
        <v>0</v>
      </c>
      <c r="J168" s="25"/>
      <c r="K168" s="32"/>
    </row>
    <row r="169" spans="1:11" s="33" customFormat="1" ht="25.5" outlineLevel="3">
      <c r="A169" s="14"/>
      <c r="B169" s="35">
        <f>MAXA($B$6:B168)+1</f>
        <v>45</v>
      </c>
      <c r="C169" s="229" t="s">
        <v>168</v>
      </c>
      <c r="D169" s="230" t="s">
        <v>38</v>
      </c>
      <c r="E169" s="231">
        <v>1</v>
      </c>
      <c r="F169" s="232">
        <v>15412939</v>
      </c>
      <c r="G169" s="232">
        <v>1563188</v>
      </c>
      <c r="H169" s="138">
        <f t="shared" si="20"/>
        <v>16976127</v>
      </c>
      <c r="I169" s="138">
        <f t="shared" si="21"/>
        <v>16976127</v>
      </c>
      <c r="J169" s="25"/>
      <c r="K169" s="32"/>
    </row>
    <row r="170" spans="1:11" s="33" customFormat="1" ht="25.5" outlineLevel="3">
      <c r="A170" s="14"/>
      <c r="B170" s="38"/>
      <c r="C170" s="241" t="s">
        <v>141</v>
      </c>
      <c r="D170" s="212"/>
      <c r="E170" s="228"/>
      <c r="F170" s="232">
        <v>0</v>
      </c>
      <c r="G170" s="232">
        <v>0</v>
      </c>
      <c r="H170" s="214"/>
      <c r="I170" s="180"/>
      <c r="J170" s="25"/>
      <c r="K170" s="32"/>
    </row>
    <row r="171" spans="1:11" s="33" customFormat="1" ht="25.5" outlineLevel="3">
      <c r="A171" s="14"/>
      <c r="B171" s="38"/>
      <c r="C171" s="229" t="s">
        <v>169</v>
      </c>
      <c r="D171" s="230" t="s">
        <v>28</v>
      </c>
      <c r="E171" s="231">
        <v>1</v>
      </c>
      <c r="F171" s="232">
        <v>0</v>
      </c>
      <c r="G171" s="232">
        <v>0</v>
      </c>
      <c r="H171" s="138">
        <f>G171+F171</f>
        <v>0</v>
      </c>
      <c r="I171" s="138">
        <f>H171*E171</f>
        <v>0</v>
      </c>
      <c r="J171" s="25"/>
      <c r="K171" s="32"/>
    </row>
    <row r="172" spans="1:11" s="33" customFormat="1" ht="25.5" outlineLevel="3">
      <c r="A172" s="14"/>
      <c r="B172" s="38"/>
      <c r="C172" s="242" t="s">
        <v>94</v>
      </c>
      <c r="D172" s="230" t="s">
        <v>28</v>
      </c>
      <c r="E172" s="231">
        <v>1</v>
      </c>
      <c r="F172" s="232">
        <v>0</v>
      </c>
      <c r="G172" s="232">
        <v>0</v>
      </c>
      <c r="H172" s="138">
        <f>G172+F172</f>
        <v>0</v>
      </c>
      <c r="I172" s="138">
        <f>H172*E172</f>
        <v>0</v>
      </c>
      <c r="J172" s="25"/>
      <c r="K172" s="32"/>
    </row>
    <row r="173" spans="1:11" s="33" customFormat="1" ht="25.5" outlineLevel="3">
      <c r="A173" s="14"/>
      <c r="B173" s="38"/>
      <c r="C173" s="242" t="s">
        <v>95</v>
      </c>
      <c r="D173" s="230" t="s">
        <v>28</v>
      </c>
      <c r="E173" s="231">
        <v>1</v>
      </c>
      <c r="F173" s="232">
        <v>0</v>
      </c>
      <c r="G173" s="232">
        <v>0</v>
      </c>
      <c r="H173" s="138">
        <f>G173+F173</f>
        <v>0</v>
      </c>
      <c r="I173" s="138">
        <f>H173*E173</f>
        <v>0</v>
      </c>
      <c r="J173" s="25"/>
      <c r="K173" s="32"/>
    </row>
    <row r="174" spans="1:11" s="33" customFormat="1" ht="25.5" outlineLevel="3">
      <c r="A174" s="14"/>
      <c r="B174" s="38"/>
      <c r="C174" s="242" t="s">
        <v>96</v>
      </c>
      <c r="D174" s="230" t="s">
        <v>28</v>
      </c>
      <c r="E174" s="231">
        <v>1</v>
      </c>
      <c r="F174" s="232">
        <v>0</v>
      </c>
      <c r="G174" s="232">
        <v>0</v>
      </c>
      <c r="H174" s="138">
        <f>G174+F174</f>
        <v>0</v>
      </c>
      <c r="I174" s="138">
        <f>H174*E174</f>
        <v>0</v>
      </c>
      <c r="J174" s="25"/>
      <c r="K174" s="32"/>
    </row>
    <row r="175" spans="1:11" s="33" customFormat="1" ht="25.5" outlineLevel="3">
      <c r="A175" s="14"/>
      <c r="B175" s="38"/>
      <c r="C175" s="241" t="s">
        <v>148</v>
      </c>
      <c r="D175" s="233"/>
      <c r="E175" s="231"/>
      <c r="F175" s="232">
        <v>0</v>
      </c>
      <c r="G175" s="232">
        <v>0</v>
      </c>
      <c r="H175" s="214"/>
      <c r="I175" s="180"/>
      <c r="J175" s="25"/>
      <c r="K175" s="32"/>
    </row>
    <row r="176" spans="1:11" s="33" customFormat="1" ht="25.5" outlineLevel="3">
      <c r="A176" s="14"/>
      <c r="B176" s="38"/>
      <c r="C176" s="229" t="s">
        <v>170</v>
      </c>
      <c r="D176" s="230" t="s">
        <v>28</v>
      </c>
      <c r="E176" s="231">
        <v>1</v>
      </c>
      <c r="F176" s="232">
        <v>0</v>
      </c>
      <c r="G176" s="232">
        <v>0</v>
      </c>
      <c r="H176" s="138">
        <f t="shared" ref="H176:H181" si="22">G176+F176</f>
        <v>0</v>
      </c>
      <c r="I176" s="138">
        <f t="shared" ref="I176:I181" si="23">H176*E176</f>
        <v>0</v>
      </c>
      <c r="J176" s="25"/>
      <c r="K176" s="32"/>
    </row>
    <row r="177" spans="1:11" s="33" customFormat="1" ht="25.5" outlineLevel="3">
      <c r="A177" s="14"/>
      <c r="B177" s="38"/>
      <c r="C177" s="229" t="s">
        <v>171</v>
      </c>
      <c r="D177" s="230" t="s">
        <v>28</v>
      </c>
      <c r="E177" s="231">
        <v>1</v>
      </c>
      <c r="F177" s="232">
        <v>0</v>
      </c>
      <c r="G177" s="232">
        <v>0</v>
      </c>
      <c r="H177" s="138">
        <f t="shared" si="22"/>
        <v>0</v>
      </c>
      <c r="I177" s="138">
        <f t="shared" si="23"/>
        <v>0</v>
      </c>
      <c r="J177" s="25"/>
      <c r="K177" s="32"/>
    </row>
    <row r="178" spans="1:11" s="33" customFormat="1" ht="25.5" outlineLevel="3">
      <c r="A178" s="14"/>
      <c r="B178" s="38"/>
      <c r="C178" s="229" t="s">
        <v>172</v>
      </c>
      <c r="D178" s="230" t="s">
        <v>28</v>
      </c>
      <c r="E178" s="231">
        <v>2</v>
      </c>
      <c r="F178" s="232">
        <v>0</v>
      </c>
      <c r="G178" s="232">
        <v>0</v>
      </c>
      <c r="H178" s="138">
        <f t="shared" si="22"/>
        <v>0</v>
      </c>
      <c r="I178" s="138">
        <f t="shared" si="23"/>
        <v>0</v>
      </c>
      <c r="J178" s="25"/>
      <c r="K178" s="32"/>
    </row>
    <row r="179" spans="1:11" s="33" customFormat="1" ht="25.5" outlineLevel="3">
      <c r="A179" s="14"/>
      <c r="B179" s="38"/>
      <c r="C179" s="229" t="s">
        <v>173</v>
      </c>
      <c r="D179" s="230" t="s">
        <v>28</v>
      </c>
      <c r="E179" s="231">
        <v>2</v>
      </c>
      <c r="F179" s="232">
        <v>0</v>
      </c>
      <c r="G179" s="232">
        <v>0</v>
      </c>
      <c r="H179" s="138">
        <f t="shared" si="22"/>
        <v>0</v>
      </c>
      <c r="I179" s="138">
        <f t="shared" si="23"/>
        <v>0</v>
      </c>
      <c r="J179" s="25"/>
      <c r="K179" s="32"/>
    </row>
    <row r="180" spans="1:11" s="33" customFormat="1" ht="25.5" outlineLevel="3">
      <c r="A180" s="14"/>
      <c r="B180" s="38"/>
      <c r="C180" s="229" t="s">
        <v>139</v>
      </c>
      <c r="D180" s="230" t="s">
        <v>38</v>
      </c>
      <c r="E180" s="231">
        <v>1</v>
      </c>
      <c r="F180" s="232">
        <v>0</v>
      </c>
      <c r="G180" s="232">
        <v>0</v>
      </c>
      <c r="H180" s="138">
        <f t="shared" si="22"/>
        <v>0</v>
      </c>
      <c r="I180" s="138">
        <f t="shared" si="23"/>
        <v>0</v>
      </c>
      <c r="J180" s="25"/>
      <c r="K180" s="32"/>
    </row>
    <row r="181" spans="1:11" s="33" customFormat="1" ht="25.5" outlineLevel="3">
      <c r="A181" s="14"/>
      <c r="B181" s="35">
        <f>MAXA($B$6:B180)+1</f>
        <v>46</v>
      </c>
      <c r="C181" s="229" t="s">
        <v>174</v>
      </c>
      <c r="D181" s="230" t="s">
        <v>38</v>
      </c>
      <c r="E181" s="231">
        <v>1</v>
      </c>
      <c r="F181" s="232">
        <v>15412939</v>
      </c>
      <c r="G181" s="232">
        <v>1563188</v>
      </c>
      <c r="H181" s="138">
        <f t="shared" si="22"/>
        <v>16976127</v>
      </c>
      <c r="I181" s="138">
        <f t="shared" si="23"/>
        <v>16976127</v>
      </c>
      <c r="J181" s="25"/>
      <c r="K181" s="32"/>
    </row>
    <row r="182" spans="1:11" s="33" customFormat="1" ht="25.5" outlineLevel="3">
      <c r="A182" s="14"/>
      <c r="B182" s="38"/>
      <c r="C182" s="241" t="s">
        <v>141</v>
      </c>
      <c r="D182" s="212"/>
      <c r="E182" s="228"/>
      <c r="F182" s="232">
        <v>0</v>
      </c>
      <c r="G182" s="232">
        <v>0</v>
      </c>
      <c r="H182" s="214"/>
      <c r="I182" s="180"/>
      <c r="J182" s="25"/>
      <c r="K182" s="32"/>
    </row>
    <row r="183" spans="1:11" s="33" customFormat="1" ht="25.5" outlineLevel="3">
      <c r="A183" s="14"/>
      <c r="B183" s="38"/>
      <c r="C183" s="229" t="s">
        <v>169</v>
      </c>
      <c r="D183" s="230" t="s">
        <v>28</v>
      </c>
      <c r="E183" s="231">
        <v>1</v>
      </c>
      <c r="F183" s="232">
        <v>0</v>
      </c>
      <c r="G183" s="232">
        <v>0</v>
      </c>
      <c r="H183" s="138">
        <f>G183+F183</f>
        <v>0</v>
      </c>
      <c r="I183" s="138">
        <f>H183*E183</f>
        <v>0</v>
      </c>
      <c r="J183" s="25"/>
      <c r="K183" s="32"/>
    </row>
    <row r="184" spans="1:11" s="33" customFormat="1" ht="25.5" outlineLevel="3">
      <c r="A184" s="14"/>
      <c r="B184" s="38"/>
      <c r="C184" s="242" t="s">
        <v>94</v>
      </c>
      <c r="D184" s="230" t="s">
        <v>28</v>
      </c>
      <c r="E184" s="231">
        <v>1</v>
      </c>
      <c r="F184" s="232">
        <v>0</v>
      </c>
      <c r="G184" s="232">
        <v>0</v>
      </c>
      <c r="H184" s="138">
        <f>G184+F184</f>
        <v>0</v>
      </c>
      <c r="I184" s="138">
        <f>H184*E184</f>
        <v>0</v>
      </c>
      <c r="J184" s="25"/>
      <c r="K184" s="32"/>
    </row>
    <row r="185" spans="1:11" s="33" customFormat="1" ht="25.5" outlineLevel="3">
      <c r="A185" s="14"/>
      <c r="B185" s="38"/>
      <c r="C185" s="242" t="s">
        <v>95</v>
      </c>
      <c r="D185" s="230" t="s">
        <v>28</v>
      </c>
      <c r="E185" s="231">
        <v>1</v>
      </c>
      <c r="F185" s="232">
        <v>0</v>
      </c>
      <c r="G185" s="232">
        <v>0</v>
      </c>
      <c r="H185" s="138">
        <f>G185+F185</f>
        <v>0</v>
      </c>
      <c r="I185" s="138">
        <f>H185*E185</f>
        <v>0</v>
      </c>
      <c r="J185" s="25"/>
      <c r="K185" s="32"/>
    </row>
    <row r="186" spans="1:11" s="33" customFormat="1" ht="25.5" outlineLevel="3">
      <c r="A186" s="14"/>
      <c r="B186" s="38"/>
      <c r="C186" s="242" t="s">
        <v>96</v>
      </c>
      <c r="D186" s="230" t="s">
        <v>28</v>
      </c>
      <c r="E186" s="231">
        <v>1</v>
      </c>
      <c r="F186" s="232">
        <v>0</v>
      </c>
      <c r="G186" s="232">
        <v>0</v>
      </c>
      <c r="H186" s="138">
        <f>G186+F186</f>
        <v>0</v>
      </c>
      <c r="I186" s="138">
        <f>H186*E186</f>
        <v>0</v>
      </c>
      <c r="J186" s="25"/>
      <c r="K186" s="32"/>
    </row>
    <row r="187" spans="1:11" s="33" customFormat="1" ht="25.5" outlineLevel="3">
      <c r="A187" s="14"/>
      <c r="B187" s="38"/>
      <c r="C187" s="241" t="s">
        <v>148</v>
      </c>
      <c r="D187" s="233"/>
      <c r="E187" s="231"/>
      <c r="F187" s="232">
        <v>0</v>
      </c>
      <c r="G187" s="232">
        <v>0</v>
      </c>
      <c r="H187" s="214"/>
      <c r="I187" s="180"/>
      <c r="J187" s="25"/>
      <c r="K187" s="32"/>
    </row>
    <row r="188" spans="1:11" s="33" customFormat="1" ht="25.5" outlineLevel="3">
      <c r="A188" s="14"/>
      <c r="B188" s="38"/>
      <c r="C188" s="229" t="s">
        <v>170</v>
      </c>
      <c r="D188" s="230" t="s">
        <v>28</v>
      </c>
      <c r="E188" s="231">
        <v>1</v>
      </c>
      <c r="F188" s="232">
        <v>0</v>
      </c>
      <c r="G188" s="232">
        <v>0</v>
      </c>
      <c r="H188" s="138">
        <f t="shared" ref="H188:H193" si="24">G188+F188</f>
        <v>0</v>
      </c>
      <c r="I188" s="138">
        <f t="shared" ref="I188:I193" si="25">H188*E188</f>
        <v>0</v>
      </c>
      <c r="J188" s="25"/>
      <c r="K188" s="32"/>
    </row>
    <row r="189" spans="1:11" s="33" customFormat="1" ht="25.5" outlineLevel="3">
      <c r="A189" s="14"/>
      <c r="B189" s="38"/>
      <c r="C189" s="229" t="s">
        <v>171</v>
      </c>
      <c r="D189" s="230" t="s">
        <v>28</v>
      </c>
      <c r="E189" s="231">
        <v>1</v>
      </c>
      <c r="F189" s="232">
        <v>0</v>
      </c>
      <c r="G189" s="232">
        <v>0</v>
      </c>
      <c r="H189" s="138">
        <f t="shared" si="24"/>
        <v>0</v>
      </c>
      <c r="I189" s="138">
        <f t="shared" si="25"/>
        <v>0</v>
      </c>
      <c r="J189" s="25"/>
      <c r="K189" s="32"/>
    </row>
    <row r="190" spans="1:11" s="33" customFormat="1" ht="25.5" outlineLevel="3">
      <c r="A190" s="14"/>
      <c r="B190" s="38"/>
      <c r="C190" s="229" t="s">
        <v>172</v>
      </c>
      <c r="D190" s="230" t="s">
        <v>28</v>
      </c>
      <c r="E190" s="231">
        <v>2</v>
      </c>
      <c r="F190" s="232">
        <v>0</v>
      </c>
      <c r="G190" s="232">
        <v>0</v>
      </c>
      <c r="H190" s="138">
        <f t="shared" si="24"/>
        <v>0</v>
      </c>
      <c r="I190" s="138">
        <f t="shared" si="25"/>
        <v>0</v>
      </c>
      <c r="J190" s="25"/>
      <c r="K190" s="32"/>
    </row>
    <row r="191" spans="1:11" s="33" customFormat="1" ht="25.5" outlineLevel="3">
      <c r="A191" s="14"/>
      <c r="B191" s="38"/>
      <c r="C191" s="229" t="s">
        <v>173</v>
      </c>
      <c r="D191" s="230" t="s">
        <v>28</v>
      </c>
      <c r="E191" s="231">
        <v>2</v>
      </c>
      <c r="F191" s="232">
        <v>0</v>
      </c>
      <c r="G191" s="232">
        <v>0</v>
      </c>
      <c r="H191" s="138">
        <f t="shared" si="24"/>
        <v>0</v>
      </c>
      <c r="I191" s="138">
        <f t="shared" si="25"/>
        <v>0</v>
      </c>
      <c r="J191" s="25"/>
      <c r="K191" s="32"/>
    </row>
    <row r="192" spans="1:11" s="33" customFormat="1" ht="25.5" outlineLevel="3">
      <c r="A192" s="14"/>
      <c r="B192" s="38"/>
      <c r="C192" s="229" t="s">
        <v>139</v>
      </c>
      <c r="D192" s="230" t="s">
        <v>38</v>
      </c>
      <c r="E192" s="231">
        <v>1</v>
      </c>
      <c r="F192" s="232">
        <v>0</v>
      </c>
      <c r="G192" s="232">
        <v>0</v>
      </c>
      <c r="H192" s="138">
        <f t="shared" si="24"/>
        <v>0</v>
      </c>
      <c r="I192" s="138">
        <f t="shared" si="25"/>
        <v>0</v>
      </c>
      <c r="J192" s="25"/>
      <c r="K192" s="32"/>
    </row>
    <row r="193" spans="1:11" s="33" customFormat="1" ht="25.5" outlineLevel="3">
      <c r="A193" s="14"/>
      <c r="B193" s="35">
        <f>MAXA($B$6:B192)+1</f>
        <v>47</v>
      </c>
      <c r="C193" s="229" t="s">
        <v>175</v>
      </c>
      <c r="D193" s="230" t="s">
        <v>38</v>
      </c>
      <c r="E193" s="231">
        <v>1</v>
      </c>
      <c r="F193" s="232">
        <v>6189329</v>
      </c>
      <c r="G193" s="232">
        <v>1563188</v>
      </c>
      <c r="H193" s="138">
        <f t="shared" si="24"/>
        <v>7752517</v>
      </c>
      <c r="I193" s="138">
        <f t="shared" si="25"/>
        <v>7752517</v>
      </c>
      <c r="J193" s="25"/>
      <c r="K193" s="32"/>
    </row>
    <row r="194" spans="1:11" s="33" customFormat="1" ht="25.5" outlineLevel="3">
      <c r="A194" s="14"/>
      <c r="B194" s="38"/>
      <c r="C194" s="241" t="s">
        <v>141</v>
      </c>
      <c r="D194" s="212"/>
      <c r="E194" s="228"/>
      <c r="F194" s="232">
        <v>0</v>
      </c>
      <c r="G194" s="232">
        <v>0</v>
      </c>
      <c r="H194" s="214"/>
      <c r="I194" s="180"/>
      <c r="J194" s="25"/>
      <c r="K194" s="32"/>
    </row>
    <row r="195" spans="1:11" s="33" customFormat="1" ht="25.5" outlineLevel="3">
      <c r="A195" s="14"/>
      <c r="B195" s="38"/>
      <c r="C195" s="229" t="s">
        <v>176</v>
      </c>
      <c r="D195" s="230" t="s">
        <v>28</v>
      </c>
      <c r="E195" s="231">
        <v>1</v>
      </c>
      <c r="F195" s="232">
        <v>0</v>
      </c>
      <c r="G195" s="232">
        <v>0</v>
      </c>
      <c r="H195" s="138">
        <f>G195+F195</f>
        <v>0</v>
      </c>
      <c r="I195" s="138">
        <f>H195*E195</f>
        <v>0</v>
      </c>
      <c r="J195" s="25"/>
      <c r="K195" s="32"/>
    </row>
    <row r="196" spans="1:11" s="33" customFormat="1" ht="25.5" outlineLevel="3">
      <c r="A196" s="14"/>
      <c r="B196" s="38"/>
      <c r="C196" s="242" t="s">
        <v>94</v>
      </c>
      <c r="D196" s="230" t="s">
        <v>28</v>
      </c>
      <c r="E196" s="231">
        <v>1</v>
      </c>
      <c r="F196" s="232">
        <v>0</v>
      </c>
      <c r="G196" s="232">
        <v>0</v>
      </c>
      <c r="H196" s="138">
        <f>G196+F196</f>
        <v>0</v>
      </c>
      <c r="I196" s="138">
        <f>H196*E196</f>
        <v>0</v>
      </c>
      <c r="J196" s="25"/>
      <c r="K196" s="32"/>
    </row>
    <row r="197" spans="1:11" s="33" customFormat="1" ht="25.5" outlineLevel="3">
      <c r="A197" s="14"/>
      <c r="B197" s="38"/>
      <c r="C197" s="242" t="s">
        <v>95</v>
      </c>
      <c r="D197" s="230" t="s">
        <v>28</v>
      </c>
      <c r="E197" s="231">
        <v>1</v>
      </c>
      <c r="F197" s="232">
        <v>0</v>
      </c>
      <c r="G197" s="232">
        <v>0</v>
      </c>
      <c r="H197" s="138">
        <f>G197+F197</f>
        <v>0</v>
      </c>
      <c r="I197" s="138">
        <f>H197*E197</f>
        <v>0</v>
      </c>
      <c r="J197" s="25"/>
      <c r="K197" s="32"/>
    </row>
    <row r="198" spans="1:11" s="33" customFormat="1" ht="25.5" outlineLevel="3">
      <c r="A198" s="14"/>
      <c r="B198" s="38"/>
      <c r="C198" s="242" t="s">
        <v>96</v>
      </c>
      <c r="D198" s="230" t="s">
        <v>28</v>
      </c>
      <c r="E198" s="231">
        <v>1</v>
      </c>
      <c r="F198" s="232">
        <v>0</v>
      </c>
      <c r="G198" s="232">
        <v>0</v>
      </c>
      <c r="H198" s="138">
        <f>G198+F198</f>
        <v>0</v>
      </c>
      <c r="I198" s="138">
        <f>H198*E198</f>
        <v>0</v>
      </c>
      <c r="J198" s="25"/>
      <c r="K198" s="32"/>
    </row>
    <row r="199" spans="1:11" s="33" customFormat="1" ht="25.5" outlineLevel="3">
      <c r="A199" s="14"/>
      <c r="B199" s="38"/>
      <c r="C199" s="241" t="s">
        <v>148</v>
      </c>
      <c r="D199" s="233"/>
      <c r="E199" s="231"/>
      <c r="F199" s="232">
        <v>0</v>
      </c>
      <c r="G199" s="232">
        <v>0</v>
      </c>
      <c r="H199" s="214"/>
      <c r="I199" s="180"/>
      <c r="J199" s="25"/>
      <c r="K199" s="32"/>
    </row>
    <row r="200" spans="1:11" s="33" customFormat="1" ht="25.5" outlineLevel="3">
      <c r="A200" s="14"/>
      <c r="B200" s="38"/>
      <c r="C200" s="229" t="s">
        <v>170</v>
      </c>
      <c r="D200" s="230" t="s">
        <v>28</v>
      </c>
      <c r="E200" s="231">
        <v>1</v>
      </c>
      <c r="F200" s="232">
        <v>0</v>
      </c>
      <c r="G200" s="232">
        <v>0</v>
      </c>
      <c r="H200" s="138">
        <f>G200+F200</f>
        <v>0</v>
      </c>
      <c r="I200" s="138">
        <f>H200*E200</f>
        <v>0</v>
      </c>
      <c r="J200" s="25"/>
      <c r="K200" s="32"/>
    </row>
    <row r="201" spans="1:11" s="33" customFormat="1" ht="25.5" outlineLevel="3">
      <c r="A201" s="14"/>
      <c r="B201" s="38"/>
      <c r="C201" s="229" t="s">
        <v>171</v>
      </c>
      <c r="D201" s="230" t="s">
        <v>28</v>
      </c>
      <c r="E201" s="231">
        <v>1</v>
      </c>
      <c r="F201" s="232">
        <v>0</v>
      </c>
      <c r="G201" s="232">
        <v>0</v>
      </c>
      <c r="H201" s="138">
        <f>G201+F201</f>
        <v>0</v>
      </c>
      <c r="I201" s="138">
        <f>H201*E201</f>
        <v>0</v>
      </c>
      <c r="J201" s="25"/>
      <c r="K201" s="32"/>
    </row>
    <row r="202" spans="1:11" s="33" customFormat="1" ht="25.5" outlineLevel="3">
      <c r="A202" s="14"/>
      <c r="B202" s="38"/>
      <c r="C202" s="229" t="s">
        <v>172</v>
      </c>
      <c r="D202" s="230" t="s">
        <v>28</v>
      </c>
      <c r="E202" s="231">
        <v>2</v>
      </c>
      <c r="F202" s="232">
        <v>0</v>
      </c>
      <c r="G202" s="232">
        <v>0</v>
      </c>
      <c r="H202" s="138">
        <f>G202+F202</f>
        <v>0</v>
      </c>
      <c r="I202" s="138">
        <f>H202*E202</f>
        <v>0</v>
      </c>
      <c r="J202" s="25"/>
      <c r="K202" s="32"/>
    </row>
    <row r="203" spans="1:11" s="33" customFormat="1" ht="25.5" outlineLevel="3">
      <c r="A203" s="14"/>
      <c r="B203" s="38"/>
      <c r="C203" s="229" t="s">
        <v>139</v>
      </c>
      <c r="D203" s="230" t="s">
        <v>38</v>
      </c>
      <c r="E203" s="231">
        <v>1</v>
      </c>
      <c r="F203" s="232">
        <v>0</v>
      </c>
      <c r="G203" s="232">
        <v>0</v>
      </c>
      <c r="H203" s="138">
        <f>G203+F203</f>
        <v>0</v>
      </c>
      <c r="I203" s="138">
        <f>H203*E203</f>
        <v>0</v>
      </c>
      <c r="J203" s="25"/>
      <c r="K203" s="32"/>
    </row>
    <row r="204" spans="1:11" s="33" customFormat="1" ht="25.5" outlineLevel="3">
      <c r="A204" s="14"/>
      <c r="B204" s="35">
        <f>MAXA($B$6:B203)+1</f>
        <v>48</v>
      </c>
      <c r="C204" s="229" t="s">
        <v>177</v>
      </c>
      <c r="D204" s="230" t="s">
        <v>38</v>
      </c>
      <c r="E204" s="231">
        <v>1</v>
      </c>
      <c r="F204" s="232">
        <v>6189329</v>
      </c>
      <c r="G204" s="232">
        <v>1563188</v>
      </c>
      <c r="H204" s="138">
        <f>G204+F204</f>
        <v>7752517</v>
      </c>
      <c r="I204" s="138">
        <f>H204*E204</f>
        <v>7752517</v>
      </c>
      <c r="J204" s="25"/>
      <c r="K204" s="32"/>
    </row>
    <row r="205" spans="1:11" s="33" customFormat="1" ht="25.5" outlineLevel="3">
      <c r="A205" s="14"/>
      <c r="B205" s="38"/>
      <c r="C205" s="241" t="s">
        <v>141</v>
      </c>
      <c r="D205" s="212"/>
      <c r="E205" s="228"/>
      <c r="F205" s="232">
        <v>0</v>
      </c>
      <c r="G205" s="232">
        <v>0</v>
      </c>
      <c r="H205" s="214"/>
      <c r="I205" s="180"/>
      <c r="J205" s="25"/>
      <c r="K205" s="32"/>
    </row>
    <row r="206" spans="1:11" s="33" customFormat="1" ht="25.5" outlineLevel="3">
      <c r="A206" s="14"/>
      <c r="B206" s="38"/>
      <c r="C206" s="229" t="s">
        <v>176</v>
      </c>
      <c r="D206" s="230" t="s">
        <v>28</v>
      </c>
      <c r="E206" s="231">
        <v>1</v>
      </c>
      <c r="F206" s="232">
        <v>0</v>
      </c>
      <c r="G206" s="232">
        <v>0</v>
      </c>
      <c r="H206" s="138">
        <f>G206+F206</f>
        <v>0</v>
      </c>
      <c r="I206" s="138">
        <f>H206*E206</f>
        <v>0</v>
      </c>
      <c r="J206" s="25"/>
      <c r="K206" s="32"/>
    </row>
    <row r="207" spans="1:11" s="33" customFormat="1" ht="25.5" outlineLevel="3">
      <c r="A207" s="14"/>
      <c r="B207" s="38"/>
      <c r="C207" s="242" t="s">
        <v>94</v>
      </c>
      <c r="D207" s="230" t="s">
        <v>28</v>
      </c>
      <c r="E207" s="231">
        <v>1</v>
      </c>
      <c r="F207" s="232">
        <v>0</v>
      </c>
      <c r="G207" s="232">
        <v>0</v>
      </c>
      <c r="H207" s="138">
        <f>G207+F207</f>
        <v>0</v>
      </c>
      <c r="I207" s="138">
        <f>H207*E207</f>
        <v>0</v>
      </c>
      <c r="J207" s="25"/>
      <c r="K207" s="32"/>
    </row>
    <row r="208" spans="1:11" s="33" customFormat="1" ht="25.5" outlineLevel="3">
      <c r="A208" s="14"/>
      <c r="B208" s="38"/>
      <c r="C208" s="242" t="s">
        <v>95</v>
      </c>
      <c r="D208" s="230" t="s">
        <v>28</v>
      </c>
      <c r="E208" s="231">
        <v>1</v>
      </c>
      <c r="F208" s="232">
        <v>0</v>
      </c>
      <c r="G208" s="232">
        <v>0</v>
      </c>
      <c r="H208" s="138">
        <f>G208+F208</f>
        <v>0</v>
      </c>
      <c r="I208" s="138">
        <f>H208*E208</f>
        <v>0</v>
      </c>
      <c r="J208" s="25"/>
      <c r="K208" s="32"/>
    </row>
    <row r="209" spans="1:11" s="33" customFormat="1" ht="25.5" outlineLevel="3">
      <c r="A209" s="14"/>
      <c r="B209" s="38"/>
      <c r="C209" s="242" t="s">
        <v>96</v>
      </c>
      <c r="D209" s="230" t="s">
        <v>28</v>
      </c>
      <c r="E209" s="231">
        <v>1</v>
      </c>
      <c r="F209" s="232">
        <v>0</v>
      </c>
      <c r="G209" s="232">
        <v>0</v>
      </c>
      <c r="H209" s="138">
        <f>G209+F209</f>
        <v>0</v>
      </c>
      <c r="I209" s="138">
        <f>H209*E209</f>
        <v>0</v>
      </c>
      <c r="J209" s="25"/>
      <c r="K209" s="32"/>
    </row>
    <row r="210" spans="1:11" s="33" customFormat="1" ht="25.5" outlineLevel="3">
      <c r="A210" s="14"/>
      <c r="B210" s="38"/>
      <c r="C210" s="241" t="s">
        <v>148</v>
      </c>
      <c r="D210" s="233"/>
      <c r="E210" s="231"/>
      <c r="F210" s="232">
        <v>0</v>
      </c>
      <c r="G210" s="232">
        <v>0</v>
      </c>
      <c r="H210" s="214"/>
      <c r="I210" s="180"/>
      <c r="J210" s="25"/>
      <c r="K210" s="32"/>
    </row>
    <row r="211" spans="1:11" s="33" customFormat="1" ht="25.5" outlineLevel="3">
      <c r="A211" s="14"/>
      <c r="B211" s="38"/>
      <c r="C211" s="229" t="s">
        <v>170</v>
      </c>
      <c r="D211" s="230" t="s">
        <v>28</v>
      </c>
      <c r="E211" s="231">
        <v>1</v>
      </c>
      <c r="F211" s="232">
        <v>0</v>
      </c>
      <c r="G211" s="232">
        <v>0</v>
      </c>
      <c r="H211" s="138">
        <f t="shared" ref="H211:H216" si="26">G211+F211</f>
        <v>0</v>
      </c>
      <c r="I211" s="138">
        <f t="shared" ref="I211:I216" si="27">H211*E211</f>
        <v>0</v>
      </c>
      <c r="J211" s="25"/>
      <c r="K211" s="32"/>
    </row>
    <row r="212" spans="1:11" s="33" customFormat="1" ht="25.5" outlineLevel="3">
      <c r="A212" s="14"/>
      <c r="B212" s="38"/>
      <c r="C212" s="229" t="s">
        <v>171</v>
      </c>
      <c r="D212" s="230" t="s">
        <v>28</v>
      </c>
      <c r="E212" s="231">
        <v>1</v>
      </c>
      <c r="F212" s="232">
        <v>0</v>
      </c>
      <c r="G212" s="232">
        <v>0</v>
      </c>
      <c r="H212" s="138">
        <f t="shared" si="26"/>
        <v>0</v>
      </c>
      <c r="I212" s="138">
        <f t="shared" si="27"/>
        <v>0</v>
      </c>
      <c r="J212" s="25"/>
      <c r="K212" s="32"/>
    </row>
    <row r="213" spans="1:11" s="33" customFormat="1" ht="25.5" outlineLevel="3">
      <c r="A213" s="14"/>
      <c r="B213" s="38"/>
      <c r="C213" s="229" t="s">
        <v>172</v>
      </c>
      <c r="D213" s="230" t="s">
        <v>28</v>
      </c>
      <c r="E213" s="231">
        <v>2</v>
      </c>
      <c r="F213" s="232">
        <v>0</v>
      </c>
      <c r="G213" s="232">
        <v>0</v>
      </c>
      <c r="H213" s="138">
        <f t="shared" si="26"/>
        <v>0</v>
      </c>
      <c r="I213" s="138">
        <f t="shared" si="27"/>
        <v>0</v>
      </c>
      <c r="J213" s="25"/>
      <c r="K213" s="32"/>
    </row>
    <row r="214" spans="1:11" s="33" customFormat="1" ht="25.5" outlineLevel="3">
      <c r="A214" s="14"/>
      <c r="B214" s="38"/>
      <c r="C214" s="229" t="s">
        <v>178</v>
      </c>
      <c r="D214" s="230" t="s">
        <v>28</v>
      </c>
      <c r="E214" s="231">
        <v>1</v>
      </c>
      <c r="F214" s="232">
        <v>0</v>
      </c>
      <c r="G214" s="232">
        <v>0</v>
      </c>
      <c r="H214" s="138">
        <f t="shared" si="26"/>
        <v>0</v>
      </c>
      <c r="I214" s="138">
        <f t="shared" si="27"/>
        <v>0</v>
      </c>
      <c r="J214" s="25"/>
      <c r="K214" s="32"/>
    </row>
    <row r="215" spans="1:11" s="33" customFormat="1" ht="25.5" outlineLevel="3">
      <c r="A215" s="14"/>
      <c r="B215" s="38"/>
      <c r="C215" s="229" t="s">
        <v>139</v>
      </c>
      <c r="D215" s="230" t="s">
        <v>38</v>
      </c>
      <c r="E215" s="231">
        <v>1</v>
      </c>
      <c r="F215" s="232">
        <v>0</v>
      </c>
      <c r="G215" s="232">
        <v>0</v>
      </c>
      <c r="H215" s="138">
        <f t="shared" si="26"/>
        <v>0</v>
      </c>
      <c r="I215" s="138">
        <f t="shared" si="27"/>
        <v>0</v>
      </c>
      <c r="J215" s="25"/>
      <c r="K215" s="32"/>
    </row>
    <row r="216" spans="1:11" s="33" customFormat="1" ht="25.5" outlineLevel="3">
      <c r="A216" s="14"/>
      <c r="B216" s="35">
        <f>MAXA($B$6:B215)+1</f>
        <v>49</v>
      </c>
      <c r="C216" s="229" t="s">
        <v>179</v>
      </c>
      <c r="D216" s="230" t="s">
        <v>38</v>
      </c>
      <c r="E216" s="231">
        <v>1</v>
      </c>
      <c r="F216" s="232">
        <v>6189329</v>
      </c>
      <c r="G216" s="232">
        <v>1563188</v>
      </c>
      <c r="H216" s="138">
        <f t="shared" si="26"/>
        <v>7752517</v>
      </c>
      <c r="I216" s="138">
        <f t="shared" si="27"/>
        <v>7752517</v>
      </c>
      <c r="J216" s="25"/>
      <c r="K216" s="32"/>
    </row>
    <row r="217" spans="1:11" s="33" customFormat="1" ht="25.5" outlineLevel="3">
      <c r="A217" s="14"/>
      <c r="B217" s="38"/>
      <c r="C217" s="241" t="s">
        <v>141</v>
      </c>
      <c r="D217" s="212"/>
      <c r="E217" s="228"/>
      <c r="F217" s="232">
        <v>0</v>
      </c>
      <c r="G217" s="232">
        <v>0</v>
      </c>
      <c r="H217" s="214"/>
      <c r="I217" s="180"/>
      <c r="J217" s="25"/>
      <c r="K217" s="32"/>
    </row>
    <row r="218" spans="1:11" s="33" customFormat="1" ht="25.5" outlineLevel="3">
      <c r="A218" s="14"/>
      <c r="B218" s="38"/>
      <c r="C218" s="229" t="s">
        <v>152</v>
      </c>
      <c r="D218" s="230" t="s">
        <v>28</v>
      </c>
      <c r="E218" s="231">
        <v>1</v>
      </c>
      <c r="F218" s="232">
        <v>0</v>
      </c>
      <c r="G218" s="232">
        <v>0</v>
      </c>
      <c r="H218" s="138">
        <f>G218+F218</f>
        <v>0</v>
      </c>
      <c r="I218" s="138">
        <f>H218*E218</f>
        <v>0</v>
      </c>
      <c r="J218" s="25"/>
      <c r="K218" s="32"/>
    </row>
    <row r="219" spans="1:11" s="33" customFormat="1" ht="25.5" outlineLevel="3">
      <c r="A219" s="14"/>
      <c r="B219" s="38"/>
      <c r="C219" s="242" t="s">
        <v>94</v>
      </c>
      <c r="D219" s="230" t="s">
        <v>28</v>
      </c>
      <c r="E219" s="231">
        <v>1</v>
      </c>
      <c r="F219" s="232">
        <v>0</v>
      </c>
      <c r="G219" s="232">
        <v>0</v>
      </c>
      <c r="H219" s="138">
        <f>G219+F219</f>
        <v>0</v>
      </c>
      <c r="I219" s="138">
        <f>H219*E219</f>
        <v>0</v>
      </c>
      <c r="J219" s="25"/>
      <c r="K219" s="32"/>
    </row>
    <row r="220" spans="1:11" s="33" customFormat="1" ht="25.5" outlineLevel="3">
      <c r="A220" s="14"/>
      <c r="B220" s="38"/>
      <c r="C220" s="242" t="s">
        <v>95</v>
      </c>
      <c r="D220" s="230" t="s">
        <v>28</v>
      </c>
      <c r="E220" s="231">
        <v>1</v>
      </c>
      <c r="F220" s="232">
        <v>0</v>
      </c>
      <c r="G220" s="232">
        <v>0</v>
      </c>
      <c r="H220" s="138">
        <f>G220+F220</f>
        <v>0</v>
      </c>
      <c r="I220" s="138">
        <f>H220*E220</f>
        <v>0</v>
      </c>
      <c r="J220" s="25"/>
      <c r="K220" s="32"/>
    </row>
    <row r="221" spans="1:11" s="33" customFormat="1" ht="25.5" outlineLevel="3">
      <c r="A221" s="14"/>
      <c r="B221" s="38"/>
      <c r="C221" s="242" t="s">
        <v>96</v>
      </c>
      <c r="D221" s="230" t="s">
        <v>28</v>
      </c>
      <c r="E221" s="231">
        <v>1</v>
      </c>
      <c r="F221" s="232">
        <v>0</v>
      </c>
      <c r="G221" s="232">
        <v>0</v>
      </c>
      <c r="H221" s="138">
        <f>G221+F221</f>
        <v>0</v>
      </c>
      <c r="I221" s="138">
        <f>H221*E221</f>
        <v>0</v>
      </c>
      <c r="J221" s="25"/>
      <c r="K221" s="32"/>
    </row>
    <row r="222" spans="1:11" s="33" customFormat="1" ht="25.5" outlineLevel="3">
      <c r="A222" s="14"/>
      <c r="B222" s="38"/>
      <c r="C222" s="241" t="s">
        <v>148</v>
      </c>
      <c r="D222" s="233"/>
      <c r="E222" s="231"/>
      <c r="F222" s="232">
        <v>0</v>
      </c>
      <c r="G222" s="232">
        <v>0</v>
      </c>
      <c r="H222" s="214"/>
      <c r="I222" s="180"/>
      <c r="J222" s="25"/>
      <c r="K222" s="32"/>
    </row>
    <row r="223" spans="1:11" s="33" customFormat="1" ht="25.5" outlineLevel="3">
      <c r="A223" s="14"/>
      <c r="B223" s="38"/>
      <c r="C223" s="229" t="s">
        <v>170</v>
      </c>
      <c r="D223" s="230" t="s">
        <v>28</v>
      </c>
      <c r="E223" s="231">
        <v>1</v>
      </c>
      <c r="F223" s="232">
        <v>0</v>
      </c>
      <c r="G223" s="232">
        <v>0</v>
      </c>
      <c r="H223" s="138">
        <f>G223+F223</f>
        <v>0</v>
      </c>
      <c r="I223" s="138">
        <f>H223*E223</f>
        <v>0</v>
      </c>
      <c r="J223" s="25"/>
      <c r="K223" s="32"/>
    </row>
    <row r="224" spans="1:11" s="33" customFormat="1" ht="25.5" outlineLevel="3">
      <c r="A224" s="14"/>
      <c r="B224" s="38"/>
      <c r="C224" s="229" t="s">
        <v>171</v>
      </c>
      <c r="D224" s="230" t="s">
        <v>28</v>
      </c>
      <c r="E224" s="231">
        <v>1</v>
      </c>
      <c r="F224" s="232">
        <v>0</v>
      </c>
      <c r="G224" s="232">
        <v>0</v>
      </c>
      <c r="H224" s="138">
        <f>G224+F224</f>
        <v>0</v>
      </c>
      <c r="I224" s="138">
        <f>H224*E224</f>
        <v>0</v>
      </c>
      <c r="J224" s="25"/>
      <c r="K224" s="32"/>
    </row>
    <row r="225" spans="1:11" s="33" customFormat="1" ht="25.5" outlineLevel="3">
      <c r="A225" s="14"/>
      <c r="B225" s="38"/>
      <c r="C225" s="229" t="s">
        <v>172</v>
      </c>
      <c r="D225" s="230" t="s">
        <v>28</v>
      </c>
      <c r="E225" s="231">
        <v>2</v>
      </c>
      <c r="F225" s="232">
        <v>0</v>
      </c>
      <c r="G225" s="232">
        <v>0</v>
      </c>
      <c r="H225" s="138">
        <f>G225+F225</f>
        <v>0</v>
      </c>
      <c r="I225" s="138">
        <f>H225*E225</f>
        <v>0</v>
      </c>
      <c r="J225" s="25"/>
      <c r="K225" s="32"/>
    </row>
    <row r="226" spans="1:11" s="33" customFormat="1" ht="25.5" outlineLevel="3">
      <c r="A226" s="14"/>
      <c r="B226" s="38"/>
      <c r="C226" s="229" t="s">
        <v>139</v>
      </c>
      <c r="D226" s="230" t="s">
        <v>38</v>
      </c>
      <c r="E226" s="231">
        <v>1</v>
      </c>
      <c r="F226" s="232">
        <v>0</v>
      </c>
      <c r="G226" s="232">
        <v>0</v>
      </c>
      <c r="H226" s="138">
        <f>G226+F226</f>
        <v>0</v>
      </c>
      <c r="I226" s="138">
        <f>H226*E226</f>
        <v>0</v>
      </c>
      <c r="J226" s="25"/>
      <c r="K226" s="32"/>
    </row>
    <row r="227" spans="1:11" s="33" customFormat="1" ht="25.5" outlineLevel="3">
      <c r="A227" s="14"/>
      <c r="B227" s="35">
        <f>MAXA($B$6:B226)+1</f>
        <v>50</v>
      </c>
      <c r="C227" s="229" t="s">
        <v>180</v>
      </c>
      <c r="D227" s="230" t="s">
        <v>38</v>
      </c>
      <c r="E227" s="231">
        <v>1</v>
      </c>
      <c r="F227" s="232">
        <v>6119656</v>
      </c>
      <c r="G227" s="232">
        <v>1563188</v>
      </c>
      <c r="H227" s="138">
        <f>G227+F227</f>
        <v>7682844</v>
      </c>
      <c r="I227" s="138">
        <f>H227*E227</f>
        <v>7682844</v>
      </c>
      <c r="J227" s="25"/>
      <c r="K227" s="32"/>
    </row>
    <row r="228" spans="1:11" s="33" customFormat="1" ht="25.5" outlineLevel="3">
      <c r="A228" s="14"/>
      <c r="B228" s="38"/>
      <c r="C228" s="241" t="s">
        <v>141</v>
      </c>
      <c r="D228" s="212"/>
      <c r="E228" s="228"/>
      <c r="F228" s="232">
        <v>0</v>
      </c>
      <c r="G228" s="232">
        <v>0</v>
      </c>
      <c r="H228" s="214"/>
      <c r="I228" s="180"/>
      <c r="J228" s="25"/>
      <c r="K228" s="32"/>
    </row>
    <row r="229" spans="1:11" s="33" customFormat="1" ht="25.5" outlineLevel="3">
      <c r="A229" s="14"/>
      <c r="B229" s="38"/>
      <c r="C229" s="229" t="s">
        <v>151</v>
      </c>
      <c r="D229" s="230" t="s">
        <v>28</v>
      </c>
      <c r="E229" s="231">
        <v>1</v>
      </c>
      <c r="F229" s="232">
        <v>0</v>
      </c>
      <c r="G229" s="232">
        <v>0</v>
      </c>
      <c r="H229" s="138">
        <f>G229+F229</f>
        <v>0</v>
      </c>
      <c r="I229" s="138">
        <f>H229*E229</f>
        <v>0</v>
      </c>
      <c r="J229" s="25"/>
      <c r="K229" s="32"/>
    </row>
    <row r="230" spans="1:11" s="33" customFormat="1" ht="25.5" outlineLevel="3">
      <c r="A230" s="14"/>
      <c r="B230" s="38"/>
      <c r="C230" s="242" t="s">
        <v>94</v>
      </c>
      <c r="D230" s="230" t="s">
        <v>28</v>
      </c>
      <c r="E230" s="231">
        <v>1</v>
      </c>
      <c r="F230" s="232">
        <v>0</v>
      </c>
      <c r="G230" s="232">
        <v>0</v>
      </c>
      <c r="H230" s="138">
        <f>G230+F230</f>
        <v>0</v>
      </c>
      <c r="I230" s="138">
        <f>H230*E230</f>
        <v>0</v>
      </c>
      <c r="J230" s="25"/>
      <c r="K230" s="32"/>
    </row>
    <row r="231" spans="1:11" s="33" customFormat="1" ht="25.5" outlineLevel="3">
      <c r="A231" s="14"/>
      <c r="B231" s="38"/>
      <c r="C231" s="242" t="s">
        <v>95</v>
      </c>
      <c r="D231" s="230" t="s">
        <v>28</v>
      </c>
      <c r="E231" s="231">
        <v>1</v>
      </c>
      <c r="F231" s="232">
        <v>0</v>
      </c>
      <c r="G231" s="232">
        <v>0</v>
      </c>
      <c r="H231" s="138">
        <f>G231+F231</f>
        <v>0</v>
      </c>
      <c r="I231" s="138">
        <f>H231*E231</f>
        <v>0</v>
      </c>
      <c r="J231" s="25"/>
      <c r="K231" s="32"/>
    </row>
    <row r="232" spans="1:11" s="33" customFormat="1" ht="25.5" outlineLevel="3">
      <c r="A232" s="14"/>
      <c r="B232" s="38"/>
      <c r="C232" s="242" t="s">
        <v>96</v>
      </c>
      <c r="D232" s="230" t="s">
        <v>28</v>
      </c>
      <c r="E232" s="231">
        <v>1</v>
      </c>
      <c r="F232" s="232">
        <v>0</v>
      </c>
      <c r="G232" s="232">
        <v>0</v>
      </c>
      <c r="H232" s="138">
        <f>G232+F232</f>
        <v>0</v>
      </c>
      <c r="I232" s="138">
        <f>H232*E232</f>
        <v>0</v>
      </c>
      <c r="J232" s="25"/>
      <c r="K232" s="32"/>
    </row>
    <row r="233" spans="1:11" s="33" customFormat="1" ht="25.5" outlineLevel="3">
      <c r="A233" s="14"/>
      <c r="B233" s="38"/>
      <c r="C233" s="241" t="s">
        <v>148</v>
      </c>
      <c r="D233" s="233"/>
      <c r="E233" s="231"/>
      <c r="F233" s="232">
        <v>0</v>
      </c>
      <c r="G233" s="232">
        <v>0</v>
      </c>
      <c r="H233" s="214"/>
      <c r="I233" s="180"/>
      <c r="J233" s="25"/>
      <c r="K233" s="32"/>
    </row>
    <row r="234" spans="1:11" s="33" customFormat="1" ht="25.5" outlineLevel="3">
      <c r="A234" s="14"/>
      <c r="B234" s="38"/>
      <c r="C234" s="229" t="s">
        <v>170</v>
      </c>
      <c r="D234" s="230" t="s">
        <v>28</v>
      </c>
      <c r="E234" s="231">
        <v>2</v>
      </c>
      <c r="F234" s="232">
        <v>0</v>
      </c>
      <c r="G234" s="232">
        <v>0</v>
      </c>
      <c r="H234" s="138">
        <f>G234+F234</f>
        <v>0</v>
      </c>
      <c r="I234" s="138">
        <f>H234*E234</f>
        <v>0</v>
      </c>
      <c r="J234" s="25"/>
      <c r="K234" s="32"/>
    </row>
    <row r="235" spans="1:11" s="33" customFormat="1" ht="25.5" outlineLevel="3">
      <c r="A235" s="14"/>
      <c r="B235" s="38"/>
      <c r="C235" s="229" t="s">
        <v>171</v>
      </c>
      <c r="D235" s="230" t="s">
        <v>28</v>
      </c>
      <c r="E235" s="231">
        <v>1</v>
      </c>
      <c r="F235" s="232">
        <v>0</v>
      </c>
      <c r="G235" s="232">
        <v>0</v>
      </c>
      <c r="H235" s="138">
        <f>G235+F235</f>
        <v>0</v>
      </c>
      <c r="I235" s="138">
        <f>H235*E235</f>
        <v>0</v>
      </c>
      <c r="J235" s="25"/>
      <c r="K235" s="32"/>
    </row>
    <row r="236" spans="1:11" s="33" customFormat="1" ht="25.5" outlineLevel="3">
      <c r="A236" s="14"/>
      <c r="B236" s="38"/>
      <c r="C236" s="229" t="s">
        <v>172</v>
      </c>
      <c r="D236" s="230" t="s">
        <v>28</v>
      </c>
      <c r="E236" s="231">
        <v>2</v>
      </c>
      <c r="F236" s="232">
        <v>0</v>
      </c>
      <c r="G236" s="232">
        <v>0</v>
      </c>
      <c r="H236" s="138">
        <f>G236+F236</f>
        <v>0</v>
      </c>
      <c r="I236" s="138">
        <f>H236*E236</f>
        <v>0</v>
      </c>
      <c r="J236" s="25"/>
      <c r="K236" s="32"/>
    </row>
    <row r="237" spans="1:11" s="33" customFormat="1" ht="25.5" outlineLevel="3">
      <c r="A237" s="14"/>
      <c r="B237" s="38"/>
      <c r="C237" s="229" t="s">
        <v>139</v>
      </c>
      <c r="D237" s="230" t="s">
        <v>38</v>
      </c>
      <c r="E237" s="231">
        <v>1</v>
      </c>
      <c r="F237" s="232">
        <v>0</v>
      </c>
      <c r="G237" s="232">
        <v>0</v>
      </c>
      <c r="H237" s="138">
        <f>G237+F237</f>
        <v>0</v>
      </c>
      <c r="I237" s="138">
        <f>H237*E237</f>
        <v>0</v>
      </c>
      <c r="J237" s="25"/>
      <c r="K237" s="32"/>
    </row>
    <row r="238" spans="1:11" s="33" customFormat="1" ht="25.5" outlineLevel="3">
      <c r="A238" s="14"/>
      <c r="B238" s="35">
        <f>MAXA($B$6:B237)+1</f>
        <v>51</v>
      </c>
      <c r="C238" s="229" t="s">
        <v>181</v>
      </c>
      <c r="D238" s="230" t="s">
        <v>38</v>
      </c>
      <c r="E238" s="231">
        <v>1</v>
      </c>
      <c r="F238" s="232">
        <v>7695438</v>
      </c>
      <c r="G238" s="232">
        <v>1563188</v>
      </c>
      <c r="H238" s="138">
        <f>G238+F238</f>
        <v>9258626</v>
      </c>
      <c r="I238" s="138">
        <f>H238*E238</f>
        <v>9258626</v>
      </c>
      <c r="J238" s="25"/>
      <c r="K238" s="32"/>
    </row>
    <row r="239" spans="1:11" s="33" customFormat="1" ht="25.5" outlineLevel="3">
      <c r="A239" s="14"/>
      <c r="B239" s="38"/>
      <c r="C239" s="241" t="s">
        <v>141</v>
      </c>
      <c r="D239" s="212"/>
      <c r="E239" s="228"/>
      <c r="F239" s="232">
        <v>0</v>
      </c>
      <c r="G239" s="232">
        <v>0</v>
      </c>
      <c r="H239" s="214"/>
      <c r="I239" s="180"/>
      <c r="J239" s="25"/>
      <c r="K239" s="32"/>
    </row>
    <row r="240" spans="1:11" s="33" customFormat="1" ht="25.5" outlineLevel="3">
      <c r="A240" s="14"/>
      <c r="B240" s="38"/>
      <c r="C240" s="229" t="s">
        <v>153</v>
      </c>
      <c r="D240" s="230" t="s">
        <v>28</v>
      </c>
      <c r="E240" s="231">
        <v>1</v>
      </c>
      <c r="F240" s="232">
        <v>0</v>
      </c>
      <c r="G240" s="232">
        <v>0</v>
      </c>
      <c r="H240" s="138">
        <f>G240+F240</f>
        <v>0</v>
      </c>
      <c r="I240" s="138">
        <f>H240*E240</f>
        <v>0</v>
      </c>
      <c r="J240" s="25"/>
      <c r="K240" s="32"/>
    </row>
    <row r="241" spans="1:11" s="33" customFormat="1" ht="25.5" outlineLevel="3">
      <c r="A241" s="14"/>
      <c r="B241" s="38"/>
      <c r="C241" s="242" t="s">
        <v>94</v>
      </c>
      <c r="D241" s="230" t="s">
        <v>28</v>
      </c>
      <c r="E241" s="231">
        <v>1</v>
      </c>
      <c r="F241" s="232">
        <v>0</v>
      </c>
      <c r="G241" s="232">
        <v>0</v>
      </c>
      <c r="H241" s="138">
        <f>G241+F241</f>
        <v>0</v>
      </c>
      <c r="I241" s="138">
        <f>H241*E241</f>
        <v>0</v>
      </c>
      <c r="J241" s="25"/>
      <c r="K241" s="32"/>
    </row>
    <row r="242" spans="1:11" s="33" customFormat="1" ht="25.5" outlineLevel="3">
      <c r="A242" s="14"/>
      <c r="B242" s="38"/>
      <c r="C242" s="242" t="s">
        <v>95</v>
      </c>
      <c r="D242" s="230" t="s">
        <v>28</v>
      </c>
      <c r="E242" s="231">
        <v>1</v>
      </c>
      <c r="F242" s="232">
        <v>0</v>
      </c>
      <c r="G242" s="232">
        <v>0</v>
      </c>
      <c r="H242" s="138">
        <f>G242+F242</f>
        <v>0</v>
      </c>
      <c r="I242" s="138">
        <f>H242*E242</f>
        <v>0</v>
      </c>
      <c r="J242" s="25"/>
      <c r="K242" s="32"/>
    </row>
    <row r="243" spans="1:11" s="33" customFormat="1" ht="25.5" outlineLevel="3">
      <c r="A243" s="14"/>
      <c r="B243" s="38"/>
      <c r="C243" s="242" t="s">
        <v>96</v>
      </c>
      <c r="D243" s="230" t="s">
        <v>28</v>
      </c>
      <c r="E243" s="231">
        <v>1</v>
      </c>
      <c r="F243" s="232">
        <v>0</v>
      </c>
      <c r="G243" s="232">
        <v>0</v>
      </c>
      <c r="H243" s="138">
        <f>G243+F243</f>
        <v>0</v>
      </c>
      <c r="I243" s="138">
        <f>H243*E243</f>
        <v>0</v>
      </c>
      <c r="J243" s="25"/>
      <c r="K243" s="32"/>
    </row>
    <row r="244" spans="1:11" s="33" customFormat="1" ht="25.5" outlineLevel="3">
      <c r="A244" s="14"/>
      <c r="B244" s="38"/>
      <c r="C244" s="241" t="s">
        <v>148</v>
      </c>
      <c r="D244" s="233"/>
      <c r="E244" s="231"/>
      <c r="F244" s="232">
        <v>0</v>
      </c>
      <c r="G244" s="232">
        <v>0</v>
      </c>
      <c r="H244" s="214"/>
      <c r="I244" s="180"/>
      <c r="J244" s="25"/>
      <c r="K244" s="32"/>
    </row>
    <row r="245" spans="1:11" s="33" customFormat="1" ht="25.5" outlineLevel="3">
      <c r="A245" s="14"/>
      <c r="B245" s="38"/>
      <c r="C245" s="229" t="s">
        <v>170</v>
      </c>
      <c r="D245" s="230" t="s">
        <v>28</v>
      </c>
      <c r="E245" s="231">
        <v>2</v>
      </c>
      <c r="F245" s="232">
        <v>0</v>
      </c>
      <c r="G245" s="232">
        <v>0</v>
      </c>
      <c r="H245" s="138">
        <f>G245+F245</f>
        <v>0</v>
      </c>
      <c r="I245" s="138">
        <f>H245*E245</f>
        <v>0</v>
      </c>
      <c r="J245" s="25"/>
      <c r="K245" s="32"/>
    </row>
    <row r="246" spans="1:11" s="33" customFormat="1" ht="25.5" outlineLevel="3">
      <c r="A246" s="14"/>
      <c r="B246" s="38"/>
      <c r="C246" s="229" t="s">
        <v>171</v>
      </c>
      <c r="D246" s="230" t="s">
        <v>28</v>
      </c>
      <c r="E246" s="231">
        <v>1</v>
      </c>
      <c r="F246" s="232">
        <v>0</v>
      </c>
      <c r="G246" s="232">
        <v>0</v>
      </c>
      <c r="H246" s="138">
        <f>G246+F246</f>
        <v>0</v>
      </c>
      <c r="I246" s="138">
        <f>H246*E246</f>
        <v>0</v>
      </c>
      <c r="J246" s="25"/>
      <c r="K246" s="32"/>
    </row>
    <row r="247" spans="1:11" s="33" customFormat="1" ht="25.5" outlineLevel="3">
      <c r="A247" s="14"/>
      <c r="B247" s="38"/>
      <c r="C247" s="229" t="s">
        <v>172</v>
      </c>
      <c r="D247" s="230" t="s">
        <v>28</v>
      </c>
      <c r="E247" s="231">
        <v>2</v>
      </c>
      <c r="F247" s="232">
        <v>0</v>
      </c>
      <c r="G247" s="232">
        <v>0</v>
      </c>
      <c r="H247" s="138">
        <f>G247+F247</f>
        <v>0</v>
      </c>
      <c r="I247" s="138">
        <f>H247*E247</f>
        <v>0</v>
      </c>
      <c r="J247" s="25"/>
      <c r="K247" s="32"/>
    </row>
    <row r="248" spans="1:11" s="33" customFormat="1" ht="25.5" outlineLevel="3">
      <c r="A248" s="14"/>
      <c r="B248" s="38"/>
      <c r="C248" s="229" t="s">
        <v>139</v>
      </c>
      <c r="D248" s="230" t="s">
        <v>38</v>
      </c>
      <c r="E248" s="231">
        <v>1</v>
      </c>
      <c r="F248" s="232">
        <v>0</v>
      </c>
      <c r="G248" s="232">
        <v>0</v>
      </c>
      <c r="H248" s="138">
        <f>G248+F248</f>
        <v>0</v>
      </c>
      <c r="I248" s="138">
        <f>H248*E248</f>
        <v>0</v>
      </c>
      <c r="J248" s="25"/>
      <c r="K248" s="32"/>
    </row>
    <row r="249" spans="1:11" s="33" customFormat="1" ht="25.5" outlineLevel="3">
      <c r="A249" s="14"/>
      <c r="B249" s="35">
        <f>MAXA($B$6:B248)+1</f>
        <v>52</v>
      </c>
      <c r="C249" s="229" t="s">
        <v>182</v>
      </c>
      <c r="D249" s="230" t="s">
        <v>38</v>
      </c>
      <c r="E249" s="231">
        <v>1</v>
      </c>
      <c r="F249" s="232">
        <v>7571187</v>
      </c>
      <c r="G249" s="232">
        <v>1563188</v>
      </c>
      <c r="H249" s="138">
        <f>G249+F249</f>
        <v>9134375</v>
      </c>
      <c r="I249" s="138">
        <f>H249*E249</f>
        <v>9134375</v>
      </c>
      <c r="J249" s="25"/>
      <c r="K249" s="32"/>
    </row>
    <row r="250" spans="1:11" s="33" customFormat="1" ht="25.5" outlineLevel="3">
      <c r="A250" s="14"/>
      <c r="B250" s="38"/>
      <c r="C250" s="241" t="s">
        <v>141</v>
      </c>
      <c r="D250" s="212"/>
      <c r="E250" s="228"/>
      <c r="F250" s="232">
        <v>0</v>
      </c>
      <c r="G250" s="232">
        <v>0</v>
      </c>
      <c r="H250" s="214"/>
      <c r="I250" s="180"/>
      <c r="J250" s="25"/>
      <c r="K250" s="32"/>
    </row>
    <row r="251" spans="1:11" s="33" customFormat="1" ht="25.5" outlineLevel="3">
      <c r="A251" s="14"/>
      <c r="B251" s="38"/>
      <c r="C251" s="229" t="s">
        <v>153</v>
      </c>
      <c r="D251" s="230" t="s">
        <v>28</v>
      </c>
      <c r="E251" s="231">
        <v>1</v>
      </c>
      <c r="F251" s="232">
        <v>0</v>
      </c>
      <c r="G251" s="232">
        <v>0</v>
      </c>
      <c r="H251" s="138">
        <f>G251+F251</f>
        <v>0</v>
      </c>
      <c r="I251" s="138">
        <f>H251*E251</f>
        <v>0</v>
      </c>
      <c r="J251" s="25"/>
      <c r="K251" s="32"/>
    </row>
    <row r="252" spans="1:11" s="33" customFormat="1" ht="25.5" outlineLevel="3">
      <c r="A252" s="14"/>
      <c r="B252" s="38"/>
      <c r="C252" s="242" t="s">
        <v>94</v>
      </c>
      <c r="D252" s="230" t="s">
        <v>28</v>
      </c>
      <c r="E252" s="231">
        <v>1</v>
      </c>
      <c r="F252" s="232">
        <v>0</v>
      </c>
      <c r="G252" s="232">
        <v>0</v>
      </c>
      <c r="H252" s="138">
        <f>G252+F252</f>
        <v>0</v>
      </c>
      <c r="I252" s="138">
        <f>H252*E252</f>
        <v>0</v>
      </c>
      <c r="J252" s="25"/>
      <c r="K252" s="32"/>
    </row>
    <row r="253" spans="1:11" s="33" customFormat="1" ht="25.5" outlineLevel="3">
      <c r="A253" s="14"/>
      <c r="B253" s="38"/>
      <c r="C253" s="242" t="s">
        <v>95</v>
      </c>
      <c r="D253" s="230" t="s">
        <v>28</v>
      </c>
      <c r="E253" s="231">
        <v>1</v>
      </c>
      <c r="F253" s="232">
        <v>0</v>
      </c>
      <c r="G253" s="232">
        <v>0</v>
      </c>
      <c r="H253" s="138">
        <f>G253+F253</f>
        <v>0</v>
      </c>
      <c r="I253" s="138">
        <f>H253*E253</f>
        <v>0</v>
      </c>
      <c r="J253" s="25"/>
      <c r="K253" s="32"/>
    </row>
    <row r="254" spans="1:11" s="33" customFormat="1" ht="25.5" outlineLevel="3">
      <c r="A254" s="14"/>
      <c r="B254" s="38"/>
      <c r="C254" s="242" t="s">
        <v>96</v>
      </c>
      <c r="D254" s="230" t="s">
        <v>28</v>
      </c>
      <c r="E254" s="231">
        <v>1</v>
      </c>
      <c r="F254" s="232">
        <v>0</v>
      </c>
      <c r="G254" s="232">
        <v>0</v>
      </c>
      <c r="H254" s="138">
        <f>G254+F254</f>
        <v>0</v>
      </c>
      <c r="I254" s="138">
        <f>H254*E254</f>
        <v>0</v>
      </c>
      <c r="J254" s="25"/>
      <c r="K254" s="32"/>
    </row>
    <row r="255" spans="1:11" s="33" customFormat="1" ht="25.5" outlineLevel="3">
      <c r="A255" s="14"/>
      <c r="B255" s="38"/>
      <c r="C255" s="241" t="s">
        <v>148</v>
      </c>
      <c r="D255" s="233"/>
      <c r="E255" s="231"/>
      <c r="F255" s="232">
        <v>0</v>
      </c>
      <c r="G255" s="232">
        <v>0</v>
      </c>
      <c r="H255" s="214"/>
      <c r="I255" s="180"/>
      <c r="J255" s="25"/>
      <c r="K255" s="32"/>
    </row>
    <row r="256" spans="1:11" s="33" customFormat="1" ht="25.5" outlineLevel="3">
      <c r="A256" s="14"/>
      <c r="B256" s="38"/>
      <c r="C256" s="229" t="s">
        <v>170</v>
      </c>
      <c r="D256" s="230" t="s">
        <v>28</v>
      </c>
      <c r="E256" s="231">
        <v>1</v>
      </c>
      <c r="F256" s="232">
        <v>0</v>
      </c>
      <c r="G256" s="232">
        <v>0</v>
      </c>
      <c r="H256" s="138">
        <f>G256+F256</f>
        <v>0</v>
      </c>
      <c r="I256" s="138">
        <f>H256*E256</f>
        <v>0</v>
      </c>
      <c r="J256" s="25"/>
      <c r="K256" s="32"/>
    </row>
    <row r="257" spans="1:11" s="33" customFormat="1" ht="25.5" outlineLevel="3">
      <c r="A257" s="14"/>
      <c r="B257" s="38"/>
      <c r="C257" s="229" t="s">
        <v>171</v>
      </c>
      <c r="D257" s="230" t="s">
        <v>28</v>
      </c>
      <c r="E257" s="231">
        <v>1</v>
      </c>
      <c r="F257" s="232">
        <v>0</v>
      </c>
      <c r="G257" s="232">
        <v>0</v>
      </c>
      <c r="H257" s="138">
        <f>G257+F257</f>
        <v>0</v>
      </c>
      <c r="I257" s="138">
        <f>H257*E257</f>
        <v>0</v>
      </c>
      <c r="J257" s="25"/>
      <c r="K257" s="32"/>
    </row>
    <row r="258" spans="1:11" s="33" customFormat="1" ht="25.5" outlineLevel="3">
      <c r="A258" s="14"/>
      <c r="B258" s="38"/>
      <c r="C258" s="229" t="s">
        <v>172</v>
      </c>
      <c r="D258" s="230" t="s">
        <v>28</v>
      </c>
      <c r="E258" s="231">
        <v>2</v>
      </c>
      <c r="F258" s="232">
        <v>0</v>
      </c>
      <c r="G258" s="232">
        <v>0</v>
      </c>
      <c r="H258" s="138">
        <f>G258+F258</f>
        <v>0</v>
      </c>
      <c r="I258" s="138">
        <f>H258*E258</f>
        <v>0</v>
      </c>
      <c r="J258" s="25"/>
      <c r="K258" s="32"/>
    </row>
    <row r="259" spans="1:11" s="33" customFormat="1" ht="25.5" outlineLevel="3">
      <c r="A259" s="14"/>
      <c r="B259" s="38"/>
      <c r="C259" s="229" t="s">
        <v>139</v>
      </c>
      <c r="D259" s="230" t="s">
        <v>38</v>
      </c>
      <c r="E259" s="231">
        <v>1</v>
      </c>
      <c r="F259" s="232">
        <v>0</v>
      </c>
      <c r="G259" s="232">
        <v>0</v>
      </c>
      <c r="H259" s="138">
        <f>G259+F259</f>
        <v>0</v>
      </c>
      <c r="I259" s="138">
        <f>H259*E259</f>
        <v>0</v>
      </c>
      <c r="J259" s="25"/>
      <c r="K259" s="32"/>
    </row>
    <row r="260" spans="1:11" s="33" customFormat="1" ht="25.5" outlineLevel="3">
      <c r="A260" s="14"/>
      <c r="B260" s="35">
        <f>MAXA($B$6:B259)+1</f>
        <v>53</v>
      </c>
      <c r="C260" s="229" t="s">
        <v>183</v>
      </c>
      <c r="D260" s="230" t="s">
        <v>38</v>
      </c>
      <c r="E260" s="231">
        <v>1</v>
      </c>
      <c r="F260" s="232">
        <v>68912898</v>
      </c>
      <c r="G260" s="232">
        <v>2084250</v>
      </c>
      <c r="H260" s="138">
        <f>G260+F260</f>
        <v>70997148</v>
      </c>
      <c r="I260" s="138">
        <f>H260*E260</f>
        <v>70997148</v>
      </c>
      <c r="J260" s="25"/>
      <c r="K260" s="32"/>
    </row>
    <row r="261" spans="1:11" s="33" customFormat="1" ht="25.5" outlineLevel="3">
      <c r="A261" s="14"/>
      <c r="B261" s="38"/>
      <c r="C261" s="241" t="s">
        <v>141</v>
      </c>
      <c r="D261" s="212"/>
      <c r="E261" s="228"/>
      <c r="F261" s="232">
        <v>0</v>
      </c>
      <c r="G261" s="232">
        <v>0</v>
      </c>
      <c r="H261" s="214"/>
      <c r="I261" s="180"/>
      <c r="J261" s="25"/>
      <c r="K261" s="32"/>
    </row>
    <row r="262" spans="1:11" s="33" customFormat="1" ht="25.5" outlineLevel="3">
      <c r="A262" s="14"/>
      <c r="B262" s="38"/>
      <c r="C262" s="229" t="s">
        <v>184</v>
      </c>
      <c r="D262" s="230" t="s">
        <v>28</v>
      </c>
      <c r="E262" s="231">
        <v>1</v>
      </c>
      <c r="F262" s="232">
        <v>0</v>
      </c>
      <c r="G262" s="232">
        <v>0</v>
      </c>
      <c r="H262" s="138">
        <f t="shared" ref="H262:H275" si="28">G262+F262</f>
        <v>0</v>
      </c>
      <c r="I262" s="138">
        <f t="shared" ref="I262:I275" si="29">H262*E262</f>
        <v>0</v>
      </c>
      <c r="J262" s="25"/>
      <c r="K262" s="32"/>
    </row>
    <row r="263" spans="1:11" s="33" customFormat="1" ht="25.5" outlineLevel="3">
      <c r="A263" s="14"/>
      <c r="B263" s="38"/>
      <c r="C263" s="229" t="s">
        <v>118</v>
      </c>
      <c r="D263" s="230" t="s">
        <v>28</v>
      </c>
      <c r="E263" s="231">
        <v>1</v>
      </c>
      <c r="F263" s="232">
        <v>0</v>
      </c>
      <c r="G263" s="232">
        <v>0</v>
      </c>
      <c r="H263" s="138">
        <f t="shared" si="28"/>
        <v>0</v>
      </c>
      <c r="I263" s="138">
        <f t="shared" si="29"/>
        <v>0</v>
      </c>
      <c r="J263" s="25"/>
      <c r="K263" s="32"/>
    </row>
    <row r="264" spans="1:11" s="33" customFormat="1" ht="25.5" outlineLevel="3">
      <c r="A264" s="14"/>
      <c r="B264" s="38"/>
      <c r="C264" s="229" t="s">
        <v>92</v>
      </c>
      <c r="D264" s="230" t="s">
        <v>28</v>
      </c>
      <c r="E264" s="231">
        <v>1</v>
      </c>
      <c r="F264" s="232">
        <v>0</v>
      </c>
      <c r="G264" s="232">
        <v>0</v>
      </c>
      <c r="H264" s="138">
        <f t="shared" si="28"/>
        <v>0</v>
      </c>
      <c r="I264" s="138">
        <f t="shared" si="29"/>
        <v>0</v>
      </c>
      <c r="J264" s="25"/>
      <c r="K264" s="32"/>
    </row>
    <row r="265" spans="1:11" s="33" customFormat="1" ht="25.5" outlineLevel="3">
      <c r="A265" s="14"/>
      <c r="B265" s="38"/>
      <c r="C265" s="229" t="s">
        <v>185</v>
      </c>
      <c r="D265" s="230" t="s">
        <v>28</v>
      </c>
      <c r="E265" s="231">
        <v>4</v>
      </c>
      <c r="F265" s="232">
        <v>0</v>
      </c>
      <c r="G265" s="232">
        <v>0</v>
      </c>
      <c r="H265" s="138">
        <f t="shared" si="28"/>
        <v>0</v>
      </c>
      <c r="I265" s="138">
        <f t="shared" si="29"/>
        <v>0</v>
      </c>
      <c r="J265" s="25"/>
      <c r="K265" s="32"/>
    </row>
    <row r="266" spans="1:11" s="33" customFormat="1" ht="25.5" outlineLevel="3">
      <c r="A266" s="14"/>
      <c r="B266" s="38"/>
      <c r="C266" s="242" t="s">
        <v>94</v>
      </c>
      <c r="D266" s="230" t="s">
        <v>28</v>
      </c>
      <c r="E266" s="231">
        <v>9</v>
      </c>
      <c r="F266" s="232">
        <v>0</v>
      </c>
      <c r="G266" s="232">
        <v>0</v>
      </c>
      <c r="H266" s="138">
        <f t="shared" si="28"/>
        <v>0</v>
      </c>
      <c r="I266" s="138">
        <f t="shared" si="29"/>
        <v>0</v>
      </c>
      <c r="J266" s="25"/>
      <c r="K266" s="32"/>
    </row>
    <row r="267" spans="1:11" s="33" customFormat="1" ht="25.5" outlineLevel="3">
      <c r="A267" s="14"/>
      <c r="B267" s="38"/>
      <c r="C267" s="242" t="s">
        <v>95</v>
      </c>
      <c r="D267" s="230" t="s">
        <v>28</v>
      </c>
      <c r="E267" s="231">
        <v>9</v>
      </c>
      <c r="F267" s="232">
        <v>0</v>
      </c>
      <c r="G267" s="232">
        <v>0</v>
      </c>
      <c r="H267" s="138">
        <f t="shared" si="28"/>
        <v>0</v>
      </c>
      <c r="I267" s="138">
        <f t="shared" si="29"/>
        <v>0</v>
      </c>
      <c r="J267" s="25"/>
      <c r="K267" s="32"/>
    </row>
    <row r="268" spans="1:11" s="33" customFormat="1" ht="25.5" outlineLevel="3">
      <c r="A268" s="14"/>
      <c r="B268" s="38"/>
      <c r="C268" s="242" t="s">
        <v>96</v>
      </c>
      <c r="D268" s="230" t="s">
        <v>28</v>
      </c>
      <c r="E268" s="231">
        <v>2</v>
      </c>
      <c r="F268" s="232">
        <v>0</v>
      </c>
      <c r="G268" s="232">
        <v>0</v>
      </c>
      <c r="H268" s="138">
        <f t="shared" si="28"/>
        <v>0</v>
      </c>
      <c r="I268" s="138">
        <f t="shared" si="29"/>
        <v>0</v>
      </c>
      <c r="J268" s="25"/>
      <c r="K268" s="32"/>
    </row>
    <row r="269" spans="1:11" s="33" customFormat="1" ht="25.5" outlineLevel="3">
      <c r="A269" s="14"/>
      <c r="B269" s="38"/>
      <c r="C269" s="242" t="s">
        <v>97</v>
      </c>
      <c r="D269" s="230" t="s">
        <v>28</v>
      </c>
      <c r="E269" s="231">
        <v>2</v>
      </c>
      <c r="F269" s="232">
        <v>0</v>
      </c>
      <c r="G269" s="232">
        <v>0</v>
      </c>
      <c r="H269" s="138">
        <f t="shared" si="28"/>
        <v>0</v>
      </c>
      <c r="I269" s="138">
        <f t="shared" si="29"/>
        <v>0</v>
      </c>
      <c r="J269" s="25"/>
      <c r="K269" s="32"/>
    </row>
    <row r="270" spans="1:11" s="33" customFormat="1" ht="25.5" outlineLevel="3">
      <c r="A270" s="14"/>
      <c r="B270" s="38"/>
      <c r="C270" s="242" t="s">
        <v>98</v>
      </c>
      <c r="D270" s="230" t="s">
        <v>28</v>
      </c>
      <c r="E270" s="231">
        <v>2</v>
      </c>
      <c r="F270" s="232">
        <v>0</v>
      </c>
      <c r="G270" s="232">
        <v>0</v>
      </c>
      <c r="H270" s="138">
        <f t="shared" si="28"/>
        <v>0</v>
      </c>
      <c r="I270" s="138">
        <f t="shared" si="29"/>
        <v>0</v>
      </c>
      <c r="J270" s="25"/>
      <c r="K270" s="32"/>
    </row>
    <row r="271" spans="1:11" s="33" customFormat="1" ht="25.5" outlineLevel="3">
      <c r="A271" s="14"/>
      <c r="B271" s="38"/>
      <c r="C271" s="242" t="s">
        <v>143</v>
      </c>
      <c r="D271" s="230" t="s">
        <v>28</v>
      </c>
      <c r="E271" s="231">
        <v>1</v>
      </c>
      <c r="F271" s="232">
        <v>0</v>
      </c>
      <c r="G271" s="232">
        <v>0</v>
      </c>
      <c r="H271" s="138">
        <f t="shared" si="28"/>
        <v>0</v>
      </c>
      <c r="I271" s="138">
        <f t="shared" si="29"/>
        <v>0</v>
      </c>
      <c r="J271" s="25"/>
      <c r="K271" s="32"/>
    </row>
    <row r="272" spans="1:11" s="33" customFormat="1" ht="25.5" outlineLevel="3">
      <c r="A272" s="14"/>
      <c r="B272" s="38"/>
      <c r="C272" s="242" t="s">
        <v>144</v>
      </c>
      <c r="D272" s="230" t="s">
        <v>28</v>
      </c>
      <c r="E272" s="231">
        <v>1</v>
      </c>
      <c r="F272" s="232">
        <v>0</v>
      </c>
      <c r="G272" s="232">
        <v>0</v>
      </c>
      <c r="H272" s="138">
        <f t="shared" si="28"/>
        <v>0</v>
      </c>
      <c r="I272" s="138">
        <f t="shared" si="29"/>
        <v>0</v>
      </c>
      <c r="J272" s="25"/>
      <c r="K272" s="32"/>
    </row>
    <row r="273" spans="1:11" s="33" customFormat="1" ht="25.5" outlineLevel="3">
      <c r="A273" s="14"/>
      <c r="B273" s="38"/>
      <c r="C273" s="229" t="s">
        <v>186</v>
      </c>
      <c r="D273" s="230" t="s">
        <v>28</v>
      </c>
      <c r="E273" s="231">
        <v>1</v>
      </c>
      <c r="F273" s="232">
        <v>0</v>
      </c>
      <c r="G273" s="232">
        <v>0</v>
      </c>
      <c r="H273" s="138">
        <f t="shared" si="28"/>
        <v>0</v>
      </c>
      <c r="I273" s="138">
        <f t="shared" si="29"/>
        <v>0</v>
      </c>
      <c r="J273" s="25"/>
      <c r="K273" s="32"/>
    </row>
    <row r="274" spans="1:11" s="33" customFormat="1" ht="25.5" outlineLevel="3">
      <c r="A274" s="14"/>
      <c r="B274" s="38"/>
      <c r="C274" s="242" t="s">
        <v>146</v>
      </c>
      <c r="D274" s="230" t="s">
        <v>28</v>
      </c>
      <c r="E274" s="231">
        <v>1</v>
      </c>
      <c r="F274" s="232">
        <v>0</v>
      </c>
      <c r="G274" s="232">
        <v>0</v>
      </c>
      <c r="H274" s="138">
        <f t="shared" si="28"/>
        <v>0</v>
      </c>
      <c r="I274" s="138">
        <f t="shared" si="29"/>
        <v>0</v>
      </c>
      <c r="J274" s="25"/>
      <c r="K274" s="32"/>
    </row>
    <row r="275" spans="1:11" s="33" customFormat="1" ht="25.5" outlineLevel="3">
      <c r="A275" s="14"/>
      <c r="B275" s="38"/>
      <c r="C275" s="229" t="s">
        <v>187</v>
      </c>
      <c r="D275" s="230" t="s">
        <v>28</v>
      </c>
      <c r="E275" s="231">
        <v>3</v>
      </c>
      <c r="F275" s="232">
        <v>0</v>
      </c>
      <c r="G275" s="232">
        <v>0</v>
      </c>
      <c r="H275" s="138">
        <f t="shared" si="28"/>
        <v>0</v>
      </c>
      <c r="I275" s="138">
        <f t="shared" si="29"/>
        <v>0</v>
      </c>
      <c r="J275" s="25"/>
      <c r="K275" s="32"/>
    </row>
    <row r="276" spans="1:11" s="33" customFormat="1" ht="25.5" outlineLevel="3">
      <c r="A276" s="14"/>
      <c r="B276" s="38"/>
      <c r="C276" s="241" t="s">
        <v>148</v>
      </c>
      <c r="D276" s="233"/>
      <c r="E276" s="231"/>
      <c r="F276" s="232">
        <v>0</v>
      </c>
      <c r="G276" s="232">
        <v>0</v>
      </c>
      <c r="H276" s="214"/>
      <c r="I276" s="180"/>
      <c r="J276" s="25"/>
      <c r="K276" s="32"/>
    </row>
    <row r="277" spans="1:11" s="33" customFormat="1" ht="25.5" outlineLevel="3">
      <c r="A277" s="14"/>
      <c r="B277" s="38"/>
      <c r="C277" s="229" t="s">
        <v>188</v>
      </c>
      <c r="D277" s="230" t="s">
        <v>28</v>
      </c>
      <c r="E277" s="231">
        <v>2</v>
      </c>
      <c r="F277" s="232">
        <v>0</v>
      </c>
      <c r="G277" s="232">
        <v>0</v>
      </c>
      <c r="H277" s="138">
        <f t="shared" ref="H277:H291" si="30">G277+F277</f>
        <v>0</v>
      </c>
      <c r="I277" s="138">
        <f t="shared" ref="I277:I291" si="31">H277*E277</f>
        <v>0</v>
      </c>
      <c r="J277" s="25"/>
      <c r="K277" s="32"/>
    </row>
    <row r="278" spans="1:11" s="33" customFormat="1" ht="25.5" outlineLevel="3">
      <c r="A278" s="14"/>
      <c r="B278" s="38"/>
      <c r="C278" s="229" t="s">
        <v>189</v>
      </c>
      <c r="D278" s="230" t="s">
        <v>28</v>
      </c>
      <c r="E278" s="231">
        <v>2</v>
      </c>
      <c r="F278" s="232">
        <v>0</v>
      </c>
      <c r="G278" s="232">
        <v>0</v>
      </c>
      <c r="H278" s="138">
        <f t="shared" si="30"/>
        <v>0</v>
      </c>
      <c r="I278" s="138">
        <f t="shared" si="31"/>
        <v>0</v>
      </c>
      <c r="J278" s="25"/>
      <c r="K278" s="32"/>
    </row>
    <row r="279" spans="1:11" s="33" customFormat="1" ht="25.5" outlineLevel="3">
      <c r="A279" s="14"/>
      <c r="B279" s="38"/>
      <c r="C279" s="229" t="s">
        <v>190</v>
      </c>
      <c r="D279" s="230" t="s">
        <v>28</v>
      </c>
      <c r="E279" s="231">
        <v>6</v>
      </c>
      <c r="F279" s="232">
        <v>0</v>
      </c>
      <c r="G279" s="232">
        <v>0</v>
      </c>
      <c r="H279" s="138">
        <f t="shared" si="30"/>
        <v>0</v>
      </c>
      <c r="I279" s="138">
        <f t="shared" si="31"/>
        <v>0</v>
      </c>
      <c r="J279" s="25"/>
      <c r="K279" s="32"/>
    </row>
    <row r="280" spans="1:11" s="33" customFormat="1" ht="25.5" outlineLevel="3">
      <c r="A280" s="14"/>
      <c r="B280" s="38"/>
      <c r="C280" s="229" t="s">
        <v>191</v>
      </c>
      <c r="D280" s="230" t="s">
        <v>28</v>
      </c>
      <c r="E280" s="231">
        <v>1</v>
      </c>
      <c r="F280" s="232">
        <v>0</v>
      </c>
      <c r="G280" s="232">
        <v>0</v>
      </c>
      <c r="H280" s="138">
        <f t="shared" si="30"/>
        <v>0</v>
      </c>
      <c r="I280" s="138">
        <f t="shared" si="31"/>
        <v>0</v>
      </c>
      <c r="J280" s="25"/>
      <c r="K280" s="32"/>
    </row>
    <row r="281" spans="1:11" s="33" customFormat="1" ht="25.5" outlineLevel="3">
      <c r="A281" s="14"/>
      <c r="B281" s="38"/>
      <c r="C281" s="229" t="s">
        <v>192</v>
      </c>
      <c r="D281" s="230" t="s">
        <v>28</v>
      </c>
      <c r="E281" s="231">
        <v>1</v>
      </c>
      <c r="F281" s="232">
        <v>0</v>
      </c>
      <c r="G281" s="232">
        <v>0</v>
      </c>
      <c r="H281" s="138">
        <f t="shared" si="30"/>
        <v>0</v>
      </c>
      <c r="I281" s="138">
        <f t="shared" si="31"/>
        <v>0</v>
      </c>
      <c r="J281" s="25"/>
      <c r="K281" s="32"/>
    </row>
    <row r="282" spans="1:11" s="33" customFormat="1" ht="25.5" outlineLevel="3">
      <c r="A282" s="14"/>
      <c r="B282" s="38"/>
      <c r="C282" s="229" t="s">
        <v>160</v>
      </c>
      <c r="D282" s="230" t="s">
        <v>28</v>
      </c>
      <c r="E282" s="231">
        <v>1</v>
      </c>
      <c r="F282" s="232">
        <v>0</v>
      </c>
      <c r="G282" s="232">
        <v>0</v>
      </c>
      <c r="H282" s="138">
        <f t="shared" si="30"/>
        <v>0</v>
      </c>
      <c r="I282" s="138">
        <f t="shared" si="31"/>
        <v>0</v>
      </c>
      <c r="J282" s="25"/>
      <c r="K282" s="32"/>
    </row>
    <row r="283" spans="1:11" s="33" customFormat="1" ht="25.5" outlineLevel="3">
      <c r="A283" s="14"/>
      <c r="B283" s="38"/>
      <c r="C283" s="229" t="s">
        <v>193</v>
      </c>
      <c r="D283" s="230" t="s">
        <v>28</v>
      </c>
      <c r="E283" s="231">
        <v>1</v>
      </c>
      <c r="F283" s="232">
        <v>0</v>
      </c>
      <c r="G283" s="232">
        <v>0</v>
      </c>
      <c r="H283" s="138">
        <f t="shared" si="30"/>
        <v>0</v>
      </c>
      <c r="I283" s="138">
        <f t="shared" si="31"/>
        <v>0</v>
      </c>
      <c r="J283" s="25"/>
      <c r="K283" s="32"/>
    </row>
    <row r="284" spans="1:11" s="33" customFormat="1" ht="25.5" outlineLevel="3">
      <c r="A284" s="14"/>
      <c r="B284" s="38"/>
      <c r="C284" s="229" t="s">
        <v>173</v>
      </c>
      <c r="D284" s="230" t="s">
        <v>28</v>
      </c>
      <c r="E284" s="231">
        <v>1</v>
      </c>
      <c r="F284" s="232">
        <v>0</v>
      </c>
      <c r="G284" s="232">
        <v>0</v>
      </c>
      <c r="H284" s="138">
        <f t="shared" si="30"/>
        <v>0</v>
      </c>
      <c r="I284" s="138">
        <f t="shared" si="31"/>
        <v>0</v>
      </c>
      <c r="J284" s="25"/>
      <c r="K284" s="32"/>
    </row>
    <row r="285" spans="1:11" s="33" customFormat="1" ht="25.5" outlineLevel="3">
      <c r="A285" s="14"/>
      <c r="B285" s="38"/>
      <c r="C285" s="242" t="s">
        <v>161</v>
      </c>
      <c r="D285" s="230" t="s">
        <v>194</v>
      </c>
      <c r="E285" s="231">
        <v>1</v>
      </c>
      <c r="F285" s="232">
        <v>0</v>
      </c>
      <c r="G285" s="232">
        <v>0</v>
      </c>
      <c r="H285" s="138">
        <f t="shared" si="30"/>
        <v>0</v>
      </c>
      <c r="I285" s="138">
        <f t="shared" si="31"/>
        <v>0</v>
      </c>
      <c r="J285" s="25"/>
      <c r="K285" s="32"/>
    </row>
    <row r="286" spans="1:11" s="33" customFormat="1" ht="25.5" outlineLevel="3">
      <c r="A286" s="14"/>
      <c r="B286" s="38"/>
      <c r="C286" s="242" t="s">
        <v>195</v>
      </c>
      <c r="D286" s="230" t="s">
        <v>28</v>
      </c>
      <c r="E286" s="231">
        <v>1</v>
      </c>
      <c r="F286" s="232">
        <v>0</v>
      </c>
      <c r="G286" s="232">
        <v>0</v>
      </c>
      <c r="H286" s="138">
        <f t="shared" si="30"/>
        <v>0</v>
      </c>
      <c r="I286" s="138">
        <f t="shared" si="31"/>
        <v>0</v>
      </c>
      <c r="J286" s="25"/>
      <c r="K286" s="32"/>
    </row>
    <row r="287" spans="1:11" s="33" customFormat="1" ht="25.5" outlineLevel="3">
      <c r="A287" s="14"/>
      <c r="B287" s="38"/>
      <c r="C287" s="242" t="s">
        <v>196</v>
      </c>
      <c r="D287" s="230" t="s">
        <v>28</v>
      </c>
      <c r="E287" s="231">
        <v>2</v>
      </c>
      <c r="F287" s="232">
        <v>0</v>
      </c>
      <c r="G287" s="232">
        <v>0</v>
      </c>
      <c r="H287" s="138">
        <f t="shared" si="30"/>
        <v>0</v>
      </c>
      <c r="I287" s="138">
        <f t="shared" si="31"/>
        <v>0</v>
      </c>
      <c r="J287" s="25"/>
      <c r="K287" s="32"/>
    </row>
    <row r="288" spans="1:11" s="33" customFormat="1" ht="25.5" outlineLevel="3">
      <c r="A288" s="14"/>
      <c r="B288" s="38"/>
      <c r="C288" s="242" t="s">
        <v>197</v>
      </c>
      <c r="D288" s="230" t="s">
        <v>28</v>
      </c>
      <c r="E288" s="231">
        <v>8</v>
      </c>
      <c r="F288" s="232">
        <v>0</v>
      </c>
      <c r="G288" s="232">
        <v>0</v>
      </c>
      <c r="H288" s="138">
        <f t="shared" si="30"/>
        <v>0</v>
      </c>
      <c r="I288" s="138">
        <f t="shared" si="31"/>
        <v>0</v>
      </c>
      <c r="J288" s="25"/>
      <c r="K288" s="32"/>
    </row>
    <row r="289" spans="1:11" s="33" customFormat="1" ht="25.5" outlineLevel="3">
      <c r="A289" s="14"/>
      <c r="B289" s="38"/>
      <c r="C289" s="229" t="s">
        <v>198</v>
      </c>
      <c r="D289" s="230" t="s">
        <v>28</v>
      </c>
      <c r="E289" s="231">
        <v>1</v>
      </c>
      <c r="F289" s="232">
        <v>0</v>
      </c>
      <c r="G289" s="232">
        <v>0</v>
      </c>
      <c r="H289" s="138">
        <f t="shared" si="30"/>
        <v>0</v>
      </c>
      <c r="I289" s="138">
        <f t="shared" si="31"/>
        <v>0</v>
      </c>
      <c r="J289" s="25"/>
      <c r="K289" s="32"/>
    </row>
    <row r="290" spans="1:11" s="33" customFormat="1" ht="25.5" outlineLevel="3">
      <c r="A290" s="14"/>
      <c r="B290" s="38"/>
      <c r="C290" s="229" t="s">
        <v>139</v>
      </c>
      <c r="D290" s="230" t="s">
        <v>38</v>
      </c>
      <c r="E290" s="231">
        <v>1</v>
      </c>
      <c r="F290" s="232">
        <v>0</v>
      </c>
      <c r="G290" s="232">
        <v>0</v>
      </c>
      <c r="H290" s="138">
        <f t="shared" si="30"/>
        <v>0</v>
      </c>
      <c r="I290" s="138">
        <f t="shared" si="31"/>
        <v>0</v>
      </c>
      <c r="J290" s="25"/>
      <c r="K290" s="32"/>
    </row>
    <row r="291" spans="1:11" s="33" customFormat="1" ht="25.5" outlineLevel="3">
      <c r="A291" s="14"/>
      <c r="B291" s="35">
        <f>MAXA($B$6:B290)+1</f>
        <v>54</v>
      </c>
      <c r="C291" s="229" t="s">
        <v>199</v>
      </c>
      <c r="D291" s="230" t="s">
        <v>38</v>
      </c>
      <c r="E291" s="231">
        <v>1</v>
      </c>
      <c r="F291" s="232">
        <v>38686211</v>
      </c>
      <c r="G291" s="232">
        <v>1563188</v>
      </c>
      <c r="H291" s="138">
        <f t="shared" si="30"/>
        <v>40249399</v>
      </c>
      <c r="I291" s="138">
        <f t="shared" si="31"/>
        <v>40249399</v>
      </c>
      <c r="J291" s="25"/>
      <c r="K291" s="32"/>
    </row>
    <row r="292" spans="1:11" s="33" customFormat="1" ht="25.5" outlineLevel="3">
      <c r="A292" s="14"/>
      <c r="B292" s="38"/>
      <c r="C292" s="241" t="s">
        <v>141</v>
      </c>
      <c r="D292" s="212"/>
      <c r="E292" s="228"/>
      <c r="F292" s="232">
        <v>0</v>
      </c>
      <c r="G292" s="232">
        <v>0</v>
      </c>
      <c r="H292" s="214"/>
      <c r="I292" s="180"/>
      <c r="J292" s="25"/>
      <c r="K292" s="32"/>
    </row>
    <row r="293" spans="1:11" s="33" customFormat="1" ht="25.5" outlineLevel="3">
      <c r="A293" s="14"/>
      <c r="B293" s="38"/>
      <c r="C293" s="229" t="s">
        <v>200</v>
      </c>
      <c r="D293" s="230" t="s">
        <v>28</v>
      </c>
      <c r="E293" s="231">
        <v>1</v>
      </c>
      <c r="F293" s="232">
        <v>0</v>
      </c>
      <c r="G293" s="232">
        <v>0</v>
      </c>
      <c r="H293" s="138">
        <f t="shared" ref="H293:H303" si="32">G293+F293</f>
        <v>0</v>
      </c>
      <c r="I293" s="138">
        <f t="shared" ref="I293:I303" si="33">H293*E293</f>
        <v>0</v>
      </c>
      <c r="J293" s="25"/>
      <c r="K293" s="32"/>
    </row>
    <row r="294" spans="1:11" s="33" customFormat="1" ht="25.5" outlineLevel="3">
      <c r="A294" s="14"/>
      <c r="B294" s="38"/>
      <c r="C294" s="242" t="s">
        <v>94</v>
      </c>
      <c r="D294" s="230" t="s">
        <v>28</v>
      </c>
      <c r="E294" s="231">
        <v>9</v>
      </c>
      <c r="F294" s="232">
        <v>0</v>
      </c>
      <c r="G294" s="232">
        <v>0</v>
      </c>
      <c r="H294" s="138">
        <f t="shared" si="32"/>
        <v>0</v>
      </c>
      <c r="I294" s="138">
        <f t="shared" si="33"/>
        <v>0</v>
      </c>
      <c r="J294" s="25"/>
      <c r="K294" s="32"/>
    </row>
    <row r="295" spans="1:11" s="33" customFormat="1" ht="25.5" outlineLevel="3">
      <c r="A295" s="14"/>
      <c r="B295" s="38"/>
      <c r="C295" s="242" t="s">
        <v>95</v>
      </c>
      <c r="D295" s="230" t="s">
        <v>28</v>
      </c>
      <c r="E295" s="231">
        <v>9</v>
      </c>
      <c r="F295" s="232">
        <v>0</v>
      </c>
      <c r="G295" s="232">
        <v>0</v>
      </c>
      <c r="H295" s="138">
        <f t="shared" si="32"/>
        <v>0</v>
      </c>
      <c r="I295" s="138">
        <f t="shared" si="33"/>
        <v>0</v>
      </c>
      <c r="J295" s="25"/>
      <c r="K295" s="32"/>
    </row>
    <row r="296" spans="1:11" s="33" customFormat="1" ht="25.5" outlineLevel="3">
      <c r="A296" s="14"/>
      <c r="B296" s="38"/>
      <c r="C296" s="242" t="s">
        <v>96</v>
      </c>
      <c r="D296" s="230" t="s">
        <v>28</v>
      </c>
      <c r="E296" s="231">
        <v>2</v>
      </c>
      <c r="F296" s="232">
        <v>0</v>
      </c>
      <c r="G296" s="232">
        <v>0</v>
      </c>
      <c r="H296" s="138">
        <f t="shared" si="32"/>
        <v>0</v>
      </c>
      <c r="I296" s="138">
        <f t="shared" si="33"/>
        <v>0</v>
      </c>
      <c r="J296" s="25"/>
      <c r="K296" s="32"/>
    </row>
    <row r="297" spans="1:11" s="33" customFormat="1" ht="25.5" outlineLevel="3">
      <c r="A297" s="14"/>
      <c r="B297" s="38"/>
      <c r="C297" s="242" t="s">
        <v>97</v>
      </c>
      <c r="D297" s="230" t="s">
        <v>28</v>
      </c>
      <c r="E297" s="231">
        <v>2</v>
      </c>
      <c r="F297" s="232">
        <v>0</v>
      </c>
      <c r="G297" s="232">
        <v>0</v>
      </c>
      <c r="H297" s="138">
        <f t="shared" si="32"/>
        <v>0</v>
      </c>
      <c r="I297" s="138">
        <f t="shared" si="33"/>
        <v>0</v>
      </c>
      <c r="J297" s="25"/>
      <c r="K297" s="32"/>
    </row>
    <row r="298" spans="1:11" s="33" customFormat="1" ht="25.5" outlineLevel="3">
      <c r="A298" s="14"/>
      <c r="B298" s="38"/>
      <c r="C298" s="242" t="s">
        <v>98</v>
      </c>
      <c r="D298" s="230" t="s">
        <v>28</v>
      </c>
      <c r="E298" s="231">
        <v>2</v>
      </c>
      <c r="F298" s="232">
        <v>0</v>
      </c>
      <c r="G298" s="232">
        <v>0</v>
      </c>
      <c r="H298" s="138">
        <f t="shared" si="32"/>
        <v>0</v>
      </c>
      <c r="I298" s="138">
        <f t="shared" si="33"/>
        <v>0</v>
      </c>
      <c r="J298" s="25"/>
      <c r="K298" s="32"/>
    </row>
    <row r="299" spans="1:11" s="33" customFormat="1" ht="25.5" outlineLevel="3">
      <c r="A299" s="14"/>
      <c r="B299" s="38"/>
      <c r="C299" s="242" t="s">
        <v>143</v>
      </c>
      <c r="D299" s="230" t="s">
        <v>28</v>
      </c>
      <c r="E299" s="231">
        <v>1</v>
      </c>
      <c r="F299" s="232">
        <v>0</v>
      </c>
      <c r="G299" s="232">
        <v>0</v>
      </c>
      <c r="H299" s="138">
        <f t="shared" si="32"/>
        <v>0</v>
      </c>
      <c r="I299" s="138">
        <f t="shared" si="33"/>
        <v>0</v>
      </c>
      <c r="J299" s="25"/>
      <c r="K299" s="32"/>
    </row>
    <row r="300" spans="1:11" s="33" customFormat="1" ht="25.5" outlineLevel="3">
      <c r="A300" s="14"/>
      <c r="B300" s="38"/>
      <c r="C300" s="242" t="s">
        <v>144</v>
      </c>
      <c r="D300" s="230" t="s">
        <v>28</v>
      </c>
      <c r="E300" s="231">
        <v>1</v>
      </c>
      <c r="F300" s="232">
        <v>0</v>
      </c>
      <c r="G300" s="232">
        <v>0</v>
      </c>
      <c r="H300" s="138">
        <f t="shared" si="32"/>
        <v>0</v>
      </c>
      <c r="I300" s="138">
        <f t="shared" si="33"/>
        <v>0</v>
      </c>
      <c r="J300" s="25"/>
      <c r="K300" s="32"/>
    </row>
    <row r="301" spans="1:11" s="33" customFormat="1" ht="25.5" outlineLevel="3">
      <c r="A301" s="14"/>
      <c r="B301" s="38"/>
      <c r="C301" s="242" t="s">
        <v>201</v>
      </c>
      <c r="D301" s="230" t="s">
        <v>28</v>
      </c>
      <c r="E301" s="231">
        <v>1</v>
      </c>
      <c r="F301" s="232">
        <v>0</v>
      </c>
      <c r="G301" s="232">
        <v>0</v>
      </c>
      <c r="H301" s="138">
        <f t="shared" si="32"/>
        <v>0</v>
      </c>
      <c r="I301" s="138">
        <f t="shared" si="33"/>
        <v>0</v>
      </c>
      <c r="J301" s="25"/>
      <c r="K301" s="32"/>
    </row>
    <row r="302" spans="1:11" s="33" customFormat="1" ht="25.5" outlineLevel="3">
      <c r="A302" s="14"/>
      <c r="B302" s="38"/>
      <c r="C302" s="242" t="s">
        <v>146</v>
      </c>
      <c r="D302" s="230" t="s">
        <v>28</v>
      </c>
      <c r="E302" s="231">
        <v>1</v>
      </c>
      <c r="F302" s="232">
        <v>0</v>
      </c>
      <c r="G302" s="232">
        <v>0</v>
      </c>
      <c r="H302" s="138">
        <f t="shared" si="32"/>
        <v>0</v>
      </c>
      <c r="I302" s="138">
        <f t="shared" si="33"/>
        <v>0</v>
      </c>
      <c r="J302" s="25"/>
      <c r="K302" s="32"/>
    </row>
    <row r="303" spans="1:11" s="33" customFormat="1" ht="25.5" outlineLevel="3">
      <c r="A303" s="14"/>
      <c r="B303" s="38"/>
      <c r="C303" s="229" t="s">
        <v>202</v>
      </c>
      <c r="D303" s="230" t="s">
        <v>28</v>
      </c>
      <c r="E303" s="231">
        <v>3</v>
      </c>
      <c r="F303" s="232">
        <v>0</v>
      </c>
      <c r="G303" s="232">
        <v>0</v>
      </c>
      <c r="H303" s="138">
        <f t="shared" si="32"/>
        <v>0</v>
      </c>
      <c r="I303" s="138">
        <f t="shared" si="33"/>
        <v>0</v>
      </c>
      <c r="J303" s="25"/>
      <c r="K303" s="32"/>
    </row>
    <row r="304" spans="1:11" s="33" customFormat="1" ht="25.5" outlineLevel="3">
      <c r="A304" s="14"/>
      <c r="B304" s="38"/>
      <c r="C304" s="241" t="s">
        <v>148</v>
      </c>
      <c r="D304" s="233"/>
      <c r="E304" s="231"/>
      <c r="F304" s="232">
        <v>0</v>
      </c>
      <c r="G304" s="232">
        <v>0</v>
      </c>
      <c r="H304" s="214"/>
      <c r="I304" s="180"/>
      <c r="J304" s="25"/>
      <c r="K304" s="32"/>
    </row>
    <row r="305" spans="1:11" s="33" customFormat="1" ht="25.5" outlineLevel="3">
      <c r="A305" s="14"/>
      <c r="B305" s="38"/>
      <c r="C305" s="229" t="s">
        <v>149</v>
      </c>
      <c r="D305" s="230" t="s">
        <v>28</v>
      </c>
      <c r="E305" s="231">
        <v>3</v>
      </c>
      <c r="F305" s="232">
        <v>0</v>
      </c>
      <c r="G305" s="232">
        <v>0</v>
      </c>
      <c r="H305" s="138">
        <f t="shared" ref="H305:H311" si="34">G305+F305</f>
        <v>0</v>
      </c>
      <c r="I305" s="138">
        <f t="shared" ref="I305:I311" si="35">H305*E305</f>
        <v>0</v>
      </c>
      <c r="J305" s="25"/>
      <c r="K305" s="32"/>
    </row>
    <row r="306" spans="1:11" s="33" customFormat="1" ht="25.5" outlineLevel="3">
      <c r="A306" s="14"/>
      <c r="B306" s="38"/>
      <c r="C306" s="229" t="s">
        <v>203</v>
      </c>
      <c r="D306" s="230" t="s">
        <v>28</v>
      </c>
      <c r="E306" s="231">
        <v>1</v>
      </c>
      <c r="F306" s="232">
        <v>0</v>
      </c>
      <c r="G306" s="232">
        <v>0</v>
      </c>
      <c r="H306" s="138">
        <f t="shared" si="34"/>
        <v>0</v>
      </c>
      <c r="I306" s="138">
        <f t="shared" si="35"/>
        <v>0</v>
      </c>
      <c r="J306" s="25"/>
      <c r="K306" s="32"/>
    </row>
    <row r="307" spans="1:11" s="33" customFormat="1" ht="25.5" outlineLevel="3">
      <c r="A307" s="14"/>
      <c r="B307" s="38"/>
      <c r="C307" s="242" t="s">
        <v>161</v>
      </c>
      <c r="D307" s="230" t="s">
        <v>28</v>
      </c>
      <c r="E307" s="231">
        <v>1</v>
      </c>
      <c r="F307" s="232">
        <v>0</v>
      </c>
      <c r="G307" s="232">
        <v>0</v>
      </c>
      <c r="H307" s="138">
        <f t="shared" si="34"/>
        <v>0</v>
      </c>
      <c r="I307" s="138">
        <f t="shared" si="35"/>
        <v>0</v>
      </c>
      <c r="J307" s="25"/>
      <c r="K307" s="32"/>
    </row>
    <row r="308" spans="1:11" s="33" customFormat="1" ht="25.5" outlineLevel="3">
      <c r="A308" s="14"/>
      <c r="B308" s="38"/>
      <c r="C308" s="229" t="s">
        <v>172</v>
      </c>
      <c r="D308" s="230" t="s">
        <v>28</v>
      </c>
      <c r="E308" s="231">
        <v>6</v>
      </c>
      <c r="F308" s="232">
        <v>0</v>
      </c>
      <c r="G308" s="232">
        <v>0</v>
      </c>
      <c r="H308" s="138">
        <f t="shared" si="34"/>
        <v>0</v>
      </c>
      <c r="I308" s="138">
        <f t="shared" si="35"/>
        <v>0</v>
      </c>
      <c r="J308" s="25"/>
      <c r="K308" s="32"/>
    </row>
    <row r="309" spans="1:11" s="33" customFormat="1" ht="25.5" outlineLevel="3">
      <c r="A309" s="14"/>
      <c r="B309" s="38"/>
      <c r="C309" s="229" t="s">
        <v>204</v>
      </c>
      <c r="D309" s="230" t="s">
        <v>28</v>
      </c>
      <c r="E309" s="231">
        <v>3</v>
      </c>
      <c r="F309" s="232">
        <v>0</v>
      </c>
      <c r="G309" s="232">
        <v>0</v>
      </c>
      <c r="H309" s="138">
        <f t="shared" si="34"/>
        <v>0</v>
      </c>
      <c r="I309" s="138">
        <f t="shared" si="35"/>
        <v>0</v>
      </c>
      <c r="J309" s="25"/>
      <c r="K309" s="32"/>
    </row>
    <row r="310" spans="1:11" s="33" customFormat="1" ht="25.5" outlineLevel="3">
      <c r="A310" s="14"/>
      <c r="B310" s="38"/>
      <c r="C310" s="229" t="s">
        <v>139</v>
      </c>
      <c r="D310" s="230" t="s">
        <v>38</v>
      </c>
      <c r="E310" s="231">
        <v>1</v>
      </c>
      <c r="F310" s="232">
        <v>0</v>
      </c>
      <c r="G310" s="232">
        <v>0</v>
      </c>
      <c r="H310" s="138">
        <f t="shared" si="34"/>
        <v>0</v>
      </c>
      <c r="I310" s="138">
        <f t="shared" si="35"/>
        <v>0</v>
      </c>
      <c r="J310" s="25"/>
      <c r="K310" s="32"/>
    </row>
    <row r="311" spans="1:11" s="33" customFormat="1" ht="25.5" outlineLevel="3">
      <c r="A311" s="14"/>
      <c r="B311" s="35">
        <f>MAXA($B$6:B310)+1</f>
        <v>55</v>
      </c>
      <c r="C311" s="229" t="s">
        <v>205</v>
      </c>
      <c r="D311" s="230" t="s">
        <v>38</v>
      </c>
      <c r="E311" s="231">
        <v>1</v>
      </c>
      <c r="F311" s="232">
        <v>5309121</v>
      </c>
      <c r="G311" s="232">
        <v>1563188</v>
      </c>
      <c r="H311" s="138">
        <f t="shared" si="34"/>
        <v>6872309</v>
      </c>
      <c r="I311" s="138">
        <f t="shared" si="35"/>
        <v>6872309</v>
      </c>
      <c r="J311" s="25"/>
      <c r="K311" s="32"/>
    </row>
    <row r="312" spans="1:11" s="33" customFormat="1" ht="25.5" outlineLevel="3">
      <c r="A312" s="14"/>
      <c r="B312" s="38"/>
      <c r="C312" s="241" t="s">
        <v>141</v>
      </c>
      <c r="D312" s="212"/>
      <c r="E312" s="228"/>
      <c r="F312" s="232">
        <v>0</v>
      </c>
      <c r="G312" s="232">
        <v>0</v>
      </c>
      <c r="H312" s="214"/>
      <c r="I312" s="180"/>
      <c r="J312" s="25"/>
      <c r="K312" s="32"/>
    </row>
    <row r="313" spans="1:11" s="33" customFormat="1" ht="25.5" outlineLevel="3">
      <c r="A313" s="14"/>
      <c r="B313" s="38"/>
      <c r="C313" s="229" t="s">
        <v>151</v>
      </c>
      <c r="D313" s="230" t="s">
        <v>28</v>
      </c>
      <c r="E313" s="231">
        <v>1</v>
      </c>
      <c r="F313" s="232">
        <v>0</v>
      </c>
      <c r="G313" s="232">
        <v>0</v>
      </c>
      <c r="H313" s="138">
        <f>G313+F313</f>
        <v>0</v>
      </c>
      <c r="I313" s="138">
        <f>H313*E313</f>
        <v>0</v>
      </c>
      <c r="J313" s="25"/>
      <c r="K313" s="32"/>
    </row>
    <row r="314" spans="1:11" s="33" customFormat="1" ht="25.5" outlineLevel="3">
      <c r="A314" s="14"/>
      <c r="B314" s="38"/>
      <c r="C314" s="242" t="s">
        <v>94</v>
      </c>
      <c r="D314" s="230" t="s">
        <v>28</v>
      </c>
      <c r="E314" s="231">
        <v>1</v>
      </c>
      <c r="F314" s="232">
        <v>0</v>
      </c>
      <c r="G314" s="232">
        <v>0</v>
      </c>
      <c r="H314" s="138">
        <f>G314+F314</f>
        <v>0</v>
      </c>
      <c r="I314" s="138">
        <f>H314*E314</f>
        <v>0</v>
      </c>
      <c r="J314" s="25"/>
      <c r="K314" s="32"/>
    </row>
    <row r="315" spans="1:11" s="33" customFormat="1" ht="25.5" outlineLevel="3">
      <c r="A315" s="14"/>
      <c r="B315" s="38"/>
      <c r="C315" s="242" t="s">
        <v>95</v>
      </c>
      <c r="D315" s="230" t="s">
        <v>28</v>
      </c>
      <c r="E315" s="231">
        <v>1</v>
      </c>
      <c r="F315" s="232">
        <v>0</v>
      </c>
      <c r="G315" s="232">
        <v>0</v>
      </c>
      <c r="H315" s="138">
        <f>G315+F315</f>
        <v>0</v>
      </c>
      <c r="I315" s="138">
        <f>H315*E315</f>
        <v>0</v>
      </c>
      <c r="J315" s="25"/>
      <c r="K315" s="32"/>
    </row>
    <row r="316" spans="1:11" s="33" customFormat="1" ht="25.5" outlineLevel="3">
      <c r="A316" s="14"/>
      <c r="B316" s="38"/>
      <c r="C316" s="242" t="s">
        <v>96</v>
      </c>
      <c r="D316" s="230" t="s">
        <v>28</v>
      </c>
      <c r="E316" s="231">
        <v>1</v>
      </c>
      <c r="F316" s="232">
        <v>0</v>
      </c>
      <c r="G316" s="232">
        <v>0</v>
      </c>
      <c r="H316" s="138">
        <f>G316+F316</f>
        <v>0</v>
      </c>
      <c r="I316" s="138">
        <f>H316*E316</f>
        <v>0</v>
      </c>
      <c r="J316" s="25"/>
      <c r="K316" s="32"/>
    </row>
    <row r="317" spans="1:11" s="33" customFormat="1" ht="25.5" outlineLevel="3">
      <c r="A317" s="14"/>
      <c r="B317" s="38"/>
      <c r="C317" s="241" t="s">
        <v>148</v>
      </c>
      <c r="D317" s="233"/>
      <c r="E317" s="231"/>
      <c r="F317" s="232">
        <v>0</v>
      </c>
      <c r="G317" s="232">
        <v>0</v>
      </c>
      <c r="H317" s="214"/>
      <c r="I317" s="180"/>
      <c r="J317" s="25"/>
      <c r="K317" s="32"/>
    </row>
    <row r="318" spans="1:11" s="33" customFormat="1" ht="25.5" outlineLevel="3">
      <c r="A318" s="14"/>
      <c r="B318" s="38"/>
      <c r="C318" s="229" t="s">
        <v>170</v>
      </c>
      <c r="D318" s="230" t="s">
        <v>28</v>
      </c>
      <c r="E318" s="231">
        <v>1</v>
      </c>
      <c r="F318" s="232">
        <v>0</v>
      </c>
      <c r="G318" s="232">
        <v>0</v>
      </c>
      <c r="H318" s="138">
        <f>G318+F318</f>
        <v>0</v>
      </c>
      <c r="I318" s="138">
        <f>H318*E318</f>
        <v>0</v>
      </c>
      <c r="J318" s="25"/>
      <c r="K318" s="32"/>
    </row>
    <row r="319" spans="1:11" s="33" customFormat="1" ht="25.5" outlineLevel="3">
      <c r="A319" s="14"/>
      <c r="B319" s="38"/>
      <c r="C319" s="229" t="s">
        <v>171</v>
      </c>
      <c r="D319" s="230" t="s">
        <v>28</v>
      </c>
      <c r="E319" s="231">
        <v>1</v>
      </c>
      <c r="F319" s="232">
        <v>0</v>
      </c>
      <c r="G319" s="232">
        <v>0</v>
      </c>
      <c r="H319" s="138">
        <f>G319+F319</f>
        <v>0</v>
      </c>
      <c r="I319" s="138">
        <f>H319*E319</f>
        <v>0</v>
      </c>
      <c r="J319" s="25"/>
      <c r="K319" s="32"/>
    </row>
    <row r="320" spans="1:11" s="33" customFormat="1" ht="25.5" outlineLevel="3">
      <c r="A320" s="14"/>
      <c r="B320" s="38"/>
      <c r="C320" s="229" t="s">
        <v>172</v>
      </c>
      <c r="D320" s="230" t="s">
        <v>28</v>
      </c>
      <c r="E320" s="231">
        <v>1</v>
      </c>
      <c r="F320" s="232">
        <v>0</v>
      </c>
      <c r="G320" s="232">
        <v>0</v>
      </c>
      <c r="H320" s="138">
        <f>G320+F320</f>
        <v>0</v>
      </c>
      <c r="I320" s="138">
        <f>H320*E320</f>
        <v>0</v>
      </c>
      <c r="J320" s="25"/>
      <c r="K320" s="32"/>
    </row>
    <row r="321" spans="1:11" s="33" customFormat="1" ht="25.5" outlineLevel="3">
      <c r="A321" s="14"/>
      <c r="B321" s="38"/>
      <c r="C321" s="229" t="s">
        <v>139</v>
      </c>
      <c r="D321" s="230" t="s">
        <v>38</v>
      </c>
      <c r="E321" s="231">
        <v>1</v>
      </c>
      <c r="F321" s="232">
        <v>0</v>
      </c>
      <c r="G321" s="232">
        <v>0</v>
      </c>
      <c r="H321" s="138">
        <f>G321+F321</f>
        <v>0</v>
      </c>
      <c r="I321" s="138">
        <f>H321*E321</f>
        <v>0</v>
      </c>
      <c r="J321" s="25"/>
      <c r="K321" s="32"/>
    </row>
    <row r="322" spans="1:11" s="33" customFormat="1" ht="25.5" outlineLevel="3">
      <c r="A322" s="14"/>
      <c r="B322" s="35">
        <f>MAXA($B$6:B321)+1</f>
        <v>56</v>
      </c>
      <c r="C322" s="229" t="s">
        <v>206</v>
      </c>
      <c r="D322" s="230" t="s">
        <v>38</v>
      </c>
      <c r="E322" s="231">
        <v>1</v>
      </c>
      <c r="F322" s="232">
        <v>29534597</v>
      </c>
      <c r="G322" s="232">
        <v>1563188</v>
      </c>
      <c r="H322" s="138">
        <f>G322+F322</f>
        <v>31097785</v>
      </c>
      <c r="I322" s="138">
        <f>H322*E322</f>
        <v>31097785</v>
      </c>
      <c r="J322" s="25"/>
      <c r="K322" s="32"/>
    </row>
    <row r="323" spans="1:11" s="33" customFormat="1" ht="25.5" outlineLevel="3">
      <c r="A323" s="14"/>
      <c r="B323" s="38"/>
      <c r="C323" s="241" t="s">
        <v>141</v>
      </c>
      <c r="D323" s="212"/>
      <c r="E323" s="228"/>
      <c r="F323" s="232">
        <v>0</v>
      </c>
      <c r="G323" s="232">
        <v>0</v>
      </c>
      <c r="H323" s="214"/>
      <c r="I323" s="180"/>
      <c r="J323" s="25"/>
      <c r="K323" s="32"/>
    </row>
    <row r="324" spans="1:11" s="33" customFormat="1" ht="25.5" outlineLevel="3">
      <c r="A324" s="14"/>
      <c r="B324" s="38"/>
      <c r="C324" s="229" t="s">
        <v>207</v>
      </c>
      <c r="D324" s="230" t="s">
        <v>28</v>
      </c>
      <c r="E324" s="231">
        <v>1</v>
      </c>
      <c r="F324" s="232">
        <v>0</v>
      </c>
      <c r="G324" s="232">
        <v>0</v>
      </c>
      <c r="H324" s="138">
        <f t="shared" ref="H324:H329" si="36">G324+F324</f>
        <v>0</v>
      </c>
      <c r="I324" s="138">
        <f t="shared" ref="I324:I329" si="37">H324*E324</f>
        <v>0</v>
      </c>
      <c r="J324" s="25"/>
      <c r="K324" s="32"/>
    </row>
    <row r="325" spans="1:11" s="33" customFormat="1" ht="25.5" outlineLevel="3">
      <c r="A325" s="14"/>
      <c r="B325" s="38"/>
      <c r="C325" s="242" t="s">
        <v>94</v>
      </c>
      <c r="D325" s="230" t="s">
        <v>28</v>
      </c>
      <c r="E325" s="231">
        <v>9</v>
      </c>
      <c r="F325" s="232">
        <v>0</v>
      </c>
      <c r="G325" s="232">
        <v>0</v>
      </c>
      <c r="H325" s="138">
        <f t="shared" si="36"/>
        <v>0</v>
      </c>
      <c r="I325" s="138">
        <f t="shared" si="37"/>
        <v>0</v>
      </c>
      <c r="J325" s="25"/>
      <c r="K325" s="32"/>
    </row>
    <row r="326" spans="1:11" s="33" customFormat="1" ht="25.5" outlineLevel="3">
      <c r="A326" s="14"/>
      <c r="B326" s="38"/>
      <c r="C326" s="242" t="s">
        <v>95</v>
      </c>
      <c r="D326" s="230" t="s">
        <v>28</v>
      </c>
      <c r="E326" s="231">
        <v>9</v>
      </c>
      <c r="F326" s="232">
        <v>0</v>
      </c>
      <c r="G326" s="232">
        <v>0</v>
      </c>
      <c r="H326" s="138">
        <f t="shared" si="36"/>
        <v>0</v>
      </c>
      <c r="I326" s="138">
        <f t="shared" si="37"/>
        <v>0</v>
      </c>
      <c r="J326" s="25"/>
      <c r="K326" s="32"/>
    </row>
    <row r="327" spans="1:11" s="33" customFormat="1" ht="25.5" outlineLevel="3">
      <c r="A327" s="14"/>
      <c r="B327" s="38"/>
      <c r="C327" s="242" t="s">
        <v>96</v>
      </c>
      <c r="D327" s="230" t="s">
        <v>28</v>
      </c>
      <c r="E327" s="231">
        <v>2</v>
      </c>
      <c r="F327" s="232">
        <v>0</v>
      </c>
      <c r="G327" s="232">
        <v>0</v>
      </c>
      <c r="H327" s="138">
        <f t="shared" si="36"/>
        <v>0</v>
      </c>
      <c r="I327" s="138">
        <f t="shared" si="37"/>
        <v>0</v>
      </c>
      <c r="J327" s="25"/>
      <c r="K327" s="32"/>
    </row>
    <row r="328" spans="1:11" s="33" customFormat="1" ht="25.5" outlineLevel="3">
      <c r="A328" s="14"/>
      <c r="B328" s="38"/>
      <c r="C328" s="242" t="s">
        <v>97</v>
      </c>
      <c r="D328" s="230" t="s">
        <v>28</v>
      </c>
      <c r="E328" s="231">
        <v>2</v>
      </c>
      <c r="F328" s="232">
        <v>0</v>
      </c>
      <c r="G328" s="232">
        <v>0</v>
      </c>
      <c r="H328" s="138">
        <f t="shared" si="36"/>
        <v>0</v>
      </c>
      <c r="I328" s="138">
        <f t="shared" si="37"/>
        <v>0</v>
      </c>
      <c r="J328" s="25"/>
      <c r="K328" s="32"/>
    </row>
    <row r="329" spans="1:11" s="33" customFormat="1" ht="25.5" outlineLevel="3">
      <c r="A329" s="14"/>
      <c r="B329" s="38"/>
      <c r="C329" s="242" t="s">
        <v>98</v>
      </c>
      <c r="D329" s="230" t="s">
        <v>28</v>
      </c>
      <c r="E329" s="231">
        <v>2</v>
      </c>
      <c r="F329" s="232">
        <v>0</v>
      </c>
      <c r="G329" s="232">
        <v>0</v>
      </c>
      <c r="H329" s="138">
        <f t="shared" si="36"/>
        <v>0</v>
      </c>
      <c r="I329" s="138">
        <f t="shared" si="37"/>
        <v>0</v>
      </c>
      <c r="J329" s="25"/>
      <c r="K329" s="32"/>
    </row>
    <row r="330" spans="1:11" s="33" customFormat="1" ht="25.5" outlineLevel="3">
      <c r="A330" s="14"/>
      <c r="B330" s="38"/>
      <c r="C330" s="241" t="s">
        <v>148</v>
      </c>
      <c r="D330" s="233"/>
      <c r="E330" s="231"/>
      <c r="F330" s="232">
        <v>0</v>
      </c>
      <c r="G330" s="232">
        <v>0</v>
      </c>
      <c r="H330" s="214"/>
      <c r="I330" s="180"/>
      <c r="J330" s="25"/>
      <c r="K330" s="32"/>
    </row>
    <row r="331" spans="1:11" s="33" customFormat="1" ht="25.5" outlineLevel="3">
      <c r="A331" s="14"/>
      <c r="B331" s="38"/>
      <c r="C331" s="229" t="s">
        <v>170</v>
      </c>
      <c r="D331" s="230" t="s">
        <v>28</v>
      </c>
      <c r="E331" s="231">
        <v>2</v>
      </c>
      <c r="F331" s="232">
        <v>0</v>
      </c>
      <c r="G331" s="232">
        <v>0</v>
      </c>
      <c r="H331" s="138">
        <f t="shared" ref="H331:H336" si="38">G331+F331</f>
        <v>0</v>
      </c>
      <c r="I331" s="138">
        <f t="shared" ref="I331:I336" si="39">H331*E331</f>
        <v>0</v>
      </c>
      <c r="J331" s="25"/>
      <c r="K331" s="32"/>
    </row>
    <row r="332" spans="1:11" s="33" customFormat="1" ht="25.5" outlineLevel="3">
      <c r="A332" s="14"/>
      <c r="B332" s="38"/>
      <c r="C332" s="229" t="s">
        <v>171</v>
      </c>
      <c r="D332" s="230" t="s">
        <v>28</v>
      </c>
      <c r="E332" s="231">
        <v>2</v>
      </c>
      <c r="F332" s="232">
        <v>0</v>
      </c>
      <c r="G332" s="232">
        <v>0</v>
      </c>
      <c r="H332" s="138">
        <f t="shared" si="38"/>
        <v>0</v>
      </c>
      <c r="I332" s="138">
        <f t="shared" si="39"/>
        <v>0</v>
      </c>
      <c r="J332" s="25"/>
      <c r="K332" s="32"/>
    </row>
    <row r="333" spans="1:11" s="33" customFormat="1" ht="25.5" outlineLevel="3">
      <c r="A333" s="14"/>
      <c r="B333" s="38"/>
      <c r="C333" s="229" t="s">
        <v>172</v>
      </c>
      <c r="D333" s="230" t="s">
        <v>28</v>
      </c>
      <c r="E333" s="231">
        <v>3</v>
      </c>
      <c r="F333" s="232">
        <v>0</v>
      </c>
      <c r="G333" s="232">
        <v>0</v>
      </c>
      <c r="H333" s="138">
        <f t="shared" si="38"/>
        <v>0</v>
      </c>
      <c r="I333" s="138">
        <f t="shared" si="39"/>
        <v>0</v>
      </c>
      <c r="J333" s="25"/>
      <c r="K333" s="32"/>
    </row>
    <row r="334" spans="1:11" s="33" customFormat="1" ht="25.5" outlineLevel="3">
      <c r="A334" s="14"/>
      <c r="B334" s="38"/>
      <c r="C334" s="229" t="s">
        <v>204</v>
      </c>
      <c r="D334" s="230" t="s">
        <v>28</v>
      </c>
      <c r="E334" s="231">
        <v>12</v>
      </c>
      <c r="F334" s="232">
        <v>0</v>
      </c>
      <c r="G334" s="232">
        <v>0</v>
      </c>
      <c r="H334" s="138">
        <f t="shared" si="38"/>
        <v>0</v>
      </c>
      <c r="I334" s="138">
        <f t="shared" si="39"/>
        <v>0</v>
      </c>
      <c r="J334" s="25"/>
      <c r="K334" s="32"/>
    </row>
    <row r="335" spans="1:11" s="33" customFormat="1" ht="25.5" outlineLevel="3">
      <c r="A335" s="14"/>
      <c r="B335" s="38"/>
      <c r="C335" s="229" t="s">
        <v>139</v>
      </c>
      <c r="D335" s="230" t="s">
        <v>38</v>
      </c>
      <c r="E335" s="231">
        <v>1</v>
      </c>
      <c r="F335" s="232">
        <v>0</v>
      </c>
      <c r="G335" s="232">
        <v>0</v>
      </c>
      <c r="H335" s="138">
        <f t="shared" si="38"/>
        <v>0</v>
      </c>
      <c r="I335" s="138">
        <f t="shared" si="39"/>
        <v>0</v>
      </c>
      <c r="J335" s="25"/>
      <c r="K335" s="32"/>
    </row>
    <row r="336" spans="1:11" s="33" customFormat="1" ht="25.5" outlineLevel="3">
      <c r="A336" s="14"/>
      <c r="B336" s="35">
        <f>MAXA($B$6:B335)+1</f>
        <v>57</v>
      </c>
      <c r="C336" s="229" t="s">
        <v>208</v>
      </c>
      <c r="D336" s="230" t="s">
        <v>38</v>
      </c>
      <c r="E336" s="231">
        <v>1</v>
      </c>
      <c r="F336" s="232">
        <v>77573314</v>
      </c>
      <c r="G336" s="232">
        <v>2605313</v>
      </c>
      <c r="H336" s="138">
        <f t="shared" si="38"/>
        <v>80178627</v>
      </c>
      <c r="I336" s="138">
        <f t="shared" si="39"/>
        <v>80178627</v>
      </c>
      <c r="J336" s="25"/>
      <c r="K336" s="32"/>
    </row>
    <row r="337" spans="1:11" s="33" customFormat="1" ht="25.5" outlineLevel="3">
      <c r="A337" s="14"/>
      <c r="B337" s="38"/>
      <c r="C337" s="241" t="s">
        <v>141</v>
      </c>
      <c r="D337" s="212"/>
      <c r="E337" s="228"/>
      <c r="F337" s="232">
        <v>0</v>
      </c>
      <c r="G337" s="232">
        <v>0</v>
      </c>
      <c r="H337" s="214"/>
      <c r="I337" s="180"/>
      <c r="J337" s="25"/>
      <c r="K337" s="32"/>
    </row>
    <row r="338" spans="1:11" s="33" customFormat="1" ht="25.5" outlineLevel="3">
      <c r="A338" s="14"/>
      <c r="B338" s="38"/>
      <c r="C338" s="229" t="s">
        <v>209</v>
      </c>
      <c r="D338" s="230" t="s">
        <v>28</v>
      </c>
      <c r="E338" s="231">
        <v>1</v>
      </c>
      <c r="F338" s="232">
        <v>0</v>
      </c>
      <c r="G338" s="232">
        <v>0</v>
      </c>
      <c r="H338" s="138">
        <f t="shared" ref="H338:H348" si="40">G338+F338</f>
        <v>0</v>
      </c>
      <c r="I338" s="138">
        <f t="shared" ref="I338:I348" si="41">H338*E338</f>
        <v>0</v>
      </c>
      <c r="J338" s="25"/>
      <c r="K338" s="32"/>
    </row>
    <row r="339" spans="1:11" s="33" customFormat="1" ht="25.5" outlineLevel="3">
      <c r="A339" s="14"/>
      <c r="B339" s="38"/>
      <c r="C339" s="242" t="s">
        <v>94</v>
      </c>
      <c r="D339" s="230" t="s">
        <v>28</v>
      </c>
      <c r="E339" s="231">
        <v>9</v>
      </c>
      <c r="F339" s="232">
        <v>0</v>
      </c>
      <c r="G339" s="232">
        <v>0</v>
      </c>
      <c r="H339" s="138">
        <f t="shared" si="40"/>
        <v>0</v>
      </c>
      <c r="I339" s="138">
        <f t="shared" si="41"/>
        <v>0</v>
      </c>
      <c r="J339" s="25"/>
      <c r="K339" s="32"/>
    </row>
    <row r="340" spans="1:11" s="33" customFormat="1" ht="25.5" outlineLevel="3">
      <c r="A340" s="14"/>
      <c r="B340" s="38"/>
      <c r="C340" s="242" t="s">
        <v>95</v>
      </c>
      <c r="D340" s="230" t="s">
        <v>28</v>
      </c>
      <c r="E340" s="231">
        <v>9</v>
      </c>
      <c r="F340" s="232">
        <v>0</v>
      </c>
      <c r="G340" s="232">
        <v>0</v>
      </c>
      <c r="H340" s="138">
        <f t="shared" si="40"/>
        <v>0</v>
      </c>
      <c r="I340" s="138">
        <f t="shared" si="41"/>
        <v>0</v>
      </c>
      <c r="J340" s="25"/>
      <c r="K340" s="32"/>
    </row>
    <row r="341" spans="1:11" s="33" customFormat="1" ht="25.5" outlineLevel="3">
      <c r="A341" s="14"/>
      <c r="B341" s="38"/>
      <c r="C341" s="242" t="s">
        <v>96</v>
      </c>
      <c r="D341" s="230" t="s">
        <v>28</v>
      </c>
      <c r="E341" s="231">
        <v>2</v>
      </c>
      <c r="F341" s="232">
        <v>0</v>
      </c>
      <c r="G341" s="232">
        <v>0</v>
      </c>
      <c r="H341" s="138">
        <f t="shared" si="40"/>
        <v>0</v>
      </c>
      <c r="I341" s="138">
        <f t="shared" si="41"/>
        <v>0</v>
      </c>
      <c r="J341" s="25"/>
      <c r="K341" s="32"/>
    </row>
    <row r="342" spans="1:11" s="33" customFormat="1" ht="25.5" outlineLevel="3">
      <c r="A342" s="14"/>
      <c r="B342" s="38"/>
      <c r="C342" s="242" t="s">
        <v>97</v>
      </c>
      <c r="D342" s="230" t="s">
        <v>28</v>
      </c>
      <c r="E342" s="231">
        <v>2</v>
      </c>
      <c r="F342" s="232">
        <v>0</v>
      </c>
      <c r="G342" s="232">
        <v>0</v>
      </c>
      <c r="H342" s="138">
        <f t="shared" si="40"/>
        <v>0</v>
      </c>
      <c r="I342" s="138">
        <f t="shared" si="41"/>
        <v>0</v>
      </c>
      <c r="J342" s="25"/>
      <c r="K342" s="32"/>
    </row>
    <row r="343" spans="1:11" s="33" customFormat="1" ht="25.5" outlineLevel="3">
      <c r="A343" s="14"/>
      <c r="B343" s="38"/>
      <c r="C343" s="242" t="s">
        <v>98</v>
      </c>
      <c r="D343" s="230" t="s">
        <v>28</v>
      </c>
      <c r="E343" s="231">
        <v>2</v>
      </c>
      <c r="F343" s="232">
        <v>0</v>
      </c>
      <c r="G343" s="232">
        <v>0</v>
      </c>
      <c r="H343" s="138">
        <f t="shared" si="40"/>
        <v>0</v>
      </c>
      <c r="I343" s="138">
        <f t="shared" si="41"/>
        <v>0</v>
      </c>
      <c r="J343" s="25"/>
      <c r="K343" s="32"/>
    </row>
    <row r="344" spans="1:11" s="33" customFormat="1" ht="25.5" outlineLevel="3">
      <c r="A344" s="14"/>
      <c r="B344" s="38"/>
      <c r="C344" s="242" t="s">
        <v>143</v>
      </c>
      <c r="D344" s="230" t="s">
        <v>28</v>
      </c>
      <c r="E344" s="231">
        <v>1</v>
      </c>
      <c r="F344" s="232">
        <v>0</v>
      </c>
      <c r="G344" s="232">
        <v>0</v>
      </c>
      <c r="H344" s="138">
        <f t="shared" si="40"/>
        <v>0</v>
      </c>
      <c r="I344" s="138">
        <f t="shared" si="41"/>
        <v>0</v>
      </c>
      <c r="J344" s="25"/>
      <c r="K344" s="32"/>
    </row>
    <row r="345" spans="1:11" s="33" customFormat="1" ht="25.5" outlineLevel="3">
      <c r="A345" s="14"/>
      <c r="B345" s="38"/>
      <c r="C345" s="242" t="s">
        <v>144</v>
      </c>
      <c r="D345" s="230" t="s">
        <v>28</v>
      </c>
      <c r="E345" s="231">
        <v>1</v>
      </c>
      <c r="F345" s="232">
        <v>0</v>
      </c>
      <c r="G345" s="232">
        <v>0</v>
      </c>
      <c r="H345" s="138">
        <f t="shared" si="40"/>
        <v>0</v>
      </c>
      <c r="I345" s="138">
        <f t="shared" si="41"/>
        <v>0</v>
      </c>
      <c r="J345" s="25"/>
      <c r="K345" s="32"/>
    </row>
    <row r="346" spans="1:11" s="33" customFormat="1" ht="25.5" outlineLevel="3">
      <c r="A346" s="14"/>
      <c r="B346" s="38"/>
      <c r="C346" s="242" t="s">
        <v>210</v>
      </c>
      <c r="D346" s="230" t="s">
        <v>28</v>
      </c>
      <c r="E346" s="231">
        <v>1</v>
      </c>
      <c r="F346" s="232">
        <v>0</v>
      </c>
      <c r="G346" s="232">
        <v>0</v>
      </c>
      <c r="H346" s="138">
        <f t="shared" si="40"/>
        <v>0</v>
      </c>
      <c r="I346" s="138">
        <f t="shared" si="41"/>
        <v>0</v>
      </c>
      <c r="J346" s="25"/>
      <c r="K346" s="32"/>
    </row>
    <row r="347" spans="1:11" s="33" customFormat="1" ht="25.5" outlineLevel="3">
      <c r="A347" s="14"/>
      <c r="B347" s="38"/>
      <c r="C347" s="242" t="s">
        <v>146</v>
      </c>
      <c r="D347" s="230" t="s">
        <v>28</v>
      </c>
      <c r="E347" s="231">
        <v>1</v>
      </c>
      <c r="F347" s="232">
        <v>0</v>
      </c>
      <c r="G347" s="232">
        <v>0</v>
      </c>
      <c r="H347" s="138">
        <f t="shared" si="40"/>
        <v>0</v>
      </c>
      <c r="I347" s="138">
        <f t="shared" si="41"/>
        <v>0</v>
      </c>
      <c r="J347" s="25"/>
      <c r="K347" s="32"/>
    </row>
    <row r="348" spans="1:11" s="33" customFormat="1" ht="25.5" outlineLevel="3">
      <c r="A348" s="14"/>
      <c r="B348" s="38"/>
      <c r="C348" s="229" t="s">
        <v>211</v>
      </c>
      <c r="D348" s="230" t="s">
        <v>28</v>
      </c>
      <c r="E348" s="231">
        <v>3</v>
      </c>
      <c r="F348" s="232">
        <v>0</v>
      </c>
      <c r="G348" s="232">
        <v>0</v>
      </c>
      <c r="H348" s="138">
        <f t="shared" si="40"/>
        <v>0</v>
      </c>
      <c r="I348" s="138">
        <f t="shared" si="41"/>
        <v>0</v>
      </c>
      <c r="J348" s="25"/>
      <c r="K348" s="32"/>
    </row>
    <row r="349" spans="1:11" s="33" customFormat="1" ht="25.5" outlineLevel="3">
      <c r="A349" s="14"/>
      <c r="B349" s="38"/>
      <c r="C349" s="241" t="s">
        <v>148</v>
      </c>
      <c r="D349" s="233"/>
      <c r="E349" s="231"/>
      <c r="F349" s="232">
        <v>0</v>
      </c>
      <c r="G349" s="232">
        <v>0</v>
      </c>
      <c r="H349" s="214"/>
      <c r="I349" s="180"/>
      <c r="J349" s="25"/>
      <c r="K349" s="32"/>
    </row>
    <row r="350" spans="1:11" s="33" customFormat="1" ht="25.5" outlineLevel="3">
      <c r="A350" s="14"/>
      <c r="B350" s="38"/>
      <c r="C350" s="229" t="s">
        <v>149</v>
      </c>
      <c r="D350" s="230" t="s">
        <v>28</v>
      </c>
      <c r="E350" s="231">
        <v>16</v>
      </c>
      <c r="F350" s="232">
        <v>0</v>
      </c>
      <c r="G350" s="232">
        <v>0</v>
      </c>
      <c r="H350" s="138">
        <f t="shared" ref="H350:H364" si="42">G350+F350</f>
        <v>0</v>
      </c>
      <c r="I350" s="138">
        <f t="shared" ref="I350:I364" si="43">H350*E350</f>
        <v>0</v>
      </c>
      <c r="J350" s="25"/>
      <c r="K350" s="32"/>
    </row>
    <row r="351" spans="1:11" s="33" customFormat="1" ht="25.5" outlineLevel="3">
      <c r="A351" s="14"/>
      <c r="B351" s="38"/>
      <c r="C351" s="229" t="s">
        <v>150</v>
      </c>
      <c r="D351" s="230" t="s">
        <v>28</v>
      </c>
      <c r="E351" s="231">
        <v>1</v>
      </c>
      <c r="F351" s="232">
        <v>0</v>
      </c>
      <c r="G351" s="232">
        <v>0</v>
      </c>
      <c r="H351" s="138">
        <f t="shared" si="42"/>
        <v>0</v>
      </c>
      <c r="I351" s="138">
        <f t="shared" si="43"/>
        <v>0</v>
      </c>
      <c r="J351" s="25"/>
      <c r="K351" s="32"/>
    </row>
    <row r="352" spans="1:11" s="33" customFormat="1" ht="25.5" outlineLevel="3">
      <c r="A352" s="14"/>
      <c r="B352" s="38"/>
      <c r="C352" s="229" t="s">
        <v>151</v>
      </c>
      <c r="D352" s="230" t="s">
        <v>28</v>
      </c>
      <c r="E352" s="231">
        <v>2</v>
      </c>
      <c r="F352" s="232">
        <v>0</v>
      </c>
      <c r="G352" s="232">
        <v>0</v>
      </c>
      <c r="H352" s="138">
        <f t="shared" si="42"/>
        <v>0</v>
      </c>
      <c r="I352" s="138">
        <f t="shared" si="43"/>
        <v>0</v>
      </c>
      <c r="J352" s="25"/>
      <c r="K352" s="32"/>
    </row>
    <row r="353" spans="1:11" s="33" customFormat="1" ht="25.5" outlineLevel="3">
      <c r="A353" s="14"/>
      <c r="B353" s="38"/>
      <c r="C353" s="229" t="s">
        <v>153</v>
      </c>
      <c r="D353" s="230" t="s">
        <v>28</v>
      </c>
      <c r="E353" s="231">
        <v>2</v>
      </c>
      <c r="F353" s="232">
        <v>0</v>
      </c>
      <c r="G353" s="232">
        <v>0</v>
      </c>
      <c r="H353" s="138">
        <f t="shared" si="42"/>
        <v>0</v>
      </c>
      <c r="I353" s="138">
        <f t="shared" si="43"/>
        <v>0</v>
      </c>
      <c r="J353" s="25"/>
      <c r="K353" s="32"/>
    </row>
    <row r="354" spans="1:11" s="33" customFormat="1" ht="25.5" outlineLevel="3">
      <c r="A354" s="14"/>
      <c r="B354" s="38"/>
      <c r="C354" s="229" t="s">
        <v>212</v>
      </c>
      <c r="D354" s="230" t="s">
        <v>28</v>
      </c>
      <c r="E354" s="231">
        <v>2</v>
      </c>
      <c r="F354" s="232">
        <v>0</v>
      </c>
      <c r="G354" s="232">
        <v>0</v>
      </c>
      <c r="H354" s="138">
        <f t="shared" si="42"/>
        <v>0</v>
      </c>
      <c r="I354" s="138">
        <f t="shared" si="43"/>
        <v>0</v>
      </c>
      <c r="J354" s="25"/>
      <c r="K354" s="32"/>
    </row>
    <row r="355" spans="1:11" s="33" customFormat="1" ht="25.5" outlineLevel="3">
      <c r="A355" s="14"/>
      <c r="B355" s="38"/>
      <c r="C355" s="229" t="s">
        <v>153</v>
      </c>
      <c r="D355" s="230" t="s">
        <v>28</v>
      </c>
      <c r="E355" s="231">
        <v>2</v>
      </c>
      <c r="F355" s="232">
        <v>0</v>
      </c>
      <c r="G355" s="232">
        <v>0</v>
      </c>
      <c r="H355" s="138">
        <f t="shared" si="42"/>
        <v>0</v>
      </c>
      <c r="I355" s="138">
        <f t="shared" si="43"/>
        <v>0</v>
      </c>
      <c r="J355" s="25"/>
      <c r="K355" s="32"/>
    </row>
    <row r="356" spans="1:11" s="33" customFormat="1" ht="25.5" outlineLevel="3">
      <c r="A356" s="14"/>
      <c r="B356" s="38"/>
      <c r="C356" s="229" t="s">
        <v>184</v>
      </c>
      <c r="D356" s="230" t="s">
        <v>28</v>
      </c>
      <c r="E356" s="231">
        <v>1</v>
      </c>
      <c r="F356" s="232">
        <v>0</v>
      </c>
      <c r="G356" s="232">
        <v>0</v>
      </c>
      <c r="H356" s="138">
        <f t="shared" si="42"/>
        <v>0</v>
      </c>
      <c r="I356" s="138">
        <f t="shared" si="43"/>
        <v>0</v>
      </c>
      <c r="J356" s="25"/>
      <c r="K356" s="32"/>
    </row>
    <row r="357" spans="1:11" s="33" customFormat="1" ht="25.5" outlineLevel="3">
      <c r="A357" s="14"/>
      <c r="B357" s="38"/>
      <c r="C357" s="229" t="s">
        <v>160</v>
      </c>
      <c r="D357" s="230" t="s">
        <v>28</v>
      </c>
      <c r="E357" s="231">
        <v>1</v>
      </c>
      <c r="F357" s="232">
        <v>0</v>
      </c>
      <c r="G357" s="232">
        <v>0</v>
      </c>
      <c r="H357" s="138">
        <f t="shared" si="42"/>
        <v>0</v>
      </c>
      <c r="I357" s="138">
        <f t="shared" si="43"/>
        <v>0</v>
      </c>
      <c r="J357" s="25"/>
      <c r="K357" s="32"/>
    </row>
    <row r="358" spans="1:11" s="33" customFormat="1" ht="25.5" outlineLevel="3">
      <c r="A358" s="14"/>
      <c r="B358" s="38"/>
      <c r="C358" s="242" t="s">
        <v>161</v>
      </c>
      <c r="D358" s="230" t="s">
        <v>213</v>
      </c>
      <c r="E358" s="231">
        <v>1</v>
      </c>
      <c r="F358" s="232">
        <v>0</v>
      </c>
      <c r="G358" s="232">
        <v>0</v>
      </c>
      <c r="H358" s="138">
        <f t="shared" si="42"/>
        <v>0</v>
      </c>
      <c r="I358" s="138">
        <f t="shared" si="43"/>
        <v>0</v>
      </c>
      <c r="J358" s="25"/>
      <c r="K358" s="32"/>
    </row>
    <row r="359" spans="1:11" s="33" customFormat="1" ht="25.5" outlineLevel="3">
      <c r="A359" s="14"/>
      <c r="B359" s="38"/>
      <c r="C359" s="229" t="s">
        <v>163</v>
      </c>
      <c r="D359" s="230" t="s">
        <v>28</v>
      </c>
      <c r="E359" s="231">
        <v>6</v>
      </c>
      <c r="F359" s="232">
        <v>0</v>
      </c>
      <c r="G359" s="232">
        <v>0</v>
      </c>
      <c r="H359" s="138">
        <f t="shared" si="42"/>
        <v>0</v>
      </c>
      <c r="I359" s="138">
        <f t="shared" si="43"/>
        <v>0</v>
      </c>
      <c r="J359" s="25"/>
      <c r="K359" s="32"/>
    </row>
    <row r="360" spans="1:11" s="33" customFormat="1" ht="25.5" outlineLevel="3">
      <c r="A360" s="14"/>
      <c r="B360" s="38"/>
      <c r="C360" s="229" t="s">
        <v>165</v>
      </c>
      <c r="D360" s="230" t="s">
        <v>28</v>
      </c>
      <c r="E360" s="231">
        <v>8</v>
      </c>
      <c r="F360" s="232">
        <v>0</v>
      </c>
      <c r="G360" s="232">
        <v>0</v>
      </c>
      <c r="H360" s="138">
        <f t="shared" si="42"/>
        <v>0</v>
      </c>
      <c r="I360" s="138">
        <f t="shared" si="43"/>
        <v>0</v>
      </c>
      <c r="J360" s="25"/>
      <c r="K360" s="32"/>
    </row>
    <row r="361" spans="1:11" s="33" customFormat="1" ht="25.5" outlineLevel="3">
      <c r="A361" s="14"/>
      <c r="B361" s="38"/>
      <c r="C361" s="229" t="s">
        <v>166</v>
      </c>
      <c r="D361" s="230" t="s">
        <v>28</v>
      </c>
      <c r="E361" s="231">
        <v>4</v>
      </c>
      <c r="F361" s="232">
        <v>0</v>
      </c>
      <c r="G361" s="232">
        <v>0</v>
      </c>
      <c r="H361" s="138">
        <f t="shared" si="42"/>
        <v>0</v>
      </c>
      <c r="I361" s="138">
        <f t="shared" si="43"/>
        <v>0</v>
      </c>
      <c r="J361" s="25"/>
      <c r="K361" s="32"/>
    </row>
    <row r="362" spans="1:11" s="33" customFormat="1" ht="25.5" outlineLevel="3">
      <c r="A362" s="14"/>
      <c r="B362" s="38"/>
      <c r="C362" s="229" t="s">
        <v>167</v>
      </c>
      <c r="D362" s="230" t="s">
        <v>28</v>
      </c>
      <c r="E362" s="231">
        <v>8</v>
      </c>
      <c r="F362" s="232">
        <v>0</v>
      </c>
      <c r="G362" s="232">
        <v>0</v>
      </c>
      <c r="H362" s="138">
        <f t="shared" si="42"/>
        <v>0</v>
      </c>
      <c r="I362" s="138">
        <f t="shared" si="43"/>
        <v>0</v>
      </c>
      <c r="J362" s="25"/>
      <c r="K362" s="32"/>
    </row>
    <row r="363" spans="1:11" s="33" customFormat="1" ht="25.5" outlineLevel="3">
      <c r="A363" s="14"/>
      <c r="B363" s="38"/>
      <c r="C363" s="229" t="s">
        <v>139</v>
      </c>
      <c r="D363" s="230" t="s">
        <v>38</v>
      </c>
      <c r="E363" s="231">
        <v>1</v>
      </c>
      <c r="F363" s="232">
        <v>0</v>
      </c>
      <c r="G363" s="232">
        <v>0</v>
      </c>
      <c r="H363" s="138">
        <f t="shared" si="42"/>
        <v>0</v>
      </c>
      <c r="I363" s="138">
        <f t="shared" si="43"/>
        <v>0</v>
      </c>
      <c r="J363" s="25"/>
      <c r="K363" s="32"/>
    </row>
    <row r="364" spans="1:11" s="33" customFormat="1" ht="25.5" outlineLevel="3">
      <c r="A364" s="14"/>
      <c r="B364" s="35">
        <f>MAXA($B$6:B363)+1</f>
        <v>58</v>
      </c>
      <c r="C364" s="229" t="s">
        <v>214</v>
      </c>
      <c r="D364" s="230" t="s">
        <v>38</v>
      </c>
      <c r="E364" s="231">
        <v>1</v>
      </c>
      <c r="F364" s="232">
        <v>3391938</v>
      </c>
      <c r="G364" s="232">
        <v>1563188</v>
      </c>
      <c r="H364" s="138">
        <f t="shared" si="42"/>
        <v>4955126</v>
      </c>
      <c r="I364" s="138">
        <f t="shared" si="43"/>
        <v>4955126</v>
      </c>
      <c r="J364" s="25"/>
      <c r="K364" s="32"/>
    </row>
    <row r="365" spans="1:11" s="33" customFormat="1" ht="25.5" outlineLevel="3">
      <c r="A365" s="14"/>
      <c r="B365" s="38"/>
      <c r="C365" s="241" t="s">
        <v>141</v>
      </c>
      <c r="D365" s="212"/>
      <c r="E365" s="228"/>
      <c r="F365" s="232">
        <v>0</v>
      </c>
      <c r="G365" s="232">
        <v>0</v>
      </c>
      <c r="H365" s="214"/>
      <c r="I365" s="180"/>
      <c r="J365" s="25"/>
      <c r="K365" s="32"/>
    </row>
    <row r="366" spans="1:11" s="33" customFormat="1" ht="25.5" outlineLevel="3">
      <c r="A366" s="14"/>
      <c r="B366" s="38"/>
      <c r="C366" s="229" t="s">
        <v>215</v>
      </c>
      <c r="D366" s="230" t="s">
        <v>28</v>
      </c>
      <c r="E366" s="231">
        <v>1</v>
      </c>
      <c r="F366" s="232">
        <v>0</v>
      </c>
      <c r="G366" s="232">
        <v>0</v>
      </c>
      <c r="H366" s="138">
        <f t="shared" ref="H366:H371" si="44">G366+F366</f>
        <v>0</v>
      </c>
      <c r="I366" s="138">
        <f t="shared" ref="I366:I371" si="45">H366*E366</f>
        <v>0</v>
      </c>
      <c r="J366" s="25"/>
      <c r="K366" s="32"/>
    </row>
    <row r="367" spans="1:11" s="33" customFormat="1" ht="25.5" outlineLevel="3">
      <c r="A367" s="14"/>
      <c r="B367" s="38"/>
      <c r="C367" s="242" t="s">
        <v>94</v>
      </c>
      <c r="D367" s="230" t="s">
        <v>28</v>
      </c>
      <c r="E367" s="231">
        <v>9</v>
      </c>
      <c r="F367" s="232">
        <v>0</v>
      </c>
      <c r="G367" s="232">
        <v>0</v>
      </c>
      <c r="H367" s="138">
        <f t="shared" si="44"/>
        <v>0</v>
      </c>
      <c r="I367" s="138">
        <f t="shared" si="45"/>
        <v>0</v>
      </c>
      <c r="J367" s="25"/>
      <c r="K367" s="32"/>
    </row>
    <row r="368" spans="1:11" s="33" customFormat="1" ht="25.5" outlineLevel="3">
      <c r="A368" s="14"/>
      <c r="B368" s="38"/>
      <c r="C368" s="242" t="s">
        <v>95</v>
      </c>
      <c r="D368" s="230" t="s">
        <v>28</v>
      </c>
      <c r="E368" s="231">
        <v>9</v>
      </c>
      <c r="F368" s="232">
        <v>0</v>
      </c>
      <c r="G368" s="232">
        <v>0</v>
      </c>
      <c r="H368" s="138">
        <f t="shared" si="44"/>
        <v>0</v>
      </c>
      <c r="I368" s="138">
        <f t="shared" si="45"/>
        <v>0</v>
      </c>
      <c r="J368" s="25"/>
      <c r="K368" s="32"/>
    </row>
    <row r="369" spans="1:11" s="33" customFormat="1" ht="25.5" outlineLevel="3">
      <c r="A369" s="14"/>
      <c r="B369" s="38"/>
      <c r="C369" s="242" t="s">
        <v>96</v>
      </c>
      <c r="D369" s="230" t="s">
        <v>28</v>
      </c>
      <c r="E369" s="231">
        <v>2</v>
      </c>
      <c r="F369" s="232">
        <v>0</v>
      </c>
      <c r="G369" s="232">
        <v>0</v>
      </c>
      <c r="H369" s="138">
        <f t="shared" si="44"/>
        <v>0</v>
      </c>
      <c r="I369" s="138">
        <f t="shared" si="45"/>
        <v>0</v>
      </c>
      <c r="J369" s="25"/>
      <c r="K369" s="32"/>
    </row>
    <row r="370" spans="1:11" s="33" customFormat="1" ht="25.5" outlineLevel="3">
      <c r="A370" s="14"/>
      <c r="B370" s="38"/>
      <c r="C370" s="242" t="s">
        <v>97</v>
      </c>
      <c r="D370" s="230" t="s">
        <v>28</v>
      </c>
      <c r="E370" s="231">
        <v>2</v>
      </c>
      <c r="F370" s="232">
        <v>0</v>
      </c>
      <c r="G370" s="232">
        <v>0</v>
      </c>
      <c r="H370" s="138">
        <f t="shared" si="44"/>
        <v>0</v>
      </c>
      <c r="I370" s="138">
        <f t="shared" si="45"/>
        <v>0</v>
      </c>
      <c r="J370" s="25"/>
      <c r="K370" s="32"/>
    </row>
    <row r="371" spans="1:11" s="33" customFormat="1" ht="25.5" outlineLevel="3">
      <c r="A371" s="14"/>
      <c r="B371" s="38"/>
      <c r="C371" s="242" t="s">
        <v>98</v>
      </c>
      <c r="D371" s="230" t="s">
        <v>28</v>
      </c>
      <c r="E371" s="231">
        <v>2</v>
      </c>
      <c r="F371" s="232">
        <v>0</v>
      </c>
      <c r="G371" s="232">
        <v>0</v>
      </c>
      <c r="H371" s="138">
        <f t="shared" si="44"/>
        <v>0</v>
      </c>
      <c r="I371" s="138">
        <f t="shared" si="45"/>
        <v>0</v>
      </c>
      <c r="J371" s="25"/>
      <c r="K371" s="32"/>
    </row>
    <row r="372" spans="1:11" s="33" customFormat="1" ht="25.5" outlineLevel="3">
      <c r="A372" s="14"/>
      <c r="B372" s="38"/>
      <c r="C372" s="241" t="s">
        <v>148</v>
      </c>
      <c r="D372" s="233"/>
      <c r="E372" s="231"/>
      <c r="F372" s="232">
        <v>0</v>
      </c>
      <c r="G372" s="232">
        <v>0</v>
      </c>
      <c r="H372" s="214"/>
      <c r="I372" s="180"/>
      <c r="J372" s="25"/>
      <c r="K372" s="32"/>
    </row>
    <row r="373" spans="1:11" s="33" customFormat="1" ht="25.5" outlineLevel="3">
      <c r="A373" s="14"/>
      <c r="B373" s="38"/>
      <c r="C373" s="229" t="s">
        <v>170</v>
      </c>
      <c r="D373" s="230" t="s">
        <v>28</v>
      </c>
      <c r="E373" s="231">
        <v>2</v>
      </c>
      <c r="F373" s="232">
        <v>0</v>
      </c>
      <c r="G373" s="232">
        <v>0</v>
      </c>
      <c r="H373" s="138">
        <f>G373+F373</f>
        <v>0</v>
      </c>
      <c r="I373" s="138">
        <f>H373*E373</f>
        <v>0</v>
      </c>
      <c r="J373" s="25"/>
      <c r="K373" s="32"/>
    </row>
    <row r="374" spans="1:11" s="33" customFormat="1" ht="25.5" outlineLevel="3">
      <c r="A374" s="14"/>
      <c r="B374" s="38"/>
      <c r="C374" s="229" t="s">
        <v>171</v>
      </c>
      <c r="D374" s="230" t="s">
        <v>28</v>
      </c>
      <c r="E374" s="231">
        <v>2</v>
      </c>
      <c r="F374" s="232">
        <v>0</v>
      </c>
      <c r="G374" s="232">
        <v>0</v>
      </c>
      <c r="H374" s="138">
        <f>G374+F374</f>
        <v>0</v>
      </c>
      <c r="I374" s="138">
        <f>H374*E374</f>
        <v>0</v>
      </c>
      <c r="J374" s="25"/>
      <c r="K374" s="32"/>
    </row>
    <row r="375" spans="1:11" s="33" customFormat="1" ht="25.5" outlineLevel="3">
      <c r="A375" s="14"/>
      <c r="B375" s="38"/>
      <c r="C375" s="242" t="s">
        <v>161</v>
      </c>
      <c r="D375" s="230" t="s">
        <v>162</v>
      </c>
      <c r="E375" s="231"/>
      <c r="F375" s="232">
        <v>0</v>
      </c>
      <c r="G375" s="232">
        <v>0</v>
      </c>
      <c r="H375" s="214"/>
      <c r="I375" s="180"/>
      <c r="J375" s="25"/>
      <c r="K375" s="32"/>
    </row>
    <row r="376" spans="1:11" s="33" customFormat="1" ht="25.5" outlineLevel="3">
      <c r="A376" s="14"/>
      <c r="B376" s="38"/>
      <c r="C376" s="229" t="s">
        <v>216</v>
      </c>
      <c r="D376" s="230" t="s">
        <v>28</v>
      </c>
      <c r="E376" s="231">
        <v>1</v>
      </c>
      <c r="F376" s="232">
        <v>0</v>
      </c>
      <c r="G376" s="232">
        <v>0</v>
      </c>
      <c r="H376" s="138">
        <f>G376+F376</f>
        <v>0</v>
      </c>
      <c r="I376" s="138">
        <f>H376*E376</f>
        <v>0</v>
      </c>
      <c r="J376" s="25"/>
      <c r="K376" s="32"/>
    </row>
    <row r="377" spans="1:11" s="33" customFormat="1" ht="25.5" outlineLevel="3">
      <c r="A377" s="14"/>
      <c r="B377" s="38"/>
      <c r="C377" s="229" t="s">
        <v>172</v>
      </c>
      <c r="D377" s="230" t="s">
        <v>28</v>
      </c>
      <c r="E377" s="231">
        <v>3</v>
      </c>
      <c r="F377" s="232">
        <v>0</v>
      </c>
      <c r="G377" s="232">
        <v>0</v>
      </c>
      <c r="H377" s="138">
        <f>G377+F377</f>
        <v>0</v>
      </c>
      <c r="I377" s="138">
        <f>H377*E377</f>
        <v>0</v>
      </c>
      <c r="J377" s="25"/>
      <c r="K377" s="32"/>
    </row>
    <row r="378" spans="1:11" s="33" customFormat="1" ht="25.5" outlineLevel="3">
      <c r="A378" s="14"/>
      <c r="B378" s="38"/>
      <c r="C378" s="229" t="s">
        <v>217</v>
      </c>
      <c r="D378" s="230" t="s">
        <v>28</v>
      </c>
      <c r="E378" s="231">
        <v>8</v>
      </c>
      <c r="F378" s="232">
        <v>0</v>
      </c>
      <c r="G378" s="232">
        <v>0</v>
      </c>
      <c r="H378" s="138">
        <f>G378+F378</f>
        <v>0</v>
      </c>
      <c r="I378" s="138">
        <f>H378*E378</f>
        <v>0</v>
      </c>
      <c r="J378" s="25"/>
      <c r="K378" s="32"/>
    </row>
    <row r="379" spans="1:11" s="33" customFormat="1" ht="25.5" outlineLevel="3">
      <c r="A379" s="14"/>
      <c r="B379" s="38"/>
      <c r="C379" s="229" t="s">
        <v>139</v>
      </c>
      <c r="D379" s="230" t="s">
        <v>38</v>
      </c>
      <c r="E379" s="231">
        <v>1</v>
      </c>
      <c r="F379" s="232">
        <v>0</v>
      </c>
      <c r="G379" s="232">
        <v>0</v>
      </c>
      <c r="H379" s="138">
        <f>G379+F379</f>
        <v>0</v>
      </c>
      <c r="I379" s="138">
        <f>H379*E379</f>
        <v>0</v>
      </c>
      <c r="J379" s="25"/>
      <c r="K379" s="32"/>
    </row>
    <row r="380" spans="1:11" s="33" customFormat="1" ht="25.5" outlineLevel="3">
      <c r="A380" s="14"/>
      <c r="B380" s="35">
        <v>60</v>
      </c>
      <c r="C380" s="229" t="s">
        <v>218</v>
      </c>
      <c r="D380" s="230" t="s">
        <v>38</v>
      </c>
      <c r="E380" s="231">
        <v>1</v>
      </c>
      <c r="F380" s="232">
        <v>12199830</v>
      </c>
      <c r="G380" s="232">
        <v>1563188</v>
      </c>
      <c r="H380" s="138">
        <f>G380+F380</f>
        <v>13763018</v>
      </c>
      <c r="I380" s="138">
        <f>H380*E380</f>
        <v>13763018</v>
      </c>
      <c r="J380" s="25"/>
      <c r="K380" s="32"/>
    </row>
    <row r="381" spans="1:11" s="33" customFormat="1" ht="25.5" outlineLevel="3">
      <c r="A381" s="14"/>
      <c r="B381" s="38"/>
      <c r="C381" s="241" t="s">
        <v>141</v>
      </c>
      <c r="D381" s="244"/>
      <c r="E381" s="231"/>
      <c r="F381" s="232">
        <v>0</v>
      </c>
      <c r="G381" s="232">
        <v>0</v>
      </c>
      <c r="H381" s="214"/>
      <c r="I381" s="180"/>
      <c r="J381" s="25"/>
      <c r="K381" s="32"/>
    </row>
    <row r="382" spans="1:11" s="33" customFormat="1" ht="25.5" outlineLevel="3">
      <c r="A382" s="14"/>
      <c r="B382" s="38"/>
      <c r="C382" s="229" t="s">
        <v>219</v>
      </c>
      <c r="D382" s="230" t="s">
        <v>28</v>
      </c>
      <c r="E382" s="231">
        <v>1</v>
      </c>
      <c r="F382" s="232">
        <v>0</v>
      </c>
      <c r="G382" s="232">
        <v>0</v>
      </c>
      <c r="H382" s="138">
        <f>G382+F382</f>
        <v>0</v>
      </c>
      <c r="I382" s="138">
        <f>H382*E382</f>
        <v>0</v>
      </c>
      <c r="J382" s="25"/>
      <c r="K382" s="32"/>
    </row>
    <row r="383" spans="1:11" s="33" customFormat="1" ht="25.5" outlineLevel="3">
      <c r="A383" s="14"/>
      <c r="B383" s="38"/>
      <c r="C383" s="242" t="s">
        <v>220</v>
      </c>
      <c r="D383" s="230" t="s">
        <v>28</v>
      </c>
      <c r="E383" s="231">
        <v>3</v>
      </c>
      <c r="F383" s="232">
        <v>0</v>
      </c>
      <c r="G383" s="232">
        <v>0</v>
      </c>
      <c r="H383" s="138">
        <f>G383+F383</f>
        <v>0</v>
      </c>
      <c r="I383" s="138">
        <f>H383*E383</f>
        <v>0</v>
      </c>
      <c r="J383" s="25"/>
      <c r="K383" s="32"/>
    </row>
    <row r="384" spans="1:11" s="33" customFormat="1" ht="25.5" outlineLevel="3">
      <c r="A384" s="14"/>
      <c r="B384" s="38"/>
      <c r="C384" s="242" t="s">
        <v>221</v>
      </c>
      <c r="D384" s="230" t="s">
        <v>28</v>
      </c>
      <c r="E384" s="231">
        <v>3</v>
      </c>
      <c r="F384" s="232">
        <v>0</v>
      </c>
      <c r="G384" s="232">
        <v>0</v>
      </c>
      <c r="H384" s="138">
        <f>G384+F384</f>
        <v>0</v>
      </c>
      <c r="I384" s="138">
        <f>H384*E384</f>
        <v>0</v>
      </c>
      <c r="J384" s="25"/>
      <c r="K384" s="32"/>
    </row>
    <row r="385" spans="1:11" s="33" customFormat="1" ht="25.5" outlineLevel="3">
      <c r="A385" s="14"/>
      <c r="B385" s="38"/>
      <c r="C385" s="241" t="s">
        <v>148</v>
      </c>
      <c r="D385" s="230"/>
      <c r="E385" s="231"/>
      <c r="F385" s="232">
        <v>0</v>
      </c>
      <c r="G385" s="232">
        <v>0</v>
      </c>
      <c r="H385" s="214"/>
      <c r="I385" s="180"/>
      <c r="J385" s="25"/>
      <c r="K385" s="32"/>
    </row>
    <row r="386" spans="1:11" s="33" customFormat="1" ht="25.5" outlineLevel="3">
      <c r="A386" s="14"/>
      <c r="B386" s="38"/>
      <c r="C386" s="229" t="s">
        <v>222</v>
      </c>
      <c r="D386" s="230" t="s">
        <v>28</v>
      </c>
      <c r="E386" s="231">
        <v>3</v>
      </c>
      <c r="F386" s="232">
        <v>0</v>
      </c>
      <c r="G386" s="232">
        <v>0</v>
      </c>
      <c r="H386" s="138">
        <f>G386+F386</f>
        <v>0</v>
      </c>
      <c r="I386" s="138">
        <f>H386*E386</f>
        <v>0</v>
      </c>
      <c r="J386" s="25"/>
      <c r="K386" s="32"/>
    </row>
    <row r="387" spans="1:11" s="33" customFormat="1" ht="25.5" outlineLevel="3">
      <c r="A387" s="14"/>
      <c r="B387" s="38"/>
      <c r="C387" s="229" t="s">
        <v>223</v>
      </c>
      <c r="D387" s="230" t="s">
        <v>28</v>
      </c>
      <c r="E387" s="231">
        <v>3</v>
      </c>
      <c r="F387" s="232">
        <v>0</v>
      </c>
      <c r="G387" s="232">
        <v>0</v>
      </c>
      <c r="H387" s="138">
        <f>G387+F387</f>
        <v>0</v>
      </c>
      <c r="I387" s="138">
        <f>H387*E387</f>
        <v>0</v>
      </c>
      <c r="J387" s="25"/>
      <c r="K387" s="32"/>
    </row>
    <row r="388" spans="1:11" s="33" customFormat="1" ht="25.5" outlineLevel="3">
      <c r="A388" s="14"/>
      <c r="B388" s="38"/>
      <c r="C388" s="229" t="s">
        <v>139</v>
      </c>
      <c r="D388" s="230" t="s">
        <v>38</v>
      </c>
      <c r="E388" s="231">
        <v>1</v>
      </c>
      <c r="F388" s="232">
        <v>0</v>
      </c>
      <c r="G388" s="232">
        <v>0</v>
      </c>
      <c r="H388" s="138">
        <f>G388+F388</f>
        <v>0</v>
      </c>
      <c r="I388" s="138">
        <f>H388*E388</f>
        <v>0</v>
      </c>
      <c r="J388" s="25"/>
      <c r="K388" s="32"/>
    </row>
    <row r="389" spans="1:11" s="33" customFormat="1" ht="25.5" outlineLevel="3">
      <c r="A389" s="14"/>
      <c r="B389" s="35">
        <v>61</v>
      </c>
      <c r="C389" s="229" t="s">
        <v>224</v>
      </c>
      <c r="D389" s="230" t="s">
        <v>38</v>
      </c>
      <c r="E389" s="231">
        <v>1</v>
      </c>
      <c r="F389" s="232">
        <v>6189329</v>
      </c>
      <c r="G389" s="232">
        <v>1563188</v>
      </c>
      <c r="H389" s="138">
        <f>G389+F389</f>
        <v>7752517</v>
      </c>
      <c r="I389" s="138">
        <f>H389*E389</f>
        <v>7752517</v>
      </c>
      <c r="J389" s="25"/>
      <c r="K389" s="32"/>
    </row>
    <row r="390" spans="1:11" s="33" customFormat="1" ht="25.5" outlineLevel="3">
      <c r="A390" s="14"/>
      <c r="B390" s="38"/>
      <c r="C390" s="241" t="s">
        <v>141</v>
      </c>
      <c r="D390" s="212"/>
      <c r="E390" s="228"/>
      <c r="F390" s="232">
        <v>0</v>
      </c>
      <c r="G390" s="232">
        <v>0</v>
      </c>
      <c r="H390" s="214"/>
      <c r="I390" s="180"/>
      <c r="J390" s="25"/>
      <c r="K390" s="32"/>
    </row>
    <row r="391" spans="1:11" s="33" customFormat="1" ht="25.5" outlineLevel="3">
      <c r="A391" s="14"/>
      <c r="B391" s="38"/>
      <c r="C391" s="229" t="s">
        <v>176</v>
      </c>
      <c r="D391" s="230" t="s">
        <v>28</v>
      </c>
      <c r="E391" s="231">
        <v>1</v>
      </c>
      <c r="F391" s="232">
        <v>0</v>
      </c>
      <c r="G391" s="232">
        <v>0</v>
      </c>
      <c r="H391" s="138">
        <f>G391+F391</f>
        <v>0</v>
      </c>
      <c r="I391" s="138">
        <f>H391*E391</f>
        <v>0</v>
      </c>
      <c r="J391" s="25"/>
      <c r="K391" s="32"/>
    </row>
    <row r="392" spans="1:11" s="33" customFormat="1" ht="25.5" outlineLevel="3">
      <c r="A392" s="14"/>
      <c r="B392" s="38"/>
      <c r="C392" s="242" t="s">
        <v>94</v>
      </c>
      <c r="D392" s="230" t="s">
        <v>28</v>
      </c>
      <c r="E392" s="231">
        <v>1</v>
      </c>
      <c r="F392" s="232">
        <v>0</v>
      </c>
      <c r="G392" s="232">
        <v>0</v>
      </c>
      <c r="H392" s="138">
        <f>G392+F392</f>
        <v>0</v>
      </c>
      <c r="I392" s="138">
        <f>H392*E392</f>
        <v>0</v>
      </c>
      <c r="J392" s="25"/>
      <c r="K392" s="32"/>
    </row>
    <row r="393" spans="1:11" s="33" customFormat="1" ht="25.5" outlineLevel="3">
      <c r="A393" s="14"/>
      <c r="B393" s="38"/>
      <c r="C393" s="242" t="s">
        <v>95</v>
      </c>
      <c r="D393" s="230" t="s">
        <v>28</v>
      </c>
      <c r="E393" s="231">
        <v>1</v>
      </c>
      <c r="F393" s="232">
        <v>0</v>
      </c>
      <c r="G393" s="232">
        <v>0</v>
      </c>
      <c r="H393" s="138">
        <f>G393+F393</f>
        <v>0</v>
      </c>
      <c r="I393" s="138">
        <f>H393*E393</f>
        <v>0</v>
      </c>
      <c r="J393" s="25"/>
      <c r="K393" s="32"/>
    </row>
    <row r="394" spans="1:11" s="33" customFormat="1" ht="25.5" outlineLevel="3">
      <c r="A394" s="14"/>
      <c r="B394" s="38"/>
      <c r="C394" s="242" t="s">
        <v>96</v>
      </c>
      <c r="D394" s="230" t="s">
        <v>28</v>
      </c>
      <c r="E394" s="231">
        <v>1</v>
      </c>
      <c r="F394" s="232">
        <v>0</v>
      </c>
      <c r="G394" s="232">
        <v>0</v>
      </c>
      <c r="H394" s="138">
        <f>G394+F394</f>
        <v>0</v>
      </c>
      <c r="I394" s="138">
        <f>H394*E394</f>
        <v>0</v>
      </c>
      <c r="J394" s="25"/>
      <c r="K394" s="32"/>
    </row>
    <row r="395" spans="1:11" s="33" customFormat="1" ht="25.5" outlineLevel="3">
      <c r="A395" s="14"/>
      <c r="B395" s="38"/>
      <c r="C395" s="241" t="s">
        <v>148</v>
      </c>
      <c r="D395" s="233"/>
      <c r="E395" s="231"/>
      <c r="F395" s="232">
        <v>0</v>
      </c>
      <c r="G395" s="232">
        <v>0</v>
      </c>
      <c r="H395" s="214"/>
      <c r="I395" s="180"/>
      <c r="J395" s="25"/>
      <c r="K395" s="32"/>
    </row>
    <row r="396" spans="1:11" s="33" customFormat="1" ht="25.5" outlineLevel="3">
      <c r="A396" s="14"/>
      <c r="B396" s="38"/>
      <c r="C396" s="229" t="s">
        <v>170</v>
      </c>
      <c r="D396" s="230" t="s">
        <v>28</v>
      </c>
      <c r="E396" s="231">
        <v>2</v>
      </c>
      <c r="F396" s="232">
        <v>0</v>
      </c>
      <c r="G396" s="232">
        <v>0</v>
      </c>
      <c r="H396" s="138">
        <f>G396+F396</f>
        <v>0</v>
      </c>
      <c r="I396" s="138">
        <f>H396*E396</f>
        <v>0</v>
      </c>
      <c r="J396" s="25"/>
      <c r="K396" s="32"/>
    </row>
    <row r="397" spans="1:11" s="33" customFormat="1" ht="25.5" outlineLevel="3">
      <c r="A397" s="14"/>
      <c r="B397" s="38"/>
      <c r="C397" s="229" t="s">
        <v>171</v>
      </c>
      <c r="D397" s="230" t="s">
        <v>28</v>
      </c>
      <c r="E397" s="231">
        <v>1</v>
      </c>
      <c r="F397" s="232">
        <v>0</v>
      </c>
      <c r="G397" s="232">
        <v>0</v>
      </c>
      <c r="H397" s="138">
        <f>G397+F397</f>
        <v>0</v>
      </c>
      <c r="I397" s="138">
        <f>H397*E397</f>
        <v>0</v>
      </c>
      <c r="J397" s="25"/>
      <c r="K397" s="32"/>
    </row>
    <row r="398" spans="1:11" s="33" customFormat="1" ht="25.5" outlineLevel="3">
      <c r="A398" s="14"/>
      <c r="B398" s="38"/>
      <c r="C398" s="229" t="s">
        <v>172</v>
      </c>
      <c r="D398" s="230" t="s">
        <v>28</v>
      </c>
      <c r="E398" s="231">
        <v>2</v>
      </c>
      <c r="F398" s="232">
        <v>0</v>
      </c>
      <c r="G398" s="232">
        <v>0</v>
      </c>
      <c r="H398" s="138">
        <f>G398+F398</f>
        <v>0</v>
      </c>
      <c r="I398" s="138">
        <f>H398*E398</f>
        <v>0</v>
      </c>
      <c r="J398" s="25"/>
      <c r="K398" s="32"/>
    </row>
    <row r="399" spans="1:11" s="33" customFormat="1" ht="25.5" outlineLevel="3">
      <c r="A399" s="14"/>
      <c r="B399" s="38"/>
      <c r="C399" s="229" t="s">
        <v>139</v>
      </c>
      <c r="D399" s="230" t="s">
        <v>38</v>
      </c>
      <c r="E399" s="231">
        <v>1</v>
      </c>
      <c r="F399" s="232">
        <v>0</v>
      </c>
      <c r="G399" s="232">
        <v>0</v>
      </c>
      <c r="H399" s="138">
        <f>G399+F399</f>
        <v>0</v>
      </c>
      <c r="I399" s="138">
        <f>H399*E399</f>
        <v>0</v>
      </c>
      <c r="J399" s="25"/>
      <c r="K399" s="32"/>
    </row>
    <row r="400" spans="1:11" s="33" customFormat="1" ht="25.5" outlineLevel="3">
      <c r="A400" s="14"/>
      <c r="B400" s="35">
        <f>MAXA($B$6:B399)+1</f>
        <v>62</v>
      </c>
      <c r="C400" s="229" t="s">
        <v>225</v>
      </c>
      <c r="D400" s="230" t="s">
        <v>38</v>
      </c>
      <c r="E400" s="231">
        <v>1</v>
      </c>
      <c r="F400" s="232">
        <v>6355384</v>
      </c>
      <c r="G400" s="232">
        <v>1563188</v>
      </c>
      <c r="H400" s="138">
        <f>G400+F400</f>
        <v>7918572</v>
      </c>
      <c r="I400" s="138">
        <f>H400*E400</f>
        <v>7918572</v>
      </c>
      <c r="J400" s="25"/>
      <c r="K400" s="32"/>
    </row>
    <row r="401" spans="1:11" s="33" customFormat="1" ht="25.5" outlineLevel="3">
      <c r="A401" s="14"/>
      <c r="B401" s="38"/>
      <c r="C401" s="241" t="s">
        <v>141</v>
      </c>
      <c r="D401" s="212"/>
      <c r="E401" s="228"/>
      <c r="F401" s="232">
        <v>0</v>
      </c>
      <c r="G401" s="232">
        <v>0</v>
      </c>
      <c r="H401" s="214"/>
      <c r="I401" s="180"/>
      <c r="J401" s="25"/>
      <c r="K401" s="32"/>
    </row>
    <row r="402" spans="1:11" s="33" customFormat="1" ht="25.5" outlineLevel="3">
      <c r="A402" s="14"/>
      <c r="B402" s="38"/>
      <c r="C402" s="229" t="s">
        <v>226</v>
      </c>
      <c r="D402" s="230" t="s">
        <v>28</v>
      </c>
      <c r="E402" s="231">
        <v>1</v>
      </c>
      <c r="F402" s="232">
        <v>0</v>
      </c>
      <c r="G402" s="232">
        <v>0</v>
      </c>
      <c r="H402" s="138">
        <f>G402+F402</f>
        <v>0</v>
      </c>
      <c r="I402" s="138">
        <f>H402*E402</f>
        <v>0</v>
      </c>
      <c r="J402" s="25"/>
      <c r="K402" s="32"/>
    </row>
    <row r="403" spans="1:11" s="33" customFormat="1" ht="25.5" outlineLevel="3">
      <c r="A403" s="14"/>
      <c r="B403" s="38"/>
      <c r="C403" s="242" t="s">
        <v>94</v>
      </c>
      <c r="D403" s="230" t="s">
        <v>28</v>
      </c>
      <c r="E403" s="231">
        <v>1</v>
      </c>
      <c r="F403" s="232">
        <v>0</v>
      </c>
      <c r="G403" s="232">
        <v>0</v>
      </c>
      <c r="H403" s="138">
        <f>G403+F403</f>
        <v>0</v>
      </c>
      <c r="I403" s="138">
        <f>H403*E403</f>
        <v>0</v>
      </c>
      <c r="J403" s="25"/>
      <c r="K403" s="32"/>
    </row>
    <row r="404" spans="1:11" s="33" customFormat="1" ht="25.5" outlineLevel="3">
      <c r="A404" s="14"/>
      <c r="B404" s="38"/>
      <c r="C404" s="242" t="s">
        <v>95</v>
      </c>
      <c r="D404" s="230" t="s">
        <v>28</v>
      </c>
      <c r="E404" s="231">
        <v>1</v>
      </c>
      <c r="F404" s="232">
        <v>0</v>
      </c>
      <c r="G404" s="232">
        <v>0</v>
      </c>
      <c r="H404" s="138">
        <f>G404+F404</f>
        <v>0</v>
      </c>
      <c r="I404" s="138">
        <f>H404*E404</f>
        <v>0</v>
      </c>
      <c r="J404" s="25"/>
      <c r="K404" s="32"/>
    </row>
    <row r="405" spans="1:11" s="33" customFormat="1" ht="25.5" outlineLevel="3">
      <c r="A405" s="14"/>
      <c r="B405" s="38"/>
      <c r="C405" s="242" t="s">
        <v>96</v>
      </c>
      <c r="D405" s="230" t="s">
        <v>28</v>
      </c>
      <c r="E405" s="231">
        <v>1</v>
      </c>
      <c r="F405" s="232">
        <v>0</v>
      </c>
      <c r="G405" s="232">
        <v>0</v>
      </c>
      <c r="H405" s="138">
        <f>G405+F405</f>
        <v>0</v>
      </c>
      <c r="I405" s="138">
        <f>H405*E405</f>
        <v>0</v>
      </c>
      <c r="J405" s="25"/>
      <c r="K405" s="32"/>
    </row>
    <row r="406" spans="1:11" s="33" customFormat="1" ht="25.5" outlineLevel="3">
      <c r="A406" s="14"/>
      <c r="B406" s="38"/>
      <c r="C406" s="241" t="s">
        <v>148</v>
      </c>
      <c r="D406" s="233"/>
      <c r="E406" s="231"/>
      <c r="F406" s="232">
        <v>0</v>
      </c>
      <c r="G406" s="232">
        <v>0</v>
      </c>
      <c r="H406" s="214"/>
      <c r="I406" s="180"/>
      <c r="J406" s="25"/>
      <c r="K406" s="32"/>
    </row>
    <row r="407" spans="1:11" s="33" customFormat="1" ht="25.5" outlineLevel="3">
      <c r="A407" s="14"/>
      <c r="B407" s="38"/>
      <c r="C407" s="229" t="s">
        <v>170</v>
      </c>
      <c r="D407" s="230" t="s">
        <v>28</v>
      </c>
      <c r="E407" s="231">
        <v>1</v>
      </c>
      <c r="F407" s="232">
        <v>0</v>
      </c>
      <c r="G407" s="232">
        <v>0</v>
      </c>
      <c r="H407" s="138">
        <f t="shared" ref="H407:H412" si="46">G407+F407</f>
        <v>0</v>
      </c>
      <c r="I407" s="138">
        <f t="shared" ref="I407:I412" si="47">H407*E407</f>
        <v>0</v>
      </c>
      <c r="J407" s="25"/>
      <c r="K407" s="32"/>
    </row>
    <row r="408" spans="1:11" s="33" customFormat="1" ht="25.5" outlineLevel="3">
      <c r="A408" s="14"/>
      <c r="B408" s="38"/>
      <c r="C408" s="229" t="s">
        <v>171</v>
      </c>
      <c r="D408" s="230" t="s">
        <v>28</v>
      </c>
      <c r="E408" s="231">
        <v>1</v>
      </c>
      <c r="F408" s="232">
        <v>0</v>
      </c>
      <c r="G408" s="232">
        <v>0</v>
      </c>
      <c r="H408" s="138">
        <f t="shared" si="46"/>
        <v>0</v>
      </c>
      <c r="I408" s="138">
        <f t="shared" si="47"/>
        <v>0</v>
      </c>
      <c r="J408" s="25"/>
      <c r="K408" s="32"/>
    </row>
    <row r="409" spans="1:11" s="33" customFormat="1" ht="25.5" outlineLevel="3">
      <c r="A409" s="14"/>
      <c r="B409" s="38"/>
      <c r="C409" s="229" t="s">
        <v>178</v>
      </c>
      <c r="D409" s="230" t="s">
        <v>28</v>
      </c>
      <c r="E409" s="231">
        <v>1</v>
      </c>
      <c r="F409" s="232">
        <v>0</v>
      </c>
      <c r="G409" s="232">
        <v>0</v>
      </c>
      <c r="H409" s="138">
        <f t="shared" si="46"/>
        <v>0</v>
      </c>
      <c r="I409" s="138">
        <f t="shared" si="47"/>
        <v>0</v>
      </c>
      <c r="J409" s="25"/>
      <c r="K409" s="32"/>
    </row>
    <row r="410" spans="1:11" s="33" customFormat="1" ht="25.5" outlineLevel="3">
      <c r="A410" s="14"/>
      <c r="B410" s="38"/>
      <c r="C410" s="229" t="s">
        <v>172</v>
      </c>
      <c r="D410" s="230" t="s">
        <v>28</v>
      </c>
      <c r="E410" s="231">
        <v>2</v>
      </c>
      <c r="F410" s="232">
        <v>0</v>
      </c>
      <c r="G410" s="232">
        <v>0</v>
      </c>
      <c r="H410" s="138">
        <f t="shared" si="46"/>
        <v>0</v>
      </c>
      <c r="I410" s="138">
        <f t="shared" si="47"/>
        <v>0</v>
      </c>
      <c r="J410" s="25"/>
      <c r="K410" s="32"/>
    </row>
    <row r="411" spans="1:11" s="33" customFormat="1" ht="25.5" outlineLevel="3">
      <c r="A411" s="14"/>
      <c r="B411" s="38"/>
      <c r="C411" s="229" t="s">
        <v>139</v>
      </c>
      <c r="D411" s="230" t="s">
        <v>38</v>
      </c>
      <c r="E411" s="231">
        <v>1</v>
      </c>
      <c r="F411" s="232">
        <v>0</v>
      </c>
      <c r="G411" s="232">
        <v>0</v>
      </c>
      <c r="H411" s="138">
        <f t="shared" si="46"/>
        <v>0</v>
      </c>
      <c r="I411" s="138">
        <f t="shared" si="47"/>
        <v>0</v>
      </c>
      <c r="J411" s="25"/>
      <c r="K411" s="32"/>
    </row>
    <row r="412" spans="1:11" s="33" customFormat="1" ht="25.5" outlineLevel="3">
      <c r="A412" s="14"/>
      <c r="B412" s="35">
        <f>MAXA($B$6:B411)+1</f>
        <v>63</v>
      </c>
      <c r="C412" s="229" t="s">
        <v>227</v>
      </c>
      <c r="D412" s="230" t="s">
        <v>38</v>
      </c>
      <c r="E412" s="231">
        <v>1</v>
      </c>
      <c r="F412" s="232">
        <v>6355384</v>
      </c>
      <c r="G412" s="232">
        <v>1563188</v>
      </c>
      <c r="H412" s="138">
        <f t="shared" si="46"/>
        <v>7918572</v>
      </c>
      <c r="I412" s="138">
        <f t="shared" si="47"/>
        <v>7918572</v>
      </c>
      <c r="J412" s="25"/>
      <c r="K412" s="32"/>
    </row>
    <row r="413" spans="1:11" s="33" customFormat="1" ht="25.5" outlineLevel="3">
      <c r="A413" s="14"/>
      <c r="B413" s="38"/>
      <c r="C413" s="241" t="s">
        <v>141</v>
      </c>
      <c r="D413" s="212"/>
      <c r="E413" s="228"/>
      <c r="F413" s="232">
        <v>0</v>
      </c>
      <c r="G413" s="232">
        <v>0</v>
      </c>
      <c r="H413" s="214"/>
      <c r="I413" s="180"/>
      <c r="J413" s="25"/>
      <c r="K413" s="32"/>
    </row>
    <row r="414" spans="1:11" s="33" customFormat="1" ht="25.5" outlineLevel="3">
      <c r="A414" s="14"/>
      <c r="B414" s="38"/>
      <c r="C414" s="229" t="s">
        <v>176</v>
      </c>
      <c r="D414" s="230" t="s">
        <v>28</v>
      </c>
      <c r="E414" s="231">
        <v>1</v>
      </c>
      <c r="F414" s="232">
        <v>0</v>
      </c>
      <c r="G414" s="232">
        <v>0</v>
      </c>
      <c r="H414" s="138">
        <f>G414+F414</f>
        <v>0</v>
      </c>
      <c r="I414" s="138">
        <f>H414*E414</f>
        <v>0</v>
      </c>
      <c r="J414" s="25"/>
      <c r="K414" s="32"/>
    </row>
    <row r="415" spans="1:11" s="33" customFormat="1" ht="25.5" outlineLevel="3">
      <c r="A415" s="14"/>
      <c r="B415" s="38"/>
      <c r="C415" s="242" t="s">
        <v>94</v>
      </c>
      <c r="D415" s="230" t="s">
        <v>28</v>
      </c>
      <c r="E415" s="231">
        <v>1</v>
      </c>
      <c r="F415" s="232">
        <v>0</v>
      </c>
      <c r="G415" s="232">
        <v>0</v>
      </c>
      <c r="H415" s="138">
        <f>G415+F415</f>
        <v>0</v>
      </c>
      <c r="I415" s="138">
        <f>H415*E415</f>
        <v>0</v>
      </c>
      <c r="J415" s="25"/>
      <c r="K415" s="32"/>
    </row>
    <row r="416" spans="1:11" s="33" customFormat="1" ht="25.5" outlineLevel="3">
      <c r="A416" s="14"/>
      <c r="B416" s="38"/>
      <c r="C416" s="242" t="s">
        <v>95</v>
      </c>
      <c r="D416" s="230" t="s">
        <v>28</v>
      </c>
      <c r="E416" s="231">
        <v>1</v>
      </c>
      <c r="F416" s="232">
        <v>0</v>
      </c>
      <c r="G416" s="232">
        <v>0</v>
      </c>
      <c r="H416" s="138">
        <f>G416+F416</f>
        <v>0</v>
      </c>
      <c r="I416" s="138">
        <f>H416*E416</f>
        <v>0</v>
      </c>
      <c r="J416" s="25"/>
      <c r="K416" s="32"/>
    </row>
    <row r="417" spans="1:11" s="33" customFormat="1" ht="25.5" outlineLevel="3">
      <c r="A417" s="14"/>
      <c r="B417" s="38"/>
      <c r="C417" s="242" t="s">
        <v>96</v>
      </c>
      <c r="D417" s="230" t="s">
        <v>28</v>
      </c>
      <c r="E417" s="231">
        <v>1</v>
      </c>
      <c r="F417" s="232">
        <v>0</v>
      </c>
      <c r="G417" s="232">
        <v>0</v>
      </c>
      <c r="H417" s="138">
        <f>G417+F417</f>
        <v>0</v>
      </c>
      <c r="I417" s="138">
        <f>H417*E417</f>
        <v>0</v>
      </c>
      <c r="J417" s="25"/>
      <c r="K417" s="32"/>
    </row>
    <row r="418" spans="1:11" s="33" customFormat="1" ht="25.5" outlineLevel="3">
      <c r="A418" s="14"/>
      <c r="B418" s="38"/>
      <c r="C418" s="241" t="s">
        <v>148</v>
      </c>
      <c r="D418" s="233"/>
      <c r="E418" s="231"/>
      <c r="F418" s="232">
        <v>0</v>
      </c>
      <c r="G418" s="232">
        <v>0</v>
      </c>
      <c r="H418" s="214"/>
      <c r="I418" s="180"/>
      <c r="J418" s="25"/>
      <c r="K418" s="32"/>
    </row>
    <row r="419" spans="1:11" s="33" customFormat="1" ht="25.5" outlineLevel="3">
      <c r="A419" s="14"/>
      <c r="B419" s="38"/>
      <c r="C419" s="229" t="s">
        <v>170</v>
      </c>
      <c r="D419" s="230" t="s">
        <v>28</v>
      </c>
      <c r="E419" s="231">
        <v>2</v>
      </c>
      <c r="F419" s="232">
        <v>0</v>
      </c>
      <c r="G419" s="232">
        <v>0</v>
      </c>
      <c r="H419" s="138">
        <f t="shared" ref="H419:H424" si="48">G419+F419</f>
        <v>0</v>
      </c>
      <c r="I419" s="138">
        <f t="shared" ref="I419:I424" si="49">H419*E419</f>
        <v>0</v>
      </c>
      <c r="J419" s="25"/>
      <c r="K419" s="32"/>
    </row>
    <row r="420" spans="1:11" s="33" customFormat="1" ht="25.5" outlineLevel="3">
      <c r="A420" s="14"/>
      <c r="B420" s="38"/>
      <c r="C420" s="229" t="s">
        <v>171</v>
      </c>
      <c r="D420" s="230" t="s">
        <v>28</v>
      </c>
      <c r="E420" s="231">
        <v>1</v>
      </c>
      <c r="F420" s="232">
        <v>0</v>
      </c>
      <c r="G420" s="232">
        <v>0</v>
      </c>
      <c r="H420" s="138">
        <f t="shared" si="48"/>
        <v>0</v>
      </c>
      <c r="I420" s="138">
        <f t="shared" si="49"/>
        <v>0</v>
      </c>
      <c r="J420" s="25"/>
      <c r="K420" s="32"/>
    </row>
    <row r="421" spans="1:11" s="33" customFormat="1" ht="25.5" outlineLevel="3">
      <c r="A421" s="14"/>
      <c r="B421" s="38"/>
      <c r="C421" s="229" t="s">
        <v>178</v>
      </c>
      <c r="D421" s="230" t="s">
        <v>28</v>
      </c>
      <c r="E421" s="231">
        <v>1</v>
      </c>
      <c r="F421" s="232">
        <v>0</v>
      </c>
      <c r="G421" s="232">
        <v>0</v>
      </c>
      <c r="H421" s="138">
        <f t="shared" si="48"/>
        <v>0</v>
      </c>
      <c r="I421" s="138">
        <f t="shared" si="49"/>
        <v>0</v>
      </c>
      <c r="J421" s="25"/>
      <c r="K421" s="32"/>
    </row>
    <row r="422" spans="1:11" s="33" customFormat="1" ht="25.5" outlineLevel="3">
      <c r="A422" s="14"/>
      <c r="B422" s="38"/>
      <c r="C422" s="229" t="s">
        <v>172</v>
      </c>
      <c r="D422" s="230" t="s">
        <v>28</v>
      </c>
      <c r="E422" s="231">
        <v>2</v>
      </c>
      <c r="F422" s="232">
        <v>0</v>
      </c>
      <c r="G422" s="232">
        <v>0</v>
      </c>
      <c r="H422" s="138">
        <f t="shared" si="48"/>
        <v>0</v>
      </c>
      <c r="I422" s="138">
        <f t="shared" si="49"/>
        <v>0</v>
      </c>
      <c r="J422" s="25"/>
      <c r="K422" s="32"/>
    </row>
    <row r="423" spans="1:11" s="33" customFormat="1" ht="25.5" outlineLevel="3">
      <c r="A423" s="14"/>
      <c r="B423" s="38"/>
      <c r="C423" s="229" t="s">
        <v>139</v>
      </c>
      <c r="D423" s="230" t="s">
        <v>38</v>
      </c>
      <c r="E423" s="231">
        <v>1</v>
      </c>
      <c r="F423" s="232">
        <v>0</v>
      </c>
      <c r="G423" s="232">
        <v>0</v>
      </c>
      <c r="H423" s="138">
        <f t="shared" si="48"/>
        <v>0</v>
      </c>
      <c r="I423" s="138">
        <f t="shared" si="49"/>
        <v>0</v>
      </c>
      <c r="J423" s="25"/>
      <c r="K423" s="32"/>
    </row>
    <row r="424" spans="1:11" s="33" customFormat="1" ht="25.5" outlineLevel="3">
      <c r="A424" s="14"/>
      <c r="B424" s="35">
        <f>MAXA($B$6:B423)+1</f>
        <v>64</v>
      </c>
      <c r="C424" s="229" t="s">
        <v>228</v>
      </c>
      <c r="D424" s="230" t="s">
        <v>38</v>
      </c>
      <c r="E424" s="231">
        <v>1</v>
      </c>
      <c r="F424" s="232">
        <v>6355384</v>
      </c>
      <c r="G424" s="232">
        <v>1563188</v>
      </c>
      <c r="H424" s="138">
        <f t="shared" si="48"/>
        <v>7918572</v>
      </c>
      <c r="I424" s="138">
        <f t="shared" si="49"/>
        <v>7918572</v>
      </c>
      <c r="J424" s="25"/>
      <c r="K424" s="32"/>
    </row>
    <row r="425" spans="1:11" s="33" customFormat="1" ht="25.5" outlineLevel="3">
      <c r="A425" s="14"/>
      <c r="B425" s="38"/>
      <c r="C425" s="241" t="s">
        <v>141</v>
      </c>
      <c r="D425" s="212"/>
      <c r="E425" s="228"/>
      <c r="F425" s="232">
        <v>0</v>
      </c>
      <c r="G425" s="232">
        <v>0</v>
      </c>
      <c r="H425" s="214"/>
      <c r="I425" s="180"/>
      <c r="J425" s="25"/>
      <c r="K425" s="32"/>
    </row>
    <row r="426" spans="1:11" s="33" customFormat="1" ht="25.5" outlineLevel="3">
      <c r="A426" s="14"/>
      <c r="B426" s="38"/>
      <c r="C426" s="229" t="s">
        <v>176</v>
      </c>
      <c r="D426" s="230" t="s">
        <v>28</v>
      </c>
      <c r="E426" s="231">
        <v>1</v>
      </c>
      <c r="F426" s="232">
        <v>0</v>
      </c>
      <c r="G426" s="232">
        <v>0</v>
      </c>
      <c r="H426" s="138">
        <f>G426+F426</f>
        <v>0</v>
      </c>
      <c r="I426" s="138">
        <f>H426*E426</f>
        <v>0</v>
      </c>
      <c r="J426" s="25"/>
      <c r="K426" s="32"/>
    </row>
    <row r="427" spans="1:11" s="33" customFormat="1" ht="25.5" outlineLevel="3">
      <c r="A427" s="14"/>
      <c r="B427" s="38"/>
      <c r="C427" s="242" t="s">
        <v>94</v>
      </c>
      <c r="D427" s="230" t="s">
        <v>28</v>
      </c>
      <c r="E427" s="231">
        <v>1</v>
      </c>
      <c r="F427" s="232">
        <v>0</v>
      </c>
      <c r="G427" s="232">
        <v>0</v>
      </c>
      <c r="H427" s="138">
        <f>G427+F427</f>
        <v>0</v>
      </c>
      <c r="I427" s="138">
        <f>H427*E427</f>
        <v>0</v>
      </c>
      <c r="J427" s="25"/>
      <c r="K427" s="32"/>
    </row>
    <row r="428" spans="1:11" s="33" customFormat="1" ht="25.5" outlineLevel="3">
      <c r="A428" s="14"/>
      <c r="B428" s="38"/>
      <c r="C428" s="242" t="s">
        <v>95</v>
      </c>
      <c r="D428" s="230" t="s">
        <v>28</v>
      </c>
      <c r="E428" s="231">
        <v>1</v>
      </c>
      <c r="F428" s="232">
        <v>0</v>
      </c>
      <c r="G428" s="232">
        <v>0</v>
      </c>
      <c r="H428" s="138">
        <f>G428+F428</f>
        <v>0</v>
      </c>
      <c r="I428" s="138">
        <f>H428*E428</f>
        <v>0</v>
      </c>
      <c r="J428" s="25"/>
      <c r="K428" s="32"/>
    </row>
    <row r="429" spans="1:11" s="33" customFormat="1" ht="25.5" outlineLevel="3">
      <c r="A429" s="14"/>
      <c r="B429" s="38"/>
      <c r="C429" s="242" t="s">
        <v>96</v>
      </c>
      <c r="D429" s="230" t="s">
        <v>28</v>
      </c>
      <c r="E429" s="231">
        <v>1</v>
      </c>
      <c r="F429" s="232">
        <v>0</v>
      </c>
      <c r="G429" s="232">
        <v>0</v>
      </c>
      <c r="H429" s="138">
        <f>G429+F429</f>
        <v>0</v>
      </c>
      <c r="I429" s="138">
        <f>H429*E429</f>
        <v>0</v>
      </c>
      <c r="J429" s="25"/>
      <c r="K429" s="32"/>
    </row>
    <row r="430" spans="1:11" s="33" customFormat="1" ht="25.5" outlineLevel="3">
      <c r="A430" s="14"/>
      <c r="B430" s="38"/>
      <c r="C430" s="241" t="s">
        <v>148</v>
      </c>
      <c r="D430" s="233"/>
      <c r="E430" s="231"/>
      <c r="F430" s="232">
        <v>0</v>
      </c>
      <c r="G430" s="232">
        <v>0</v>
      </c>
      <c r="H430" s="214"/>
      <c r="I430" s="180"/>
      <c r="J430" s="25"/>
      <c r="K430" s="32"/>
    </row>
    <row r="431" spans="1:11" s="33" customFormat="1" ht="25.5" outlineLevel="3">
      <c r="A431" s="14"/>
      <c r="B431" s="38"/>
      <c r="C431" s="229" t="s">
        <v>170</v>
      </c>
      <c r="D431" s="230" t="s">
        <v>28</v>
      </c>
      <c r="E431" s="231">
        <v>2</v>
      </c>
      <c r="F431" s="232">
        <v>0</v>
      </c>
      <c r="G431" s="232">
        <v>0</v>
      </c>
      <c r="H431" s="138">
        <f t="shared" ref="H431:H436" si="50">G431+F431</f>
        <v>0</v>
      </c>
      <c r="I431" s="138">
        <f t="shared" ref="I431:I436" si="51">H431*E431</f>
        <v>0</v>
      </c>
      <c r="J431" s="25"/>
      <c r="K431" s="32"/>
    </row>
    <row r="432" spans="1:11" s="33" customFormat="1" ht="25.5" outlineLevel="3">
      <c r="A432" s="14"/>
      <c r="B432" s="38"/>
      <c r="C432" s="229" t="s">
        <v>171</v>
      </c>
      <c r="D432" s="230" t="s">
        <v>28</v>
      </c>
      <c r="E432" s="231">
        <v>1</v>
      </c>
      <c r="F432" s="232">
        <v>0</v>
      </c>
      <c r="G432" s="232">
        <v>0</v>
      </c>
      <c r="H432" s="138">
        <f t="shared" si="50"/>
        <v>0</v>
      </c>
      <c r="I432" s="138">
        <f t="shared" si="51"/>
        <v>0</v>
      </c>
      <c r="J432" s="25"/>
      <c r="K432" s="32"/>
    </row>
    <row r="433" spans="1:11" s="33" customFormat="1" ht="25.5" outlineLevel="3">
      <c r="A433" s="14"/>
      <c r="B433" s="38"/>
      <c r="C433" s="229" t="s">
        <v>178</v>
      </c>
      <c r="D433" s="230" t="s">
        <v>28</v>
      </c>
      <c r="E433" s="231">
        <v>1</v>
      </c>
      <c r="F433" s="232">
        <v>0</v>
      </c>
      <c r="G433" s="232">
        <v>0</v>
      </c>
      <c r="H433" s="138">
        <f t="shared" si="50"/>
        <v>0</v>
      </c>
      <c r="I433" s="138">
        <f t="shared" si="51"/>
        <v>0</v>
      </c>
      <c r="J433" s="25"/>
      <c r="K433" s="32"/>
    </row>
    <row r="434" spans="1:11" s="33" customFormat="1" ht="25.5" outlineLevel="3">
      <c r="A434" s="14"/>
      <c r="B434" s="38"/>
      <c r="C434" s="229" t="s">
        <v>172</v>
      </c>
      <c r="D434" s="230" t="s">
        <v>28</v>
      </c>
      <c r="E434" s="231">
        <v>2</v>
      </c>
      <c r="F434" s="232">
        <v>0</v>
      </c>
      <c r="G434" s="232">
        <v>0</v>
      </c>
      <c r="H434" s="138">
        <f t="shared" si="50"/>
        <v>0</v>
      </c>
      <c r="I434" s="138">
        <f t="shared" si="51"/>
        <v>0</v>
      </c>
      <c r="J434" s="25"/>
      <c r="K434" s="32"/>
    </row>
    <row r="435" spans="1:11" s="33" customFormat="1" ht="25.5" outlineLevel="3">
      <c r="A435" s="14"/>
      <c r="B435" s="38"/>
      <c r="C435" s="229" t="s">
        <v>139</v>
      </c>
      <c r="D435" s="230" t="s">
        <v>38</v>
      </c>
      <c r="E435" s="231">
        <v>1</v>
      </c>
      <c r="F435" s="232">
        <v>0</v>
      </c>
      <c r="G435" s="232">
        <v>0</v>
      </c>
      <c r="H435" s="138">
        <f t="shared" si="50"/>
        <v>0</v>
      </c>
      <c r="I435" s="138">
        <f t="shared" si="51"/>
        <v>0</v>
      </c>
      <c r="J435" s="25"/>
      <c r="K435" s="32"/>
    </row>
    <row r="436" spans="1:11" s="33" customFormat="1" ht="25.5" outlineLevel="3">
      <c r="A436" s="14"/>
      <c r="B436" s="35">
        <f>MAXA($B$6:B435)+1</f>
        <v>65</v>
      </c>
      <c r="C436" s="229" t="s">
        <v>229</v>
      </c>
      <c r="D436" s="230" t="s">
        <v>38</v>
      </c>
      <c r="E436" s="231">
        <v>1</v>
      </c>
      <c r="F436" s="232">
        <v>6355384</v>
      </c>
      <c r="G436" s="232">
        <v>1563188</v>
      </c>
      <c r="H436" s="138">
        <f t="shared" si="50"/>
        <v>7918572</v>
      </c>
      <c r="I436" s="138">
        <f t="shared" si="51"/>
        <v>7918572</v>
      </c>
      <c r="J436" s="25"/>
      <c r="K436" s="32"/>
    </row>
    <row r="437" spans="1:11" s="33" customFormat="1" ht="25.5" outlineLevel="3">
      <c r="A437" s="14"/>
      <c r="B437" s="38"/>
      <c r="C437" s="241" t="s">
        <v>141</v>
      </c>
      <c r="D437" s="212"/>
      <c r="E437" s="228"/>
      <c r="F437" s="232">
        <v>0</v>
      </c>
      <c r="G437" s="232">
        <v>0</v>
      </c>
      <c r="H437" s="214"/>
      <c r="I437" s="180"/>
      <c r="J437" s="25"/>
      <c r="K437" s="32"/>
    </row>
    <row r="438" spans="1:11" s="33" customFormat="1" ht="25.5" outlineLevel="3">
      <c r="A438" s="14"/>
      <c r="B438" s="38"/>
      <c r="C438" s="229" t="s">
        <v>230</v>
      </c>
      <c r="D438" s="230" t="s">
        <v>28</v>
      </c>
      <c r="E438" s="231">
        <v>1</v>
      </c>
      <c r="F438" s="232">
        <v>0</v>
      </c>
      <c r="G438" s="232">
        <v>0</v>
      </c>
      <c r="H438" s="138">
        <f>G438+F438</f>
        <v>0</v>
      </c>
      <c r="I438" s="138">
        <f>H438*E438</f>
        <v>0</v>
      </c>
      <c r="J438" s="25"/>
      <c r="K438" s="32"/>
    </row>
    <row r="439" spans="1:11" s="33" customFormat="1" ht="25.5" outlineLevel="3">
      <c r="A439" s="14"/>
      <c r="B439" s="38"/>
      <c r="C439" s="242" t="s">
        <v>94</v>
      </c>
      <c r="D439" s="230" t="s">
        <v>28</v>
      </c>
      <c r="E439" s="231">
        <v>1</v>
      </c>
      <c r="F439" s="232">
        <v>0</v>
      </c>
      <c r="G439" s="232">
        <v>0</v>
      </c>
      <c r="H439" s="138">
        <f>G439+F439</f>
        <v>0</v>
      </c>
      <c r="I439" s="138">
        <f>H439*E439</f>
        <v>0</v>
      </c>
      <c r="J439" s="25"/>
      <c r="K439" s="32"/>
    </row>
    <row r="440" spans="1:11" s="33" customFormat="1" ht="25.5" outlineLevel="3">
      <c r="A440" s="14"/>
      <c r="B440" s="38"/>
      <c r="C440" s="242" t="s">
        <v>95</v>
      </c>
      <c r="D440" s="230" t="s">
        <v>28</v>
      </c>
      <c r="E440" s="231">
        <v>1</v>
      </c>
      <c r="F440" s="232">
        <v>0</v>
      </c>
      <c r="G440" s="232">
        <v>0</v>
      </c>
      <c r="H440" s="138">
        <f>G440+F440</f>
        <v>0</v>
      </c>
      <c r="I440" s="138">
        <f>H440*E440</f>
        <v>0</v>
      </c>
      <c r="J440" s="25"/>
      <c r="K440" s="32"/>
    </row>
    <row r="441" spans="1:11" s="33" customFormat="1" ht="25.5" outlineLevel="3">
      <c r="A441" s="14"/>
      <c r="B441" s="38"/>
      <c r="C441" s="242" t="s">
        <v>96</v>
      </c>
      <c r="D441" s="230" t="s">
        <v>28</v>
      </c>
      <c r="E441" s="231">
        <v>1</v>
      </c>
      <c r="F441" s="232">
        <v>0</v>
      </c>
      <c r="G441" s="232">
        <v>0</v>
      </c>
      <c r="H441" s="138">
        <f>G441+F441</f>
        <v>0</v>
      </c>
      <c r="I441" s="138">
        <f>H441*E441</f>
        <v>0</v>
      </c>
      <c r="J441" s="25"/>
      <c r="K441" s="32"/>
    </row>
    <row r="442" spans="1:11" s="33" customFormat="1" ht="25.5" outlineLevel="3">
      <c r="A442" s="14"/>
      <c r="B442" s="38"/>
      <c r="C442" s="241" t="s">
        <v>148</v>
      </c>
      <c r="D442" s="233"/>
      <c r="E442" s="231"/>
      <c r="F442" s="232">
        <v>0</v>
      </c>
      <c r="G442" s="232">
        <v>0</v>
      </c>
      <c r="H442" s="214"/>
      <c r="I442" s="180"/>
      <c r="J442" s="25"/>
      <c r="K442" s="32"/>
    </row>
    <row r="443" spans="1:11" s="33" customFormat="1" ht="25.5" outlineLevel="3">
      <c r="A443" s="14"/>
      <c r="B443" s="38"/>
      <c r="C443" s="229" t="s">
        <v>170</v>
      </c>
      <c r="D443" s="230" t="s">
        <v>28</v>
      </c>
      <c r="E443" s="231">
        <v>3</v>
      </c>
      <c r="F443" s="232">
        <v>0</v>
      </c>
      <c r="G443" s="232">
        <v>0</v>
      </c>
      <c r="H443" s="138">
        <f t="shared" ref="H443:H449" si="52">G443+F443</f>
        <v>0</v>
      </c>
      <c r="I443" s="138">
        <f t="shared" ref="I443:I449" si="53">H443*E443</f>
        <v>0</v>
      </c>
      <c r="J443" s="25"/>
      <c r="K443" s="32"/>
    </row>
    <row r="444" spans="1:11" s="33" customFormat="1" ht="25.5" outlineLevel="3">
      <c r="A444" s="14"/>
      <c r="B444" s="38"/>
      <c r="C444" s="229" t="s">
        <v>171</v>
      </c>
      <c r="D444" s="230" t="s">
        <v>28</v>
      </c>
      <c r="E444" s="231">
        <v>1</v>
      </c>
      <c r="F444" s="232">
        <v>0</v>
      </c>
      <c r="G444" s="232">
        <v>0</v>
      </c>
      <c r="H444" s="138">
        <f t="shared" si="52"/>
        <v>0</v>
      </c>
      <c r="I444" s="138">
        <f t="shared" si="53"/>
        <v>0</v>
      </c>
      <c r="J444" s="25"/>
      <c r="K444" s="32"/>
    </row>
    <row r="445" spans="1:11" s="33" customFormat="1" ht="25.5" outlineLevel="3">
      <c r="A445" s="14"/>
      <c r="B445" s="38"/>
      <c r="C445" s="229" t="s">
        <v>178</v>
      </c>
      <c r="D445" s="230" t="s">
        <v>28</v>
      </c>
      <c r="E445" s="231">
        <v>1</v>
      </c>
      <c r="F445" s="232">
        <v>0</v>
      </c>
      <c r="G445" s="232">
        <v>0</v>
      </c>
      <c r="H445" s="138">
        <f t="shared" si="52"/>
        <v>0</v>
      </c>
      <c r="I445" s="138">
        <f t="shared" si="53"/>
        <v>0</v>
      </c>
      <c r="J445" s="25"/>
      <c r="K445" s="32"/>
    </row>
    <row r="446" spans="1:11" s="33" customFormat="1" ht="25.5" outlineLevel="3">
      <c r="A446" s="14"/>
      <c r="B446" s="38"/>
      <c r="C446" s="229" t="s">
        <v>172</v>
      </c>
      <c r="D446" s="230" t="s">
        <v>28</v>
      </c>
      <c r="E446" s="231">
        <v>3</v>
      </c>
      <c r="F446" s="232">
        <v>0</v>
      </c>
      <c r="G446" s="232">
        <v>0</v>
      </c>
      <c r="H446" s="138">
        <f t="shared" si="52"/>
        <v>0</v>
      </c>
      <c r="I446" s="138">
        <f t="shared" si="53"/>
        <v>0</v>
      </c>
      <c r="J446" s="25"/>
      <c r="K446" s="32"/>
    </row>
    <row r="447" spans="1:11" s="33" customFormat="1" ht="25.5" outlineLevel="3">
      <c r="A447" s="14"/>
      <c r="B447" s="38"/>
      <c r="C447" s="229" t="s">
        <v>173</v>
      </c>
      <c r="D447" s="230" t="s">
        <v>28</v>
      </c>
      <c r="E447" s="231">
        <v>1</v>
      </c>
      <c r="F447" s="232">
        <v>0</v>
      </c>
      <c r="G447" s="232">
        <v>0</v>
      </c>
      <c r="H447" s="138">
        <f t="shared" si="52"/>
        <v>0</v>
      </c>
      <c r="I447" s="138">
        <f t="shared" si="53"/>
        <v>0</v>
      </c>
      <c r="J447" s="25"/>
      <c r="K447" s="32"/>
    </row>
    <row r="448" spans="1:11" s="33" customFormat="1" ht="25.5" outlineLevel="3">
      <c r="A448" s="14"/>
      <c r="B448" s="38"/>
      <c r="C448" s="229" t="s">
        <v>139</v>
      </c>
      <c r="D448" s="230" t="s">
        <v>38</v>
      </c>
      <c r="E448" s="231">
        <v>1</v>
      </c>
      <c r="F448" s="232">
        <v>0</v>
      </c>
      <c r="G448" s="232">
        <v>0</v>
      </c>
      <c r="H448" s="138">
        <f t="shared" si="52"/>
        <v>0</v>
      </c>
      <c r="I448" s="138">
        <f t="shared" si="53"/>
        <v>0</v>
      </c>
      <c r="J448" s="25"/>
      <c r="K448" s="32"/>
    </row>
    <row r="449" spans="1:11" s="33" customFormat="1" ht="25.5" outlineLevel="3">
      <c r="A449" s="14"/>
      <c r="B449" s="35">
        <f>MAXA($B$6:B448)+1</f>
        <v>66</v>
      </c>
      <c r="C449" s="229" t="s">
        <v>231</v>
      </c>
      <c r="D449" s="230" t="s">
        <v>38</v>
      </c>
      <c r="E449" s="231">
        <v>1</v>
      </c>
      <c r="F449" s="232">
        <v>55669127</v>
      </c>
      <c r="G449" s="232">
        <v>1563188</v>
      </c>
      <c r="H449" s="138">
        <f t="shared" si="52"/>
        <v>57232315</v>
      </c>
      <c r="I449" s="138">
        <f t="shared" si="53"/>
        <v>57232315</v>
      </c>
      <c r="J449" s="25"/>
      <c r="K449" s="32"/>
    </row>
    <row r="450" spans="1:11" s="33" customFormat="1" ht="25.5" outlineLevel="3">
      <c r="A450" s="14"/>
      <c r="B450" s="38"/>
      <c r="C450" s="241" t="s">
        <v>141</v>
      </c>
      <c r="D450" s="212"/>
      <c r="E450" s="228"/>
      <c r="F450" s="232">
        <v>0</v>
      </c>
      <c r="G450" s="232">
        <v>0</v>
      </c>
      <c r="H450" s="214"/>
      <c r="I450" s="180"/>
      <c r="J450" s="25"/>
      <c r="K450" s="32"/>
    </row>
    <row r="451" spans="1:11" s="33" customFormat="1" ht="25.5" outlineLevel="3">
      <c r="A451" s="14"/>
      <c r="B451" s="38"/>
      <c r="C451" s="229" t="s">
        <v>232</v>
      </c>
      <c r="D451" s="230" t="s">
        <v>28</v>
      </c>
      <c r="E451" s="231">
        <v>1</v>
      </c>
      <c r="F451" s="232">
        <v>0</v>
      </c>
      <c r="G451" s="232">
        <v>0</v>
      </c>
      <c r="H451" s="138">
        <f t="shared" ref="H451:H461" si="54">G451+F451</f>
        <v>0</v>
      </c>
      <c r="I451" s="138">
        <f t="shared" ref="I451:I461" si="55">H451*E451</f>
        <v>0</v>
      </c>
      <c r="J451" s="25"/>
      <c r="K451" s="32"/>
    </row>
    <row r="452" spans="1:11" s="33" customFormat="1" ht="25.5" outlineLevel="3">
      <c r="A452" s="14"/>
      <c r="B452" s="38"/>
      <c r="C452" s="242" t="s">
        <v>94</v>
      </c>
      <c r="D452" s="230" t="s">
        <v>28</v>
      </c>
      <c r="E452" s="231">
        <v>9</v>
      </c>
      <c r="F452" s="232">
        <v>0</v>
      </c>
      <c r="G452" s="232">
        <v>0</v>
      </c>
      <c r="H452" s="138">
        <f t="shared" si="54"/>
        <v>0</v>
      </c>
      <c r="I452" s="138">
        <f t="shared" si="55"/>
        <v>0</v>
      </c>
      <c r="J452" s="25"/>
      <c r="K452" s="32"/>
    </row>
    <row r="453" spans="1:11" s="33" customFormat="1" ht="25.5" outlineLevel="3">
      <c r="A453" s="14"/>
      <c r="B453" s="38"/>
      <c r="C453" s="242" t="s">
        <v>95</v>
      </c>
      <c r="D453" s="230" t="s">
        <v>28</v>
      </c>
      <c r="E453" s="231">
        <v>9</v>
      </c>
      <c r="F453" s="232">
        <v>0</v>
      </c>
      <c r="G453" s="232">
        <v>0</v>
      </c>
      <c r="H453" s="138">
        <f t="shared" si="54"/>
        <v>0</v>
      </c>
      <c r="I453" s="138">
        <f t="shared" si="55"/>
        <v>0</v>
      </c>
      <c r="J453" s="25"/>
      <c r="K453" s="32"/>
    </row>
    <row r="454" spans="1:11" s="33" customFormat="1" ht="25.5" outlineLevel="3">
      <c r="A454" s="14"/>
      <c r="B454" s="38"/>
      <c r="C454" s="242" t="s">
        <v>96</v>
      </c>
      <c r="D454" s="230" t="s">
        <v>28</v>
      </c>
      <c r="E454" s="231">
        <v>2</v>
      </c>
      <c r="F454" s="232">
        <v>0</v>
      </c>
      <c r="G454" s="232">
        <v>0</v>
      </c>
      <c r="H454" s="138">
        <f t="shared" si="54"/>
        <v>0</v>
      </c>
      <c r="I454" s="138">
        <f t="shared" si="55"/>
        <v>0</v>
      </c>
      <c r="J454" s="25"/>
      <c r="K454" s="32"/>
    </row>
    <row r="455" spans="1:11" s="33" customFormat="1" ht="25.5" outlineLevel="3">
      <c r="A455" s="14"/>
      <c r="B455" s="38"/>
      <c r="C455" s="242" t="s">
        <v>97</v>
      </c>
      <c r="D455" s="230" t="s">
        <v>28</v>
      </c>
      <c r="E455" s="231">
        <v>2</v>
      </c>
      <c r="F455" s="232">
        <v>0</v>
      </c>
      <c r="G455" s="232">
        <v>0</v>
      </c>
      <c r="H455" s="138">
        <f t="shared" si="54"/>
        <v>0</v>
      </c>
      <c r="I455" s="138">
        <f t="shared" si="55"/>
        <v>0</v>
      </c>
      <c r="J455" s="25"/>
      <c r="K455" s="32"/>
    </row>
    <row r="456" spans="1:11" s="33" customFormat="1" ht="25.5" outlineLevel="3">
      <c r="A456" s="14"/>
      <c r="B456" s="38"/>
      <c r="C456" s="242" t="s">
        <v>98</v>
      </c>
      <c r="D456" s="230" t="s">
        <v>28</v>
      </c>
      <c r="E456" s="231">
        <v>2</v>
      </c>
      <c r="F456" s="232">
        <v>0</v>
      </c>
      <c r="G456" s="232">
        <v>0</v>
      </c>
      <c r="H456" s="138">
        <f t="shared" si="54"/>
        <v>0</v>
      </c>
      <c r="I456" s="138">
        <f t="shared" si="55"/>
        <v>0</v>
      </c>
      <c r="J456" s="25"/>
      <c r="K456" s="32"/>
    </row>
    <row r="457" spans="1:11" s="33" customFormat="1" ht="25.5" outlineLevel="3">
      <c r="A457" s="14"/>
      <c r="B457" s="38"/>
      <c r="C457" s="242" t="s">
        <v>143</v>
      </c>
      <c r="D457" s="230" t="s">
        <v>28</v>
      </c>
      <c r="E457" s="231">
        <v>1</v>
      </c>
      <c r="F457" s="232">
        <v>0</v>
      </c>
      <c r="G457" s="232">
        <v>0</v>
      </c>
      <c r="H457" s="138">
        <f t="shared" si="54"/>
        <v>0</v>
      </c>
      <c r="I457" s="138">
        <f t="shared" si="55"/>
        <v>0</v>
      </c>
      <c r="J457" s="25"/>
      <c r="K457" s="32"/>
    </row>
    <row r="458" spans="1:11" s="33" customFormat="1" ht="25.5" outlineLevel="3">
      <c r="A458" s="14"/>
      <c r="B458" s="38"/>
      <c r="C458" s="242" t="s">
        <v>144</v>
      </c>
      <c r="D458" s="230" t="s">
        <v>28</v>
      </c>
      <c r="E458" s="231">
        <v>1</v>
      </c>
      <c r="F458" s="232">
        <v>0</v>
      </c>
      <c r="G458" s="232">
        <v>0</v>
      </c>
      <c r="H458" s="138">
        <f t="shared" si="54"/>
        <v>0</v>
      </c>
      <c r="I458" s="138">
        <f t="shared" si="55"/>
        <v>0</v>
      </c>
      <c r="J458" s="25"/>
      <c r="K458" s="32"/>
    </row>
    <row r="459" spans="1:11" s="33" customFormat="1" ht="25.5" outlineLevel="3">
      <c r="A459" s="14"/>
      <c r="B459" s="38"/>
      <c r="C459" s="242" t="s">
        <v>233</v>
      </c>
      <c r="D459" s="230" t="s">
        <v>28</v>
      </c>
      <c r="E459" s="231">
        <v>1</v>
      </c>
      <c r="F459" s="232">
        <v>0</v>
      </c>
      <c r="G459" s="232">
        <v>0</v>
      </c>
      <c r="H459" s="138">
        <f t="shared" si="54"/>
        <v>0</v>
      </c>
      <c r="I459" s="138">
        <f t="shared" si="55"/>
        <v>0</v>
      </c>
      <c r="J459" s="25"/>
      <c r="K459" s="32"/>
    </row>
    <row r="460" spans="1:11" s="33" customFormat="1" ht="25.5" outlineLevel="3">
      <c r="A460" s="14"/>
      <c r="B460" s="38"/>
      <c r="C460" s="242" t="s">
        <v>146</v>
      </c>
      <c r="D460" s="230" t="s">
        <v>28</v>
      </c>
      <c r="E460" s="231">
        <v>1</v>
      </c>
      <c r="F460" s="232">
        <v>0</v>
      </c>
      <c r="G460" s="232">
        <v>0</v>
      </c>
      <c r="H460" s="138">
        <f t="shared" si="54"/>
        <v>0</v>
      </c>
      <c r="I460" s="138">
        <f t="shared" si="55"/>
        <v>0</v>
      </c>
      <c r="J460" s="25"/>
      <c r="K460" s="32"/>
    </row>
    <row r="461" spans="1:11" s="33" customFormat="1" ht="25.5" outlineLevel="3">
      <c r="A461" s="14"/>
      <c r="B461" s="38"/>
      <c r="C461" s="242" t="s">
        <v>234</v>
      </c>
      <c r="D461" s="230" t="s">
        <v>28</v>
      </c>
      <c r="E461" s="231">
        <v>3</v>
      </c>
      <c r="F461" s="232">
        <v>0</v>
      </c>
      <c r="G461" s="232">
        <v>0</v>
      </c>
      <c r="H461" s="138">
        <f t="shared" si="54"/>
        <v>0</v>
      </c>
      <c r="I461" s="138">
        <f t="shared" si="55"/>
        <v>0</v>
      </c>
      <c r="J461" s="25"/>
      <c r="K461" s="32"/>
    </row>
    <row r="462" spans="1:11" s="33" customFormat="1" ht="25.5" outlineLevel="3">
      <c r="A462" s="14"/>
      <c r="B462" s="38"/>
      <c r="C462" s="241" t="s">
        <v>148</v>
      </c>
      <c r="D462" s="233"/>
      <c r="E462" s="231"/>
      <c r="F462" s="232">
        <v>0</v>
      </c>
      <c r="G462" s="232">
        <v>0</v>
      </c>
      <c r="H462" s="214"/>
      <c r="I462" s="180"/>
      <c r="J462" s="25"/>
      <c r="K462" s="32"/>
    </row>
    <row r="463" spans="1:11" s="33" customFormat="1" ht="25.5" outlineLevel="3">
      <c r="A463" s="14"/>
      <c r="B463" s="38"/>
      <c r="C463" s="229" t="s">
        <v>149</v>
      </c>
      <c r="D463" s="230" t="s">
        <v>28</v>
      </c>
      <c r="E463" s="231">
        <v>11</v>
      </c>
      <c r="F463" s="232">
        <v>0</v>
      </c>
      <c r="G463" s="232">
        <v>0</v>
      </c>
      <c r="H463" s="138">
        <f t="shared" ref="H463:H476" si="56">G463+F463</f>
        <v>0</v>
      </c>
      <c r="I463" s="138">
        <f t="shared" ref="I463:I476" si="57">H463*E463</f>
        <v>0</v>
      </c>
      <c r="J463" s="25"/>
      <c r="K463" s="32"/>
    </row>
    <row r="464" spans="1:11" s="33" customFormat="1" ht="25.5" outlineLevel="3">
      <c r="A464" s="14"/>
      <c r="B464" s="38"/>
      <c r="C464" s="229" t="s">
        <v>150</v>
      </c>
      <c r="D464" s="230" t="s">
        <v>28</v>
      </c>
      <c r="E464" s="231">
        <v>1</v>
      </c>
      <c r="F464" s="232">
        <v>0</v>
      </c>
      <c r="G464" s="232">
        <v>0</v>
      </c>
      <c r="H464" s="138">
        <f t="shared" si="56"/>
        <v>0</v>
      </c>
      <c r="I464" s="138">
        <f t="shared" si="57"/>
        <v>0</v>
      </c>
      <c r="J464" s="25"/>
      <c r="K464" s="32"/>
    </row>
    <row r="465" spans="1:11" s="33" customFormat="1" ht="25.5" outlineLevel="3">
      <c r="A465" s="14"/>
      <c r="B465" s="38"/>
      <c r="C465" s="229" t="s">
        <v>151</v>
      </c>
      <c r="D465" s="230" t="s">
        <v>28</v>
      </c>
      <c r="E465" s="231">
        <v>1</v>
      </c>
      <c r="F465" s="232">
        <v>0</v>
      </c>
      <c r="G465" s="232">
        <v>0</v>
      </c>
      <c r="H465" s="138">
        <f t="shared" si="56"/>
        <v>0</v>
      </c>
      <c r="I465" s="138">
        <f t="shared" si="57"/>
        <v>0</v>
      </c>
      <c r="J465" s="25"/>
      <c r="K465" s="32"/>
    </row>
    <row r="466" spans="1:11" s="33" customFormat="1" ht="25.5" outlineLevel="3">
      <c r="A466" s="14"/>
      <c r="B466" s="38"/>
      <c r="C466" s="229" t="s">
        <v>152</v>
      </c>
      <c r="D466" s="230" t="s">
        <v>28</v>
      </c>
      <c r="E466" s="231">
        <v>3</v>
      </c>
      <c r="F466" s="232">
        <v>0</v>
      </c>
      <c r="G466" s="232">
        <v>0</v>
      </c>
      <c r="H466" s="138">
        <f t="shared" si="56"/>
        <v>0</v>
      </c>
      <c r="I466" s="138">
        <f t="shared" si="57"/>
        <v>0</v>
      </c>
      <c r="J466" s="25"/>
      <c r="K466" s="32"/>
    </row>
    <row r="467" spans="1:11" s="33" customFormat="1" ht="25.5" outlineLevel="3">
      <c r="A467" s="14"/>
      <c r="B467" s="38"/>
      <c r="C467" s="229" t="s">
        <v>153</v>
      </c>
      <c r="D467" s="230" t="s">
        <v>28</v>
      </c>
      <c r="E467" s="231">
        <v>1</v>
      </c>
      <c r="F467" s="232">
        <v>0</v>
      </c>
      <c r="G467" s="232">
        <v>0</v>
      </c>
      <c r="H467" s="138">
        <f t="shared" si="56"/>
        <v>0</v>
      </c>
      <c r="I467" s="138">
        <f t="shared" si="57"/>
        <v>0</v>
      </c>
      <c r="J467" s="25"/>
      <c r="K467" s="32"/>
    </row>
    <row r="468" spans="1:11" s="33" customFormat="1" ht="25.5" outlineLevel="3">
      <c r="A468" s="14"/>
      <c r="B468" s="38"/>
      <c r="C468" s="229" t="s">
        <v>235</v>
      </c>
      <c r="D468" s="230" t="s">
        <v>28</v>
      </c>
      <c r="E468" s="231">
        <v>4</v>
      </c>
      <c r="F468" s="232">
        <v>0</v>
      </c>
      <c r="G468" s="232">
        <v>0</v>
      </c>
      <c r="H468" s="138">
        <f t="shared" si="56"/>
        <v>0</v>
      </c>
      <c r="I468" s="138">
        <f t="shared" si="57"/>
        <v>0</v>
      </c>
      <c r="J468" s="25"/>
      <c r="K468" s="32"/>
    </row>
    <row r="469" spans="1:11" s="33" customFormat="1" ht="25.5" outlineLevel="3">
      <c r="A469" s="14"/>
      <c r="B469" s="38"/>
      <c r="C469" s="229" t="s">
        <v>160</v>
      </c>
      <c r="D469" s="230" t="s">
        <v>28</v>
      </c>
      <c r="E469" s="231">
        <v>1</v>
      </c>
      <c r="F469" s="232">
        <v>0</v>
      </c>
      <c r="G469" s="232">
        <v>0</v>
      </c>
      <c r="H469" s="138">
        <f t="shared" si="56"/>
        <v>0</v>
      </c>
      <c r="I469" s="138">
        <f t="shared" si="57"/>
        <v>0</v>
      </c>
      <c r="J469" s="25"/>
      <c r="K469" s="32"/>
    </row>
    <row r="470" spans="1:11" s="33" customFormat="1" ht="25.5" outlineLevel="3">
      <c r="A470" s="14"/>
      <c r="B470" s="38"/>
      <c r="C470" s="242" t="s">
        <v>161</v>
      </c>
      <c r="D470" s="230" t="s">
        <v>162</v>
      </c>
      <c r="E470" s="231">
        <v>1</v>
      </c>
      <c r="F470" s="232">
        <v>0</v>
      </c>
      <c r="G470" s="232">
        <v>0</v>
      </c>
      <c r="H470" s="138">
        <f t="shared" si="56"/>
        <v>0</v>
      </c>
      <c r="I470" s="138">
        <f t="shared" si="57"/>
        <v>0</v>
      </c>
      <c r="J470" s="25"/>
      <c r="K470" s="32"/>
    </row>
    <row r="471" spans="1:11" s="33" customFormat="1" ht="25.5" outlineLevel="3">
      <c r="A471" s="14"/>
      <c r="B471" s="38"/>
      <c r="C471" s="229" t="s">
        <v>163</v>
      </c>
      <c r="D471" s="230" t="s">
        <v>28</v>
      </c>
      <c r="E471" s="231">
        <v>7</v>
      </c>
      <c r="F471" s="232">
        <v>0</v>
      </c>
      <c r="G471" s="232">
        <v>0</v>
      </c>
      <c r="H471" s="138">
        <f t="shared" si="56"/>
        <v>0</v>
      </c>
      <c r="I471" s="138">
        <f t="shared" si="57"/>
        <v>0</v>
      </c>
      <c r="J471" s="25"/>
      <c r="K471" s="32"/>
    </row>
    <row r="472" spans="1:11" s="33" customFormat="1" ht="25.5" outlineLevel="3">
      <c r="A472" s="14"/>
      <c r="B472" s="38"/>
      <c r="C472" s="229" t="s">
        <v>165</v>
      </c>
      <c r="D472" s="230" t="s">
        <v>28</v>
      </c>
      <c r="E472" s="231">
        <v>5</v>
      </c>
      <c r="F472" s="232">
        <v>0</v>
      </c>
      <c r="G472" s="232">
        <v>0</v>
      </c>
      <c r="H472" s="138">
        <f t="shared" si="56"/>
        <v>0</v>
      </c>
      <c r="I472" s="138">
        <f t="shared" si="57"/>
        <v>0</v>
      </c>
      <c r="J472" s="25"/>
      <c r="K472" s="32"/>
    </row>
    <row r="473" spans="1:11" s="33" customFormat="1" ht="25.5" outlineLevel="3">
      <c r="A473" s="14"/>
      <c r="B473" s="38"/>
      <c r="C473" s="229" t="s">
        <v>166</v>
      </c>
      <c r="D473" s="230" t="s">
        <v>28</v>
      </c>
      <c r="E473" s="231">
        <v>3</v>
      </c>
      <c r="F473" s="232">
        <v>0</v>
      </c>
      <c r="G473" s="232">
        <v>0</v>
      </c>
      <c r="H473" s="138">
        <f t="shared" si="56"/>
        <v>0</v>
      </c>
      <c r="I473" s="138">
        <f t="shared" si="57"/>
        <v>0</v>
      </c>
      <c r="J473" s="25"/>
      <c r="K473" s="32"/>
    </row>
    <row r="474" spans="1:11" s="33" customFormat="1" ht="25.5" outlineLevel="3">
      <c r="A474" s="14"/>
      <c r="B474" s="38"/>
      <c r="C474" s="229" t="s">
        <v>167</v>
      </c>
      <c r="D474" s="230" t="s">
        <v>28</v>
      </c>
      <c r="E474" s="231">
        <v>3</v>
      </c>
      <c r="F474" s="232">
        <v>0</v>
      </c>
      <c r="G474" s="232">
        <v>0</v>
      </c>
      <c r="H474" s="138">
        <f t="shared" si="56"/>
        <v>0</v>
      </c>
      <c r="I474" s="138">
        <f t="shared" si="57"/>
        <v>0</v>
      </c>
      <c r="J474" s="25"/>
      <c r="K474" s="32"/>
    </row>
    <row r="475" spans="1:11" s="33" customFormat="1" ht="25.5" outlineLevel="3">
      <c r="A475" s="14"/>
      <c r="B475" s="38"/>
      <c r="C475" s="229" t="s">
        <v>139</v>
      </c>
      <c r="D475" s="230" t="s">
        <v>38</v>
      </c>
      <c r="E475" s="231">
        <v>1</v>
      </c>
      <c r="F475" s="232">
        <v>0</v>
      </c>
      <c r="G475" s="232">
        <v>0</v>
      </c>
      <c r="H475" s="138">
        <f t="shared" si="56"/>
        <v>0</v>
      </c>
      <c r="I475" s="138">
        <f t="shared" si="57"/>
        <v>0</v>
      </c>
      <c r="J475" s="25"/>
      <c r="K475" s="32"/>
    </row>
    <row r="476" spans="1:11" s="33" customFormat="1" ht="25.5" outlineLevel="3">
      <c r="A476" s="14"/>
      <c r="B476" s="35">
        <f>MAXA($B$6:B475)+1</f>
        <v>67</v>
      </c>
      <c r="C476" s="229" t="s">
        <v>236</v>
      </c>
      <c r="D476" s="230" t="s">
        <v>38</v>
      </c>
      <c r="E476" s="231">
        <v>1</v>
      </c>
      <c r="F476" s="232">
        <v>4450975</v>
      </c>
      <c r="G476" s="232">
        <v>1563188</v>
      </c>
      <c r="H476" s="138">
        <f t="shared" si="56"/>
        <v>6014163</v>
      </c>
      <c r="I476" s="138">
        <f t="shared" si="57"/>
        <v>6014163</v>
      </c>
      <c r="J476" s="25"/>
      <c r="K476" s="32"/>
    </row>
    <row r="477" spans="1:11" s="33" customFormat="1" ht="25.5" outlineLevel="3">
      <c r="A477" s="14"/>
      <c r="B477" s="38"/>
      <c r="C477" s="241" t="s">
        <v>141</v>
      </c>
      <c r="D477" s="212"/>
      <c r="E477" s="228"/>
      <c r="F477" s="232">
        <v>0</v>
      </c>
      <c r="G477" s="232">
        <v>0</v>
      </c>
      <c r="H477" s="214"/>
      <c r="I477" s="180"/>
      <c r="J477" s="25"/>
      <c r="K477" s="32"/>
    </row>
    <row r="478" spans="1:11" s="33" customFormat="1" ht="25.5" outlineLevel="3">
      <c r="A478" s="14"/>
      <c r="B478" s="38"/>
      <c r="C478" s="229" t="s">
        <v>237</v>
      </c>
      <c r="D478" s="230" t="s">
        <v>28</v>
      </c>
      <c r="E478" s="231">
        <v>1</v>
      </c>
      <c r="F478" s="232">
        <v>0</v>
      </c>
      <c r="G478" s="232">
        <v>0</v>
      </c>
      <c r="H478" s="138">
        <f>G478+F478</f>
        <v>0</v>
      </c>
      <c r="I478" s="138">
        <f>H478*E478</f>
        <v>0</v>
      </c>
      <c r="J478" s="25"/>
      <c r="K478" s="32"/>
    </row>
    <row r="479" spans="1:11" s="33" customFormat="1" ht="25.5" outlineLevel="3">
      <c r="A479" s="14"/>
      <c r="B479" s="38"/>
      <c r="C479" s="242" t="s">
        <v>94</v>
      </c>
      <c r="D479" s="230" t="s">
        <v>28</v>
      </c>
      <c r="E479" s="231">
        <v>1</v>
      </c>
      <c r="F479" s="232">
        <v>0</v>
      </c>
      <c r="G479" s="232">
        <v>0</v>
      </c>
      <c r="H479" s="138">
        <f>G479+F479</f>
        <v>0</v>
      </c>
      <c r="I479" s="138">
        <f>H479*E479</f>
        <v>0</v>
      </c>
      <c r="J479" s="25"/>
      <c r="K479" s="32"/>
    </row>
    <row r="480" spans="1:11" s="33" customFormat="1" ht="25.5" outlineLevel="3">
      <c r="A480" s="14"/>
      <c r="B480" s="38"/>
      <c r="C480" s="242" t="s">
        <v>95</v>
      </c>
      <c r="D480" s="230" t="s">
        <v>28</v>
      </c>
      <c r="E480" s="231">
        <v>1</v>
      </c>
      <c r="F480" s="232">
        <v>0</v>
      </c>
      <c r="G480" s="232">
        <v>0</v>
      </c>
      <c r="H480" s="138">
        <f>G480+F480</f>
        <v>0</v>
      </c>
      <c r="I480" s="138">
        <f>H480*E480</f>
        <v>0</v>
      </c>
      <c r="J480" s="25"/>
      <c r="K480" s="32"/>
    </row>
    <row r="481" spans="1:11" s="33" customFormat="1" ht="25.5" outlineLevel="3">
      <c r="A481" s="14"/>
      <c r="B481" s="38"/>
      <c r="C481" s="242" t="s">
        <v>96</v>
      </c>
      <c r="D481" s="230" t="s">
        <v>28</v>
      </c>
      <c r="E481" s="231">
        <v>1</v>
      </c>
      <c r="F481" s="232">
        <v>0</v>
      </c>
      <c r="G481" s="232">
        <v>0</v>
      </c>
      <c r="H481" s="138">
        <f>G481+F481</f>
        <v>0</v>
      </c>
      <c r="I481" s="138">
        <f>H481*E481</f>
        <v>0</v>
      </c>
      <c r="J481" s="25"/>
      <c r="K481" s="32"/>
    </row>
    <row r="482" spans="1:11" s="33" customFormat="1" ht="25.5" outlineLevel="3">
      <c r="A482" s="14"/>
      <c r="B482" s="38"/>
      <c r="C482" s="241" t="s">
        <v>148</v>
      </c>
      <c r="D482" s="233"/>
      <c r="E482" s="231"/>
      <c r="F482" s="232">
        <v>0</v>
      </c>
      <c r="G482" s="232">
        <v>0</v>
      </c>
      <c r="H482" s="214"/>
      <c r="I482" s="180"/>
      <c r="J482" s="25"/>
      <c r="K482" s="32"/>
    </row>
    <row r="483" spans="1:11" s="33" customFormat="1" ht="25.5" outlineLevel="3">
      <c r="A483" s="14"/>
      <c r="B483" s="38"/>
      <c r="C483" s="229" t="s">
        <v>170</v>
      </c>
      <c r="D483" s="230" t="s">
        <v>28</v>
      </c>
      <c r="E483" s="231">
        <v>1</v>
      </c>
      <c r="F483" s="232">
        <v>0</v>
      </c>
      <c r="G483" s="232">
        <v>0</v>
      </c>
      <c r="H483" s="138">
        <f>G483+F483</f>
        <v>0</v>
      </c>
      <c r="I483" s="138">
        <f>H483*E483</f>
        <v>0</v>
      </c>
      <c r="J483" s="25"/>
      <c r="K483" s="32"/>
    </row>
    <row r="484" spans="1:11" s="33" customFormat="1" ht="25.5" outlineLevel="3">
      <c r="A484" s="14"/>
      <c r="B484" s="38"/>
      <c r="C484" s="229" t="s">
        <v>171</v>
      </c>
      <c r="D484" s="230" t="s">
        <v>28</v>
      </c>
      <c r="E484" s="231">
        <v>1</v>
      </c>
      <c r="F484" s="232">
        <v>0</v>
      </c>
      <c r="G484" s="232">
        <v>0</v>
      </c>
      <c r="H484" s="138">
        <f>G484+F484</f>
        <v>0</v>
      </c>
      <c r="I484" s="138">
        <f>H484*E484</f>
        <v>0</v>
      </c>
      <c r="J484" s="25"/>
      <c r="K484" s="32"/>
    </row>
    <row r="485" spans="1:11" s="33" customFormat="1" ht="25.5" outlineLevel="3">
      <c r="A485" s="14"/>
      <c r="B485" s="38"/>
      <c r="C485" s="229" t="s">
        <v>172</v>
      </c>
      <c r="D485" s="230" t="s">
        <v>28</v>
      </c>
      <c r="E485" s="231">
        <v>1</v>
      </c>
      <c r="F485" s="232">
        <v>0</v>
      </c>
      <c r="G485" s="232">
        <v>0</v>
      </c>
      <c r="H485" s="138">
        <f>G485+F485</f>
        <v>0</v>
      </c>
      <c r="I485" s="138">
        <f>H485*E485</f>
        <v>0</v>
      </c>
      <c r="J485" s="25"/>
      <c r="K485" s="32"/>
    </row>
    <row r="486" spans="1:11" s="33" customFormat="1" ht="25.5" outlineLevel="3">
      <c r="A486" s="14"/>
      <c r="B486" s="38"/>
      <c r="C486" s="229" t="s">
        <v>139</v>
      </c>
      <c r="D486" s="230" t="s">
        <v>38</v>
      </c>
      <c r="E486" s="231">
        <v>1</v>
      </c>
      <c r="F486" s="232">
        <v>0</v>
      </c>
      <c r="G486" s="232">
        <v>0</v>
      </c>
      <c r="H486" s="138">
        <f>G486+F486</f>
        <v>0</v>
      </c>
      <c r="I486" s="138">
        <f>H486*E486</f>
        <v>0</v>
      </c>
      <c r="J486" s="25"/>
      <c r="K486" s="32"/>
    </row>
    <row r="487" spans="1:11" s="33" customFormat="1" ht="25.5" outlineLevel="3">
      <c r="A487" s="14"/>
      <c r="B487" s="35">
        <f>MAXA($B$6:B486)+1</f>
        <v>68</v>
      </c>
      <c r="C487" s="229" t="s">
        <v>238</v>
      </c>
      <c r="D487" s="230" t="s">
        <v>38</v>
      </c>
      <c r="E487" s="231">
        <v>1</v>
      </c>
      <c r="F487" s="232">
        <v>4450975</v>
      </c>
      <c r="G487" s="232">
        <v>1563188</v>
      </c>
      <c r="H487" s="138">
        <f>G487+F487</f>
        <v>6014163</v>
      </c>
      <c r="I487" s="138">
        <f>H487*E487</f>
        <v>6014163</v>
      </c>
      <c r="J487" s="25"/>
      <c r="K487" s="32"/>
    </row>
    <row r="488" spans="1:11" s="33" customFormat="1" ht="25.5" outlineLevel="3">
      <c r="A488" s="14"/>
      <c r="B488" s="38"/>
      <c r="C488" s="241" t="s">
        <v>141</v>
      </c>
      <c r="D488" s="212"/>
      <c r="E488" s="228"/>
      <c r="F488" s="232">
        <v>0</v>
      </c>
      <c r="G488" s="232">
        <v>0</v>
      </c>
      <c r="H488" s="214"/>
      <c r="I488" s="180"/>
      <c r="J488" s="25"/>
      <c r="K488" s="32"/>
    </row>
    <row r="489" spans="1:11" s="33" customFormat="1" ht="25.5" outlineLevel="3">
      <c r="A489" s="14"/>
      <c r="B489" s="38"/>
      <c r="C489" s="229" t="s">
        <v>237</v>
      </c>
      <c r="D489" s="230" t="s">
        <v>28</v>
      </c>
      <c r="E489" s="231">
        <v>1</v>
      </c>
      <c r="F489" s="232">
        <v>0</v>
      </c>
      <c r="G489" s="232">
        <v>0</v>
      </c>
      <c r="H489" s="138">
        <f>G489+F489</f>
        <v>0</v>
      </c>
      <c r="I489" s="138">
        <f>H489*E489</f>
        <v>0</v>
      </c>
      <c r="J489" s="25"/>
      <c r="K489" s="32"/>
    </row>
    <row r="490" spans="1:11" s="33" customFormat="1" ht="25.5" outlineLevel="3">
      <c r="A490" s="14"/>
      <c r="B490" s="38"/>
      <c r="C490" s="242" t="s">
        <v>94</v>
      </c>
      <c r="D490" s="230" t="s">
        <v>28</v>
      </c>
      <c r="E490" s="231">
        <v>1</v>
      </c>
      <c r="F490" s="232">
        <v>0</v>
      </c>
      <c r="G490" s="232">
        <v>0</v>
      </c>
      <c r="H490" s="138">
        <f>G490+F490</f>
        <v>0</v>
      </c>
      <c r="I490" s="138">
        <f>H490*E490</f>
        <v>0</v>
      </c>
      <c r="J490" s="25"/>
      <c r="K490" s="32"/>
    </row>
    <row r="491" spans="1:11" s="33" customFormat="1" ht="25.5" outlineLevel="3">
      <c r="A491" s="14"/>
      <c r="B491" s="38"/>
      <c r="C491" s="242" t="s">
        <v>95</v>
      </c>
      <c r="D491" s="230" t="s">
        <v>28</v>
      </c>
      <c r="E491" s="231">
        <v>1</v>
      </c>
      <c r="F491" s="232">
        <v>0</v>
      </c>
      <c r="G491" s="232">
        <v>0</v>
      </c>
      <c r="H491" s="138">
        <f>G491+F491</f>
        <v>0</v>
      </c>
      <c r="I491" s="138">
        <f>H491*E491</f>
        <v>0</v>
      </c>
      <c r="J491" s="25"/>
      <c r="K491" s="32"/>
    </row>
    <row r="492" spans="1:11" s="33" customFormat="1" ht="25.5" outlineLevel="3">
      <c r="A492" s="14"/>
      <c r="B492" s="38"/>
      <c r="C492" s="242" t="s">
        <v>96</v>
      </c>
      <c r="D492" s="230" t="s">
        <v>28</v>
      </c>
      <c r="E492" s="231">
        <v>1</v>
      </c>
      <c r="F492" s="232">
        <v>0</v>
      </c>
      <c r="G492" s="232">
        <v>0</v>
      </c>
      <c r="H492" s="138">
        <f>G492+F492</f>
        <v>0</v>
      </c>
      <c r="I492" s="138">
        <f>H492*E492</f>
        <v>0</v>
      </c>
      <c r="J492" s="25"/>
      <c r="K492" s="32"/>
    </row>
    <row r="493" spans="1:11" s="33" customFormat="1" ht="25.5" outlineLevel="3">
      <c r="A493" s="14"/>
      <c r="B493" s="38"/>
      <c r="C493" s="241" t="s">
        <v>148</v>
      </c>
      <c r="D493" s="233"/>
      <c r="E493" s="231"/>
      <c r="F493" s="232">
        <v>0</v>
      </c>
      <c r="G493" s="232">
        <v>0</v>
      </c>
      <c r="H493" s="214"/>
      <c r="I493" s="180"/>
      <c r="J493" s="25"/>
      <c r="K493" s="32"/>
    </row>
    <row r="494" spans="1:11" s="33" customFormat="1" ht="25.5" outlineLevel="3">
      <c r="A494" s="14"/>
      <c r="B494" s="38"/>
      <c r="C494" s="229" t="s">
        <v>170</v>
      </c>
      <c r="D494" s="230" t="s">
        <v>28</v>
      </c>
      <c r="E494" s="231">
        <v>1</v>
      </c>
      <c r="F494" s="232">
        <v>0</v>
      </c>
      <c r="G494" s="232">
        <v>0</v>
      </c>
      <c r="H494" s="138">
        <f>G494+F494</f>
        <v>0</v>
      </c>
      <c r="I494" s="138">
        <f>H494*E494</f>
        <v>0</v>
      </c>
      <c r="J494" s="25"/>
      <c r="K494" s="32"/>
    </row>
    <row r="495" spans="1:11" s="33" customFormat="1" ht="25.5" outlineLevel="3">
      <c r="A495" s="14"/>
      <c r="B495" s="38"/>
      <c r="C495" s="229" t="s">
        <v>171</v>
      </c>
      <c r="D495" s="230" t="s">
        <v>28</v>
      </c>
      <c r="E495" s="231">
        <v>1</v>
      </c>
      <c r="F495" s="232">
        <v>0</v>
      </c>
      <c r="G495" s="232">
        <v>0</v>
      </c>
      <c r="H495" s="138">
        <f>G495+F495</f>
        <v>0</v>
      </c>
      <c r="I495" s="138">
        <f>H495*E495</f>
        <v>0</v>
      </c>
      <c r="J495" s="25"/>
      <c r="K495" s="32"/>
    </row>
    <row r="496" spans="1:11" s="33" customFormat="1" ht="25.5" outlineLevel="3">
      <c r="A496" s="14"/>
      <c r="B496" s="38"/>
      <c r="C496" s="229" t="s">
        <v>172</v>
      </c>
      <c r="D496" s="230" t="s">
        <v>28</v>
      </c>
      <c r="E496" s="231">
        <v>1</v>
      </c>
      <c r="F496" s="232">
        <v>0</v>
      </c>
      <c r="G496" s="232">
        <v>0</v>
      </c>
      <c r="H496" s="138">
        <f>G496+F496</f>
        <v>0</v>
      </c>
      <c r="I496" s="138">
        <f>H496*E496</f>
        <v>0</v>
      </c>
      <c r="J496" s="25"/>
      <c r="K496" s="32"/>
    </row>
    <row r="497" spans="1:11" s="33" customFormat="1" ht="25.5" outlineLevel="3">
      <c r="A497" s="14"/>
      <c r="B497" s="38"/>
      <c r="C497" s="229" t="s">
        <v>139</v>
      </c>
      <c r="D497" s="230" t="s">
        <v>38</v>
      </c>
      <c r="E497" s="231">
        <v>1</v>
      </c>
      <c r="F497" s="232">
        <v>0</v>
      </c>
      <c r="G497" s="232">
        <v>0</v>
      </c>
      <c r="H497" s="138">
        <f>G497+F497</f>
        <v>0</v>
      </c>
      <c r="I497" s="138">
        <f>H497*E497</f>
        <v>0</v>
      </c>
      <c r="J497" s="25"/>
      <c r="K497" s="32"/>
    </row>
    <row r="498" spans="1:11" s="33" customFormat="1" ht="25.5" outlineLevel="3">
      <c r="A498" s="14"/>
      <c r="B498" s="35">
        <f>MAXA($B$6:B497)+1</f>
        <v>69</v>
      </c>
      <c r="C498" s="229" t="s">
        <v>239</v>
      </c>
      <c r="D498" s="230" t="s">
        <v>38</v>
      </c>
      <c r="E498" s="231">
        <v>1</v>
      </c>
      <c r="F498" s="232">
        <v>4450975</v>
      </c>
      <c r="G498" s="232">
        <v>1563188</v>
      </c>
      <c r="H498" s="138">
        <f>G498+F498</f>
        <v>6014163</v>
      </c>
      <c r="I498" s="138">
        <f>H498*E498</f>
        <v>6014163</v>
      </c>
      <c r="J498" s="25"/>
      <c r="K498" s="32"/>
    </row>
    <row r="499" spans="1:11" s="33" customFormat="1" ht="25.5" outlineLevel="3">
      <c r="A499" s="14"/>
      <c r="B499" s="38"/>
      <c r="C499" s="241" t="s">
        <v>141</v>
      </c>
      <c r="D499" s="212"/>
      <c r="E499" s="228"/>
      <c r="F499" s="232">
        <v>0</v>
      </c>
      <c r="G499" s="232">
        <v>0</v>
      </c>
      <c r="H499" s="214"/>
      <c r="I499" s="180"/>
      <c r="J499" s="25"/>
      <c r="K499" s="32"/>
    </row>
    <row r="500" spans="1:11" s="33" customFormat="1" ht="25.5" outlineLevel="3">
      <c r="A500" s="14"/>
      <c r="B500" s="38"/>
      <c r="C500" s="229" t="s">
        <v>237</v>
      </c>
      <c r="D500" s="230" t="s">
        <v>28</v>
      </c>
      <c r="E500" s="231">
        <v>1</v>
      </c>
      <c r="F500" s="232">
        <v>0</v>
      </c>
      <c r="G500" s="232">
        <v>0</v>
      </c>
      <c r="H500" s="138">
        <f>G500+F500</f>
        <v>0</v>
      </c>
      <c r="I500" s="138">
        <f>H500*E500</f>
        <v>0</v>
      </c>
      <c r="J500" s="25"/>
      <c r="K500" s="32"/>
    </row>
    <row r="501" spans="1:11" s="33" customFormat="1" ht="25.5" outlineLevel="3">
      <c r="A501" s="14"/>
      <c r="B501" s="38"/>
      <c r="C501" s="242" t="s">
        <v>94</v>
      </c>
      <c r="D501" s="230" t="s">
        <v>28</v>
      </c>
      <c r="E501" s="231">
        <v>1</v>
      </c>
      <c r="F501" s="232">
        <v>0</v>
      </c>
      <c r="G501" s="232">
        <v>0</v>
      </c>
      <c r="H501" s="138">
        <f>G501+F501</f>
        <v>0</v>
      </c>
      <c r="I501" s="138">
        <f>H501*E501</f>
        <v>0</v>
      </c>
      <c r="J501" s="25"/>
      <c r="K501" s="32"/>
    </row>
    <row r="502" spans="1:11" s="33" customFormat="1" ht="25.5" outlineLevel="3">
      <c r="A502" s="14"/>
      <c r="B502" s="38"/>
      <c r="C502" s="242" t="s">
        <v>95</v>
      </c>
      <c r="D502" s="230" t="s">
        <v>28</v>
      </c>
      <c r="E502" s="231">
        <v>1</v>
      </c>
      <c r="F502" s="232">
        <v>0</v>
      </c>
      <c r="G502" s="232">
        <v>0</v>
      </c>
      <c r="H502" s="138">
        <f>G502+F502</f>
        <v>0</v>
      </c>
      <c r="I502" s="138">
        <f>H502*E502</f>
        <v>0</v>
      </c>
      <c r="J502" s="25"/>
      <c r="K502" s="32"/>
    </row>
    <row r="503" spans="1:11" s="33" customFormat="1" ht="25.5" outlineLevel="3">
      <c r="A503" s="14"/>
      <c r="B503" s="38"/>
      <c r="C503" s="242" t="s">
        <v>96</v>
      </c>
      <c r="D503" s="230" t="s">
        <v>28</v>
      </c>
      <c r="E503" s="231">
        <v>1</v>
      </c>
      <c r="F503" s="232">
        <v>0</v>
      </c>
      <c r="G503" s="232">
        <v>0</v>
      </c>
      <c r="H503" s="138">
        <f>G503+F503</f>
        <v>0</v>
      </c>
      <c r="I503" s="138">
        <f>H503*E503</f>
        <v>0</v>
      </c>
      <c r="J503" s="25"/>
      <c r="K503" s="32"/>
    </row>
    <row r="504" spans="1:11" s="33" customFormat="1" ht="25.5" outlineLevel="3">
      <c r="A504" s="14"/>
      <c r="B504" s="38"/>
      <c r="C504" s="241" t="s">
        <v>148</v>
      </c>
      <c r="D504" s="233"/>
      <c r="E504" s="231"/>
      <c r="F504" s="232">
        <v>0</v>
      </c>
      <c r="G504" s="232">
        <v>0</v>
      </c>
      <c r="H504" s="214"/>
      <c r="I504" s="180"/>
      <c r="J504" s="25"/>
      <c r="K504" s="32"/>
    </row>
    <row r="505" spans="1:11" s="33" customFormat="1" ht="25.5" outlineLevel="3">
      <c r="A505" s="14"/>
      <c r="B505" s="38"/>
      <c r="C505" s="229" t="s">
        <v>170</v>
      </c>
      <c r="D505" s="230" t="s">
        <v>28</v>
      </c>
      <c r="E505" s="231">
        <v>1</v>
      </c>
      <c r="F505" s="232">
        <v>0</v>
      </c>
      <c r="G505" s="232">
        <v>0</v>
      </c>
      <c r="H505" s="138">
        <f>G505+F505</f>
        <v>0</v>
      </c>
      <c r="I505" s="138">
        <f>H505*E505</f>
        <v>0</v>
      </c>
      <c r="J505" s="25"/>
      <c r="K505" s="32"/>
    </row>
    <row r="506" spans="1:11" s="33" customFormat="1" ht="25.5" outlineLevel="3">
      <c r="A506" s="14"/>
      <c r="B506" s="38"/>
      <c r="C506" s="229" t="s">
        <v>171</v>
      </c>
      <c r="D506" s="230" t="s">
        <v>28</v>
      </c>
      <c r="E506" s="231">
        <v>1</v>
      </c>
      <c r="F506" s="232">
        <v>0</v>
      </c>
      <c r="G506" s="232">
        <v>0</v>
      </c>
      <c r="H506" s="138">
        <f>G506+F506</f>
        <v>0</v>
      </c>
      <c r="I506" s="138">
        <f>H506*E506</f>
        <v>0</v>
      </c>
      <c r="J506" s="25"/>
      <c r="K506" s="32"/>
    </row>
    <row r="507" spans="1:11" s="33" customFormat="1" ht="25.5" outlineLevel="3">
      <c r="A507" s="14"/>
      <c r="B507" s="38"/>
      <c r="C507" s="229" t="s">
        <v>172</v>
      </c>
      <c r="D507" s="230" t="s">
        <v>28</v>
      </c>
      <c r="E507" s="231">
        <v>1</v>
      </c>
      <c r="F507" s="232">
        <v>0</v>
      </c>
      <c r="G507" s="232">
        <v>0</v>
      </c>
      <c r="H507" s="138">
        <f>G507+F507</f>
        <v>0</v>
      </c>
      <c r="I507" s="138">
        <f>H507*E507</f>
        <v>0</v>
      </c>
      <c r="J507" s="25"/>
      <c r="K507" s="32"/>
    </row>
    <row r="508" spans="1:11" s="33" customFormat="1" ht="25.5" outlineLevel="3">
      <c r="A508" s="14"/>
      <c r="B508" s="38"/>
      <c r="C508" s="229" t="s">
        <v>139</v>
      </c>
      <c r="D508" s="230" t="s">
        <v>38</v>
      </c>
      <c r="E508" s="231">
        <v>1</v>
      </c>
      <c r="F508" s="232">
        <v>0</v>
      </c>
      <c r="G508" s="232">
        <v>0</v>
      </c>
      <c r="H508" s="138">
        <f>G508+F508</f>
        <v>0</v>
      </c>
      <c r="I508" s="138">
        <f>H508*E508</f>
        <v>0</v>
      </c>
      <c r="J508" s="25"/>
      <c r="K508" s="32"/>
    </row>
    <row r="509" spans="1:11" s="33" customFormat="1" ht="25.5" outlineLevel="3">
      <c r="A509" s="14"/>
      <c r="B509" s="35">
        <f>MAXA($B$6:B508)+1</f>
        <v>70</v>
      </c>
      <c r="C509" s="229" t="s">
        <v>240</v>
      </c>
      <c r="D509" s="230" t="s">
        <v>38</v>
      </c>
      <c r="E509" s="231">
        <v>1</v>
      </c>
      <c r="F509" s="232">
        <v>4450975</v>
      </c>
      <c r="G509" s="232">
        <v>1563188</v>
      </c>
      <c r="H509" s="138">
        <f>G509+F509</f>
        <v>6014163</v>
      </c>
      <c r="I509" s="138">
        <f>H509*E509</f>
        <v>6014163</v>
      </c>
      <c r="J509" s="25"/>
      <c r="K509" s="32"/>
    </row>
    <row r="510" spans="1:11" s="33" customFormat="1" ht="25.5" outlineLevel="3">
      <c r="A510" s="14"/>
      <c r="B510" s="38"/>
      <c r="C510" s="241" t="s">
        <v>141</v>
      </c>
      <c r="D510" s="212"/>
      <c r="E510" s="228"/>
      <c r="F510" s="232">
        <v>0</v>
      </c>
      <c r="G510" s="232">
        <v>0</v>
      </c>
      <c r="H510" s="214"/>
      <c r="I510" s="180"/>
      <c r="J510" s="25"/>
      <c r="K510" s="32"/>
    </row>
    <row r="511" spans="1:11" s="33" customFormat="1" ht="25.5" outlineLevel="3">
      <c r="A511" s="14"/>
      <c r="B511" s="38"/>
      <c r="C511" s="229" t="s">
        <v>169</v>
      </c>
      <c r="D511" s="230" t="s">
        <v>28</v>
      </c>
      <c r="E511" s="231">
        <v>1</v>
      </c>
      <c r="F511" s="232">
        <v>0</v>
      </c>
      <c r="G511" s="232">
        <v>0</v>
      </c>
      <c r="H511" s="138">
        <f>G511+F511</f>
        <v>0</v>
      </c>
      <c r="I511" s="138">
        <f>H511*E511</f>
        <v>0</v>
      </c>
      <c r="J511" s="25"/>
      <c r="K511" s="32"/>
    </row>
    <row r="512" spans="1:11" s="33" customFormat="1" ht="25.5" outlineLevel="3">
      <c r="A512" s="14"/>
      <c r="B512" s="38"/>
      <c r="C512" s="242" t="s">
        <v>94</v>
      </c>
      <c r="D512" s="230" t="s">
        <v>28</v>
      </c>
      <c r="E512" s="231">
        <v>1</v>
      </c>
      <c r="F512" s="232">
        <v>0</v>
      </c>
      <c r="G512" s="232">
        <v>0</v>
      </c>
      <c r="H512" s="138">
        <f>G512+F512</f>
        <v>0</v>
      </c>
      <c r="I512" s="138">
        <f>H512*E512</f>
        <v>0</v>
      </c>
      <c r="J512" s="25"/>
      <c r="K512" s="32"/>
    </row>
    <row r="513" spans="1:11" s="33" customFormat="1" ht="25.5" outlineLevel="3">
      <c r="A513" s="14"/>
      <c r="B513" s="38"/>
      <c r="C513" s="242" t="s">
        <v>95</v>
      </c>
      <c r="D513" s="230" t="s">
        <v>28</v>
      </c>
      <c r="E513" s="231">
        <v>1</v>
      </c>
      <c r="F513" s="232">
        <v>0</v>
      </c>
      <c r="G513" s="232">
        <v>0</v>
      </c>
      <c r="H513" s="138">
        <f>G513+F513</f>
        <v>0</v>
      </c>
      <c r="I513" s="138">
        <f>H513*E513</f>
        <v>0</v>
      </c>
      <c r="J513" s="25"/>
      <c r="K513" s="32"/>
    </row>
    <row r="514" spans="1:11" s="33" customFormat="1" ht="25.5" outlineLevel="3">
      <c r="A514" s="14"/>
      <c r="B514" s="38"/>
      <c r="C514" s="242" t="s">
        <v>96</v>
      </c>
      <c r="D514" s="230" t="s">
        <v>28</v>
      </c>
      <c r="E514" s="231">
        <v>1</v>
      </c>
      <c r="F514" s="232">
        <v>0</v>
      </c>
      <c r="G514" s="232">
        <v>0</v>
      </c>
      <c r="H514" s="138">
        <f>G514+F514</f>
        <v>0</v>
      </c>
      <c r="I514" s="138">
        <f>H514*E514</f>
        <v>0</v>
      </c>
      <c r="J514" s="25"/>
      <c r="K514" s="32"/>
    </row>
    <row r="515" spans="1:11" s="33" customFormat="1" ht="25.5" outlineLevel="3">
      <c r="A515" s="14"/>
      <c r="B515" s="38"/>
      <c r="C515" s="241" t="s">
        <v>148</v>
      </c>
      <c r="D515" s="233"/>
      <c r="E515" s="231"/>
      <c r="F515" s="232">
        <v>0</v>
      </c>
      <c r="G515" s="232">
        <v>0</v>
      </c>
      <c r="H515" s="214"/>
      <c r="I515" s="180"/>
      <c r="J515" s="25"/>
      <c r="K515" s="32"/>
    </row>
    <row r="516" spans="1:11" s="33" customFormat="1" ht="25.5" outlineLevel="3">
      <c r="A516" s="14"/>
      <c r="B516" s="38"/>
      <c r="C516" s="229" t="s">
        <v>170</v>
      </c>
      <c r="D516" s="230" t="s">
        <v>28</v>
      </c>
      <c r="E516" s="231">
        <v>1</v>
      </c>
      <c r="F516" s="232">
        <v>0</v>
      </c>
      <c r="G516" s="232">
        <v>0</v>
      </c>
      <c r="H516" s="138">
        <f>G516+F516</f>
        <v>0</v>
      </c>
      <c r="I516" s="138">
        <f>H516*E516</f>
        <v>0</v>
      </c>
      <c r="J516" s="25"/>
      <c r="K516" s="32"/>
    </row>
    <row r="517" spans="1:11" s="33" customFormat="1" ht="25.5" outlineLevel="3">
      <c r="A517" s="14"/>
      <c r="B517" s="38"/>
      <c r="C517" s="229" t="s">
        <v>171</v>
      </c>
      <c r="D517" s="230" t="s">
        <v>28</v>
      </c>
      <c r="E517" s="231">
        <v>1</v>
      </c>
      <c r="F517" s="232">
        <v>0</v>
      </c>
      <c r="G517" s="232">
        <v>0</v>
      </c>
      <c r="H517" s="138">
        <f>G517+F517</f>
        <v>0</v>
      </c>
      <c r="I517" s="138">
        <f>H517*E517</f>
        <v>0</v>
      </c>
      <c r="J517" s="25"/>
      <c r="K517" s="32"/>
    </row>
    <row r="518" spans="1:11" s="33" customFormat="1" ht="25.5" outlineLevel="3">
      <c r="A518" s="14"/>
      <c r="B518" s="38"/>
      <c r="C518" s="229" t="s">
        <v>172</v>
      </c>
      <c r="D518" s="230" t="s">
        <v>28</v>
      </c>
      <c r="E518" s="231">
        <v>1</v>
      </c>
      <c r="F518" s="232">
        <v>0</v>
      </c>
      <c r="G518" s="232">
        <v>0</v>
      </c>
      <c r="H518" s="138">
        <f>G518+F518</f>
        <v>0</v>
      </c>
      <c r="I518" s="138">
        <f>H518*E518</f>
        <v>0</v>
      </c>
      <c r="J518" s="25"/>
      <c r="K518" s="32"/>
    </row>
    <row r="519" spans="1:11" s="33" customFormat="1" ht="25.5" outlineLevel="3">
      <c r="A519" s="14"/>
      <c r="B519" s="38"/>
      <c r="C519" s="229" t="s">
        <v>139</v>
      </c>
      <c r="D519" s="230" t="s">
        <v>38</v>
      </c>
      <c r="E519" s="231">
        <v>1</v>
      </c>
      <c r="F519" s="232">
        <v>0</v>
      </c>
      <c r="G519" s="232">
        <v>0</v>
      </c>
      <c r="H519" s="138">
        <f>G519+F519</f>
        <v>0</v>
      </c>
      <c r="I519" s="138">
        <f>H519*E519</f>
        <v>0</v>
      </c>
      <c r="J519" s="25"/>
      <c r="K519" s="32"/>
    </row>
    <row r="520" spans="1:11" s="33" customFormat="1" ht="25.5" outlineLevel="3">
      <c r="A520" s="14"/>
      <c r="B520" s="35">
        <f>MAXA($B$6:B519)+1</f>
        <v>71</v>
      </c>
      <c r="C520" s="229" t="s">
        <v>241</v>
      </c>
      <c r="D520" s="230" t="s">
        <v>38</v>
      </c>
      <c r="E520" s="231">
        <v>1</v>
      </c>
      <c r="F520" s="232">
        <v>6189329</v>
      </c>
      <c r="G520" s="232">
        <v>1563188</v>
      </c>
      <c r="H520" s="138">
        <f>G520+F520</f>
        <v>7752517</v>
      </c>
      <c r="I520" s="138">
        <f>H520*E520</f>
        <v>7752517</v>
      </c>
      <c r="J520" s="25"/>
      <c r="K520" s="32"/>
    </row>
    <row r="521" spans="1:11" s="33" customFormat="1" ht="25.5" outlineLevel="3">
      <c r="A521" s="14"/>
      <c r="B521" s="38"/>
      <c r="C521" s="241" t="s">
        <v>141</v>
      </c>
      <c r="D521" s="212"/>
      <c r="E521" s="228"/>
      <c r="F521" s="232">
        <v>0</v>
      </c>
      <c r="G521" s="232">
        <v>0</v>
      </c>
      <c r="H521" s="214"/>
      <c r="I521" s="180"/>
      <c r="J521" s="25"/>
      <c r="K521" s="32"/>
    </row>
    <row r="522" spans="1:11" s="33" customFormat="1" ht="25.5" outlineLevel="3">
      <c r="A522" s="14"/>
      <c r="B522" s="38"/>
      <c r="C522" s="229" t="s">
        <v>176</v>
      </c>
      <c r="D522" s="230" t="s">
        <v>28</v>
      </c>
      <c r="E522" s="231">
        <v>1</v>
      </c>
      <c r="F522" s="232">
        <v>0</v>
      </c>
      <c r="G522" s="232">
        <v>0</v>
      </c>
      <c r="H522" s="138">
        <f>G522+F522</f>
        <v>0</v>
      </c>
      <c r="I522" s="138">
        <f>H522*E522</f>
        <v>0</v>
      </c>
      <c r="J522" s="25"/>
      <c r="K522" s="32"/>
    </row>
    <row r="523" spans="1:11" s="33" customFormat="1" ht="25.5" outlineLevel="3">
      <c r="A523" s="14"/>
      <c r="B523" s="38"/>
      <c r="C523" s="242" t="s">
        <v>94</v>
      </c>
      <c r="D523" s="230" t="s">
        <v>28</v>
      </c>
      <c r="E523" s="231">
        <v>1</v>
      </c>
      <c r="F523" s="232">
        <v>0</v>
      </c>
      <c r="G523" s="232">
        <v>0</v>
      </c>
      <c r="H523" s="138">
        <f>G523+F523</f>
        <v>0</v>
      </c>
      <c r="I523" s="138">
        <f>H523*E523</f>
        <v>0</v>
      </c>
      <c r="J523" s="25"/>
      <c r="K523" s="32"/>
    </row>
    <row r="524" spans="1:11" s="33" customFormat="1" ht="25.5" outlineLevel="3">
      <c r="A524" s="14"/>
      <c r="B524" s="38"/>
      <c r="C524" s="242" t="s">
        <v>95</v>
      </c>
      <c r="D524" s="230" t="s">
        <v>28</v>
      </c>
      <c r="E524" s="231">
        <v>1</v>
      </c>
      <c r="F524" s="232">
        <v>0</v>
      </c>
      <c r="G524" s="232">
        <v>0</v>
      </c>
      <c r="H524" s="138">
        <f>G524+F524</f>
        <v>0</v>
      </c>
      <c r="I524" s="138">
        <f>H524*E524</f>
        <v>0</v>
      </c>
      <c r="J524" s="25"/>
      <c r="K524" s="32"/>
    </row>
    <row r="525" spans="1:11" s="33" customFormat="1" ht="25.5" outlineLevel="3">
      <c r="A525" s="14"/>
      <c r="B525" s="38"/>
      <c r="C525" s="242" t="s">
        <v>96</v>
      </c>
      <c r="D525" s="230" t="s">
        <v>28</v>
      </c>
      <c r="E525" s="231">
        <v>1</v>
      </c>
      <c r="F525" s="232">
        <v>0</v>
      </c>
      <c r="G525" s="232">
        <v>0</v>
      </c>
      <c r="H525" s="138">
        <f>G525+F525</f>
        <v>0</v>
      </c>
      <c r="I525" s="138">
        <f>H525*E525</f>
        <v>0</v>
      </c>
      <c r="J525" s="25"/>
      <c r="K525" s="32"/>
    </row>
    <row r="526" spans="1:11" s="33" customFormat="1" ht="25.5" outlineLevel="3">
      <c r="A526" s="14"/>
      <c r="B526" s="38"/>
      <c r="C526" s="241" t="s">
        <v>148</v>
      </c>
      <c r="D526" s="233"/>
      <c r="E526" s="231"/>
      <c r="F526" s="232">
        <v>0</v>
      </c>
      <c r="G526" s="232">
        <v>0</v>
      </c>
      <c r="H526" s="214"/>
      <c r="I526" s="180"/>
      <c r="J526" s="25"/>
      <c r="K526" s="32"/>
    </row>
    <row r="527" spans="1:11" s="33" customFormat="1" ht="25.5" outlineLevel="3">
      <c r="A527" s="14"/>
      <c r="B527" s="38"/>
      <c r="C527" s="229" t="s">
        <v>170</v>
      </c>
      <c r="D527" s="230" t="s">
        <v>28</v>
      </c>
      <c r="E527" s="231">
        <v>1</v>
      </c>
      <c r="F527" s="232">
        <v>0</v>
      </c>
      <c r="G527" s="232">
        <v>0</v>
      </c>
      <c r="H527" s="138">
        <f t="shared" ref="H527:H532" si="58">G527+F527</f>
        <v>0</v>
      </c>
      <c r="I527" s="138">
        <f t="shared" ref="I527:I532" si="59">H527*E527</f>
        <v>0</v>
      </c>
      <c r="J527" s="25"/>
      <c r="K527" s="32"/>
    </row>
    <row r="528" spans="1:11" s="33" customFormat="1" ht="25.5" outlineLevel="3">
      <c r="A528" s="14"/>
      <c r="B528" s="38"/>
      <c r="C528" s="229" t="s">
        <v>171</v>
      </c>
      <c r="D528" s="230" t="s">
        <v>28</v>
      </c>
      <c r="E528" s="231">
        <v>1</v>
      </c>
      <c r="F528" s="232">
        <v>0</v>
      </c>
      <c r="G528" s="232">
        <v>0</v>
      </c>
      <c r="H528" s="138">
        <f t="shared" si="58"/>
        <v>0</v>
      </c>
      <c r="I528" s="138">
        <f t="shared" si="59"/>
        <v>0</v>
      </c>
      <c r="J528" s="25"/>
      <c r="K528" s="32"/>
    </row>
    <row r="529" spans="1:11" s="33" customFormat="1" ht="25.5" outlineLevel="3">
      <c r="A529" s="14"/>
      <c r="B529" s="38"/>
      <c r="C529" s="229" t="s">
        <v>178</v>
      </c>
      <c r="D529" s="230" t="s">
        <v>28</v>
      </c>
      <c r="E529" s="231">
        <v>1</v>
      </c>
      <c r="F529" s="232">
        <v>0</v>
      </c>
      <c r="G529" s="232">
        <v>0</v>
      </c>
      <c r="H529" s="138">
        <f t="shared" si="58"/>
        <v>0</v>
      </c>
      <c r="I529" s="138">
        <f t="shared" si="59"/>
        <v>0</v>
      </c>
      <c r="J529" s="25"/>
      <c r="K529" s="32"/>
    </row>
    <row r="530" spans="1:11" s="33" customFormat="1" ht="25.5" outlineLevel="3">
      <c r="A530" s="14"/>
      <c r="B530" s="38"/>
      <c r="C530" s="229" t="s">
        <v>172</v>
      </c>
      <c r="D530" s="230" t="s">
        <v>28</v>
      </c>
      <c r="E530" s="231">
        <v>2</v>
      </c>
      <c r="F530" s="232">
        <v>0</v>
      </c>
      <c r="G530" s="232">
        <v>0</v>
      </c>
      <c r="H530" s="138">
        <f t="shared" si="58"/>
        <v>0</v>
      </c>
      <c r="I530" s="138">
        <f t="shared" si="59"/>
        <v>0</v>
      </c>
      <c r="J530" s="25"/>
      <c r="K530" s="32"/>
    </row>
    <row r="531" spans="1:11" s="33" customFormat="1" ht="25.5" outlineLevel="3">
      <c r="A531" s="14"/>
      <c r="B531" s="38"/>
      <c r="C531" s="229" t="s">
        <v>139</v>
      </c>
      <c r="D531" s="230" t="s">
        <v>38</v>
      </c>
      <c r="E531" s="231">
        <v>1</v>
      </c>
      <c r="F531" s="232">
        <v>0</v>
      </c>
      <c r="G531" s="232">
        <v>0</v>
      </c>
      <c r="H531" s="138">
        <f t="shared" si="58"/>
        <v>0</v>
      </c>
      <c r="I531" s="138">
        <f t="shared" si="59"/>
        <v>0</v>
      </c>
      <c r="J531" s="25"/>
      <c r="K531" s="32"/>
    </row>
    <row r="532" spans="1:11" s="33" customFormat="1" ht="25.5" outlineLevel="3">
      <c r="A532" s="14"/>
      <c r="B532" s="35">
        <f>MAXA($B$6:B531)+1</f>
        <v>72</v>
      </c>
      <c r="C532" s="229" t="s">
        <v>242</v>
      </c>
      <c r="D532" s="230" t="s">
        <v>38</v>
      </c>
      <c r="E532" s="231">
        <v>1</v>
      </c>
      <c r="F532" s="232">
        <v>8616290</v>
      </c>
      <c r="G532" s="232">
        <v>1563188</v>
      </c>
      <c r="H532" s="138">
        <f t="shared" si="58"/>
        <v>10179478</v>
      </c>
      <c r="I532" s="138">
        <f t="shared" si="59"/>
        <v>10179478</v>
      </c>
      <c r="J532" s="25"/>
      <c r="K532" s="32"/>
    </row>
    <row r="533" spans="1:11" s="33" customFormat="1" ht="25.5" outlineLevel="3">
      <c r="A533" s="14"/>
      <c r="B533" s="38"/>
      <c r="C533" s="241" t="s">
        <v>141</v>
      </c>
      <c r="D533" s="212"/>
      <c r="E533" s="228"/>
      <c r="F533" s="232">
        <v>0</v>
      </c>
      <c r="G533" s="232">
        <v>0</v>
      </c>
      <c r="H533" s="214"/>
      <c r="I533" s="180"/>
      <c r="J533" s="25"/>
      <c r="K533" s="32"/>
    </row>
    <row r="534" spans="1:11" s="33" customFormat="1" ht="25.5" outlineLevel="3">
      <c r="A534" s="14"/>
      <c r="B534" s="38"/>
      <c r="C534" s="229" t="s">
        <v>230</v>
      </c>
      <c r="D534" s="230" t="s">
        <v>28</v>
      </c>
      <c r="E534" s="231">
        <v>1</v>
      </c>
      <c r="F534" s="232">
        <v>0</v>
      </c>
      <c r="G534" s="232">
        <v>0</v>
      </c>
      <c r="H534" s="138">
        <f>G534+F534</f>
        <v>0</v>
      </c>
      <c r="I534" s="138">
        <f>H534*E534</f>
        <v>0</v>
      </c>
      <c r="J534" s="25"/>
      <c r="K534" s="32"/>
    </row>
    <row r="535" spans="1:11" s="33" customFormat="1" ht="25.5" outlineLevel="3">
      <c r="A535" s="14"/>
      <c r="B535" s="38"/>
      <c r="C535" s="242" t="s">
        <v>94</v>
      </c>
      <c r="D535" s="230" t="s">
        <v>28</v>
      </c>
      <c r="E535" s="231">
        <v>1</v>
      </c>
      <c r="F535" s="232">
        <v>0</v>
      </c>
      <c r="G535" s="232">
        <v>0</v>
      </c>
      <c r="H535" s="138">
        <f>G535+F535</f>
        <v>0</v>
      </c>
      <c r="I535" s="138">
        <f>H535*E535</f>
        <v>0</v>
      </c>
      <c r="J535" s="25"/>
      <c r="K535" s="32"/>
    </row>
    <row r="536" spans="1:11" s="33" customFormat="1" ht="25.5" outlineLevel="3">
      <c r="A536" s="14"/>
      <c r="B536" s="38"/>
      <c r="C536" s="242" t="s">
        <v>95</v>
      </c>
      <c r="D536" s="230" t="s">
        <v>28</v>
      </c>
      <c r="E536" s="231">
        <v>1</v>
      </c>
      <c r="F536" s="232">
        <v>0</v>
      </c>
      <c r="G536" s="232">
        <v>0</v>
      </c>
      <c r="H536" s="138">
        <f>G536+F536</f>
        <v>0</v>
      </c>
      <c r="I536" s="138">
        <f>H536*E536</f>
        <v>0</v>
      </c>
      <c r="J536" s="25"/>
      <c r="K536" s="32"/>
    </row>
    <row r="537" spans="1:11" s="33" customFormat="1" ht="25.5" outlineLevel="3">
      <c r="A537" s="14"/>
      <c r="B537" s="38"/>
      <c r="C537" s="242" t="s">
        <v>96</v>
      </c>
      <c r="D537" s="230" t="s">
        <v>28</v>
      </c>
      <c r="E537" s="231">
        <v>1</v>
      </c>
      <c r="F537" s="232">
        <v>0</v>
      </c>
      <c r="G537" s="232">
        <v>0</v>
      </c>
      <c r="H537" s="138">
        <f>G537+F537</f>
        <v>0</v>
      </c>
      <c r="I537" s="138">
        <f>H537*E537</f>
        <v>0</v>
      </c>
      <c r="J537" s="25"/>
      <c r="K537" s="32"/>
    </row>
    <row r="538" spans="1:11" s="33" customFormat="1" ht="25.5" outlineLevel="3">
      <c r="A538" s="14"/>
      <c r="B538" s="38"/>
      <c r="C538" s="241" t="s">
        <v>148</v>
      </c>
      <c r="D538" s="233"/>
      <c r="E538" s="231"/>
      <c r="F538" s="232">
        <v>0</v>
      </c>
      <c r="G538" s="232">
        <v>0</v>
      </c>
      <c r="H538" s="214"/>
      <c r="I538" s="180"/>
      <c r="J538" s="25"/>
      <c r="K538" s="32"/>
    </row>
    <row r="539" spans="1:11" s="33" customFormat="1" ht="25.5" outlineLevel="3">
      <c r="A539" s="14"/>
      <c r="B539" s="38"/>
      <c r="C539" s="229" t="s">
        <v>170</v>
      </c>
      <c r="D539" s="230" t="s">
        <v>28</v>
      </c>
      <c r="E539" s="231">
        <v>2</v>
      </c>
      <c r="F539" s="232">
        <v>0</v>
      </c>
      <c r="G539" s="232">
        <v>0</v>
      </c>
      <c r="H539" s="138">
        <f t="shared" ref="H539:H544" si="60">G539+F539</f>
        <v>0</v>
      </c>
      <c r="I539" s="138">
        <f t="shared" ref="I539:I544" si="61">H539*E539</f>
        <v>0</v>
      </c>
      <c r="J539" s="25"/>
      <c r="K539" s="32"/>
    </row>
    <row r="540" spans="1:11" s="33" customFormat="1" ht="25.5" outlineLevel="3">
      <c r="A540" s="14"/>
      <c r="B540" s="38"/>
      <c r="C540" s="229" t="s">
        <v>171</v>
      </c>
      <c r="D540" s="230" t="s">
        <v>28</v>
      </c>
      <c r="E540" s="231">
        <v>1</v>
      </c>
      <c r="F540" s="232">
        <v>0</v>
      </c>
      <c r="G540" s="232">
        <v>0</v>
      </c>
      <c r="H540" s="138">
        <f t="shared" si="60"/>
        <v>0</v>
      </c>
      <c r="I540" s="138">
        <f t="shared" si="61"/>
        <v>0</v>
      </c>
      <c r="J540" s="25"/>
      <c r="K540" s="32"/>
    </row>
    <row r="541" spans="1:11" s="33" customFormat="1" ht="25.5" outlineLevel="3">
      <c r="A541" s="14"/>
      <c r="B541" s="38"/>
      <c r="C541" s="229" t="s">
        <v>178</v>
      </c>
      <c r="D541" s="230" t="s">
        <v>28</v>
      </c>
      <c r="E541" s="231">
        <v>1</v>
      </c>
      <c r="F541" s="232">
        <v>0</v>
      </c>
      <c r="G541" s="232">
        <v>0</v>
      </c>
      <c r="H541" s="138">
        <f t="shared" si="60"/>
        <v>0</v>
      </c>
      <c r="I541" s="138">
        <f t="shared" si="61"/>
        <v>0</v>
      </c>
      <c r="J541" s="25"/>
      <c r="K541" s="32"/>
    </row>
    <row r="542" spans="1:11" s="33" customFormat="1" ht="25.5" outlineLevel="3">
      <c r="A542" s="14"/>
      <c r="B542" s="38"/>
      <c r="C542" s="229" t="s">
        <v>172</v>
      </c>
      <c r="D542" s="230" t="s">
        <v>28</v>
      </c>
      <c r="E542" s="231">
        <v>3</v>
      </c>
      <c r="F542" s="232">
        <v>0</v>
      </c>
      <c r="G542" s="232">
        <v>0</v>
      </c>
      <c r="H542" s="138">
        <f t="shared" si="60"/>
        <v>0</v>
      </c>
      <c r="I542" s="138">
        <f t="shared" si="61"/>
        <v>0</v>
      </c>
      <c r="J542" s="25"/>
      <c r="K542" s="32"/>
    </row>
    <row r="543" spans="1:11" s="33" customFormat="1" ht="25.5" outlineLevel="3">
      <c r="A543" s="14"/>
      <c r="B543" s="38"/>
      <c r="C543" s="229" t="s">
        <v>139</v>
      </c>
      <c r="D543" s="230" t="s">
        <v>38</v>
      </c>
      <c r="E543" s="231">
        <v>1</v>
      </c>
      <c r="F543" s="232">
        <v>0</v>
      </c>
      <c r="G543" s="232">
        <v>0</v>
      </c>
      <c r="H543" s="138">
        <f t="shared" si="60"/>
        <v>0</v>
      </c>
      <c r="I543" s="138">
        <f t="shared" si="61"/>
        <v>0</v>
      </c>
      <c r="J543" s="25"/>
      <c r="K543" s="32"/>
    </row>
    <row r="544" spans="1:11" s="33" customFormat="1" ht="25.5" outlineLevel="3">
      <c r="A544" s="14"/>
      <c r="B544" s="35">
        <f>MAXA($B$6:B543)+1</f>
        <v>73</v>
      </c>
      <c r="C544" s="229" t="s">
        <v>243</v>
      </c>
      <c r="D544" s="230" t="s">
        <v>38</v>
      </c>
      <c r="E544" s="231">
        <v>1</v>
      </c>
      <c r="F544" s="232">
        <v>4450975</v>
      </c>
      <c r="G544" s="232">
        <v>1563188</v>
      </c>
      <c r="H544" s="138">
        <f t="shared" si="60"/>
        <v>6014163</v>
      </c>
      <c r="I544" s="138">
        <f t="shared" si="61"/>
        <v>6014163</v>
      </c>
      <c r="J544" s="25"/>
      <c r="K544" s="32"/>
    </row>
    <row r="545" spans="1:11" s="33" customFormat="1" ht="25.5" outlineLevel="3">
      <c r="A545" s="14"/>
      <c r="B545" s="38"/>
      <c r="C545" s="241" t="s">
        <v>141</v>
      </c>
      <c r="D545" s="212"/>
      <c r="E545" s="228"/>
      <c r="F545" s="232">
        <v>0</v>
      </c>
      <c r="G545" s="232">
        <v>0</v>
      </c>
      <c r="H545" s="214"/>
      <c r="I545" s="180"/>
      <c r="J545" s="25"/>
      <c r="K545" s="32"/>
    </row>
    <row r="546" spans="1:11" s="33" customFormat="1" ht="25.5" outlineLevel="3">
      <c r="A546" s="14"/>
      <c r="B546" s="38"/>
      <c r="C546" s="229" t="s">
        <v>169</v>
      </c>
      <c r="D546" s="230" t="s">
        <v>28</v>
      </c>
      <c r="E546" s="231">
        <v>1</v>
      </c>
      <c r="F546" s="232">
        <v>0</v>
      </c>
      <c r="G546" s="232">
        <v>0</v>
      </c>
      <c r="H546" s="138">
        <f>G546+F546</f>
        <v>0</v>
      </c>
      <c r="I546" s="138">
        <f>H546*E546</f>
        <v>0</v>
      </c>
      <c r="J546" s="25"/>
      <c r="K546" s="32"/>
    </row>
    <row r="547" spans="1:11" s="33" customFormat="1" ht="25.5" outlineLevel="3">
      <c r="A547" s="14"/>
      <c r="B547" s="38"/>
      <c r="C547" s="242" t="s">
        <v>94</v>
      </c>
      <c r="D547" s="230" t="s">
        <v>28</v>
      </c>
      <c r="E547" s="231">
        <v>1</v>
      </c>
      <c r="F547" s="232">
        <v>0</v>
      </c>
      <c r="G547" s="232">
        <v>0</v>
      </c>
      <c r="H547" s="138">
        <f>G547+F547</f>
        <v>0</v>
      </c>
      <c r="I547" s="138">
        <f>H547*E547</f>
        <v>0</v>
      </c>
      <c r="J547" s="25"/>
      <c r="K547" s="32"/>
    </row>
    <row r="548" spans="1:11" s="33" customFormat="1" ht="25.5" outlineLevel="3">
      <c r="A548" s="14"/>
      <c r="B548" s="38"/>
      <c r="C548" s="242" t="s">
        <v>95</v>
      </c>
      <c r="D548" s="230" t="s">
        <v>28</v>
      </c>
      <c r="E548" s="231">
        <v>1</v>
      </c>
      <c r="F548" s="232">
        <v>0</v>
      </c>
      <c r="G548" s="232">
        <v>0</v>
      </c>
      <c r="H548" s="138">
        <f>G548+F548</f>
        <v>0</v>
      </c>
      <c r="I548" s="138">
        <f>H548*E548</f>
        <v>0</v>
      </c>
      <c r="J548" s="25"/>
      <c r="K548" s="32"/>
    </row>
    <row r="549" spans="1:11" s="33" customFormat="1" ht="25.5" outlineLevel="3">
      <c r="A549" s="14"/>
      <c r="B549" s="38"/>
      <c r="C549" s="242" t="s">
        <v>96</v>
      </c>
      <c r="D549" s="230" t="s">
        <v>28</v>
      </c>
      <c r="E549" s="231">
        <v>1</v>
      </c>
      <c r="F549" s="232">
        <v>0</v>
      </c>
      <c r="G549" s="232">
        <v>0</v>
      </c>
      <c r="H549" s="138">
        <f>G549+F549</f>
        <v>0</v>
      </c>
      <c r="I549" s="138">
        <f>H549*E549</f>
        <v>0</v>
      </c>
      <c r="J549" s="25"/>
      <c r="K549" s="32"/>
    </row>
    <row r="550" spans="1:11" s="33" customFormat="1" ht="25.5" outlineLevel="3">
      <c r="A550" s="14"/>
      <c r="B550" s="38"/>
      <c r="C550" s="241" t="s">
        <v>148</v>
      </c>
      <c r="D550" s="233"/>
      <c r="E550" s="231"/>
      <c r="F550" s="232">
        <v>0</v>
      </c>
      <c r="G550" s="232">
        <v>0</v>
      </c>
      <c r="H550" s="214"/>
      <c r="I550" s="180"/>
      <c r="J550" s="25"/>
      <c r="K550" s="32"/>
    </row>
    <row r="551" spans="1:11" s="33" customFormat="1" ht="25.5" outlineLevel="3">
      <c r="A551" s="14"/>
      <c r="B551" s="38"/>
      <c r="C551" s="229" t="s">
        <v>170</v>
      </c>
      <c r="D551" s="230" t="s">
        <v>28</v>
      </c>
      <c r="E551" s="231">
        <v>1</v>
      </c>
      <c r="F551" s="232">
        <v>0</v>
      </c>
      <c r="G551" s="232">
        <v>0</v>
      </c>
      <c r="H551" s="138">
        <f>G551+F551</f>
        <v>0</v>
      </c>
      <c r="I551" s="138">
        <f>H551*E551</f>
        <v>0</v>
      </c>
      <c r="J551" s="25"/>
      <c r="K551" s="32"/>
    </row>
    <row r="552" spans="1:11" s="33" customFormat="1" ht="25.5" outlineLevel="3">
      <c r="A552" s="14"/>
      <c r="B552" s="38"/>
      <c r="C552" s="229" t="s">
        <v>171</v>
      </c>
      <c r="D552" s="230" t="s">
        <v>28</v>
      </c>
      <c r="E552" s="231">
        <v>1</v>
      </c>
      <c r="F552" s="232">
        <v>0</v>
      </c>
      <c r="G552" s="232">
        <v>0</v>
      </c>
      <c r="H552" s="138">
        <f>G552+F552</f>
        <v>0</v>
      </c>
      <c r="I552" s="138">
        <f>H552*E552</f>
        <v>0</v>
      </c>
      <c r="J552" s="25"/>
      <c r="K552" s="32"/>
    </row>
    <row r="553" spans="1:11" s="33" customFormat="1" ht="25.5" outlineLevel="3">
      <c r="A553" s="14"/>
      <c r="B553" s="38"/>
      <c r="C553" s="229" t="s">
        <v>172</v>
      </c>
      <c r="D553" s="230" t="s">
        <v>28</v>
      </c>
      <c r="E553" s="231">
        <v>1</v>
      </c>
      <c r="F553" s="232">
        <v>0</v>
      </c>
      <c r="G553" s="232">
        <v>0</v>
      </c>
      <c r="H553" s="138">
        <f>G553+F553</f>
        <v>0</v>
      </c>
      <c r="I553" s="138">
        <f>H553*E553</f>
        <v>0</v>
      </c>
      <c r="J553" s="25"/>
      <c r="K553" s="32"/>
    </row>
    <row r="554" spans="1:11" s="33" customFormat="1" ht="25.5" outlineLevel="3">
      <c r="A554" s="14"/>
      <c r="B554" s="38"/>
      <c r="C554" s="229" t="s">
        <v>139</v>
      </c>
      <c r="D554" s="230" t="s">
        <v>38</v>
      </c>
      <c r="E554" s="231">
        <v>1</v>
      </c>
      <c r="F554" s="232">
        <v>0</v>
      </c>
      <c r="G554" s="232">
        <v>0</v>
      </c>
      <c r="H554" s="138">
        <f>G554+F554</f>
        <v>0</v>
      </c>
      <c r="I554" s="138">
        <f>H554*E554</f>
        <v>0</v>
      </c>
      <c r="J554" s="25"/>
      <c r="K554" s="32"/>
    </row>
    <row r="555" spans="1:11" s="33" customFormat="1" ht="25.5" outlineLevel="3">
      <c r="A555" s="14"/>
      <c r="B555" s="35">
        <f>MAXA($B$6:B554)+1</f>
        <v>74</v>
      </c>
      <c r="C555" s="229" t="s">
        <v>244</v>
      </c>
      <c r="D555" s="230" t="s">
        <v>38</v>
      </c>
      <c r="E555" s="231">
        <v>1</v>
      </c>
      <c r="F555" s="232">
        <v>4450975</v>
      </c>
      <c r="G555" s="232">
        <v>1563188</v>
      </c>
      <c r="H555" s="138">
        <f>G555+F555</f>
        <v>6014163</v>
      </c>
      <c r="I555" s="138">
        <f>H555*E555</f>
        <v>6014163</v>
      </c>
      <c r="J555" s="25"/>
      <c r="K555" s="32"/>
    </row>
    <row r="556" spans="1:11" s="33" customFormat="1" ht="25.5" outlineLevel="3">
      <c r="A556" s="14"/>
      <c r="B556" s="38"/>
      <c r="C556" s="241" t="s">
        <v>141</v>
      </c>
      <c r="D556" s="212"/>
      <c r="E556" s="228"/>
      <c r="F556" s="232">
        <v>0</v>
      </c>
      <c r="G556" s="232">
        <v>0</v>
      </c>
      <c r="H556" s="214"/>
      <c r="I556" s="180"/>
      <c r="J556" s="25"/>
      <c r="K556" s="32"/>
    </row>
    <row r="557" spans="1:11" s="33" customFormat="1" ht="25.5" outlineLevel="3">
      <c r="A557" s="14"/>
      <c r="B557" s="38"/>
      <c r="C557" s="229" t="s">
        <v>169</v>
      </c>
      <c r="D557" s="230" t="s">
        <v>28</v>
      </c>
      <c r="E557" s="231">
        <v>1</v>
      </c>
      <c r="F557" s="232">
        <v>0</v>
      </c>
      <c r="G557" s="232">
        <v>0</v>
      </c>
      <c r="H557" s="138">
        <f>G557+F557</f>
        <v>0</v>
      </c>
      <c r="I557" s="138">
        <f>H557*E557</f>
        <v>0</v>
      </c>
      <c r="J557" s="25"/>
      <c r="K557" s="32"/>
    </row>
    <row r="558" spans="1:11" s="33" customFormat="1" ht="25.5" outlineLevel="3">
      <c r="A558" s="14"/>
      <c r="B558" s="38"/>
      <c r="C558" s="242" t="s">
        <v>94</v>
      </c>
      <c r="D558" s="230" t="s">
        <v>28</v>
      </c>
      <c r="E558" s="231">
        <v>1</v>
      </c>
      <c r="F558" s="232">
        <v>0</v>
      </c>
      <c r="G558" s="232">
        <v>0</v>
      </c>
      <c r="H558" s="138">
        <f>G558+F558</f>
        <v>0</v>
      </c>
      <c r="I558" s="138">
        <f>H558*E558</f>
        <v>0</v>
      </c>
      <c r="J558" s="25"/>
      <c r="K558" s="32"/>
    </row>
    <row r="559" spans="1:11" s="33" customFormat="1" ht="25.5" outlineLevel="3">
      <c r="A559" s="14"/>
      <c r="B559" s="38"/>
      <c r="C559" s="242" t="s">
        <v>95</v>
      </c>
      <c r="D559" s="230" t="s">
        <v>28</v>
      </c>
      <c r="E559" s="231">
        <v>1</v>
      </c>
      <c r="F559" s="232">
        <v>0</v>
      </c>
      <c r="G559" s="232">
        <v>0</v>
      </c>
      <c r="H559" s="138">
        <f>G559+F559</f>
        <v>0</v>
      </c>
      <c r="I559" s="138">
        <f>H559*E559</f>
        <v>0</v>
      </c>
      <c r="J559" s="25"/>
      <c r="K559" s="32"/>
    </row>
    <row r="560" spans="1:11" s="33" customFormat="1" ht="25.5" outlineLevel="3">
      <c r="A560" s="14"/>
      <c r="B560" s="38"/>
      <c r="C560" s="242" t="s">
        <v>96</v>
      </c>
      <c r="D560" s="230" t="s">
        <v>28</v>
      </c>
      <c r="E560" s="231">
        <v>1</v>
      </c>
      <c r="F560" s="232">
        <v>0</v>
      </c>
      <c r="G560" s="232">
        <v>0</v>
      </c>
      <c r="H560" s="138">
        <f>G560+F560</f>
        <v>0</v>
      </c>
      <c r="I560" s="138">
        <f>H560*E560</f>
        <v>0</v>
      </c>
      <c r="J560" s="25"/>
      <c r="K560" s="32"/>
    </row>
    <row r="561" spans="1:11" s="33" customFormat="1" ht="25.5" outlineLevel="3">
      <c r="A561" s="14"/>
      <c r="B561" s="38"/>
      <c r="C561" s="241" t="s">
        <v>148</v>
      </c>
      <c r="D561" s="233"/>
      <c r="E561" s="231"/>
      <c r="F561" s="232">
        <v>0</v>
      </c>
      <c r="G561" s="232">
        <v>0</v>
      </c>
      <c r="H561" s="214"/>
      <c r="I561" s="180"/>
      <c r="J561" s="25"/>
      <c r="K561" s="32"/>
    </row>
    <row r="562" spans="1:11" s="33" customFormat="1" ht="25.5" outlineLevel="3">
      <c r="A562" s="14"/>
      <c r="B562" s="38"/>
      <c r="C562" s="229" t="s">
        <v>170</v>
      </c>
      <c r="D562" s="230" t="s">
        <v>28</v>
      </c>
      <c r="E562" s="231">
        <v>1</v>
      </c>
      <c r="F562" s="232">
        <v>0</v>
      </c>
      <c r="G562" s="232">
        <v>0</v>
      </c>
      <c r="H562" s="138">
        <f>G562+F562</f>
        <v>0</v>
      </c>
      <c r="I562" s="138">
        <f>H562*E562</f>
        <v>0</v>
      </c>
      <c r="J562" s="25"/>
      <c r="K562" s="32"/>
    </row>
    <row r="563" spans="1:11" s="33" customFormat="1" ht="25.5" outlineLevel="3">
      <c r="A563" s="14"/>
      <c r="B563" s="38"/>
      <c r="C563" s="229" t="s">
        <v>171</v>
      </c>
      <c r="D563" s="230" t="s">
        <v>28</v>
      </c>
      <c r="E563" s="231">
        <v>1</v>
      </c>
      <c r="F563" s="232">
        <v>0</v>
      </c>
      <c r="G563" s="232">
        <v>0</v>
      </c>
      <c r="H563" s="138">
        <f>G563+F563</f>
        <v>0</v>
      </c>
      <c r="I563" s="138">
        <f>H563*E563</f>
        <v>0</v>
      </c>
      <c r="J563" s="25"/>
      <c r="K563" s="32"/>
    </row>
    <row r="564" spans="1:11" s="33" customFormat="1" ht="25.5" outlineLevel="3">
      <c r="A564" s="14"/>
      <c r="B564" s="38"/>
      <c r="C564" s="229" t="s">
        <v>172</v>
      </c>
      <c r="D564" s="230" t="s">
        <v>28</v>
      </c>
      <c r="E564" s="231">
        <v>1</v>
      </c>
      <c r="F564" s="232">
        <v>0</v>
      </c>
      <c r="G564" s="232">
        <v>0</v>
      </c>
      <c r="H564" s="138">
        <f>G564+F564</f>
        <v>0</v>
      </c>
      <c r="I564" s="138">
        <f>H564*E564</f>
        <v>0</v>
      </c>
      <c r="J564" s="25"/>
      <c r="K564" s="32"/>
    </row>
    <row r="565" spans="1:11" s="33" customFormat="1" ht="25.5" outlineLevel="3">
      <c r="A565" s="14"/>
      <c r="B565" s="38"/>
      <c r="C565" s="229" t="s">
        <v>139</v>
      </c>
      <c r="D565" s="230" t="s">
        <v>38</v>
      </c>
      <c r="E565" s="231">
        <v>1</v>
      </c>
      <c r="F565" s="232">
        <v>0</v>
      </c>
      <c r="G565" s="232">
        <v>0</v>
      </c>
      <c r="H565" s="138">
        <f>G565+F565</f>
        <v>0</v>
      </c>
      <c r="I565" s="138">
        <f>H565*E565</f>
        <v>0</v>
      </c>
      <c r="J565" s="25"/>
      <c r="K565" s="32"/>
    </row>
    <row r="566" spans="1:11" s="33" customFormat="1" ht="25.5" outlineLevel="3">
      <c r="A566" s="14"/>
      <c r="B566" s="35">
        <f>MAXA($B$6:B565)+1</f>
        <v>75</v>
      </c>
      <c r="C566" s="229" t="s">
        <v>245</v>
      </c>
      <c r="D566" s="230" t="s">
        <v>38</v>
      </c>
      <c r="E566" s="231">
        <v>1</v>
      </c>
      <c r="F566" s="232">
        <v>4450975</v>
      </c>
      <c r="G566" s="232">
        <v>1563188</v>
      </c>
      <c r="H566" s="138">
        <f>G566+F566</f>
        <v>6014163</v>
      </c>
      <c r="I566" s="138">
        <f>H566*E566</f>
        <v>6014163</v>
      </c>
      <c r="J566" s="25"/>
      <c r="K566" s="32"/>
    </row>
    <row r="567" spans="1:11" s="33" customFormat="1" ht="25.5" outlineLevel="3">
      <c r="A567" s="14"/>
      <c r="B567" s="38"/>
      <c r="C567" s="241" t="s">
        <v>141</v>
      </c>
      <c r="D567" s="212"/>
      <c r="E567" s="228"/>
      <c r="F567" s="232">
        <v>0</v>
      </c>
      <c r="G567" s="232">
        <v>0</v>
      </c>
      <c r="H567" s="214"/>
      <c r="I567" s="180"/>
      <c r="J567" s="25"/>
      <c r="K567" s="32"/>
    </row>
    <row r="568" spans="1:11" s="33" customFormat="1" ht="25.5" outlineLevel="3">
      <c r="A568" s="14"/>
      <c r="B568" s="38"/>
      <c r="C568" s="229" t="s">
        <v>169</v>
      </c>
      <c r="D568" s="230" t="s">
        <v>28</v>
      </c>
      <c r="E568" s="231">
        <v>1</v>
      </c>
      <c r="F568" s="232">
        <v>0</v>
      </c>
      <c r="G568" s="232">
        <v>0</v>
      </c>
      <c r="H568" s="138">
        <f>G568+F568</f>
        <v>0</v>
      </c>
      <c r="I568" s="138">
        <f>H568*E568</f>
        <v>0</v>
      </c>
      <c r="J568" s="25"/>
      <c r="K568" s="32"/>
    </row>
    <row r="569" spans="1:11" s="33" customFormat="1" ht="25.5" outlineLevel="3">
      <c r="A569" s="14"/>
      <c r="B569" s="38"/>
      <c r="C569" s="242" t="s">
        <v>94</v>
      </c>
      <c r="D569" s="230" t="s">
        <v>28</v>
      </c>
      <c r="E569" s="231">
        <v>1</v>
      </c>
      <c r="F569" s="232">
        <v>0</v>
      </c>
      <c r="G569" s="232">
        <v>0</v>
      </c>
      <c r="H569" s="138">
        <f>G569+F569</f>
        <v>0</v>
      </c>
      <c r="I569" s="138">
        <f>H569*E569</f>
        <v>0</v>
      </c>
      <c r="J569" s="25"/>
      <c r="K569" s="32"/>
    </row>
    <row r="570" spans="1:11" s="33" customFormat="1" ht="25.5" outlineLevel="3">
      <c r="A570" s="14"/>
      <c r="B570" s="38"/>
      <c r="C570" s="242" t="s">
        <v>95</v>
      </c>
      <c r="D570" s="230" t="s">
        <v>28</v>
      </c>
      <c r="E570" s="231">
        <v>1</v>
      </c>
      <c r="F570" s="232">
        <v>0</v>
      </c>
      <c r="G570" s="232">
        <v>0</v>
      </c>
      <c r="H570" s="138">
        <f>G570+F570</f>
        <v>0</v>
      </c>
      <c r="I570" s="138">
        <f>H570*E570</f>
        <v>0</v>
      </c>
      <c r="J570" s="25"/>
      <c r="K570" s="32"/>
    </row>
    <row r="571" spans="1:11" s="33" customFormat="1" ht="25.5" outlineLevel="3">
      <c r="A571" s="14"/>
      <c r="B571" s="38"/>
      <c r="C571" s="242" t="s">
        <v>96</v>
      </c>
      <c r="D571" s="230" t="s">
        <v>28</v>
      </c>
      <c r="E571" s="231">
        <v>1</v>
      </c>
      <c r="F571" s="232">
        <v>0</v>
      </c>
      <c r="G571" s="232">
        <v>0</v>
      </c>
      <c r="H571" s="138">
        <f>G571+F571</f>
        <v>0</v>
      </c>
      <c r="I571" s="138">
        <f>H571*E571</f>
        <v>0</v>
      </c>
      <c r="J571" s="25"/>
      <c r="K571" s="32"/>
    </row>
    <row r="572" spans="1:11" s="33" customFormat="1" ht="25.5" outlineLevel="3">
      <c r="A572" s="14"/>
      <c r="B572" s="38"/>
      <c r="C572" s="241" t="s">
        <v>148</v>
      </c>
      <c r="D572" s="233"/>
      <c r="E572" s="231"/>
      <c r="F572" s="232">
        <v>0</v>
      </c>
      <c r="G572" s="232">
        <v>0</v>
      </c>
      <c r="H572" s="214"/>
      <c r="I572" s="180"/>
      <c r="J572" s="25"/>
      <c r="K572" s="32"/>
    </row>
    <row r="573" spans="1:11" s="33" customFormat="1" ht="25.5" outlineLevel="3">
      <c r="A573" s="14"/>
      <c r="B573" s="38"/>
      <c r="C573" s="229" t="s">
        <v>170</v>
      </c>
      <c r="D573" s="230" t="s">
        <v>28</v>
      </c>
      <c r="E573" s="231">
        <v>1</v>
      </c>
      <c r="F573" s="232">
        <v>0</v>
      </c>
      <c r="G573" s="232">
        <v>0</v>
      </c>
      <c r="H573" s="138">
        <f>G573+F573</f>
        <v>0</v>
      </c>
      <c r="I573" s="138">
        <f>H573*E573</f>
        <v>0</v>
      </c>
      <c r="J573" s="25"/>
      <c r="K573" s="32"/>
    </row>
    <row r="574" spans="1:11" s="33" customFormat="1" ht="25.5" outlineLevel="3">
      <c r="A574" s="14"/>
      <c r="B574" s="38"/>
      <c r="C574" s="229" t="s">
        <v>171</v>
      </c>
      <c r="D574" s="230" t="s">
        <v>28</v>
      </c>
      <c r="E574" s="231">
        <v>1</v>
      </c>
      <c r="F574" s="232">
        <v>0</v>
      </c>
      <c r="G574" s="232">
        <v>0</v>
      </c>
      <c r="H574" s="138">
        <f>G574+F574</f>
        <v>0</v>
      </c>
      <c r="I574" s="138">
        <f>H574*E574</f>
        <v>0</v>
      </c>
      <c r="J574" s="25"/>
      <c r="K574" s="32"/>
    </row>
    <row r="575" spans="1:11" s="33" customFormat="1" ht="25.5" outlineLevel="3">
      <c r="A575" s="14"/>
      <c r="B575" s="38"/>
      <c r="C575" s="229" t="s">
        <v>172</v>
      </c>
      <c r="D575" s="230" t="s">
        <v>28</v>
      </c>
      <c r="E575" s="231">
        <v>1</v>
      </c>
      <c r="F575" s="232">
        <v>0</v>
      </c>
      <c r="G575" s="232">
        <v>0</v>
      </c>
      <c r="H575" s="138">
        <f>G575+F575</f>
        <v>0</v>
      </c>
      <c r="I575" s="138">
        <f>H575*E575</f>
        <v>0</v>
      </c>
      <c r="J575" s="25"/>
      <c r="K575" s="32"/>
    </row>
    <row r="576" spans="1:11" s="33" customFormat="1" ht="25.5" outlineLevel="3">
      <c r="A576" s="14"/>
      <c r="B576" s="38"/>
      <c r="C576" s="229" t="s">
        <v>139</v>
      </c>
      <c r="D576" s="230" t="s">
        <v>38</v>
      </c>
      <c r="E576" s="231">
        <v>1</v>
      </c>
      <c r="F576" s="232">
        <v>0</v>
      </c>
      <c r="G576" s="232">
        <v>0</v>
      </c>
      <c r="H576" s="138">
        <f>G576+F576</f>
        <v>0</v>
      </c>
      <c r="I576" s="138">
        <f>H576*E576</f>
        <v>0</v>
      </c>
      <c r="J576" s="25"/>
      <c r="K576" s="32"/>
    </row>
    <row r="577" spans="1:11" s="33" customFormat="1" ht="25.5" outlineLevel="3">
      <c r="A577" s="14"/>
      <c r="B577" s="35">
        <f>MAXA($B$6:B576)+1</f>
        <v>76</v>
      </c>
      <c r="C577" s="229" t="s">
        <v>246</v>
      </c>
      <c r="D577" s="230" t="s">
        <v>38</v>
      </c>
      <c r="E577" s="231">
        <v>1</v>
      </c>
      <c r="F577" s="232">
        <v>4450975</v>
      </c>
      <c r="G577" s="232">
        <v>1563188</v>
      </c>
      <c r="H577" s="138">
        <f>G577+F577</f>
        <v>6014163</v>
      </c>
      <c r="I577" s="138">
        <f>H577*E577</f>
        <v>6014163</v>
      </c>
      <c r="J577" s="25"/>
      <c r="K577" s="32"/>
    </row>
    <row r="578" spans="1:11" s="33" customFormat="1" ht="25.5" outlineLevel="3">
      <c r="A578" s="14"/>
      <c r="B578" s="38"/>
      <c r="C578" s="241" t="s">
        <v>141</v>
      </c>
      <c r="D578" s="212"/>
      <c r="E578" s="228"/>
      <c r="F578" s="232">
        <v>0</v>
      </c>
      <c r="G578" s="232">
        <v>0</v>
      </c>
      <c r="H578" s="214"/>
      <c r="I578" s="180"/>
      <c r="J578" s="25"/>
      <c r="K578" s="32"/>
    </row>
    <row r="579" spans="1:11" s="33" customFormat="1" ht="25.5" outlineLevel="3">
      <c r="A579" s="14"/>
      <c r="B579" s="38"/>
      <c r="C579" s="229" t="s">
        <v>169</v>
      </c>
      <c r="D579" s="230" t="s">
        <v>28</v>
      </c>
      <c r="E579" s="231">
        <v>1</v>
      </c>
      <c r="F579" s="232">
        <v>0</v>
      </c>
      <c r="G579" s="232">
        <v>0</v>
      </c>
      <c r="H579" s="138">
        <f>G579+F579</f>
        <v>0</v>
      </c>
      <c r="I579" s="138">
        <f>H579*E579</f>
        <v>0</v>
      </c>
      <c r="J579" s="25"/>
      <c r="K579" s="32"/>
    </row>
    <row r="580" spans="1:11" s="33" customFormat="1" ht="25.5" outlineLevel="3">
      <c r="A580" s="14"/>
      <c r="B580" s="38"/>
      <c r="C580" s="242" t="s">
        <v>94</v>
      </c>
      <c r="D580" s="230" t="s">
        <v>28</v>
      </c>
      <c r="E580" s="231">
        <v>1</v>
      </c>
      <c r="F580" s="232">
        <v>0</v>
      </c>
      <c r="G580" s="232">
        <v>0</v>
      </c>
      <c r="H580" s="138">
        <f>G580+F580</f>
        <v>0</v>
      </c>
      <c r="I580" s="138">
        <f>H580*E580</f>
        <v>0</v>
      </c>
      <c r="J580" s="25"/>
      <c r="K580" s="32"/>
    </row>
    <row r="581" spans="1:11" s="33" customFormat="1" ht="25.5" outlineLevel="3">
      <c r="A581" s="14"/>
      <c r="B581" s="38"/>
      <c r="C581" s="242" t="s">
        <v>95</v>
      </c>
      <c r="D581" s="230" t="s">
        <v>28</v>
      </c>
      <c r="E581" s="231">
        <v>1</v>
      </c>
      <c r="F581" s="232">
        <v>0</v>
      </c>
      <c r="G581" s="232">
        <v>0</v>
      </c>
      <c r="H581" s="138">
        <f>G581+F581</f>
        <v>0</v>
      </c>
      <c r="I581" s="138">
        <f>H581*E581</f>
        <v>0</v>
      </c>
      <c r="J581" s="25"/>
      <c r="K581" s="32"/>
    </row>
    <row r="582" spans="1:11" s="33" customFormat="1" ht="25.5" outlineLevel="3">
      <c r="A582" s="14"/>
      <c r="B582" s="38"/>
      <c r="C582" s="242" t="s">
        <v>96</v>
      </c>
      <c r="D582" s="230" t="s">
        <v>28</v>
      </c>
      <c r="E582" s="231">
        <v>1</v>
      </c>
      <c r="F582" s="232">
        <v>0</v>
      </c>
      <c r="G582" s="232">
        <v>0</v>
      </c>
      <c r="H582" s="138">
        <f>G582+F582</f>
        <v>0</v>
      </c>
      <c r="I582" s="138">
        <f>H582*E582</f>
        <v>0</v>
      </c>
      <c r="J582" s="25"/>
      <c r="K582" s="32"/>
    </row>
    <row r="583" spans="1:11" s="33" customFormat="1" ht="25.5" outlineLevel="3">
      <c r="A583" s="14"/>
      <c r="B583" s="38"/>
      <c r="C583" s="241" t="s">
        <v>148</v>
      </c>
      <c r="D583" s="233"/>
      <c r="E583" s="231"/>
      <c r="F583" s="232">
        <v>0</v>
      </c>
      <c r="G583" s="232">
        <v>0</v>
      </c>
      <c r="H583" s="214"/>
      <c r="I583" s="180"/>
      <c r="J583" s="25"/>
      <c r="K583" s="32"/>
    </row>
    <row r="584" spans="1:11" s="33" customFormat="1" ht="25.5" outlineLevel="3">
      <c r="A584" s="14"/>
      <c r="B584" s="38"/>
      <c r="C584" s="229" t="s">
        <v>170</v>
      </c>
      <c r="D584" s="230" t="s">
        <v>28</v>
      </c>
      <c r="E584" s="231">
        <v>1</v>
      </c>
      <c r="F584" s="232">
        <v>0</v>
      </c>
      <c r="G584" s="232">
        <v>0</v>
      </c>
      <c r="H584" s="138">
        <f>G584+F584</f>
        <v>0</v>
      </c>
      <c r="I584" s="138">
        <f>H584*E584</f>
        <v>0</v>
      </c>
      <c r="J584" s="25"/>
      <c r="K584" s="32"/>
    </row>
    <row r="585" spans="1:11" s="33" customFormat="1" ht="25.5" outlineLevel="3">
      <c r="A585" s="14"/>
      <c r="B585" s="38"/>
      <c r="C585" s="229" t="s">
        <v>171</v>
      </c>
      <c r="D585" s="230" t="s">
        <v>28</v>
      </c>
      <c r="E585" s="231">
        <v>1</v>
      </c>
      <c r="F585" s="232">
        <v>0</v>
      </c>
      <c r="G585" s="232">
        <v>0</v>
      </c>
      <c r="H585" s="138">
        <f>G585+F585</f>
        <v>0</v>
      </c>
      <c r="I585" s="138">
        <f>H585*E585</f>
        <v>0</v>
      </c>
      <c r="J585" s="25"/>
      <c r="K585" s="32"/>
    </row>
    <row r="586" spans="1:11" s="33" customFormat="1" ht="25.5" outlineLevel="3">
      <c r="A586" s="14"/>
      <c r="B586" s="38"/>
      <c r="C586" s="229" t="s">
        <v>172</v>
      </c>
      <c r="D586" s="230" t="s">
        <v>28</v>
      </c>
      <c r="E586" s="231">
        <v>1</v>
      </c>
      <c r="F586" s="232">
        <v>0</v>
      </c>
      <c r="G586" s="232">
        <v>0</v>
      </c>
      <c r="H586" s="138">
        <f>G586+F586</f>
        <v>0</v>
      </c>
      <c r="I586" s="138">
        <f>H586*E586</f>
        <v>0</v>
      </c>
      <c r="J586" s="25"/>
      <c r="K586" s="32"/>
    </row>
    <row r="587" spans="1:11" s="33" customFormat="1" ht="25.5" outlineLevel="3">
      <c r="A587" s="14"/>
      <c r="B587" s="38"/>
      <c r="C587" s="229" t="s">
        <v>139</v>
      </c>
      <c r="D587" s="230" t="s">
        <v>38</v>
      </c>
      <c r="E587" s="231">
        <v>1</v>
      </c>
      <c r="F587" s="232">
        <v>0</v>
      </c>
      <c r="G587" s="232">
        <v>0</v>
      </c>
      <c r="H587" s="138">
        <f>G587+F587</f>
        <v>0</v>
      </c>
      <c r="I587" s="138">
        <f>H587*E587</f>
        <v>0</v>
      </c>
      <c r="J587" s="25"/>
      <c r="K587" s="32"/>
    </row>
    <row r="588" spans="1:11" s="33" customFormat="1" ht="25.5" outlineLevel="3">
      <c r="A588" s="14"/>
      <c r="B588" s="35">
        <f>MAXA($B$6:B587)+1</f>
        <v>77</v>
      </c>
      <c r="C588" s="229" t="s">
        <v>247</v>
      </c>
      <c r="D588" s="230" t="s">
        <v>38</v>
      </c>
      <c r="E588" s="231">
        <v>1</v>
      </c>
      <c r="F588" s="232">
        <v>6119656</v>
      </c>
      <c r="G588" s="232">
        <v>1563188</v>
      </c>
      <c r="H588" s="138">
        <f>G588+F588</f>
        <v>7682844</v>
      </c>
      <c r="I588" s="138">
        <f>H588*E588</f>
        <v>7682844</v>
      </c>
      <c r="J588" s="25"/>
      <c r="K588" s="32"/>
    </row>
    <row r="589" spans="1:11" s="33" customFormat="1" ht="25.5" outlineLevel="3">
      <c r="A589" s="14"/>
      <c r="B589" s="38"/>
      <c r="C589" s="241" t="s">
        <v>141</v>
      </c>
      <c r="D589" s="212"/>
      <c r="E589" s="228"/>
      <c r="F589" s="232">
        <v>0</v>
      </c>
      <c r="G589" s="232">
        <v>0</v>
      </c>
      <c r="H589" s="214"/>
      <c r="I589" s="180"/>
      <c r="J589" s="25"/>
      <c r="K589" s="32"/>
    </row>
    <row r="590" spans="1:11" s="33" customFormat="1" ht="25.5" outlineLevel="3">
      <c r="A590" s="14"/>
      <c r="B590" s="38"/>
      <c r="C590" s="229" t="s">
        <v>169</v>
      </c>
      <c r="D590" s="230" t="s">
        <v>28</v>
      </c>
      <c r="E590" s="231">
        <v>1</v>
      </c>
      <c r="F590" s="232">
        <v>0</v>
      </c>
      <c r="G590" s="232">
        <v>0</v>
      </c>
      <c r="H590" s="138">
        <f>G590+F590</f>
        <v>0</v>
      </c>
      <c r="I590" s="138">
        <f>H590*E590</f>
        <v>0</v>
      </c>
      <c r="J590" s="25"/>
      <c r="K590" s="32"/>
    </row>
    <row r="591" spans="1:11" s="33" customFormat="1" ht="25.5" outlineLevel="3">
      <c r="A591" s="14"/>
      <c r="B591" s="38"/>
      <c r="C591" s="242" t="s">
        <v>94</v>
      </c>
      <c r="D591" s="230" t="s">
        <v>28</v>
      </c>
      <c r="E591" s="231">
        <v>1</v>
      </c>
      <c r="F591" s="232">
        <v>0</v>
      </c>
      <c r="G591" s="232">
        <v>0</v>
      </c>
      <c r="H591" s="138">
        <f>G591+F591</f>
        <v>0</v>
      </c>
      <c r="I591" s="138">
        <f>H591*E591</f>
        <v>0</v>
      </c>
      <c r="J591" s="25"/>
      <c r="K591" s="32"/>
    </row>
    <row r="592" spans="1:11" s="33" customFormat="1" ht="25.5" outlineLevel="3">
      <c r="A592" s="14"/>
      <c r="B592" s="38"/>
      <c r="C592" s="242" t="s">
        <v>95</v>
      </c>
      <c r="D592" s="230" t="s">
        <v>28</v>
      </c>
      <c r="E592" s="231">
        <v>1</v>
      </c>
      <c r="F592" s="232">
        <v>0</v>
      </c>
      <c r="G592" s="232">
        <v>0</v>
      </c>
      <c r="H592" s="138">
        <f>G592+F592</f>
        <v>0</v>
      </c>
      <c r="I592" s="138">
        <f>H592*E592</f>
        <v>0</v>
      </c>
      <c r="J592" s="25"/>
      <c r="K592" s="32"/>
    </row>
    <row r="593" spans="1:11" s="33" customFormat="1" ht="25.5" outlineLevel="3">
      <c r="A593" s="14"/>
      <c r="B593" s="38"/>
      <c r="C593" s="242" t="s">
        <v>96</v>
      </c>
      <c r="D593" s="230" t="s">
        <v>28</v>
      </c>
      <c r="E593" s="231">
        <v>1</v>
      </c>
      <c r="F593" s="232">
        <v>0</v>
      </c>
      <c r="G593" s="232">
        <v>0</v>
      </c>
      <c r="H593" s="138">
        <f>G593+F593</f>
        <v>0</v>
      </c>
      <c r="I593" s="138">
        <f>H593*E593</f>
        <v>0</v>
      </c>
      <c r="J593" s="25"/>
      <c r="K593" s="32"/>
    </row>
    <row r="594" spans="1:11" s="33" customFormat="1" ht="25.5" outlineLevel="3">
      <c r="A594" s="14"/>
      <c r="B594" s="38"/>
      <c r="C594" s="241" t="s">
        <v>148</v>
      </c>
      <c r="D594" s="233"/>
      <c r="E594" s="231"/>
      <c r="F594" s="232">
        <v>0</v>
      </c>
      <c r="G594" s="232">
        <v>0</v>
      </c>
      <c r="H594" s="214"/>
      <c r="I594" s="180"/>
      <c r="J594" s="25"/>
      <c r="K594" s="32"/>
    </row>
    <row r="595" spans="1:11" s="33" customFormat="1" ht="25.5" outlineLevel="3">
      <c r="A595" s="14"/>
      <c r="B595" s="38"/>
      <c r="C595" s="229" t="s">
        <v>170</v>
      </c>
      <c r="D595" s="230" t="s">
        <v>28</v>
      </c>
      <c r="E595" s="231">
        <v>1</v>
      </c>
      <c r="F595" s="232">
        <v>0</v>
      </c>
      <c r="G595" s="232">
        <v>0</v>
      </c>
      <c r="H595" s="138">
        <f>G595+F595</f>
        <v>0</v>
      </c>
      <c r="I595" s="138">
        <f>H595*E595</f>
        <v>0</v>
      </c>
      <c r="J595" s="25"/>
      <c r="K595" s="32"/>
    </row>
    <row r="596" spans="1:11" s="33" customFormat="1" ht="25.5" outlineLevel="3">
      <c r="A596" s="14"/>
      <c r="B596" s="38"/>
      <c r="C596" s="229" t="s">
        <v>171</v>
      </c>
      <c r="D596" s="230" t="s">
        <v>28</v>
      </c>
      <c r="E596" s="231">
        <v>1</v>
      </c>
      <c r="F596" s="232">
        <v>0</v>
      </c>
      <c r="G596" s="232">
        <v>0</v>
      </c>
      <c r="H596" s="138">
        <f>G596+F596</f>
        <v>0</v>
      </c>
      <c r="I596" s="138">
        <f>H596*E596</f>
        <v>0</v>
      </c>
      <c r="J596" s="25"/>
      <c r="K596" s="32"/>
    </row>
    <row r="597" spans="1:11" s="33" customFormat="1" ht="25.5" outlineLevel="3">
      <c r="A597" s="14"/>
      <c r="B597" s="38"/>
      <c r="C597" s="229" t="s">
        <v>172</v>
      </c>
      <c r="D597" s="230" t="s">
        <v>28</v>
      </c>
      <c r="E597" s="231">
        <v>2</v>
      </c>
      <c r="F597" s="232">
        <v>0</v>
      </c>
      <c r="G597" s="232">
        <v>0</v>
      </c>
      <c r="H597" s="138">
        <f>G597+F597</f>
        <v>0</v>
      </c>
      <c r="I597" s="138">
        <f>H597*E597</f>
        <v>0</v>
      </c>
      <c r="J597" s="25"/>
      <c r="K597" s="32"/>
    </row>
    <row r="598" spans="1:11" s="33" customFormat="1" ht="25.5" outlineLevel="3">
      <c r="A598" s="14"/>
      <c r="B598" s="38"/>
      <c r="C598" s="229" t="s">
        <v>139</v>
      </c>
      <c r="D598" s="230" t="s">
        <v>38</v>
      </c>
      <c r="E598" s="231">
        <v>1</v>
      </c>
      <c r="F598" s="232">
        <v>0</v>
      </c>
      <c r="G598" s="232">
        <v>0</v>
      </c>
      <c r="H598" s="138">
        <f>G598+F598</f>
        <v>0</v>
      </c>
      <c r="I598" s="138">
        <f>H598*E598</f>
        <v>0</v>
      </c>
      <c r="J598" s="25"/>
      <c r="K598" s="32"/>
    </row>
    <row r="599" spans="1:11" s="33" customFormat="1" ht="25.5" outlineLevel="3">
      <c r="A599" s="14"/>
      <c r="B599" s="35">
        <f>MAXA($B$6:B598)+1</f>
        <v>78</v>
      </c>
      <c r="C599" s="229" t="s">
        <v>248</v>
      </c>
      <c r="D599" s="230" t="s">
        <v>38</v>
      </c>
      <c r="E599" s="231">
        <v>1</v>
      </c>
      <c r="F599" s="232">
        <v>59894824</v>
      </c>
      <c r="G599" s="232">
        <v>1563188</v>
      </c>
      <c r="H599" s="138">
        <f>G599+F599</f>
        <v>61458012</v>
      </c>
      <c r="I599" s="138">
        <f>H599*E599</f>
        <v>61458012</v>
      </c>
      <c r="J599" s="25"/>
      <c r="K599" s="32"/>
    </row>
    <row r="600" spans="1:11" s="33" customFormat="1" ht="25.5" outlineLevel="3">
      <c r="A600" s="14"/>
      <c r="B600" s="38"/>
      <c r="C600" s="241" t="s">
        <v>141</v>
      </c>
      <c r="D600" s="212"/>
      <c r="E600" s="228"/>
      <c r="F600" s="232">
        <v>0</v>
      </c>
      <c r="G600" s="232">
        <v>0</v>
      </c>
      <c r="H600" s="214"/>
      <c r="I600" s="180"/>
      <c r="J600" s="25"/>
      <c r="K600" s="32"/>
    </row>
    <row r="601" spans="1:11" s="33" customFormat="1" ht="25.5" outlineLevel="3">
      <c r="A601" s="14"/>
      <c r="B601" s="38"/>
      <c r="C601" s="229" t="s">
        <v>232</v>
      </c>
      <c r="D601" s="230" t="s">
        <v>28</v>
      </c>
      <c r="E601" s="231">
        <v>1</v>
      </c>
      <c r="F601" s="232">
        <v>0</v>
      </c>
      <c r="G601" s="232">
        <v>0</v>
      </c>
      <c r="H601" s="138">
        <f t="shared" ref="H601:H611" si="62">G601+F601</f>
        <v>0</v>
      </c>
      <c r="I601" s="138">
        <f t="shared" ref="I601:I611" si="63">H601*E601</f>
        <v>0</v>
      </c>
      <c r="J601" s="25"/>
      <c r="K601" s="32"/>
    </row>
    <row r="602" spans="1:11" s="33" customFormat="1" ht="25.5" outlineLevel="3">
      <c r="A602" s="14"/>
      <c r="B602" s="38"/>
      <c r="C602" s="242" t="s">
        <v>94</v>
      </c>
      <c r="D602" s="230" t="s">
        <v>28</v>
      </c>
      <c r="E602" s="231">
        <v>9</v>
      </c>
      <c r="F602" s="232">
        <v>0</v>
      </c>
      <c r="G602" s="232">
        <v>0</v>
      </c>
      <c r="H602" s="138">
        <f t="shared" si="62"/>
        <v>0</v>
      </c>
      <c r="I602" s="138">
        <f t="shared" si="63"/>
        <v>0</v>
      </c>
      <c r="J602" s="25"/>
      <c r="K602" s="32"/>
    </row>
    <row r="603" spans="1:11" s="33" customFormat="1" ht="25.5" outlineLevel="3">
      <c r="A603" s="14"/>
      <c r="B603" s="38"/>
      <c r="C603" s="242" t="s">
        <v>95</v>
      </c>
      <c r="D603" s="230" t="s">
        <v>28</v>
      </c>
      <c r="E603" s="231">
        <v>9</v>
      </c>
      <c r="F603" s="232">
        <v>0</v>
      </c>
      <c r="G603" s="232">
        <v>0</v>
      </c>
      <c r="H603" s="138">
        <f t="shared" si="62"/>
        <v>0</v>
      </c>
      <c r="I603" s="138">
        <f t="shared" si="63"/>
        <v>0</v>
      </c>
      <c r="J603" s="25"/>
      <c r="K603" s="32"/>
    </row>
    <row r="604" spans="1:11" s="33" customFormat="1" ht="25.5" outlineLevel="3">
      <c r="A604" s="14"/>
      <c r="B604" s="38"/>
      <c r="C604" s="242" t="s">
        <v>96</v>
      </c>
      <c r="D604" s="230" t="s">
        <v>28</v>
      </c>
      <c r="E604" s="231">
        <v>2</v>
      </c>
      <c r="F604" s="232">
        <v>0</v>
      </c>
      <c r="G604" s="232">
        <v>0</v>
      </c>
      <c r="H604" s="138">
        <f t="shared" si="62"/>
        <v>0</v>
      </c>
      <c r="I604" s="138">
        <f t="shared" si="63"/>
        <v>0</v>
      </c>
      <c r="J604" s="25"/>
      <c r="K604" s="32"/>
    </row>
    <row r="605" spans="1:11" s="33" customFormat="1" ht="25.5" outlineLevel="3">
      <c r="A605" s="14"/>
      <c r="B605" s="38"/>
      <c r="C605" s="242" t="s">
        <v>97</v>
      </c>
      <c r="D605" s="230" t="s">
        <v>28</v>
      </c>
      <c r="E605" s="231">
        <v>2</v>
      </c>
      <c r="F605" s="232">
        <v>0</v>
      </c>
      <c r="G605" s="232">
        <v>0</v>
      </c>
      <c r="H605" s="138">
        <f t="shared" si="62"/>
        <v>0</v>
      </c>
      <c r="I605" s="138">
        <f t="shared" si="63"/>
        <v>0</v>
      </c>
      <c r="J605" s="25"/>
      <c r="K605" s="32"/>
    </row>
    <row r="606" spans="1:11" s="33" customFormat="1" ht="25.5" outlineLevel="3">
      <c r="A606" s="14"/>
      <c r="B606" s="38"/>
      <c r="C606" s="242" t="s">
        <v>98</v>
      </c>
      <c r="D606" s="230" t="s">
        <v>28</v>
      </c>
      <c r="E606" s="231">
        <v>2</v>
      </c>
      <c r="F606" s="232">
        <v>0</v>
      </c>
      <c r="G606" s="232">
        <v>0</v>
      </c>
      <c r="H606" s="138">
        <f t="shared" si="62"/>
        <v>0</v>
      </c>
      <c r="I606" s="138">
        <f t="shared" si="63"/>
        <v>0</v>
      </c>
      <c r="J606" s="25"/>
      <c r="K606" s="32"/>
    </row>
    <row r="607" spans="1:11" s="33" customFormat="1" ht="25.5" outlineLevel="3">
      <c r="A607" s="14"/>
      <c r="B607" s="38"/>
      <c r="C607" s="242" t="s">
        <v>143</v>
      </c>
      <c r="D607" s="230" t="s">
        <v>28</v>
      </c>
      <c r="E607" s="231">
        <v>1</v>
      </c>
      <c r="F607" s="232">
        <v>0</v>
      </c>
      <c r="G607" s="232">
        <v>0</v>
      </c>
      <c r="H607" s="138">
        <f t="shared" si="62"/>
        <v>0</v>
      </c>
      <c r="I607" s="138">
        <f t="shared" si="63"/>
        <v>0</v>
      </c>
      <c r="J607" s="25"/>
      <c r="K607" s="32"/>
    </row>
    <row r="608" spans="1:11" s="33" customFormat="1" ht="25.5" outlineLevel="3">
      <c r="A608" s="14"/>
      <c r="B608" s="38"/>
      <c r="C608" s="242" t="s">
        <v>144</v>
      </c>
      <c r="D608" s="230" t="s">
        <v>28</v>
      </c>
      <c r="E608" s="231">
        <v>1</v>
      </c>
      <c r="F608" s="232">
        <v>0</v>
      </c>
      <c r="G608" s="232">
        <v>0</v>
      </c>
      <c r="H608" s="138">
        <f t="shared" si="62"/>
        <v>0</v>
      </c>
      <c r="I608" s="138">
        <f t="shared" si="63"/>
        <v>0</v>
      </c>
      <c r="J608" s="25"/>
      <c r="K608" s="32"/>
    </row>
    <row r="609" spans="1:11" s="33" customFormat="1" ht="25.5" outlineLevel="3">
      <c r="A609" s="14"/>
      <c r="B609" s="38"/>
      <c r="C609" s="229" t="s">
        <v>249</v>
      </c>
      <c r="D609" s="230" t="s">
        <v>28</v>
      </c>
      <c r="E609" s="231">
        <v>1</v>
      </c>
      <c r="F609" s="232">
        <v>0</v>
      </c>
      <c r="G609" s="232">
        <v>0</v>
      </c>
      <c r="H609" s="138">
        <f t="shared" si="62"/>
        <v>0</v>
      </c>
      <c r="I609" s="138">
        <f t="shared" si="63"/>
        <v>0</v>
      </c>
      <c r="J609" s="25"/>
      <c r="K609" s="32"/>
    </row>
    <row r="610" spans="1:11" s="33" customFormat="1" ht="25.5" outlineLevel="3">
      <c r="A610" s="14"/>
      <c r="B610" s="38"/>
      <c r="C610" s="242" t="s">
        <v>146</v>
      </c>
      <c r="D610" s="230" t="s">
        <v>28</v>
      </c>
      <c r="E610" s="231">
        <v>1</v>
      </c>
      <c r="F610" s="232">
        <v>0</v>
      </c>
      <c r="G610" s="232">
        <v>0</v>
      </c>
      <c r="H610" s="138">
        <f t="shared" si="62"/>
        <v>0</v>
      </c>
      <c r="I610" s="138">
        <f t="shared" si="63"/>
        <v>0</v>
      </c>
      <c r="J610" s="25"/>
      <c r="K610" s="32"/>
    </row>
    <row r="611" spans="1:11" s="33" customFormat="1" ht="25.5" outlineLevel="3">
      <c r="A611" s="14"/>
      <c r="B611" s="38"/>
      <c r="C611" s="242" t="s">
        <v>250</v>
      </c>
      <c r="D611" s="230" t="s">
        <v>28</v>
      </c>
      <c r="E611" s="231">
        <v>3</v>
      </c>
      <c r="F611" s="232">
        <v>0</v>
      </c>
      <c r="G611" s="232">
        <v>0</v>
      </c>
      <c r="H611" s="138">
        <f t="shared" si="62"/>
        <v>0</v>
      </c>
      <c r="I611" s="138">
        <f t="shared" si="63"/>
        <v>0</v>
      </c>
      <c r="J611" s="25"/>
      <c r="K611" s="32"/>
    </row>
    <row r="612" spans="1:11" s="33" customFormat="1" ht="25.5" outlineLevel="3">
      <c r="A612" s="14"/>
      <c r="B612" s="38"/>
      <c r="C612" s="241" t="s">
        <v>148</v>
      </c>
      <c r="D612" s="233"/>
      <c r="E612" s="231"/>
      <c r="F612" s="232">
        <v>0</v>
      </c>
      <c r="G612" s="232">
        <v>0</v>
      </c>
      <c r="H612" s="214"/>
      <c r="I612" s="180"/>
      <c r="J612" s="25"/>
      <c r="K612" s="32"/>
    </row>
    <row r="613" spans="1:11" s="33" customFormat="1" ht="25.5" outlineLevel="3">
      <c r="A613" s="14"/>
      <c r="B613" s="38"/>
      <c r="C613" s="229" t="s">
        <v>149</v>
      </c>
      <c r="D613" s="230" t="s">
        <v>28</v>
      </c>
      <c r="E613" s="231">
        <v>11</v>
      </c>
      <c r="F613" s="232">
        <v>0</v>
      </c>
      <c r="G613" s="232">
        <v>0</v>
      </c>
      <c r="H613" s="138">
        <f t="shared" ref="H613:H626" si="64">G613+F613</f>
        <v>0</v>
      </c>
      <c r="I613" s="138">
        <f t="shared" ref="I613:I626" si="65">H613*E613</f>
        <v>0</v>
      </c>
      <c r="J613" s="25"/>
      <c r="K613" s="32"/>
    </row>
    <row r="614" spans="1:11" s="33" customFormat="1" ht="25.5" outlineLevel="3">
      <c r="A614" s="14"/>
      <c r="B614" s="38"/>
      <c r="C614" s="229" t="s">
        <v>150</v>
      </c>
      <c r="D614" s="230" t="s">
        <v>28</v>
      </c>
      <c r="E614" s="231">
        <v>1</v>
      </c>
      <c r="F614" s="232">
        <v>0</v>
      </c>
      <c r="G614" s="232">
        <v>0</v>
      </c>
      <c r="H614" s="138">
        <f t="shared" si="64"/>
        <v>0</v>
      </c>
      <c r="I614" s="138">
        <f t="shared" si="65"/>
        <v>0</v>
      </c>
      <c r="J614" s="25"/>
      <c r="K614" s="32"/>
    </row>
    <row r="615" spans="1:11" s="33" customFormat="1" ht="25.5" outlineLevel="3">
      <c r="A615" s="14"/>
      <c r="B615" s="38"/>
      <c r="C615" s="229" t="s">
        <v>189</v>
      </c>
      <c r="D615" s="230" t="s">
        <v>28</v>
      </c>
      <c r="E615" s="231">
        <v>2</v>
      </c>
      <c r="F615" s="232">
        <v>0</v>
      </c>
      <c r="G615" s="232">
        <v>0</v>
      </c>
      <c r="H615" s="138">
        <f t="shared" si="64"/>
        <v>0</v>
      </c>
      <c r="I615" s="138">
        <f t="shared" si="65"/>
        <v>0</v>
      </c>
      <c r="J615" s="25"/>
      <c r="K615" s="32"/>
    </row>
    <row r="616" spans="1:11" s="33" customFormat="1" ht="25.5" outlineLevel="3">
      <c r="A616" s="14"/>
      <c r="B616" s="38"/>
      <c r="C616" s="229" t="s">
        <v>151</v>
      </c>
      <c r="D616" s="230" t="s">
        <v>28</v>
      </c>
      <c r="E616" s="231">
        <v>10</v>
      </c>
      <c r="F616" s="232">
        <v>0</v>
      </c>
      <c r="G616" s="232">
        <v>0</v>
      </c>
      <c r="H616" s="138">
        <f t="shared" si="64"/>
        <v>0</v>
      </c>
      <c r="I616" s="138">
        <f t="shared" si="65"/>
        <v>0</v>
      </c>
      <c r="J616" s="25"/>
      <c r="K616" s="32"/>
    </row>
    <row r="617" spans="1:11" s="33" customFormat="1" ht="25.5" outlineLevel="3">
      <c r="A617" s="14"/>
      <c r="B617" s="38"/>
      <c r="C617" s="229" t="s">
        <v>152</v>
      </c>
      <c r="D617" s="230" t="s">
        <v>28</v>
      </c>
      <c r="E617" s="231">
        <v>1</v>
      </c>
      <c r="F617" s="232">
        <v>0</v>
      </c>
      <c r="G617" s="232">
        <v>0</v>
      </c>
      <c r="H617" s="138">
        <f t="shared" si="64"/>
        <v>0</v>
      </c>
      <c r="I617" s="138">
        <f t="shared" si="65"/>
        <v>0</v>
      </c>
      <c r="J617" s="25"/>
      <c r="K617" s="32"/>
    </row>
    <row r="618" spans="1:11" s="33" customFormat="1" ht="25.5" outlineLevel="3">
      <c r="A618" s="14"/>
      <c r="B618" s="38"/>
      <c r="C618" s="229" t="s">
        <v>235</v>
      </c>
      <c r="D618" s="230" t="s">
        <v>28</v>
      </c>
      <c r="E618" s="231">
        <v>1</v>
      </c>
      <c r="F618" s="232">
        <v>0</v>
      </c>
      <c r="G618" s="232">
        <v>0</v>
      </c>
      <c r="H618" s="138">
        <f t="shared" si="64"/>
        <v>0</v>
      </c>
      <c r="I618" s="138">
        <f t="shared" si="65"/>
        <v>0</v>
      </c>
      <c r="J618" s="25"/>
      <c r="K618" s="32"/>
    </row>
    <row r="619" spans="1:11" s="33" customFormat="1" ht="25.5" outlineLevel="3">
      <c r="A619" s="14"/>
      <c r="B619" s="38"/>
      <c r="C619" s="229" t="s">
        <v>160</v>
      </c>
      <c r="D619" s="230" t="s">
        <v>28</v>
      </c>
      <c r="E619" s="231">
        <v>1</v>
      </c>
      <c r="F619" s="232">
        <v>0</v>
      </c>
      <c r="G619" s="232">
        <v>0</v>
      </c>
      <c r="H619" s="138">
        <f t="shared" si="64"/>
        <v>0</v>
      </c>
      <c r="I619" s="138">
        <f t="shared" si="65"/>
        <v>0</v>
      </c>
      <c r="J619" s="25"/>
      <c r="K619" s="32"/>
    </row>
    <row r="620" spans="1:11" s="33" customFormat="1" ht="25.5" outlineLevel="3">
      <c r="A620" s="14"/>
      <c r="B620" s="38"/>
      <c r="C620" s="242" t="s">
        <v>161</v>
      </c>
      <c r="D620" s="230" t="s">
        <v>162</v>
      </c>
      <c r="E620" s="231">
        <v>1</v>
      </c>
      <c r="F620" s="232">
        <v>0</v>
      </c>
      <c r="G620" s="232">
        <v>0</v>
      </c>
      <c r="H620" s="138">
        <f t="shared" si="64"/>
        <v>0</v>
      </c>
      <c r="I620" s="138">
        <f t="shared" si="65"/>
        <v>0</v>
      </c>
      <c r="J620" s="25"/>
      <c r="K620" s="32"/>
    </row>
    <row r="621" spans="1:11" s="33" customFormat="1" ht="25.5" outlineLevel="3">
      <c r="A621" s="14"/>
      <c r="B621" s="38"/>
      <c r="C621" s="229" t="s">
        <v>172</v>
      </c>
      <c r="D621" s="230" t="s">
        <v>28</v>
      </c>
      <c r="E621" s="231">
        <v>6</v>
      </c>
      <c r="F621" s="232">
        <v>0</v>
      </c>
      <c r="G621" s="232">
        <v>0</v>
      </c>
      <c r="H621" s="138">
        <f t="shared" si="64"/>
        <v>0</v>
      </c>
      <c r="I621" s="138">
        <f t="shared" si="65"/>
        <v>0</v>
      </c>
      <c r="J621" s="25"/>
      <c r="K621" s="32"/>
    </row>
    <row r="622" spans="1:11" s="33" customFormat="1" ht="25.5" outlineLevel="3">
      <c r="A622" s="14"/>
      <c r="B622" s="38"/>
      <c r="C622" s="229" t="s">
        <v>165</v>
      </c>
      <c r="D622" s="230" t="s">
        <v>28</v>
      </c>
      <c r="E622" s="231">
        <v>5</v>
      </c>
      <c r="F622" s="232">
        <v>0</v>
      </c>
      <c r="G622" s="232">
        <v>0</v>
      </c>
      <c r="H622" s="138">
        <f t="shared" si="64"/>
        <v>0</v>
      </c>
      <c r="I622" s="138">
        <f t="shared" si="65"/>
        <v>0</v>
      </c>
      <c r="J622" s="25"/>
      <c r="K622" s="32"/>
    </row>
    <row r="623" spans="1:11" s="33" customFormat="1" ht="25.5" outlineLevel="3">
      <c r="A623" s="14"/>
      <c r="B623" s="38"/>
      <c r="C623" s="229" t="s">
        <v>166</v>
      </c>
      <c r="D623" s="230" t="s">
        <v>28</v>
      </c>
      <c r="E623" s="231">
        <v>3</v>
      </c>
      <c r="F623" s="232">
        <v>0</v>
      </c>
      <c r="G623" s="232">
        <v>0</v>
      </c>
      <c r="H623" s="138">
        <f t="shared" si="64"/>
        <v>0</v>
      </c>
      <c r="I623" s="138">
        <f t="shared" si="65"/>
        <v>0</v>
      </c>
      <c r="J623" s="25"/>
      <c r="K623" s="32"/>
    </row>
    <row r="624" spans="1:11" s="33" customFormat="1" ht="25.5" outlineLevel="3">
      <c r="A624" s="14"/>
      <c r="B624" s="38"/>
      <c r="C624" s="229" t="s">
        <v>167</v>
      </c>
      <c r="D624" s="230" t="s">
        <v>28</v>
      </c>
      <c r="E624" s="231">
        <v>3</v>
      </c>
      <c r="F624" s="232">
        <v>0</v>
      </c>
      <c r="G624" s="232">
        <v>0</v>
      </c>
      <c r="H624" s="138">
        <f t="shared" si="64"/>
        <v>0</v>
      </c>
      <c r="I624" s="138">
        <f t="shared" si="65"/>
        <v>0</v>
      </c>
      <c r="J624" s="25"/>
      <c r="K624" s="32"/>
    </row>
    <row r="625" spans="1:11" s="33" customFormat="1" ht="25.5" outlineLevel="3">
      <c r="A625" s="14"/>
      <c r="B625" s="38"/>
      <c r="C625" s="229" t="s">
        <v>139</v>
      </c>
      <c r="D625" s="230" t="s">
        <v>38</v>
      </c>
      <c r="E625" s="231">
        <v>1</v>
      </c>
      <c r="F625" s="232">
        <v>0</v>
      </c>
      <c r="G625" s="232">
        <v>0</v>
      </c>
      <c r="H625" s="138">
        <f t="shared" si="64"/>
        <v>0</v>
      </c>
      <c r="I625" s="138">
        <f t="shared" si="65"/>
        <v>0</v>
      </c>
      <c r="J625" s="25"/>
      <c r="K625" s="32"/>
    </row>
    <row r="626" spans="1:11" s="33" customFormat="1" ht="25.5" outlineLevel="3">
      <c r="A626" s="14"/>
      <c r="B626" s="35">
        <f>MAXA($B$6:B625)+1</f>
        <v>79</v>
      </c>
      <c r="C626" s="229" t="s">
        <v>251</v>
      </c>
      <c r="D626" s="230" t="s">
        <v>38</v>
      </c>
      <c r="E626" s="231">
        <v>1</v>
      </c>
      <c r="F626" s="232">
        <v>6119656</v>
      </c>
      <c r="G626" s="232">
        <v>1563188</v>
      </c>
      <c r="H626" s="138">
        <f t="shared" si="64"/>
        <v>7682844</v>
      </c>
      <c r="I626" s="138">
        <f t="shared" si="65"/>
        <v>7682844</v>
      </c>
      <c r="J626" s="25"/>
      <c r="K626" s="32"/>
    </row>
    <row r="627" spans="1:11" s="33" customFormat="1" ht="25.5" outlineLevel="3">
      <c r="A627" s="14"/>
      <c r="B627" s="38"/>
      <c r="C627" s="241" t="s">
        <v>141</v>
      </c>
      <c r="D627" s="212"/>
      <c r="E627" s="228"/>
      <c r="F627" s="232">
        <v>0</v>
      </c>
      <c r="G627" s="232">
        <v>0</v>
      </c>
      <c r="H627" s="214"/>
      <c r="I627" s="180"/>
      <c r="J627" s="25"/>
      <c r="K627" s="32"/>
    </row>
    <row r="628" spans="1:11" s="33" customFormat="1" ht="25.5" outlineLevel="3">
      <c r="A628" s="14"/>
      <c r="B628" s="38"/>
      <c r="C628" s="229" t="s">
        <v>151</v>
      </c>
      <c r="D628" s="230" t="s">
        <v>28</v>
      </c>
      <c r="E628" s="231">
        <v>1</v>
      </c>
      <c r="F628" s="232">
        <v>0</v>
      </c>
      <c r="G628" s="232">
        <v>0</v>
      </c>
      <c r="H628" s="138">
        <f>G628+F628</f>
        <v>0</v>
      </c>
      <c r="I628" s="138">
        <f>H628*E628</f>
        <v>0</v>
      </c>
      <c r="J628" s="25"/>
      <c r="K628" s="32"/>
    </row>
    <row r="629" spans="1:11" s="33" customFormat="1" ht="25.5" outlineLevel="3">
      <c r="A629" s="14"/>
      <c r="B629" s="38"/>
      <c r="C629" s="242" t="s">
        <v>94</v>
      </c>
      <c r="D629" s="230" t="s">
        <v>28</v>
      </c>
      <c r="E629" s="231">
        <v>1</v>
      </c>
      <c r="F629" s="232">
        <v>0</v>
      </c>
      <c r="G629" s="232">
        <v>0</v>
      </c>
      <c r="H629" s="138">
        <f>G629+F629</f>
        <v>0</v>
      </c>
      <c r="I629" s="138">
        <f>H629*E629</f>
        <v>0</v>
      </c>
      <c r="J629" s="25"/>
      <c r="K629" s="32"/>
    </row>
    <row r="630" spans="1:11" s="33" customFormat="1" ht="25.5" outlineLevel="3">
      <c r="A630" s="14"/>
      <c r="B630" s="38"/>
      <c r="C630" s="242" t="s">
        <v>95</v>
      </c>
      <c r="D630" s="230" t="s">
        <v>28</v>
      </c>
      <c r="E630" s="231">
        <v>1</v>
      </c>
      <c r="F630" s="232">
        <v>0</v>
      </c>
      <c r="G630" s="232">
        <v>0</v>
      </c>
      <c r="H630" s="138">
        <f>G630+F630</f>
        <v>0</v>
      </c>
      <c r="I630" s="138">
        <f>H630*E630</f>
        <v>0</v>
      </c>
      <c r="J630" s="25"/>
      <c r="K630" s="32"/>
    </row>
    <row r="631" spans="1:11" s="33" customFormat="1" ht="25.5" outlineLevel="3">
      <c r="A631" s="14"/>
      <c r="B631" s="38"/>
      <c r="C631" s="242" t="s">
        <v>96</v>
      </c>
      <c r="D631" s="230" t="s">
        <v>28</v>
      </c>
      <c r="E631" s="231">
        <v>1</v>
      </c>
      <c r="F631" s="232">
        <v>0</v>
      </c>
      <c r="G631" s="232">
        <v>0</v>
      </c>
      <c r="H631" s="138">
        <f>G631+F631</f>
        <v>0</v>
      </c>
      <c r="I631" s="138">
        <f>H631*E631</f>
        <v>0</v>
      </c>
      <c r="J631" s="25"/>
      <c r="K631" s="32"/>
    </row>
    <row r="632" spans="1:11" s="33" customFormat="1" ht="25.5" outlineLevel="3">
      <c r="A632" s="14"/>
      <c r="B632" s="38"/>
      <c r="C632" s="241" t="s">
        <v>148</v>
      </c>
      <c r="D632" s="233"/>
      <c r="E632" s="231"/>
      <c r="F632" s="232">
        <v>0</v>
      </c>
      <c r="G632" s="232">
        <v>0</v>
      </c>
      <c r="H632" s="214"/>
      <c r="I632" s="180"/>
      <c r="J632" s="25"/>
      <c r="K632" s="32"/>
    </row>
    <row r="633" spans="1:11" s="33" customFormat="1" ht="25.5" outlineLevel="3">
      <c r="A633" s="14"/>
      <c r="B633" s="38"/>
      <c r="C633" s="229" t="s">
        <v>170</v>
      </c>
      <c r="D633" s="230" t="s">
        <v>28</v>
      </c>
      <c r="E633" s="231">
        <v>1</v>
      </c>
      <c r="F633" s="232">
        <v>0</v>
      </c>
      <c r="G633" s="232">
        <v>0</v>
      </c>
      <c r="H633" s="138">
        <f>G633+F633</f>
        <v>0</v>
      </c>
      <c r="I633" s="138">
        <f>H633*E633</f>
        <v>0</v>
      </c>
      <c r="J633" s="25"/>
      <c r="K633" s="32"/>
    </row>
    <row r="634" spans="1:11" s="33" customFormat="1" ht="25.5" outlineLevel="3">
      <c r="A634" s="14"/>
      <c r="B634" s="38"/>
      <c r="C634" s="229" t="s">
        <v>171</v>
      </c>
      <c r="D634" s="230" t="s">
        <v>28</v>
      </c>
      <c r="E634" s="231">
        <v>1</v>
      </c>
      <c r="F634" s="232">
        <v>0</v>
      </c>
      <c r="G634" s="232">
        <v>0</v>
      </c>
      <c r="H634" s="138">
        <f>G634+F634</f>
        <v>0</v>
      </c>
      <c r="I634" s="138">
        <f>H634*E634</f>
        <v>0</v>
      </c>
      <c r="J634" s="25"/>
      <c r="K634" s="32"/>
    </row>
    <row r="635" spans="1:11" s="33" customFormat="1" ht="25.5" outlineLevel="3">
      <c r="A635" s="14"/>
      <c r="B635" s="38"/>
      <c r="C635" s="229" t="s">
        <v>172</v>
      </c>
      <c r="D635" s="230" t="s">
        <v>28</v>
      </c>
      <c r="E635" s="231">
        <v>2</v>
      </c>
      <c r="F635" s="232">
        <v>0</v>
      </c>
      <c r="G635" s="232">
        <v>0</v>
      </c>
      <c r="H635" s="138">
        <f>G635+F635</f>
        <v>0</v>
      </c>
      <c r="I635" s="138">
        <f>H635*E635</f>
        <v>0</v>
      </c>
      <c r="J635" s="25"/>
      <c r="K635" s="32"/>
    </row>
    <row r="636" spans="1:11" s="33" customFormat="1" ht="25.5" outlineLevel="3">
      <c r="A636" s="14"/>
      <c r="B636" s="38"/>
      <c r="C636" s="229" t="s">
        <v>139</v>
      </c>
      <c r="D636" s="230" t="s">
        <v>38</v>
      </c>
      <c r="E636" s="231">
        <v>1</v>
      </c>
      <c r="F636" s="232">
        <v>0</v>
      </c>
      <c r="G636" s="232">
        <v>0</v>
      </c>
      <c r="H636" s="138">
        <f>G636+F636</f>
        <v>0</v>
      </c>
      <c r="I636" s="138">
        <f>H636*E636</f>
        <v>0</v>
      </c>
      <c r="J636" s="25"/>
      <c r="K636" s="32"/>
    </row>
    <row r="637" spans="1:11" s="33" customFormat="1" ht="25.5" outlineLevel="3">
      <c r="A637" s="14"/>
      <c r="B637" s="35">
        <f>MAXA($B$6:B636)+1</f>
        <v>80</v>
      </c>
      <c r="C637" s="229" t="s">
        <v>252</v>
      </c>
      <c r="D637" s="230" t="s">
        <v>38</v>
      </c>
      <c r="E637" s="231">
        <v>1</v>
      </c>
      <c r="F637" s="232">
        <v>4450975</v>
      </c>
      <c r="G637" s="232">
        <v>1563188</v>
      </c>
      <c r="H637" s="138">
        <f>G637+F637</f>
        <v>6014163</v>
      </c>
      <c r="I637" s="138">
        <f>H637*E637</f>
        <v>6014163</v>
      </c>
      <c r="J637" s="25"/>
      <c r="K637" s="32"/>
    </row>
    <row r="638" spans="1:11" s="33" customFormat="1" ht="25.5" outlineLevel="3">
      <c r="A638" s="14"/>
      <c r="B638" s="38"/>
      <c r="C638" s="241" t="s">
        <v>141</v>
      </c>
      <c r="D638" s="212"/>
      <c r="E638" s="228"/>
      <c r="F638" s="232">
        <v>0</v>
      </c>
      <c r="G638" s="232">
        <v>0</v>
      </c>
      <c r="H638" s="214"/>
      <c r="I638" s="180"/>
      <c r="J638" s="25"/>
      <c r="K638" s="32"/>
    </row>
    <row r="639" spans="1:11" s="33" customFormat="1" ht="25.5" outlineLevel="3">
      <c r="A639" s="14"/>
      <c r="B639" s="38"/>
      <c r="C639" s="229" t="s">
        <v>237</v>
      </c>
      <c r="D639" s="230" t="s">
        <v>28</v>
      </c>
      <c r="E639" s="231">
        <v>1</v>
      </c>
      <c r="F639" s="232">
        <v>0</v>
      </c>
      <c r="G639" s="232">
        <v>0</v>
      </c>
      <c r="H639" s="138">
        <f>G639+F639</f>
        <v>0</v>
      </c>
      <c r="I639" s="138">
        <f>H639*E639</f>
        <v>0</v>
      </c>
      <c r="J639" s="25"/>
      <c r="K639" s="32"/>
    </row>
    <row r="640" spans="1:11" s="33" customFormat="1" ht="25.5" outlineLevel="3">
      <c r="A640" s="14"/>
      <c r="B640" s="38"/>
      <c r="C640" s="242" t="s">
        <v>94</v>
      </c>
      <c r="D640" s="230" t="s">
        <v>28</v>
      </c>
      <c r="E640" s="231">
        <v>1</v>
      </c>
      <c r="F640" s="232">
        <v>0</v>
      </c>
      <c r="G640" s="232">
        <v>0</v>
      </c>
      <c r="H640" s="138">
        <f>G640+F640</f>
        <v>0</v>
      </c>
      <c r="I640" s="138">
        <f>H640*E640</f>
        <v>0</v>
      </c>
      <c r="J640" s="25"/>
      <c r="K640" s="32"/>
    </row>
    <row r="641" spans="1:11" s="33" customFormat="1" ht="25.5" outlineLevel="3">
      <c r="A641" s="14"/>
      <c r="B641" s="38"/>
      <c r="C641" s="242" t="s">
        <v>95</v>
      </c>
      <c r="D641" s="230" t="s">
        <v>28</v>
      </c>
      <c r="E641" s="231">
        <v>1</v>
      </c>
      <c r="F641" s="232">
        <v>0</v>
      </c>
      <c r="G641" s="232">
        <v>0</v>
      </c>
      <c r="H641" s="138">
        <f>G641+F641</f>
        <v>0</v>
      </c>
      <c r="I641" s="138">
        <f>H641*E641</f>
        <v>0</v>
      </c>
      <c r="J641" s="25"/>
      <c r="K641" s="32"/>
    </row>
    <row r="642" spans="1:11" s="33" customFormat="1" ht="25.5" outlineLevel="3">
      <c r="A642" s="14"/>
      <c r="B642" s="38"/>
      <c r="C642" s="242" t="s">
        <v>96</v>
      </c>
      <c r="D642" s="230" t="s">
        <v>28</v>
      </c>
      <c r="E642" s="231">
        <v>1</v>
      </c>
      <c r="F642" s="232">
        <v>0</v>
      </c>
      <c r="G642" s="232">
        <v>0</v>
      </c>
      <c r="H642" s="138">
        <f>G642+F642</f>
        <v>0</v>
      </c>
      <c r="I642" s="138">
        <f>H642*E642</f>
        <v>0</v>
      </c>
      <c r="J642" s="25"/>
      <c r="K642" s="32"/>
    </row>
    <row r="643" spans="1:11" s="33" customFormat="1" ht="25.5" outlineLevel="3">
      <c r="A643" s="14"/>
      <c r="B643" s="38"/>
      <c r="C643" s="241" t="s">
        <v>148</v>
      </c>
      <c r="D643" s="233"/>
      <c r="E643" s="231"/>
      <c r="F643" s="232">
        <v>0</v>
      </c>
      <c r="G643" s="232">
        <v>0</v>
      </c>
      <c r="H643" s="214"/>
      <c r="I643" s="180"/>
      <c r="J643" s="25"/>
      <c r="K643" s="32"/>
    </row>
    <row r="644" spans="1:11" s="33" customFormat="1" ht="25.5" outlineLevel="3">
      <c r="A644" s="14"/>
      <c r="B644" s="38"/>
      <c r="C644" s="229" t="s">
        <v>170</v>
      </c>
      <c r="D644" s="230" t="s">
        <v>28</v>
      </c>
      <c r="E644" s="231">
        <v>1</v>
      </c>
      <c r="F644" s="232">
        <v>0</v>
      </c>
      <c r="G644" s="232">
        <v>0</v>
      </c>
      <c r="H644" s="138">
        <f>G644+F644</f>
        <v>0</v>
      </c>
      <c r="I644" s="138">
        <f>H644*E644</f>
        <v>0</v>
      </c>
      <c r="J644" s="25"/>
      <c r="K644" s="32"/>
    </row>
    <row r="645" spans="1:11" s="33" customFormat="1" ht="25.5" outlineLevel="3">
      <c r="A645" s="14"/>
      <c r="B645" s="38"/>
      <c r="C645" s="229" t="s">
        <v>171</v>
      </c>
      <c r="D645" s="230" t="s">
        <v>28</v>
      </c>
      <c r="E645" s="231">
        <v>1</v>
      </c>
      <c r="F645" s="232">
        <v>0</v>
      </c>
      <c r="G645" s="232">
        <v>0</v>
      </c>
      <c r="H645" s="138">
        <f>G645+F645</f>
        <v>0</v>
      </c>
      <c r="I645" s="138">
        <f>H645*E645</f>
        <v>0</v>
      </c>
      <c r="J645" s="25"/>
      <c r="K645" s="32"/>
    </row>
    <row r="646" spans="1:11" s="33" customFormat="1" ht="25.5" outlineLevel="3">
      <c r="A646" s="14"/>
      <c r="B646" s="38"/>
      <c r="C646" s="229" t="s">
        <v>172</v>
      </c>
      <c r="D646" s="230" t="s">
        <v>28</v>
      </c>
      <c r="E646" s="231">
        <v>1</v>
      </c>
      <c r="F646" s="232">
        <v>0</v>
      </c>
      <c r="G646" s="232">
        <v>0</v>
      </c>
      <c r="H646" s="138">
        <f>G646+F646</f>
        <v>0</v>
      </c>
      <c r="I646" s="138">
        <f>H646*E646</f>
        <v>0</v>
      </c>
      <c r="J646" s="25"/>
      <c r="K646" s="32"/>
    </row>
    <row r="647" spans="1:11" s="33" customFormat="1" ht="25.5" outlineLevel="3">
      <c r="A647" s="14"/>
      <c r="B647" s="38"/>
      <c r="C647" s="229" t="s">
        <v>139</v>
      </c>
      <c r="D647" s="230" t="s">
        <v>38</v>
      </c>
      <c r="E647" s="231">
        <v>1</v>
      </c>
      <c r="F647" s="232">
        <v>0</v>
      </c>
      <c r="G647" s="232">
        <v>0</v>
      </c>
      <c r="H647" s="138">
        <f>G647+F647</f>
        <v>0</v>
      </c>
      <c r="I647" s="138">
        <f>H647*E647</f>
        <v>0</v>
      </c>
      <c r="J647" s="25"/>
      <c r="K647" s="32"/>
    </row>
    <row r="648" spans="1:11" s="33" customFormat="1" ht="25.5" outlineLevel="3">
      <c r="A648" s="14"/>
      <c r="B648" s="35">
        <f>MAXA($B$6:B647)+1</f>
        <v>81</v>
      </c>
      <c r="C648" s="229" t="s">
        <v>253</v>
      </c>
      <c r="D648" s="230" t="s">
        <v>38</v>
      </c>
      <c r="E648" s="231">
        <v>1</v>
      </c>
      <c r="F648" s="232">
        <v>4450975</v>
      </c>
      <c r="G648" s="232">
        <v>1563188</v>
      </c>
      <c r="H648" s="138">
        <f>G648+F648</f>
        <v>6014163</v>
      </c>
      <c r="I648" s="138">
        <f>H648*E648</f>
        <v>6014163</v>
      </c>
      <c r="J648" s="25"/>
      <c r="K648" s="32"/>
    </row>
    <row r="649" spans="1:11" s="33" customFormat="1" ht="25.5" outlineLevel="3">
      <c r="A649" s="14"/>
      <c r="B649" s="38"/>
      <c r="C649" s="241" t="s">
        <v>141</v>
      </c>
      <c r="D649" s="212"/>
      <c r="E649" s="228"/>
      <c r="F649" s="232">
        <v>0</v>
      </c>
      <c r="G649" s="232">
        <v>0</v>
      </c>
      <c r="H649" s="214"/>
      <c r="I649" s="180"/>
      <c r="J649" s="25"/>
      <c r="K649" s="32"/>
    </row>
    <row r="650" spans="1:11" s="33" customFormat="1" ht="25.5" outlineLevel="3">
      <c r="A650" s="14"/>
      <c r="B650" s="38"/>
      <c r="C650" s="229" t="s">
        <v>237</v>
      </c>
      <c r="D650" s="230" t="s">
        <v>28</v>
      </c>
      <c r="E650" s="231">
        <v>1</v>
      </c>
      <c r="F650" s="232">
        <v>0</v>
      </c>
      <c r="G650" s="232">
        <v>0</v>
      </c>
      <c r="H650" s="138">
        <f>G650+F650</f>
        <v>0</v>
      </c>
      <c r="I650" s="138">
        <f>H650*E650</f>
        <v>0</v>
      </c>
      <c r="J650" s="25"/>
      <c r="K650" s="32"/>
    </row>
    <row r="651" spans="1:11" s="33" customFormat="1" ht="25.5" outlineLevel="3">
      <c r="A651" s="14"/>
      <c r="B651" s="38"/>
      <c r="C651" s="242" t="s">
        <v>94</v>
      </c>
      <c r="D651" s="230" t="s">
        <v>28</v>
      </c>
      <c r="E651" s="231">
        <v>1</v>
      </c>
      <c r="F651" s="232">
        <v>0</v>
      </c>
      <c r="G651" s="232">
        <v>0</v>
      </c>
      <c r="H651" s="138">
        <f>G651+F651</f>
        <v>0</v>
      </c>
      <c r="I651" s="138">
        <f>H651*E651</f>
        <v>0</v>
      </c>
      <c r="J651" s="25"/>
      <c r="K651" s="32"/>
    </row>
    <row r="652" spans="1:11" s="33" customFormat="1" ht="25.5" outlineLevel="3">
      <c r="A652" s="14"/>
      <c r="B652" s="38"/>
      <c r="C652" s="242" t="s">
        <v>95</v>
      </c>
      <c r="D652" s="230" t="s">
        <v>28</v>
      </c>
      <c r="E652" s="231">
        <v>1</v>
      </c>
      <c r="F652" s="232">
        <v>0</v>
      </c>
      <c r="G652" s="232">
        <v>0</v>
      </c>
      <c r="H652" s="138">
        <f>G652+F652</f>
        <v>0</v>
      </c>
      <c r="I652" s="138">
        <f>H652*E652</f>
        <v>0</v>
      </c>
      <c r="J652" s="25"/>
      <c r="K652" s="32"/>
    </row>
    <row r="653" spans="1:11" s="33" customFormat="1" ht="25.5" outlineLevel="3">
      <c r="A653" s="14"/>
      <c r="B653" s="38"/>
      <c r="C653" s="242" t="s">
        <v>96</v>
      </c>
      <c r="D653" s="230" t="s">
        <v>28</v>
      </c>
      <c r="E653" s="231">
        <v>1</v>
      </c>
      <c r="F653" s="232">
        <v>0</v>
      </c>
      <c r="G653" s="232">
        <v>0</v>
      </c>
      <c r="H653" s="138">
        <f>G653+F653</f>
        <v>0</v>
      </c>
      <c r="I653" s="138">
        <f>H653*E653</f>
        <v>0</v>
      </c>
      <c r="J653" s="25"/>
      <c r="K653" s="32"/>
    </row>
    <row r="654" spans="1:11" s="33" customFormat="1" ht="25.5" outlineLevel="3">
      <c r="A654" s="14"/>
      <c r="B654" s="38"/>
      <c r="C654" s="241" t="s">
        <v>148</v>
      </c>
      <c r="D654" s="233"/>
      <c r="E654" s="231"/>
      <c r="F654" s="232">
        <v>0</v>
      </c>
      <c r="G654" s="232">
        <v>0</v>
      </c>
      <c r="H654" s="214"/>
      <c r="I654" s="180"/>
      <c r="J654" s="25"/>
      <c r="K654" s="32"/>
    </row>
    <row r="655" spans="1:11" s="33" customFormat="1" ht="25.5" outlineLevel="3">
      <c r="A655" s="14"/>
      <c r="B655" s="38"/>
      <c r="C655" s="229" t="s">
        <v>170</v>
      </c>
      <c r="D655" s="230" t="s">
        <v>28</v>
      </c>
      <c r="E655" s="231">
        <v>1</v>
      </c>
      <c r="F655" s="232">
        <v>0</v>
      </c>
      <c r="G655" s="232">
        <v>0</v>
      </c>
      <c r="H655" s="138">
        <f>G655+F655</f>
        <v>0</v>
      </c>
      <c r="I655" s="138">
        <f>H655*E655</f>
        <v>0</v>
      </c>
      <c r="J655" s="25"/>
      <c r="K655" s="32"/>
    </row>
    <row r="656" spans="1:11" s="33" customFormat="1" ht="25.5" outlineLevel="3">
      <c r="A656" s="14"/>
      <c r="B656" s="38"/>
      <c r="C656" s="229" t="s">
        <v>171</v>
      </c>
      <c r="D656" s="230" t="s">
        <v>28</v>
      </c>
      <c r="E656" s="231">
        <v>1</v>
      </c>
      <c r="F656" s="232">
        <v>0</v>
      </c>
      <c r="G656" s="232">
        <v>0</v>
      </c>
      <c r="H656" s="138">
        <f>G656+F656</f>
        <v>0</v>
      </c>
      <c r="I656" s="138">
        <f>H656*E656</f>
        <v>0</v>
      </c>
      <c r="J656" s="25"/>
      <c r="K656" s="32"/>
    </row>
    <row r="657" spans="1:11" s="33" customFormat="1" ht="25.5" outlineLevel="3">
      <c r="A657" s="14"/>
      <c r="B657" s="38"/>
      <c r="C657" s="229" t="s">
        <v>172</v>
      </c>
      <c r="D657" s="230" t="s">
        <v>28</v>
      </c>
      <c r="E657" s="231">
        <v>1</v>
      </c>
      <c r="F657" s="232">
        <v>0</v>
      </c>
      <c r="G657" s="232">
        <v>0</v>
      </c>
      <c r="H657" s="138">
        <f>G657+F657</f>
        <v>0</v>
      </c>
      <c r="I657" s="138">
        <f>H657*E657</f>
        <v>0</v>
      </c>
      <c r="J657" s="25"/>
      <c r="K657" s="32"/>
    </row>
    <row r="658" spans="1:11" s="33" customFormat="1" ht="25.5" outlineLevel="3">
      <c r="A658" s="14"/>
      <c r="B658" s="38"/>
      <c r="C658" s="229" t="s">
        <v>139</v>
      </c>
      <c r="D658" s="230" t="s">
        <v>38</v>
      </c>
      <c r="E658" s="231">
        <v>1</v>
      </c>
      <c r="F658" s="232">
        <v>0</v>
      </c>
      <c r="G658" s="232">
        <v>0</v>
      </c>
      <c r="H658" s="138">
        <f>G658+F658</f>
        <v>0</v>
      </c>
      <c r="I658" s="138">
        <f>H658*E658</f>
        <v>0</v>
      </c>
      <c r="J658" s="25"/>
      <c r="K658" s="32"/>
    </row>
    <row r="659" spans="1:11" s="33" customFormat="1" ht="25.5" outlineLevel="3">
      <c r="A659" s="14"/>
      <c r="B659" s="35">
        <f>MAXA($B$6:B658)+1</f>
        <v>82</v>
      </c>
      <c r="C659" s="229" t="s">
        <v>254</v>
      </c>
      <c r="D659" s="230" t="s">
        <v>38</v>
      </c>
      <c r="E659" s="231">
        <v>1</v>
      </c>
      <c r="F659" s="232">
        <v>4450975</v>
      </c>
      <c r="G659" s="232">
        <v>1563188</v>
      </c>
      <c r="H659" s="138">
        <f>G659+F659</f>
        <v>6014163</v>
      </c>
      <c r="I659" s="138">
        <f>H659*E659</f>
        <v>6014163</v>
      </c>
      <c r="J659" s="25"/>
      <c r="K659" s="32"/>
    </row>
    <row r="660" spans="1:11" s="33" customFormat="1" ht="25.5" outlineLevel="3">
      <c r="A660" s="14"/>
      <c r="B660" s="38"/>
      <c r="C660" s="241" t="s">
        <v>141</v>
      </c>
      <c r="D660" s="212"/>
      <c r="E660" s="228"/>
      <c r="F660" s="232">
        <v>0</v>
      </c>
      <c r="G660" s="232">
        <v>0</v>
      </c>
      <c r="H660" s="214"/>
      <c r="I660" s="180"/>
      <c r="J660" s="25"/>
      <c r="K660" s="32"/>
    </row>
    <row r="661" spans="1:11" s="33" customFormat="1" ht="25.5" outlineLevel="3">
      <c r="A661" s="14"/>
      <c r="B661" s="38"/>
      <c r="C661" s="229" t="s">
        <v>237</v>
      </c>
      <c r="D661" s="230" t="s">
        <v>28</v>
      </c>
      <c r="E661" s="231">
        <v>1</v>
      </c>
      <c r="F661" s="232">
        <v>0</v>
      </c>
      <c r="G661" s="232">
        <v>0</v>
      </c>
      <c r="H661" s="138">
        <f>G661+F661</f>
        <v>0</v>
      </c>
      <c r="I661" s="138">
        <f>H661*E661</f>
        <v>0</v>
      </c>
      <c r="J661" s="25"/>
      <c r="K661" s="32"/>
    </row>
    <row r="662" spans="1:11" s="33" customFormat="1" ht="25.5" outlineLevel="3">
      <c r="A662" s="14"/>
      <c r="B662" s="38"/>
      <c r="C662" s="242" t="s">
        <v>94</v>
      </c>
      <c r="D662" s="230" t="s">
        <v>28</v>
      </c>
      <c r="E662" s="231">
        <v>1</v>
      </c>
      <c r="F662" s="232">
        <v>0</v>
      </c>
      <c r="G662" s="232">
        <v>0</v>
      </c>
      <c r="H662" s="138">
        <f>G662+F662</f>
        <v>0</v>
      </c>
      <c r="I662" s="138">
        <f>H662*E662</f>
        <v>0</v>
      </c>
      <c r="J662" s="25"/>
      <c r="K662" s="32"/>
    </row>
    <row r="663" spans="1:11" s="33" customFormat="1" ht="25.5" outlineLevel="3">
      <c r="A663" s="14"/>
      <c r="B663" s="38"/>
      <c r="C663" s="242" t="s">
        <v>95</v>
      </c>
      <c r="D663" s="230" t="s">
        <v>28</v>
      </c>
      <c r="E663" s="231">
        <v>1</v>
      </c>
      <c r="F663" s="232">
        <v>0</v>
      </c>
      <c r="G663" s="232">
        <v>0</v>
      </c>
      <c r="H663" s="138">
        <f>G663+F663</f>
        <v>0</v>
      </c>
      <c r="I663" s="138">
        <f>H663*E663</f>
        <v>0</v>
      </c>
      <c r="J663" s="25"/>
      <c r="K663" s="32"/>
    </row>
    <row r="664" spans="1:11" s="33" customFormat="1" ht="25.5" outlineLevel="3">
      <c r="A664" s="14"/>
      <c r="B664" s="38"/>
      <c r="C664" s="242" t="s">
        <v>96</v>
      </c>
      <c r="D664" s="230" t="s">
        <v>28</v>
      </c>
      <c r="E664" s="231">
        <v>1</v>
      </c>
      <c r="F664" s="232">
        <v>0</v>
      </c>
      <c r="G664" s="232">
        <v>0</v>
      </c>
      <c r="H664" s="138">
        <f>G664+F664</f>
        <v>0</v>
      </c>
      <c r="I664" s="138">
        <f>H664*E664</f>
        <v>0</v>
      </c>
      <c r="J664" s="25"/>
      <c r="K664" s="32"/>
    </row>
    <row r="665" spans="1:11" s="33" customFormat="1" ht="25.5" outlineLevel="3">
      <c r="A665" s="14"/>
      <c r="B665" s="38"/>
      <c r="C665" s="241" t="s">
        <v>148</v>
      </c>
      <c r="D665" s="233"/>
      <c r="E665" s="231"/>
      <c r="F665" s="232">
        <v>0</v>
      </c>
      <c r="G665" s="232">
        <v>0</v>
      </c>
      <c r="H665" s="214"/>
      <c r="I665" s="180"/>
      <c r="J665" s="25"/>
      <c r="K665" s="32"/>
    </row>
    <row r="666" spans="1:11" s="33" customFormat="1" ht="25.5" outlineLevel="3">
      <c r="A666" s="14"/>
      <c r="B666" s="38"/>
      <c r="C666" s="229" t="s">
        <v>170</v>
      </c>
      <c r="D666" s="230" t="s">
        <v>28</v>
      </c>
      <c r="E666" s="231">
        <v>1</v>
      </c>
      <c r="F666" s="232">
        <v>0</v>
      </c>
      <c r="G666" s="232">
        <v>0</v>
      </c>
      <c r="H666" s="138">
        <f>G666+F666</f>
        <v>0</v>
      </c>
      <c r="I666" s="138">
        <f>H666*E666</f>
        <v>0</v>
      </c>
      <c r="J666" s="25"/>
      <c r="K666" s="32"/>
    </row>
    <row r="667" spans="1:11" s="33" customFormat="1" ht="25.5" outlineLevel="3">
      <c r="A667" s="14"/>
      <c r="B667" s="38"/>
      <c r="C667" s="229" t="s">
        <v>171</v>
      </c>
      <c r="D667" s="230" t="s">
        <v>28</v>
      </c>
      <c r="E667" s="231">
        <v>1</v>
      </c>
      <c r="F667" s="232">
        <v>0</v>
      </c>
      <c r="G667" s="232">
        <v>0</v>
      </c>
      <c r="H667" s="138">
        <f>G667+F667</f>
        <v>0</v>
      </c>
      <c r="I667" s="138">
        <f>H667*E667</f>
        <v>0</v>
      </c>
      <c r="J667" s="25"/>
      <c r="K667" s="32"/>
    </row>
    <row r="668" spans="1:11" s="33" customFormat="1" ht="25.5" outlineLevel="3">
      <c r="A668" s="14"/>
      <c r="B668" s="38"/>
      <c r="C668" s="229" t="s">
        <v>172</v>
      </c>
      <c r="D668" s="230" t="s">
        <v>28</v>
      </c>
      <c r="E668" s="231">
        <v>1</v>
      </c>
      <c r="F668" s="232">
        <v>0</v>
      </c>
      <c r="G668" s="232">
        <v>0</v>
      </c>
      <c r="H668" s="138">
        <f>G668+F668</f>
        <v>0</v>
      </c>
      <c r="I668" s="138">
        <f>H668*E668</f>
        <v>0</v>
      </c>
      <c r="J668" s="25"/>
      <c r="K668" s="32"/>
    </row>
    <row r="669" spans="1:11" s="33" customFormat="1" ht="25.5" outlineLevel="3">
      <c r="A669" s="14"/>
      <c r="B669" s="38"/>
      <c r="C669" s="229" t="s">
        <v>139</v>
      </c>
      <c r="D669" s="230" t="s">
        <v>38</v>
      </c>
      <c r="E669" s="231">
        <v>1</v>
      </c>
      <c r="F669" s="232">
        <v>0</v>
      </c>
      <c r="G669" s="232">
        <v>0</v>
      </c>
      <c r="H669" s="138">
        <f>G669+F669</f>
        <v>0</v>
      </c>
      <c r="I669" s="138">
        <f>H669*E669</f>
        <v>0</v>
      </c>
      <c r="J669" s="25"/>
      <c r="K669" s="32"/>
    </row>
    <row r="670" spans="1:11" s="33" customFormat="1" ht="25.5" outlineLevel="3">
      <c r="A670" s="14"/>
      <c r="B670" s="35">
        <f>MAXA($B$6:B669)+1</f>
        <v>83</v>
      </c>
      <c r="C670" s="229" t="s">
        <v>255</v>
      </c>
      <c r="D670" s="230" t="s">
        <v>38</v>
      </c>
      <c r="E670" s="231">
        <v>1</v>
      </c>
      <c r="F670" s="232">
        <v>14495572</v>
      </c>
      <c r="G670" s="232">
        <v>1563188</v>
      </c>
      <c r="H670" s="138">
        <f>G670+F670</f>
        <v>16058760</v>
      </c>
      <c r="I670" s="138">
        <f>H670*E670</f>
        <v>16058760</v>
      </c>
      <c r="J670" s="25"/>
      <c r="K670" s="32"/>
    </row>
    <row r="671" spans="1:11" s="33" customFormat="1" ht="25.5" outlineLevel="3">
      <c r="A671" s="14"/>
      <c r="B671" s="38"/>
      <c r="C671" s="241" t="s">
        <v>141</v>
      </c>
      <c r="D671" s="212"/>
      <c r="E671" s="228"/>
      <c r="F671" s="232">
        <v>0</v>
      </c>
      <c r="G671" s="232">
        <v>0</v>
      </c>
      <c r="H671" s="214"/>
      <c r="I671" s="180"/>
      <c r="J671" s="25"/>
      <c r="K671" s="32"/>
    </row>
    <row r="672" spans="1:11" s="33" customFormat="1" ht="25.5" outlineLevel="3">
      <c r="A672" s="14"/>
      <c r="B672" s="38"/>
      <c r="C672" s="229" t="s">
        <v>230</v>
      </c>
      <c r="D672" s="230" t="s">
        <v>28</v>
      </c>
      <c r="E672" s="231">
        <v>1</v>
      </c>
      <c r="F672" s="232">
        <v>0</v>
      </c>
      <c r="G672" s="232">
        <v>0</v>
      </c>
      <c r="H672" s="138">
        <f>G672+F672</f>
        <v>0</v>
      </c>
      <c r="I672" s="138">
        <f>H672*E672</f>
        <v>0</v>
      </c>
      <c r="J672" s="25"/>
      <c r="K672" s="32"/>
    </row>
    <row r="673" spans="1:11" s="33" customFormat="1" ht="25.5" outlineLevel="3">
      <c r="A673" s="14"/>
      <c r="B673" s="38"/>
      <c r="C673" s="242" t="s">
        <v>94</v>
      </c>
      <c r="D673" s="230" t="s">
        <v>28</v>
      </c>
      <c r="E673" s="231">
        <v>1</v>
      </c>
      <c r="F673" s="232">
        <v>0</v>
      </c>
      <c r="G673" s="232">
        <v>0</v>
      </c>
      <c r="H673" s="138">
        <f>G673+F673</f>
        <v>0</v>
      </c>
      <c r="I673" s="138">
        <f>H673*E673</f>
        <v>0</v>
      </c>
      <c r="J673" s="25"/>
      <c r="K673" s="32"/>
    </row>
    <row r="674" spans="1:11" s="33" customFormat="1" ht="25.5" outlineLevel="3">
      <c r="A674" s="14"/>
      <c r="B674" s="38"/>
      <c r="C674" s="242" t="s">
        <v>95</v>
      </c>
      <c r="D674" s="230" t="s">
        <v>28</v>
      </c>
      <c r="E674" s="231">
        <v>1</v>
      </c>
      <c r="F674" s="232">
        <v>0</v>
      </c>
      <c r="G674" s="232">
        <v>0</v>
      </c>
      <c r="H674" s="138">
        <f>G674+F674</f>
        <v>0</v>
      </c>
      <c r="I674" s="138">
        <f>H674*E674</f>
        <v>0</v>
      </c>
      <c r="J674" s="25"/>
      <c r="K674" s="32"/>
    </row>
    <row r="675" spans="1:11" s="33" customFormat="1" ht="25.5" outlineLevel="3">
      <c r="A675" s="14"/>
      <c r="B675" s="38"/>
      <c r="C675" s="242" t="s">
        <v>96</v>
      </c>
      <c r="D675" s="230" t="s">
        <v>28</v>
      </c>
      <c r="E675" s="231">
        <v>1</v>
      </c>
      <c r="F675" s="232">
        <v>0</v>
      </c>
      <c r="G675" s="232">
        <v>0</v>
      </c>
      <c r="H675" s="138">
        <f>G675+F675</f>
        <v>0</v>
      </c>
      <c r="I675" s="138">
        <f>H675*E675</f>
        <v>0</v>
      </c>
      <c r="J675" s="25"/>
      <c r="K675" s="32"/>
    </row>
    <row r="676" spans="1:11" s="33" customFormat="1" ht="25.5" outlineLevel="3">
      <c r="A676" s="14"/>
      <c r="B676" s="38"/>
      <c r="C676" s="241" t="s">
        <v>148</v>
      </c>
      <c r="D676" s="233"/>
      <c r="E676" s="231"/>
      <c r="F676" s="232">
        <v>0</v>
      </c>
      <c r="G676" s="232">
        <v>0</v>
      </c>
      <c r="H676" s="214"/>
      <c r="I676" s="180"/>
      <c r="J676" s="25"/>
      <c r="K676" s="32"/>
    </row>
    <row r="677" spans="1:11" s="33" customFormat="1" ht="25.5" outlineLevel="3">
      <c r="A677" s="14"/>
      <c r="B677" s="38"/>
      <c r="C677" s="229" t="s">
        <v>170</v>
      </c>
      <c r="D677" s="230" t="s">
        <v>28</v>
      </c>
      <c r="E677" s="231">
        <v>2</v>
      </c>
      <c r="F677" s="232">
        <v>0</v>
      </c>
      <c r="G677" s="232">
        <v>0</v>
      </c>
      <c r="H677" s="138">
        <f t="shared" ref="H677:H683" si="66">G677+F677</f>
        <v>0</v>
      </c>
      <c r="I677" s="138">
        <f t="shared" ref="I677:I683" si="67">H677*E677</f>
        <v>0</v>
      </c>
      <c r="J677" s="25"/>
      <c r="K677" s="32"/>
    </row>
    <row r="678" spans="1:11" s="33" customFormat="1" ht="25.5" outlineLevel="3">
      <c r="A678" s="14"/>
      <c r="B678" s="38"/>
      <c r="C678" s="229" t="s">
        <v>171</v>
      </c>
      <c r="D678" s="230" t="s">
        <v>28</v>
      </c>
      <c r="E678" s="231">
        <v>1</v>
      </c>
      <c r="F678" s="232">
        <v>0</v>
      </c>
      <c r="G678" s="232">
        <v>0</v>
      </c>
      <c r="H678" s="138">
        <f t="shared" si="66"/>
        <v>0</v>
      </c>
      <c r="I678" s="138">
        <f t="shared" si="67"/>
        <v>0</v>
      </c>
      <c r="J678" s="25"/>
      <c r="K678" s="32"/>
    </row>
    <row r="679" spans="1:11" s="33" customFormat="1" ht="25.5" outlineLevel="3">
      <c r="A679" s="14"/>
      <c r="B679" s="38"/>
      <c r="C679" s="229" t="s">
        <v>178</v>
      </c>
      <c r="D679" s="230" t="s">
        <v>28</v>
      </c>
      <c r="E679" s="231">
        <v>1</v>
      </c>
      <c r="F679" s="232">
        <v>0</v>
      </c>
      <c r="G679" s="232">
        <v>0</v>
      </c>
      <c r="H679" s="138">
        <f t="shared" si="66"/>
        <v>0</v>
      </c>
      <c r="I679" s="138">
        <f t="shared" si="67"/>
        <v>0</v>
      </c>
      <c r="J679" s="25"/>
      <c r="K679" s="32"/>
    </row>
    <row r="680" spans="1:11" s="33" customFormat="1" ht="25.5" outlineLevel="3">
      <c r="A680" s="14"/>
      <c r="B680" s="38"/>
      <c r="C680" s="229" t="s">
        <v>172</v>
      </c>
      <c r="D680" s="230" t="s">
        <v>28</v>
      </c>
      <c r="E680" s="231">
        <v>3</v>
      </c>
      <c r="F680" s="232">
        <v>0</v>
      </c>
      <c r="G680" s="232">
        <v>0</v>
      </c>
      <c r="H680" s="138">
        <f t="shared" si="66"/>
        <v>0</v>
      </c>
      <c r="I680" s="138">
        <f t="shared" si="67"/>
        <v>0</v>
      </c>
      <c r="J680" s="25"/>
      <c r="K680" s="32"/>
    </row>
    <row r="681" spans="1:11" s="33" customFormat="1" ht="25.5" outlineLevel="3">
      <c r="A681" s="14"/>
      <c r="B681" s="38"/>
      <c r="C681" s="229" t="s">
        <v>173</v>
      </c>
      <c r="D681" s="230" t="s">
        <v>28</v>
      </c>
      <c r="E681" s="231">
        <v>1</v>
      </c>
      <c r="F681" s="232">
        <v>0</v>
      </c>
      <c r="G681" s="232">
        <v>0</v>
      </c>
      <c r="H681" s="138">
        <f t="shared" si="66"/>
        <v>0</v>
      </c>
      <c r="I681" s="138">
        <f t="shared" si="67"/>
        <v>0</v>
      </c>
      <c r="J681" s="25"/>
      <c r="K681" s="32"/>
    </row>
    <row r="682" spans="1:11" s="33" customFormat="1" ht="25.5" outlineLevel="3">
      <c r="A682" s="14"/>
      <c r="B682" s="38"/>
      <c r="C682" s="229" t="s">
        <v>139</v>
      </c>
      <c r="D682" s="230" t="s">
        <v>38</v>
      </c>
      <c r="E682" s="231">
        <v>1</v>
      </c>
      <c r="F682" s="232">
        <v>0</v>
      </c>
      <c r="G682" s="232">
        <v>0</v>
      </c>
      <c r="H682" s="138">
        <f t="shared" si="66"/>
        <v>0</v>
      </c>
      <c r="I682" s="138">
        <f t="shared" si="67"/>
        <v>0</v>
      </c>
      <c r="J682" s="25"/>
      <c r="K682" s="32"/>
    </row>
    <row r="683" spans="1:11" s="33" customFormat="1" ht="25.5" outlineLevel="3">
      <c r="A683" s="14"/>
      <c r="B683" s="35">
        <f>MAXA($B$6:B682)+1</f>
        <v>84</v>
      </c>
      <c r="C683" s="229" t="s">
        <v>256</v>
      </c>
      <c r="D683" s="230" t="s">
        <v>38</v>
      </c>
      <c r="E683" s="231">
        <v>1</v>
      </c>
      <c r="F683" s="232">
        <v>14495572</v>
      </c>
      <c r="G683" s="232">
        <v>1563188</v>
      </c>
      <c r="H683" s="138">
        <f t="shared" si="66"/>
        <v>16058760</v>
      </c>
      <c r="I683" s="138">
        <f t="shared" si="67"/>
        <v>16058760</v>
      </c>
      <c r="J683" s="25"/>
      <c r="K683" s="32"/>
    </row>
    <row r="684" spans="1:11" s="33" customFormat="1" ht="25.5" outlineLevel="3">
      <c r="A684" s="14"/>
      <c r="B684" s="38"/>
      <c r="C684" s="241" t="s">
        <v>141</v>
      </c>
      <c r="D684" s="212"/>
      <c r="E684" s="228"/>
      <c r="F684" s="232">
        <v>0</v>
      </c>
      <c r="G684" s="232">
        <v>0</v>
      </c>
      <c r="H684" s="214"/>
      <c r="I684" s="180"/>
      <c r="J684" s="25"/>
      <c r="K684" s="32"/>
    </row>
    <row r="685" spans="1:11" s="33" customFormat="1" ht="25.5" outlineLevel="3">
      <c r="A685" s="14"/>
      <c r="B685" s="38"/>
      <c r="C685" s="229" t="s">
        <v>235</v>
      </c>
      <c r="D685" s="230" t="s">
        <v>28</v>
      </c>
      <c r="E685" s="231">
        <v>1</v>
      </c>
      <c r="F685" s="232">
        <v>0</v>
      </c>
      <c r="G685" s="232">
        <v>0</v>
      </c>
      <c r="H685" s="138">
        <f>G685+F685</f>
        <v>0</v>
      </c>
      <c r="I685" s="138">
        <f>H685*E685</f>
        <v>0</v>
      </c>
      <c r="J685" s="25"/>
      <c r="K685" s="32"/>
    </row>
    <row r="686" spans="1:11" s="33" customFormat="1" ht="25.5" outlineLevel="3">
      <c r="A686" s="14"/>
      <c r="B686" s="38"/>
      <c r="C686" s="242" t="s">
        <v>94</v>
      </c>
      <c r="D686" s="230" t="s">
        <v>28</v>
      </c>
      <c r="E686" s="231">
        <v>1</v>
      </c>
      <c r="F686" s="232">
        <v>0</v>
      </c>
      <c r="G686" s="232">
        <v>0</v>
      </c>
      <c r="H686" s="138">
        <f>G686+F686</f>
        <v>0</v>
      </c>
      <c r="I686" s="138">
        <f>H686*E686</f>
        <v>0</v>
      </c>
      <c r="J686" s="25"/>
      <c r="K686" s="32"/>
    </row>
    <row r="687" spans="1:11" s="33" customFormat="1" ht="25.5" outlineLevel="3">
      <c r="A687" s="14"/>
      <c r="B687" s="38"/>
      <c r="C687" s="242" t="s">
        <v>95</v>
      </c>
      <c r="D687" s="230" t="s">
        <v>28</v>
      </c>
      <c r="E687" s="231">
        <v>1</v>
      </c>
      <c r="F687" s="232">
        <v>0</v>
      </c>
      <c r="G687" s="232">
        <v>0</v>
      </c>
      <c r="H687" s="138">
        <f>G687+F687</f>
        <v>0</v>
      </c>
      <c r="I687" s="138">
        <f>H687*E687</f>
        <v>0</v>
      </c>
      <c r="J687" s="25"/>
      <c r="K687" s="32"/>
    </row>
    <row r="688" spans="1:11" s="33" customFormat="1" ht="25.5" outlineLevel="3">
      <c r="A688" s="14"/>
      <c r="B688" s="38"/>
      <c r="C688" s="242" t="s">
        <v>96</v>
      </c>
      <c r="D688" s="230" t="s">
        <v>28</v>
      </c>
      <c r="E688" s="231">
        <v>1</v>
      </c>
      <c r="F688" s="232">
        <v>0</v>
      </c>
      <c r="G688" s="232">
        <v>0</v>
      </c>
      <c r="H688" s="138">
        <f>G688+F688</f>
        <v>0</v>
      </c>
      <c r="I688" s="138">
        <f>H688*E688</f>
        <v>0</v>
      </c>
      <c r="J688" s="25"/>
      <c r="K688" s="32"/>
    </row>
    <row r="689" spans="1:11" s="33" customFormat="1" ht="25.5" outlineLevel="3">
      <c r="A689" s="14"/>
      <c r="B689" s="38"/>
      <c r="C689" s="241" t="s">
        <v>148</v>
      </c>
      <c r="D689" s="233"/>
      <c r="E689" s="231"/>
      <c r="F689" s="232">
        <v>0</v>
      </c>
      <c r="G689" s="232">
        <v>0</v>
      </c>
      <c r="H689" s="214"/>
      <c r="I689" s="180"/>
      <c r="J689" s="25"/>
      <c r="K689" s="32"/>
    </row>
    <row r="690" spans="1:11" s="33" customFormat="1" ht="25.5" outlineLevel="3">
      <c r="A690" s="14"/>
      <c r="B690" s="38"/>
      <c r="C690" s="229" t="s">
        <v>170</v>
      </c>
      <c r="D690" s="230" t="s">
        <v>28</v>
      </c>
      <c r="E690" s="231">
        <v>2</v>
      </c>
      <c r="F690" s="232">
        <v>0</v>
      </c>
      <c r="G690" s="232">
        <v>0</v>
      </c>
      <c r="H690" s="138">
        <f t="shared" ref="H690:H696" si="68">G690+F690</f>
        <v>0</v>
      </c>
      <c r="I690" s="138">
        <f t="shared" ref="I690:I696" si="69">H690*E690</f>
        <v>0</v>
      </c>
      <c r="J690" s="25"/>
      <c r="K690" s="32"/>
    </row>
    <row r="691" spans="1:11" s="33" customFormat="1" ht="25.5" outlineLevel="3">
      <c r="A691" s="14"/>
      <c r="B691" s="38"/>
      <c r="C691" s="229" t="s">
        <v>171</v>
      </c>
      <c r="D691" s="230" t="s">
        <v>28</v>
      </c>
      <c r="E691" s="231">
        <v>1</v>
      </c>
      <c r="F691" s="232">
        <v>0</v>
      </c>
      <c r="G691" s="232">
        <v>0</v>
      </c>
      <c r="H691" s="138">
        <f t="shared" si="68"/>
        <v>0</v>
      </c>
      <c r="I691" s="138">
        <f t="shared" si="69"/>
        <v>0</v>
      </c>
      <c r="J691" s="25"/>
      <c r="K691" s="32"/>
    </row>
    <row r="692" spans="1:11" s="33" customFormat="1" ht="25.5" outlineLevel="3">
      <c r="A692" s="14"/>
      <c r="B692" s="38"/>
      <c r="C692" s="229" t="s">
        <v>178</v>
      </c>
      <c r="D692" s="230" t="s">
        <v>28</v>
      </c>
      <c r="E692" s="231">
        <v>1</v>
      </c>
      <c r="F692" s="232">
        <v>0</v>
      </c>
      <c r="G692" s="232">
        <v>0</v>
      </c>
      <c r="H692" s="138">
        <f t="shared" si="68"/>
        <v>0</v>
      </c>
      <c r="I692" s="138">
        <f t="shared" si="69"/>
        <v>0</v>
      </c>
      <c r="J692" s="25"/>
      <c r="K692" s="32"/>
    </row>
    <row r="693" spans="1:11" s="33" customFormat="1" ht="25.5" outlineLevel="3">
      <c r="A693" s="14"/>
      <c r="B693" s="38"/>
      <c r="C693" s="229" t="s">
        <v>172</v>
      </c>
      <c r="D693" s="230" t="s">
        <v>28</v>
      </c>
      <c r="E693" s="231">
        <v>3</v>
      </c>
      <c r="F693" s="232">
        <v>0</v>
      </c>
      <c r="G693" s="232">
        <v>0</v>
      </c>
      <c r="H693" s="138">
        <f t="shared" si="68"/>
        <v>0</v>
      </c>
      <c r="I693" s="138">
        <f t="shared" si="69"/>
        <v>0</v>
      </c>
      <c r="J693" s="25"/>
      <c r="K693" s="32"/>
    </row>
    <row r="694" spans="1:11" s="33" customFormat="1" ht="25.5" outlineLevel="3">
      <c r="A694" s="14"/>
      <c r="B694" s="38"/>
      <c r="C694" s="229" t="s">
        <v>173</v>
      </c>
      <c r="D694" s="230" t="s">
        <v>28</v>
      </c>
      <c r="E694" s="231">
        <v>1</v>
      </c>
      <c r="F694" s="232">
        <v>0</v>
      </c>
      <c r="G694" s="232">
        <v>0</v>
      </c>
      <c r="H694" s="138">
        <f t="shared" si="68"/>
        <v>0</v>
      </c>
      <c r="I694" s="138">
        <f t="shared" si="69"/>
        <v>0</v>
      </c>
      <c r="J694" s="25"/>
      <c r="K694" s="32"/>
    </row>
    <row r="695" spans="1:11" s="33" customFormat="1" ht="25.5" outlineLevel="3">
      <c r="A695" s="14"/>
      <c r="B695" s="38"/>
      <c r="C695" s="229" t="s">
        <v>139</v>
      </c>
      <c r="D695" s="230" t="s">
        <v>38</v>
      </c>
      <c r="E695" s="231">
        <v>1</v>
      </c>
      <c r="F695" s="232">
        <v>0</v>
      </c>
      <c r="G695" s="232">
        <v>0</v>
      </c>
      <c r="H695" s="138">
        <f t="shared" si="68"/>
        <v>0</v>
      </c>
      <c r="I695" s="138">
        <f t="shared" si="69"/>
        <v>0</v>
      </c>
      <c r="J695" s="25"/>
      <c r="K695" s="32"/>
    </row>
    <row r="696" spans="1:11" s="33" customFormat="1" ht="25.5" outlineLevel="3">
      <c r="A696" s="14"/>
      <c r="B696" s="35">
        <f>MAXA($B$6:B695)+1</f>
        <v>85</v>
      </c>
      <c r="C696" s="229" t="s">
        <v>257</v>
      </c>
      <c r="D696" s="230" t="s">
        <v>38</v>
      </c>
      <c r="E696" s="231">
        <v>1</v>
      </c>
      <c r="F696" s="232">
        <v>14495572</v>
      </c>
      <c r="G696" s="232">
        <v>1563188</v>
      </c>
      <c r="H696" s="138">
        <f t="shared" si="68"/>
        <v>16058760</v>
      </c>
      <c r="I696" s="138">
        <f t="shared" si="69"/>
        <v>16058760</v>
      </c>
      <c r="J696" s="25"/>
      <c r="K696" s="32"/>
    </row>
    <row r="697" spans="1:11" s="33" customFormat="1" ht="25.5" outlineLevel="3">
      <c r="A697" s="14"/>
      <c r="B697" s="38"/>
      <c r="C697" s="241" t="s">
        <v>141</v>
      </c>
      <c r="D697" s="212"/>
      <c r="E697" s="228"/>
      <c r="F697" s="232">
        <v>0</v>
      </c>
      <c r="G697" s="232">
        <v>0</v>
      </c>
      <c r="H697" s="214"/>
      <c r="I697" s="180"/>
      <c r="J697" s="25"/>
      <c r="K697" s="32"/>
    </row>
    <row r="698" spans="1:11" s="33" customFormat="1" ht="25.5" outlineLevel="3">
      <c r="A698" s="14"/>
      <c r="B698" s="38"/>
      <c r="C698" s="229" t="s">
        <v>235</v>
      </c>
      <c r="D698" s="230" t="s">
        <v>28</v>
      </c>
      <c r="E698" s="231">
        <v>1</v>
      </c>
      <c r="F698" s="232">
        <v>0</v>
      </c>
      <c r="G698" s="232">
        <v>0</v>
      </c>
      <c r="H698" s="138">
        <f>G698+F698</f>
        <v>0</v>
      </c>
      <c r="I698" s="138">
        <f>H698*E698</f>
        <v>0</v>
      </c>
      <c r="J698" s="25"/>
      <c r="K698" s="32"/>
    </row>
    <row r="699" spans="1:11" s="33" customFormat="1" ht="25.5" outlineLevel="3">
      <c r="A699" s="14"/>
      <c r="B699" s="38"/>
      <c r="C699" s="242" t="s">
        <v>94</v>
      </c>
      <c r="D699" s="230" t="s">
        <v>28</v>
      </c>
      <c r="E699" s="231">
        <v>1</v>
      </c>
      <c r="F699" s="232">
        <v>0</v>
      </c>
      <c r="G699" s="232">
        <v>0</v>
      </c>
      <c r="H699" s="138">
        <f>G699+F699</f>
        <v>0</v>
      </c>
      <c r="I699" s="138">
        <f>H699*E699</f>
        <v>0</v>
      </c>
      <c r="J699" s="25"/>
      <c r="K699" s="32"/>
    </row>
    <row r="700" spans="1:11" s="33" customFormat="1" ht="25.5" outlineLevel="3">
      <c r="A700" s="14"/>
      <c r="B700" s="38"/>
      <c r="C700" s="242" t="s">
        <v>95</v>
      </c>
      <c r="D700" s="230" t="s">
        <v>28</v>
      </c>
      <c r="E700" s="231">
        <v>1</v>
      </c>
      <c r="F700" s="232">
        <v>0</v>
      </c>
      <c r="G700" s="232">
        <v>0</v>
      </c>
      <c r="H700" s="138">
        <f>G700+F700</f>
        <v>0</v>
      </c>
      <c r="I700" s="138">
        <f>H700*E700</f>
        <v>0</v>
      </c>
      <c r="J700" s="25"/>
      <c r="K700" s="32"/>
    </row>
    <row r="701" spans="1:11" s="33" customFormat="1" ht="25.5" outlineLevel="3">
      <c r="A701" s="14"/>
      <c r="B701" s="38"/>
      <c r="C701" s="242" t="s">
        <v>96</v>
      </c>
      <c r="D701" s="230" t="s">
        <v>28</v>
      </c>
      <c r="E701" s="231">
        <v>1</v>
      </c>
      <c r="F701" s="232">
        <v>0</v>
      </c>
      <c r="G701" s="232">
        <v>0</v>
      </c>
      <c r="H701" s="138">
        <f>G701+F701</f>
        <v>0</v>
      </c>
      <c r="I701" s="138">
        <f>H701*E701</f>
        <v>0</v>
      </c>
      <c r="J701" s="25"/>
      <c r="K701" s="32"/>
    </row>
    <row r="702" spans="1:11" s="33" customFormat="1" ht="25.5" outlineLevel="3">
      <c r="A702" s="14"/>
      <c r="B702" s="38"/>
      <c r="C702" s="241" t="s">
        <v>148</v>
      </c>
      <c r="D702" s="233"/>
      <c r="E702" s="231"/>
      <c r="F702" s="232">
        <v>0</v>
      </c>
      <c r="G702" s="232">
        <v>0</v>
      </c>
      <c r="H702" s="214"/>
      <c r="I702" s="180"/>
      <c r="J702" s="25"/>
      <c r="K702" s="32"/>
    </row>
    <row r="703" spans="1:11" s="33" customFormat="1" ht="25.5" outlineLevel="3">
      <c r="A703" s="14"/>
      <c r="B703" s="38"/>
      <c r="C703" s="229" t="s">
        <v>170</v>
      </c>
      <c r="D703" s="230" t="s">
        <v>28</v>
      </c>
      <c r="E703" s="231">
        <v>2</v>
      </c>
      <c r="F703" s="232">
        <v>0</v>
      </c>
      <c r="G703" s="232">
        <v>0</v>
      </c>
      <c r="H703" s="138">
        <f t="shared" ref="H703:H709" si="70">G703+F703</f>
        <v>0</v>
      </c>
      <c r="I703" s="138">
        <f t="shared" ref="I703:I709" si="71">H703*E703</f>
        <v>0</v>
      </c>
      <c r="J703" s="25"/>
      <c r="K703" s="32"/>
    </row>
    <row r="704" spans="1:11" s="33" customFormat="1" ht="25.5" outlineLevel="3">
      <c r="A704" s="14"/>
      <c r="B704" s="38"/>
      <c r="C704" s="229" t="s">
        <v>171</v>
      </c>
      <c r="D704" s="230" t="s">
        <v>28</v>
      </c>
      <c r="E704" s="231">
        <v>1</v>
      </c>
      <c r="F704" s="232">
        <v>0</v>
      </c>
      <c r="G704" s="232">
        <v>0</v>
      </c>
      <c r="H704" s="138">
        <f t="shared" si="70"/>
        <v>0</v>
      </c>
      <c r="I704" s="138">
        <f t="shared" si="71"/>
        <v>0</v>
      </c>
      <c r="J704" s="25"/>
      <c r="K704" s="32"/>
    </row>
    <row r="705" spans="1:11" s="33" customFormat="1" ht="25.5" outlineLevel="3">
      <c r="A705" s="14"/>
      <c r="B705" s="38"/>
      <c r="C705" s="229" t="s">
        <v>178</v>
      </c>
      <c r="D705" s="230" t="s">
        <v>28</v>
      </c>
      <c r="E705" s="231">
        <v>1</v>
      </c>
      <c r="F705" s="232">
        <v>0</v>
      </c>
      <c r="G705" s="232">
        <v>0</v>
      </c>
      <c r="H705" s="138">
        <f t="shared" si="70"/>
        <v>0</v>
      </c>
      <c r="I705" s="138">
        <f t="shared" si="71"/>
        <v>0</v>
      </c>
      <c r="J705" s="25"/>
      <c r="K705" s="32"/>
    </row>
    <row r="706" spans="1:11" s="33" customFormat="1" ht="25.5" outlineLevel="3">
      <c r="A706" s="14"/>
      <c r="B706" s="38"/>
      <c r="C706" s="229" t="s">
        <v>172</v>
      </c>
      <c r="D706" s="230" t="s">
        <v>28</v>
      </c>
      <c r="E706" s="231">
        <v>3</v>
      </c>
      <c r="F706" s="232">
        <v>0</v>
      </c>
      <c r="G706" s="232">
        <v>0</v>
      </c>
      <c r="H706" s="138">
        <f t="shared" si="70"/>
        <v>0</v>
      </c>
      <c r="I706" s="138">
        <f t="shared" si="71"/>
        <v>0</v>
      </c>
      <c r="J706" s="25"/>
      <c r="K706" s="32"/>
    </row>
    <row r="707" spans="1:11" s="33" customFormat="1" ht="25.5" outlineLevel="3">
      <c r="A707" s="14"/>
      <c r="B707" s="38"/>
      <c r="C707" s="229" t="s">
        <v>173</v>
      </c>
      <c r="D707" s="230" t="s">
        <v>28</v>
      </c>
      <c r="E707" s="231">
        <v>1</v>
      </c>
      <c r="F707" s="232">
        <v>0</v>
      </c>
      <c r="G707" s="232">
        <v>0</v>
      </c>
      <c r="H707" s="138">
        <f t="shared" si="70"/>
        <v>0</v>
      </c>
      <c r="I707" s="138">
        <f t="shared" si="71"/>
        <v>0</v>
      </c>
      <c r="J707" s="25"/>
      <c r="K707" s="32"/>
    </row>
    <row r="708" spans="1:11" s="33" customFormat="1" ht="25.5" outlineLevel="3">
      <c r="A708" s="14"/>
      <c r="B708" s="38"/>
      <c r="C708" s="229" t="s">
        <v>139</v>
      </c>
      <c r="D708" s="230" t="s">
        <v>38</v>
      </c>
      <c r="E708" s="231">
        <v>1</v>
      </c>
      <c r="F708" s="232">
        <v>0</v>
      </c>
      <c r="G708" s="232">
        <v>0</v>
      </c>
      <c r="H708" s="138">
        <f t="shared" si="70"/>
        <v>0</v>
      </c>
      <c r="I708" s="138">
        <f t="shared" si="71"/>
        <v>0</v>
      </c>
      <c r="J708" s="25"/>
      <c r="K708" s="32"/>
    </row>
    <row r="709" spans="1:11" s="33" customFormat="1" ht="25.5" outlineLevel="3">
      <c r="A709" s="14"/>
      <c r="B709" s="35">
        <f>MAXA($B$6:B708)+1</f>
        <v>86</v>
      </c>
      <c r="C709" s="229" t="s">
        <v>258</v>
      </c>
      <c r="D709" s="230" t="s">
        <v>38</v>
      </c>
      <c r="E709" s="231">
        <v>1</v>
      </c>
      <c r="F709" s="232">
        <v>4450975</v>
      </c>
      <c r="G709" s="232">
        <v>1563188</v>
      </c>
      <c r="H709" s="138">
        <f t="shared" si="70"/>
        <v>6014163</v>
      </c>
      <c r="I709" s="138">
        <f t="shared" si="71"/>
        <v>6014163</v>
      </c>
      <c r="J709" s="25"/>
      <c r="K709" s="32"/>
    </row>
    <row r="710" spans="1:11" s="33" customFormat="1" ht="25.5" outlineLevel="3">
      <c r="A710" s="14"/>
      <c r="B710" s="38"/>
      <c r="C710" s="241" t="s">
        <v>141</v>
      </c>
      <c r="D710" s="212"/>
      <c r="E710" s="228"/>
      <c r="F710" s="232">
        <v>0</v>
      </c>
      <c r="G710" s="232">
        <v>0</v>
      </c>
      <c r="H710" s="214"/>
      <c r="I710" s="180"/>
      <c r="J710" s="25"/>
      <c r="K710" s="32"/>
    </row>
    <row r="711" spans="1:11" s="33" customFormat="1" ht="25.5" outlineLevel="3">
      <c r="A711" s="14"/>
      <c r="B711" s="38"/>
      <c r="C711" s="229" t="s">
        <v>151</v>
      </c>
      <c r="D711" s="230" t="s">
        <v>28</v>
      </c>
      <c r="E711" s="231">
        <v>1</v>
      </c>
      <c r="F711" s="232">
        <v>0</v>
      </c>
      <c r="G711" s="232">
        <v>0</v>
      </c>
      <c r="H711" s="138">
        <f>G711+F711</f>
        <v>0</v>
      </c>
      <c r="I711" s="138">
        <f>H711*E711</f>
        <v>0</v>
      </c>
      <c r="J711" s="25"/>
      <c r="K711" s="32"/>
    </row>
    <row r="712" spans="1:11" s="33" customFormat="1" ht="25.5" outlineLevel="3">
      <c r="A712" s="14"/>
      <c r="B712" s="38"/>
      <c r="C712" s="242" t="s">
        <v>94</v>
      </c>
      <c r="D712" s="230" t="s">
        <v>28</v>
      </c>
      <c r="E712" s="231">
        <v>1</v>
      </c>
      <c r="F712" s="232">
        <v>0</v>
      </c>
      <c r="G712" s="232">
        <v>0</v>
      </c>
      <c r="H712" s="138">
        <f>G712+F712</f>
        <v>0</v>
      </c>
      <c r="I712" s="138">
        <f>H712*E712</f>
        <v>0</v>
      </c>
      <c r="J712" s="25"/>
      <c r="K712" s="32"/>
    </row>
    <row r="713" spans="1:11" s="33" customFormat="1" ht="25.5" outlineLevel="3">
      <c r="A713" s="14"/>
      <c r="B713" s="38"/>
      <c r="C713" s="242" t="s">
        <v>95</v>
      </c>
      <c r="D713" s="230" t="s">
        <v>28</v>
      </c>
      <c r="E713" s="231">
        <v>1</v>
      </c>
      <c r="F713" s="232">
        <v>0</v>
      </c>
      <c r="G713" s="232">
        <v>0</v>
      </c>
      <c r="H713" s="138">
        <f>G713+F713</f>
        <v>0</v>
      </c>
      <c r="I713" s="138">
        <f>H713*E713</f>
        <v>0</v>
      </c>
      <c r="J713" s="25"/>
      <c r="K713" s="32"/>
    </row>
    <row r="714" spans="1:11" s="33" customFormat="1" ht="25.5" outlineLevel="3">
      <c r="A714" s="14"/>
      <c r="B714" s="38"/>
      <c r="C714" s="242" t="s">
        <v>96</v>
      </c>
      <c r="D714" s="230" t="s">
        <v>28</v>
      </c>
      <c r="E714" s="231">
        <v>1</v>
      </c>
      <c r="F714" s="232">
        <v>0</v>
      </c>
      <c r="G714" s="232">
        <v>0</v>
      </c>
      <c r="H714" s="138">
        <f>G714+F714</f>
        <v>0</v>
      </c>
      <c r="I714" s="138">
        <f>H714*E714</f>
        <v>0</v>
      </c>
      <c r="J714" s="25"/>
      <c r="K714" s="32"/>
    </row>
    <row r="715" spans="1:11" s="33" customFormat="1" ht="25.5" outlineLevel="3">
      <c r="A715" s="14"/>
      <c r="B715" s="38"/>
      <c r="C715" s="241" t="s">
        <v>148</v>
      </c>
      <c r="D715" s="233"/>
      <c r="E715" s="231"/>
      <c r="F715" s="232">
        <v>0</v>
      </c>
      <c r="G715" s="232">
        <v>0</v>
      </c>
      <c r="H715" s="214"/>
      <c r="I715" s="180"/>
      <c r="J715" s="25"/>
      <c r="K715" s="32"/>
    </row>
    <row r="716" spans="1:11" s="33" customFormat="1" ht="25.5" outlineLevel="3">
      <c r="A716" s="14"/>
      <c r="B716" s="38"/>
      <c r="C716" s="229" t="s">
        <v>170</v>
      </c>
      <c r="D716" s="230" t="s">
        <v>28</v>
      </c>
      <c r="E716" s="231">
        <v>1</v>
      </c>
      <c r="F716" s="232">
        <v>0</v>
      </c>
      <c r="G716" s="232">
        <v>0</v>
      </c>
      <c r="H716" s="138">
        <f t="shared" ref="H716:H721" si="72">G716+F716</f>
        <v>0</v>
      </c>
      <c r="I716" s="138">
        <f t="shared" ref="I716:I721" si="73">H716*E716</f>
        <v>0</v>
      </c>
      <c r="J716" s="25"/>
      <c r="K716" s="32"/>
    </row>
    <row r="717" spans="1:11" s="33" customFormat="1" ht="25.5" outlineLevel="3">
      <c r="A717" s="14"/>
      <c r="B717" s="38"/>
      <c r="C717" s="229" t="s">
        <v>171</v>
      </c>
      <c r="D717" s="230" t="s">
        <v>28</v>
      </c>
      <c r="E717" s="231">
        <v>1</v>
      </c>
      <c r="F717" s="232">
        <v>0</v>
      </c>
      <c r="G717" s="232">
        <v>0</v>
      </c>
      <c r="H717" s="138">
        <f t="shared" si="72"/>
        <v>0</v>
      </c>
      <c r="I717" s="138">
        <f t="shared" si="73"/>
        <v>0</v>
      </c>
      <c r="J717" s="25"/>
      <c r="K717" s="32"/>
    </row>
    <row r="718" spans="1:11" s="33" customFormat="1" ht="25.5" outlineLevel="3">
      <c r="A718" s="14"/>
      <c r="B718" s="38"/>
      <c r="C718" s="229" t="s">
        <v>178</v>
      </c>
      <c r="D718" s="230" t="s">
        <v>28</v>
      </c>
      <c r="E718" s="231">
        <v>1</v>
      </c>
      <c r="F718" s="232">
        <v>0</v>
      </c>
      <c r="G718" s="232">
        <v>0</v>
      </c>
      <c r="H718" s="138">
        <f t="shared" si="72"/>
        <v>0</v>
      </c>
      <c r="I718" s="138">
        <f t="shared" si="73"/>
        <v>0</v>
      </c>
      <c r="J718" s="25"/>
      <c r="K718" s="32"/>
    </row>
    <row r="719" spans="1:11" s="33" customFormat="1" ht="25.5" outlineLevel="3">
      <c r="A719" s="14"/>
      <c r="B719" s="38"/>
      <c r="C719" s="229" t="s">
        <v>172</v>
      </c>
      <c r="D719" s="230" t="s">
        <v>28</v>
      </c>
      <c r="E719" s="231">
        <v>1</v>
      </c>
      <c r="F719" s="232">
        <v>0</v>
      </c>
      <c r="G719" s="232">
        <v>0</v>
      </c>
      <c r="H719" s="138">
        <f t="shared" si="72"/>
        <v>0</v>
      </c>
      <c r="I719" s="138">
        <f t="shared" si="73"/>
        <v>0</v>
      </c>
      <c r="J719" s="25"/>
      <c r="K719" s="32"/>
    </row>
    <row r="720" spans="1:11" s="33" customFormat="1" ht="25.5" outlineLevel="3">
      <c r="A720" s="14"/>
      <c r="B720" s="38"/>
      <c r="C720" s="229" t="s">
        <v>139</v>
      </c>
      <c r="D720" s="230" t="s">
        <v>38</v>
      </c>
      <c r="E720" s="231">
        <v>1</v>
      </c>
      <c r="F720" s="232">
        <v>0</v>
      </c>
      <c r="G720" s="232">
        <v>0</v>
      </c>
      <c r="H720" s="138">
        <f t="shared" si="72"/>
        <v>0</v>
      </c>
      <c r="I720" s="138">
        <f t="shared" si="73"/>
        <v>0</v>
      </c>
      <c r="J720" s="25"/>
      <c r="K720" s="32"/>
    </row>
    <row r="721" spans="1:11" s="33" customFormat="1" ht="25.5" outlineLevel="3">
      <c r="A721" s="14"/>
      <c r="B721" s="35">
        <f>MAXA($B$6:B720)+1</f>
        <v>87</v>
      </c>
      <c r="C721" s="229" t="s">
        <v>259</v>
      </c>
      <c r="D721" s="230" t="s">
        <v>38</v>
      </c>
      <c r="E721" s="231">
        <v>1</v>
      </c>
      <c r="F721" s="232">
        <v>14495572</v>
      </c>
      <c r="G721" s="232">
        <v>1563188</v>
      </c>
      <c r="H721" s="138">
        <f t="shared" si="72"/>
        <v>16058760</v>
      </c>
      <c r="I721" s="138">
        <f t="shared" si="73"/>
        <v>16058760</v>
      </c>
      <c r="J721" s="25"/>
      <c r="K721" s="32"/>
    </row>
    <row r="722" spans="1:11" s="33" customFormat="1" ht="25.5" outlineLevel="3">
      <c r="A722" s="14"/>
      <c r="B722" s="38"/>
      <c r="C722" s="241" t="s">
        <v>141</v>
      </c>
      <c r="D722" s="212"/>
      <c r="E722" s="228"/>
      <c r="F722" s="232">
        <v>0</v>
      </c>
      <c r="G722" s="232">
        <v>0</v>
      </c>
      <c r="H722" s="214"/>
      <c r="I722" s="180"/>
      <c r="J722" s="25"/>
      <c r="K722" s="32"/>
    </row>
    <row r="723" spans="1:11" s="33" customFormat="1" ht="25.5" outlineLevel="3">
      <c r="A723" s="14"/>
      <c r="B723" s="38"/>
      <c r="C723" s="229" t="s">
        <v>235</v>
      </c>
      <c r="D723" s="230" t="s">
        <v>28</v>
      </c>
      <c r="E723" s="231">
        <v>1</v>
      </c>
      <c r="F723" s="232">
        <v>0</v>
      </c>
      <c r="G723" s="232">
        <v>0</v>
      </c>
      <c r="H723" s="138">
        <f>G723+F723</f>
        <v>0</v>
      </c>
      <c r="I723" s="138">
        <f>H723*E723</f>
        <v>0</v>
      </c>
      <c r="J723" s="25"/>
      <c r="K723" s="32"/>
    </row>
    <row r="724" spans="1:11" s="33" customFormat="1" ht="25.5" outlineLevel="3">
      <c r="A724" s="14"/>
      <c r="B724" s="38"/>
      <c r="C724" s="242" t="s">
        <v>94</v>
      </c>
      <c r="D724" s="230" t="s">
        <v>28</v>
      </c>
      <c r="E724" s="231">
        <v>1</v>
      </c>
      <c r="F724" s="232">
        <v>0</v>
      </c>
      <c r="G724" s="232">
        <v>0</v>
      </c>
      <c r="H724" s="138">
        <f>G724+F724</f>
        <v>0</v>
      </c>
      <c r="I724" s="138">
        <f>H724*E724</f>
        <v>0</v>
      </c>
      <c r="J724" s="25"/>
      <c r="K724" s="32"/>
    </row>
    <row r="725" spans="1:11" s="33" customFormat="1" ht="25.5" outlineLevel="3">
      <c r="A725" s="14"/>
      <c r="B725" s="38"/>
      <c r="C725" s="242" t="s">
        <v>95</v>
      </c>
      <c r="D725" s="230" t="s">
        <v>28</v>
      </c>
      <c r="E725" s="231">
        <v>1</v>
      </c>
      <c r="F725" s="232">
        <v>0</v>
      </c>
      <c r="G725" s="232">
        <v>0</v>
      </c>
      <c r="H725" s="138">
        <f>G725+F725</f>
        <v>0</v>
      </c>
      <c r="I725" s="138">
        <f>H725*E725</f>
        <v>0</v>
      </c>
      <c r="J725" s="25"/>
      <c r="K725" s="32"/>
    </row>
    <row r="726" spans="1:11" s="33" customFormat="1" ht="25.5" outlineLevel="3">
      <c r="A726" s="14"/>
      <c r="B726" s="38"/>
      <c r="C726" s="242" t="s">
        <v>96</v>
      </c>
      <c r="D726" s="230" t="s">
        <v>28</v>
      </c>
      <c r="E726" s="231">
        <v>1</v>
      </c>
      <c r="F726" s="232">
        <v>0</v>
      </c>
      <c r="G726" s="232">
        <v>0</v>
      </c>
      <c r="H726" s="138">
        <f>G726+F726</f>
        <v>0</v>
      </c>
      <c r="I726" s="138">
        <f>H726*E726</f>
        <v>0</v>
      </c>
      <c r="J726" s="25"/>
      <c r="K726" s="32"/>
    </row>
    <row r="727" spans="1:11" s="33" customFormat="1" ht="25.5" outlineLevel="3">
      <c r="A727" s="14"/>
      <c r="B727" s="38"/>
      <c r="C727" s="241" t="s">
        <v>148</v>
      </c>
      <c r="D727" s="233"/>
      <c r="E727" s="231"/>
      <c r="F727" s="232">
        <v>0</v>
      </c>
      <c r="G727" s="232">
        <v>0</v>
      </c>
      <c r="H727" s="214"/>
      <c r="I727" s="180"/>
      <c r="J727" s="25"/>
      <c r="K727" s="32"/>
    </row>
    <row r="728" spans="1:11" s="33" customFormat="1" ht="25.5" outlineLevel="3">
      <c r="A728" s="14"/>
      <c r="B728" s="38"/>
      <c r="C728" s="229" t="s">
        <v>170</v>
      </c>
      <c r="D728" s="230" t="s">
        <v>28</v>
      </c>
      <c r="E728" s="231">
        <v>1</v>
      </c>
      <c r="F728" s="232">
        <v>0</v>
      </c>
      <c r="G728" s="232">
        <v>0</v>
      </c>
      <c r="H728" s="138">
        <f t="shared" ref="H728:H734" si="74">G728+F728</f>
        <v>0</v>
      </c>
      <c r="I728" s="138">
        <f t="shared" ref="I728:I734" si="75">H728*E728</f>
        <v>0</v>
      </c>
      <c r="J728" s="25"/>
      <c r="K728" s="32"/>
    </row>
    <row r="729" spans="1:11" s="33" customFormat="1" ht="25.5" outlineLevel="3">
      <c r="A729" s="14"/>
      <c r="B729" s="38"/>
      <c r="C729" s="229" t="s">
        <v>171</v>
      </c>
      <c r="D729" s="230" t="s">
        <v>28</v>
      </c>
      <c r="E729" s="231">
        <v>1</v>
      </c>
      <c r="F729" s="232">
        <v>0</v>
      </c>
      <c r="G729" s="232">
        <v>0</v>
      </c>
      <c r="H729" s="138">
        <f t="shared" si="74"/>
        <v>0</v>
      </c>
      <c r="I729" s="138">
        <f t="shared" si="75"/>
        <v>0</v>
      </c>
      <c r="J729" s="25"/>
      <c r="K729" s="32"/>
    </row>
    <row r="730" spans="1:11" s="33" customFormat="1" ht="25.5" outlineLevel="3">
      <c r="A730" s="14"/>
      <c r="B730" s="38"/>
      <c r="C730" s="229" t="s">
        <v>178</v>
      </c>
      <c r="D730" s="230" t="s">
        <v>28</v>
      </c>
      <c r="E730" s="231">
        <v>1</v>
      </c>
      <c r="F730" s="232">
        <v>0</v>
      </c>
      <c r="G730" s="232">
        <v>0</v>
      </c>
      <c r="H730" s="138">
        <f t="shared" si="74"/>
        <v>0</v>
      </c>
      <c r="I730" s="138">
        <f t="shared" si="75"/>
        <v>0</v>
      </c>
      <c r="J730" s="25"/>
      <c r="K730" s="32"/>
    </row>
    <row r="731" spans="1:11" s="33" customFormat="1" ht="25.5" outlineLevel="3">
      <c r="A731" s="14"/>
      <c r="B731" s="38"/>
      <c r="C731" s="229" t="s">
        <v>172</v>
      </c>
      <c r="D731" s="230" t="s">
        <v>28</v>
      </c>
      <c r="E731" s="231">
        <v>3</v>
      </c>
      <c r="F731" s="232">
        <v>0</v>
      </c>
      <c r="G731" s="232">
        <v>0</v>
      </c>
      <c r="H731" s="138">
        <f t="shared" si="74"/>
        <v>0</v>
      </c>
      <c r="I731" s="138">
        <f t="shared" si="75"/>
        <v>0</v>
      </c>
      <c r="J731" s="25"/>
      <c r="K731" s="32"/>
    </row>
    <row r="732" spans="1:11" s="33" customFormat="1" ht="25.5" outlineLevel="3">
      <c r="A732" s="14"/>
      <c r="B732" s="38"/>
      <c r="C732" s="229" t="s">
        <v>173</v>
      </c>
      <c r="D732" s="230" t="s">
        <v>28</v>
      </c>
      <c r="E732" s="231">
        <v>1</v>
      </c>
      <c r="F732" s="232">
        <v>0</v>
      </c>
      <c r="G732" s="232">
        <v>0</v>
      </c>
      <c r="H732" s="138">
        <f t="shared" si="74"/>
        <v>0</v>
      </c>
      <c r="I732" s="138">
        <f t="shared" si="75"/>
        <v>0</v>
      </c>
      <c r="J732" s="25"/>
      <c r="K732" s="32"/>
    </row>
    <row r="733" spans="1:11" s="33" customFormat="1" ht="25.5" outlineLevel="3">
      <c r="A733" s="14"/>
      <c r="B733" s="38"/>
      <c r="C733" s="229" t="s">
        <v>139</v>
      </c>
      <c r="D733" s="230" t="s">
        <v>38</v>
      </c>
      <c r="E733" s="231">
        <v>1</v>
      </c>
      <c r="F733" s="232">
        <v>0</v>
      </c>
      <c r="G733" s="232">
        <v>0</v>
      </c>
      <c r="H733" s="138">
        <f t="shared" si="74"/>
        <v>0</v>
      </c>
      <c r="I733" s="138">
        <f t="shared" si="75"/>
        <v>0</v>
      </c>
      <c r="J733" s="25"/>
      <c r="K733" s="32"/>
    </row>
    <row r="734" spans="1:11" s="33" customFormat="1" ht="25.5" outlineLevel="3">
      <c r="A734" s="14"/>
      <c r="B734" s="35">
        <f>MAXA($B$6:B733)+1</f>
        <v>88</v>
      </c>
      <c r="C734" s="229" t="s">
        <v>260</v>
      </c>
      <c r="D734" s="230" t="s">
        <v>38</v>
      </c>
      <c r="E734" s="231">
        <v>1</v>
      </c>
      <c r="F734" s="232">
        <v>61678466</v>
      </c>
      <c r="G734" s="232">
        <v>1563188</v>
      </c>
      <c r="H734" s="138">
        <f t="shared" si="74"/>
        <v>63241654</v>
      </c>
      <c r="I734" s="138">
        <f t="shared" si="75"/>
        <v>63241654</v>
      </c>
      <c r="J734" s="25"/>
      <c r="K734" s="32"/>
    </row>
    <row r="735" spans="1:11" s="33" customFormat="1" ht="25.5" outlineLevel="3">
      <c r="A735" s="14"/>
      <c r="B735" s="38"/>
      <c r="C735" s="241" t="s">
        <v>141</v>
      </c>
      <c r="D735" s="212"/>
      <c r="E735" s="228"/>
      <c r="F735" s="232">
        <v>0</v>
      </c>
      <c r="G735" s="232">
        <v>0</v>
      </c>
      <c r="H735" s="214"/>
      <c r="I735" s="180"/>
      <c r="J735" s="25"/>
      <c r="K735" s="32"/>
    </row>
    <row r="736" spans="1:11" s="33" customFormat="1" ht="25.5" outlineLevel="3">
      <c r="A736" s="14"/>
      <c r="B736" s="38"/>
      <c r="C736" s="229" t="s">
        <v>142</v>
      </c>
      <c r="D736" s="230" t="s">
        <v>28</v>
      </c>
      <c r="E736" s="231">
        <v>1</v>
      </c>
      <c r="F736" s="232">
        <v>0</v>
      </c>
      <c r="G736" s="232">
        <v>0</v>
      </c>
      <c r="H736" s="138">
        <f t="shared" ref="H736:H746" si="76">G736+F736</f>
        <v>0</v>
      </c>
      <c r="I736" s="138">
        <f t="shared" ref="I736:I746" si="77">H736*E736</f>
        <v>0</v>
      </c>
      <c r="J736" s="25"/>
      <c r="K736" s="32"/>
    </row>
    <row r="737" spans="1:11" s="33" customFormat="1" ht="25.5" outlineLevel="3">
      <c r="A737" s="14"/>
      <c r="B737" s="38"/>
      <c r="C737" s="242" t="s">
        <v>94</v>
      </c>
      <c r="D737" s="230" t="s">
        <v>28</v>
      </c>
      <c r="E737" s="231">
        <v>9</v>
      </c>
      <c r="F737" s="232">
        <v>0</v>
      </c>
      <c r="G737" s="232">
        <v>0</v>
      </c>
      <c r="H737" s="138">
        <f t="shared" si="76"/>
        <v>0</v>
      </c>
      <c r="I737" s="138">
        <f t="shared" si="77"/>
        <v>0</v>
      </c>
      <c r="J737" s="25"/>
      <c r="K737" s="32"/>
    </row>
    <row r="738" spans="1:11" s="33" customFormat="1" ht="25.5" outlineLevel="3">
      <c r="A738" s="14"/>
      <c r="B738" s="38"/>
      <c r="C738" s="242" t="s">
        <v>95</v>
      </c>
      <c r="D738" s="230" t="s">
        <v>28</v>
      </c>
      <c r="E738" s="231">
        <v>9</v>
      </c>
      <c r="F738" s="232">
        <v>0</v>
      </c>
      <c r="G738" s="232">
        <v>0</v>
      </c>
      <c r="H738" s="138">
        <f t="shared" si="76"/>
        <v>0</v>
      </c>
      <c r="I738" s="138">
        <f t="shared" si="77"/>
        <v>0</v>
      </c>
      <c r="J738" s="25"/>
      <c r="K738" s="32"/>
    </row>
    <row r="739" spans="1:11" s="33" customFormat="1" ht="25.5" outlineLevel="3">
      <c r="A739" s="14"/>
      <c r="B739" s="38"/>
      <c r="C739" s="242" t="s">
        <v>96</v>
      </c>
      <c r="D739" s="230" t="s">
        <v>28</v>
      </c>
      <c r="E739" s="231">
        <v>2</v>
      </c>
      <c r="F739" s="232">
        <v>0</v>
      </c>
      <c r="G739" s="232">
        <v>0</v>
      </c>
      <c r="H739" s="138">
        <f t="shared" si="76"/>
        <v>0</v>
      </c>
      <c r="I739" s="138">
        <f t="shared" si="77"/>
        <v>0</v>
      </c>
      <c r="J739" s="25"/>
      <c r="K739" s="32"/>
    </row>
    <row r="740" spans="1:11" s="33" customFormat="1" ht="25.5" outlineLevel="3">
      <c r="A740" s="14"/>
      <c r="B740" s="38"/>
      <c r="C740" s="242" t="s">
        <v>97</v>
      </c>
      <c r="D740" s="230" t="s">
        <v>28</v>
      </c>
      <c r="E740" s="231">
        <v>2</v>
      </c>
      <c r="F740" s="232">
        <v>0</v>
      </c>
      <c r="G740" s="232">
        <v>0</v>
      </c>
      <c r="H740" s="138">
        <f t="shared" si="76"/>
        <v>0</v>
      </c>
      <c r="I740" s="138">
        <f t="shared" si="77"/>
        <v>0</v>
      </c>
      <c r="J740" s="25"/>
      <c r="K740" s="32"/>
    </row>
    <row r="741" spans="1:11" s="33" customFormat="1" ht="25.5" outlineLevel="3">
      <c r="A741" s="14"/>
      <c r="B741" s="38"/>
      <c r="C741" s="242" t="s">
        <v>98</v>
      </c>
      <c r="D741" s="230" t="s">
        <v>28</v>
      </c>
      <c r="E741" s="231">
        <v>2</v>
      </c>
      <c r="F741" s="232">
        <v>0</v>
      </c>
      <c r="G741" s="232">
        <v>0</v>
      </c>
      <c r="H741" s="138">
        <f t="shared" si="76"/>
        <v>0</v>
      </c>
      <c r="I741" s="138">
        <f t="shared" si="77"/>
        <v>0</v>
      </c>
      <c r="J741" s="25"/>
      <c r="K741" s="32"/>
    </row>
    <row r="742" spans="1:11" s="33" customFormat="1" ht="25.5" outlineLevel="3">
      <c r="A742" s="14"/>
      <c r="B742" s="38"/>
      <c r="C742" s="242" t="s">
        <v>143</v>
      </c>
      <c r="D742" s="230" t="s">
        <v>28</v>
      </c>
      <c r="E742" s="231">
        <v>1</v>
      </c>
      <c r="F742" s="232">
        <v>0</v>
      </c>
      <c r="G742" s="232">
        <v>0</v>
      </c>
      <c r="H742" s="138">
        <f t="shared" si="76"/>
        <v>0</v>
      </c>
      <c r="I742" s="138">
        <f t="shared" si="77"/>
        <v>0</v>
      </c>
      <c r="J742" s="25"/>
      <c r="K742" s="32"/>
    </row>
    <row r="743" spans="1:11" s="33" customFormat="1" ht="25.5" outlineLevel="3">
      <c r="A743" s="14"/>
      <c r="B743" s="38"/>
      <c r="C743" s="242" t="s">
        <v>144</v>
      </c>
      <c r="D743" s="230" t="s">
        <v>28</v>
      </c>
      <c r="E743" s="231">
        <v>1</v>
      </c>
      <c r="F743" s="232">
        <v>0</v>
      </c>
      <c r="G743" s="232">
        <v>0</v>
      </c>
      <c r="H743" s="138">
        <f t="shared" si="76"/>
        <v>0</v>
      </c>
      <c r="I743" s="138">
        <f t="shared" si="77"/>
        <v>0</v>
      </c>
      <c r="J743" s="25"/>
      <c r="K743" s="32"/>
    </row>
    <row r="744" spans="1:11" s="33" customFormat="1" ht="25.5" outlineLevel="3">
      <c r="A744" s="14"/>
      <c r="B744" s="38"/>
      <c r="C744" s="229" t="s">
        <v>145</v>
      </c>
      <c r="D744" s="230" t="s">
        <v>28</v>
      </c>
      <c r="E744" s="231">
        <v>1</v>
      </c>
      <c r="F744" s="232">
        <v>0</v>
      </c>
      <c r="G744" s="232">
        <v>0</v>
      </c>
      <c r="H744" s="138">
        <f t="shared" si="76"/>
        <v>0</v>
      </c>
      <c r="I744" s="138">
        <f t="shared" si="77"/>
        <v>0</v>
      </c>
      <c r="J744" s="25"/>
      <c r="K744" s="32"/>
    </row>
    <row r="745" spans="1:11" s="33" customFormat="1" ht="25.5" outlineLevel="3">
      <c r="A745" s="14"/>
      <c r="B745" s="38"/>
      <c r="C745" s="242" t="s">
        <v>146</v>
      </c>
      <c r="D745" s="230" t="s">
        <v>28</v>
      </c>
      <c r="E745" s="231">
        <v>1</v>
      </c>
      <c r="F745" s="232">
        <v>0</v>
      </c>
      <c r="G745" s="232">
        <v>0</v>
      </c>
      <c r="H745" s="138">
        <f t="shared" si="76"/>
        <v>0</v>
      </c>
      <c r="I745" s="138">
        <f t="shared" si="77"/>
        <v>0</v>
      </c>
      <c r="J745" s="25"/>
      <c r="K745" s="32"/>
    </row>
    <row r="746" spans="1:11" s="33" customFormat="1" ht="25.5" outlineLevel="3">
      <c r="A746" s="14"/>
      <c r="B746" s="38"/>
      <c r="C746" s="229" t="s">
        <v>147</v>
      </c>
      <c r="D746" s="230" t="s">
        <v>28</v>
      </c>
      <c r="E746" s="231">
        <v>3</v>
      </c>
      <c r="F746" s="232">
        <v>0</v>
      </c>
      <c r="G746" s="232">
        <v>0</v>
      </c>
      <c r="H746" s="138">
        <f t="shared" si="76"/>
        <v>0</v>
      </c>
      <c r="I746" s="138">
        <f t="shared" si="77"/>
        <v>0</v>
      </c>
      <c r="J746" s="25"/>
      <c r="K746" s="32"/>
    </row>
    <row r="747" spans="1:11" s="33" customFormat="1" ht="25.5" outlineLevel="3">
      <c r="A747" s="14"/>
      <c r="B747" s="38"/>
      <c r="C747" s="241" t="s">
        <v>148</v>
      </c>
      <c r="D747" s="233"/>
      <c r="E747" s="231"/>
      <c r="F747" s="232">
        <v>0</v>
      </c>
      <c r="G747" s="232">
        <v>0</v>
      </c>
      <c r="H747" s="214"/>
      <c r="I747" s="180"/>
      <c r="J747" s="25"/>
      <c r="K747" s="32"/>
    </row>
    <row r="748" spans="1:11" s="33" customFormat="1" ht="25.5" outlineLevel="3">
      <c r="A748" s="14"/>
      <c r="B748" s="38"/>
      <c r="C748" s="229" t="s">
        <v>149</v>
      </c>
      <c r="D748" s="230" t="s">
        <v>28</v>
      </c>
      <c r="E748" s="231">
        <v>10</v>
      </c>
      <c r="F748" s="232">
        <v>0</v>
      </c>
      <c r="G748" s="232">
        <v>0</v>
      </c>
      <c r="H748" s="138">
        <f t="shared" ref="H748:H762" si="78">G748+F748</f>
        <v>0</v>
      </c>
      <c r="I748" s="138">
        <f t="shared" ref="I748:I762" si="79">H748*E748</f>
        <v>0</v>
      </c>
      <c r="J748" s="25"/>
      <c r="K748" s="32"/>
    </row>
    <row r="749" spans="1:11" s="33" customFormat="1" ht="25.5" outlineLevel="3">
      <c r="A749" s="14"/>
      <c r="B749" s="38"/>
      <c r="C749" s="229" t="s">
        <v>150</v>
      </c>
      <c r="D749" s="230" t="s">
        <v>28</v>
      </c>
      <c r="E749" s="231">
        <v>3</v>
      </c>
      <c r="F749" s="232">
        <v>0</v>
      </c>
      <c r="G749" s="232">
        <v>0</v>
      </c>
      <c r="H749" s="138">
        <f t="shared" si="78"/>
        <v>0</v>
      </c>
      <c r="I749" s="138">
        <f t="shared" si="79"/>
        <v>0</v>
      </c>
      <c r="J749" s="25"/>
      <c r="K749" s="32"/>
    </row>
    <row r="750" spans="1:11" s="33" customFormat="1" ht="25.5" outlineLevel="3">
      <c r="A750" s="14"/>
      <c r="B750" s="38"/>
      <c r="C750" s="229" t="s">
        <v>151</v>
      </c>
      <c r="D750" s="230" t="s">
        <v>28</v>
      </c>
      <c r="E750" s="231">
        <v>6</v>
      </c>
      <c r="F750" s="232">
        <v>0</v>
      </c>
      <c r="G750" s="232">
        <v>0</v>
      </c>
      <c r="H750" s="138">
        <f t="shared" si="78"/>
        <v>0</v>
      </c>
      <c r="I750" s="138">
        <f t="shared" si="79"/>
        <v>0</v>
      </c>
      <c r="J750" s="25"/>
      <c r="K750" s="32"/>
    </row>
    <row r="751" spans="1:11" s="33" customFormat="1" ht="25.5" outlineLevel="3">
      <c r="A751" s="14"/>
      <c r="B751" s="38"/>
      <c r="C751" s="229" t="s">
        <v>235</v>
      </c>
      <c r="D751" s="230" t="s">
        <v>28</v>
      </c>
      <c r="E751" s="231">
        <v>3</v>
      </c>
      <c r="F751" s="232">
        <v>0</v>
      </c>
      <c r="G751" s="232">
        <v>0</v>
      </c>
      <c r="H751" s="138">
        <f t="shared" si="78"/>
        <v>0</v>
      </c>
      <c r="I751" s="138">
        <f t="shared" si="79"/>
        <v>0</v>
      </c>
      <c r="J751" s="25"/>
      <c r="K751" s="32"/>
    </row>
    <row r="752" spans="1:11" s="33" customFormat="1" ht="25.5" outlineLevel="3">
      <c r="A752" s="14"/>
      <c r="B752" s="38"/>
      <c r="C752" s="229" t="s">
        <v>261</v>
      </c>
      <c r="D752" s="230" t="s">
        <v>28</v>
      </c>
      <c r="E752" s="231">
        <v>1</v>
      </c>
      <c r="F752" s="232">
        <v>0</v>
      </c>
      <c r="G752" s="232">
        <v>0</v>
      </c>
      <c r="H752" s="138">
        <f t="shared" si="78"/>
        <v>0</v>
      </c>
      <c r="I752" s="138">
        <f t="shared" si="79"/>
        <v>0</v>
      </c>
      <c r="J752" s="25"/>
      <c r="K752" s="32"/>
    </row>
    <row r="753" spans="1:11" s="33" customFormat="1" ht="25.5" outlineLevel="3">
      <c r="A753" s="14"/>
      <c r="B753" s="38"/>
      <c r="C753" s="229" t="s">
        <v>158</v>
      </c>
      <c r="D753" s="230" t="s">
        <v>28</v>
      </c>
      <c r="E753" s="231">
        <v>1</v>
      </c>
      <c r="F753" s="232">
        <v>0</v>
      </c>
      <c r="G753" s="232">
        <v>0</v>
      </c>
      <c r="H753" s="138">
        <f t="shared" si="78"/>
        <v>0</v>
      </c>
      <c r="I753" s="138">
        <f t="shared" si="79"/>
        <v>0</v>
      </c>
      <c r="J753" s="25"/>
      <c r="K753" s="32"/>
    </row>
    <row r="754" spans="1:11" s="33" customFormat="1" ht="25.5" outlineLevel="3">
      <c r="A754" s="14"/>
      <c r="B754" s="38"/>
      <c r="C754" s="229" t="s">
        <v>203</v>
      </c>
      <c r="D754" s="230" t="s">
        <v>28</v>
      </c>
      <c r="E754" s="231">
        <v>1</v>
      </c>
      <c r="F754" s="232">
        <v>0</v>
      </c>
      <c r="G754" s="232">
        <v>0</v>
      </c>
      <c r="H754" s="138">
        <f t="shared" si="78"/>
        <v>0</v>
      </c>
      <c r="I754" s="138">
        <f t="shared" si="79"/>
        <v>0</v>
      </c>
      <c r="J754" s="25"/>
      <c r="K754" s="32"/>
    </row>
    <row r="755" spans="1:11" s="33" customFormat="1" ht="25.5" outlineLevel="3">
      <c r="A755" s="14"/>
      <c r="B755" s="38"/>
      <c r="C755" s="242" t="s">
        <v>161</v>
      </c>
      <c r="D755" s="230" t="s">
        <v>194</v>
      </c>
      <c r="E755" s="231">
        <v>1</v>
      </c>
      <c r="F755" s="232">
        <v>0</v>
      </c>
      <c r="G755" s="232">
        <v>0</v>
      </c>
      <c r="H755" s="138">
        <f t="shared" si="78"/>
        <v>0</v>
      </c>
      <c r="I755" s="138">
        <f t="shared" si="79"/>
        <v>0</v>
      </c>
      <c r="J755" s="25"/>
      <c r="K755" s="32"/>
    </row>
    <row r="756" spans="1:11" s="33" customFormat="1" ht="25.5" outlineLevel="3">
      <c r="A756" s="14"/>
      <c r="B756" s="38"/>
      <c r="C756" s="229" t="s">
        <v>178</v>
      </c>
      <c r="D756" s="230" t="s">
        <v>28</v>
      </c>
      <c r="E756" s="231">
        <v>1</v>
      </c>
      <c r="F756" s="232">
        <v>0</v>
      </c>
      <c r="G756" s="232">
        <v>0</v>
      </c>
      <c r="H756" s="138">
        <f t="shared" si="78"/>
        <v>0</v>
      </c>
      <c r="I756" s="138">
        <f t="shared" si="79"/>
        <v>0</v>
      </c>
      <c r="J756" s="25"/>
      <c r="K756" s="32"/>
    </row>
    <row r="757" spans="1:11" s="33" customFormat="1" ht="25.5" outlineLevel="3">
      <c r="A757" s="14"/>
      <c r="B757" s="38"/>
      <c r="C757" s="229" t="s">
        <v>172</v>
      </c>
      <c r="D757" s="230" t="s">
        <v>28</v>
      </c>
      <c r="E757" s="231">
        <v>6</v>
      </c>
      <c r="F757" s="232">
        <v>0</v>
      </c>
      <c r="G757" s="232">
        <v>0</v>
      </c>
      <c r="H757" s="138">
        <f t="shared" si="78"/>
        <v>0</v>
      </c>
      <c r="I757" s="138">
        <f t="shared" si="79"/>
        <v>0</v>
      </c>
      <c r="J757" s="25"/>
      <c r="K757" s="32"/>
    </row>
    <row r="758" spans="1:11" s="33" customFormat="1" ht="25.5" outlineLevel="3">
      <c r="A758" s="14"/>
      <c r="B758" s="38"/>
      <c r="C758" s="229" t="s">
        <v>165</v>
      </c>
      <c r="D758" s="230" t="s">
        <v>28</v>
      </c>
      <c r="E758" s="231">
        <v>5</v>
      </c>
      <c r="F758" s="232">
        <v>0</v>
      </c>
      <c r="G758" s="232">
        <v>0</v>
      </c>
      <c r="H758" s="138">
        <f t="shared" si="78"/>
        <v>0</v>
      </c>
      <c r="I758" s="138">
        <f t="shared" si="79"/>
        <v>0</v>
      </c>
      <c r="J758" s="25"/>
      <c r="K758" s="32"/>
    </row>
    <row r="759" spans="1:11" s="33" customFormat="1" ht="25.5" outlineLevel="3">
      <c r="A759" s="14"/>
      <c r="B759" s="38"/>
      <c r="C759" s="229" t="s">
        <v>166</v>
      </c>
      <c r="D759" s="230" t="s">
        <v>28</v>
      </c>
      <c r="E759" s="231">
        <v>3</v>
      </c>
      <c r="F759" s="232">
        <v>0</v>
      </c>
      <c r="G759" s="232">
        <v>0</v>
      </c>
      <c r="H759" s="138">
        <f t="shared" si="78"/>
        <v>0</v>
      </c>
      <c r="I759" s="138">
        <f t="shared" si="79"/>
        <v>0</v>
      </c>
      <c r="J759" s="25"/>
      <c r="K759" s="32"/>
    </row>
    <row r="760" spans="1:11" s="33" customFormat="1" ht="25.5" outlineLevel="3">
      <c r="A760" s="14"/>
      <c r="B760" s="38"/>
      <c r="C760" s="229" t="s">
        <v>167</v>
      </c>
      <c r="D760" s="230" t="s">
        <v>28</v>
      </c>
      <c r="E760" s="231">
        <v>3</v>
      </c>
      <c r="F760" s="232">
        <v>0</v>
      </c>
      <c r="G760" s="232">
        <v>0</v>
      </c>
      <c r="H760" s="138">
        <f t="shared" si="78"/>
        <v>0</v>
      </c>
      <c r="I760" s="138">
        <f t="shared" si="79"/>
        <v>0</v>
      </c>
      <c r="J760" s="25"/>
      <c r="K760" s="32"/>
    </row>
    <row r="761" spans="1:11" s="33" customFormat="1" ht="25.5" outlineLevel="3">
      <c r="A761" s="14"/>
      <c r="B761" s="38"/>
      <c r="C761" s="229" t="s">
        <v>139</v>
      </c>
      <c r="D761" s="230" t="s">
        <v>38</v>
      </c>
      <c r="E761" s="231">
        <v>1</v>
      </c>
      <c r="F761" s="232">
        <v>0</v>
      </c>
      <c r="G761" s="232">
        <v>0</v>
      </c>
      <c r="H761" s="138">
        <f t="shared" si="78"/>
        <v>0</v>
      </c>
      <c r="I761" s="138">
        <f t="shared" si="79"/>
        <v>0</v>
      </c>
      <c r="J761" s="25"/>
      <c r="K761" s="32"/>
    </row>
    <row r="762" spans="1:11" s="33" customFormat="1" ht="25.5" outlineLevel="3">
      <c r="A762" s="14"/>
      <c r="B762" s="35">
        <f>MAXA($B$6:B761)+1</f>
        <v>89</v>
      </c>
      <c r="C762" s="229" t="s">
        <v>262</v>
      </c>
      <c r="D762" s="230" t="s">
        <v>38</v>
      </c>
      <c r="E762" s="231">
        <v>1</v>
      </c>
      <c r="F762" s="232">
        <v>39955430</v>
      </c>
      <c r="G762" s="232">
        <v>1563188</v>
      </c>
      <c r="H762" s="138">
        <f t="shared" si="78"/>
        <v>41518618</v>
      </c>
      <c r="I762" s="138">
        <f t="shared" si="79"/>
        <v>41518618</v>
      </c>
      <c r="J762" s="25"/>
      <c r="K762" s="32"/>
    </row>
    <row r="763" spans="1:11" s="33" customFormat="1" ht="25.5" outlineLevel="3">
      <c r="A763" s="14"/>
      <c r="B763" s="38"/>
      <c r="C763" s="241" t="s">
        <v>141</v>
      </c>
      <c r="D763" s="212"/>
      <c r="E763" s="228"/>
      <c r="F763" s="232">
        <v>0</v>
      </c>
      <c r="G763" s="232">
        <v>0</v>
      </c>
      <c r="H763" s="214"/>
      <c r="I763" s="180"/>
      <c r="J763" s="25"/>
      <c r="K763" s="32"/>
    </row>
    <row r="764" spans="1:11" s="33" customFormat="1" ht="25.5" outlineLevel="3">
      <c r="A764" s="14"/>
      <c r="B764" s="38"/>
      <c r="C764" s="229" t="s">
        <v>158</v>
      </c>
      <c r="D764" s="230" t="s">
        <v>28</v>
      </c>
      <c r="E764" s="231">
        <v>1</v>
      </c>
      <c r="F764" s="232">
        <v>0</v>
      </c>
      <c r="G764" s="232">
        <v>0</v>
      </c>
      <c r="H764" s="138">
        <f t="shared" ref="H764:H769" si="80">G764+F764</f>
        <v>0</v>
      </c>
      <c r="I764" s="138">
        <f t="shared" ref="I764:I769" si="81">H764*E764</f>
        <v>0</v>
      </c>
      <c r="J764" s="25"/>
      <c r="K764" s="32"/>
    </row>
    <row r="765" spans="1:11" s="33" customFormat="1" ht="25.5" outlineLevel="3">
      <c r="A765" s="14"/>
      <c r="B765" s="38"/>
      <c r="C765" s="242" t="s">
        <v>94</v>
      </c>
      <c r="D765" s="230" t="s">
        <v>28</v>
      </c>
      <c r="E765" s="231">
        <v>3</v>
      </c>
      <c r="F765" s="232">
        <v>0</v>
      </c>
      <c r="G765" s="232">
        <v>0</v>
      </c>
      <c r="H765" s="138">
        <f t="shared" si="80"/>
        <v>0</v>
      </c>
      <c r="I765" s="138">
        <f t="shared" si="81"/>
        <v>0</v>
      </c>
      <c r="J765" s="25"/>
      <c r="K765" s="32"/>
    </row>
    <row r="766" spans="1:11" s="33" customFormat="1" ht="25.5" outlineLevel="3">
      <c r="A766" s="14"/>
      <c r="B766" s="38"/>
      <c r="C766" s="242" t="s">
        <v>95</v>
      </c>
      <c r="D766" s="230" t="s">
        <v>28</v>
      </c>
      <c r="E766" s="231">
        <v>3</v>
      </c>
      <c r="F766" s="232">
        <v>0</v>
      </c>
      <c r="G766" s="232">
        <v>0</v>
      </c>
      <c r="H766" s="138">
        <f t="shared" si="80"/>
        <v>0</v>
      </c>
      <c r="I766" s="138">
        <f t="shared" si="81"/>
        <v>0</v>
      </c>
      <c r="J766" s="25"/>
      <c r="K766" s="32"/>
    </row>
    <row r="767" spans="1:11" s="33" customFormat="1" ht="25.5" outlineLevel="3">
      <c r="A767" s="14"/>
      <c r="B767" s="38"/>
      <c r="C767" s="242" t="s">
        <v>96</v>
      </c>
      <c r="D767" s="230" t="s">
        <v>28</v>
      </c>
      <c r="E767" s="231">
        <v>1</v>
      </c>
      <c r="F767" s="232">
        <v>0</v>
      </c>
      <c r="G767" s="232">
        <v>0</v>
      </c>
      <c r="H767" s="138">
        <f t="shared" si="80"/>
        <v>0</v>
      </c>
      <c r="I767" s="138">
        <f t="shared" si="81"/>
        <v>0</v>
      </c>
      <c r="J767" s="25"/>
      <c r="K767" s="32"/>
    </row>
    <row r="768" spans="1:11" s="33" customFormat="1" ht="25.5" outlineLevel="3">
      <c r="A768" s="14"/>
      <c r="B768" s="38"/>
      <c r="C768" s="242" t="s">
        <v>97</v>
      </c>
      <c r="D768" s="230" t="s">
        <v>28</v>
      </c>
      <c r="E768" s="231">
        <v>1</v>
      </c>
      <c r="F768" s="232">
        <v>0</v>
      </c>
      <c r="G768" s="232">
        <v>0</v>
      </c>
      <c r="H768" s="138">
        <f t="shared" si="80"/>
        <v>0</v>
      </c>
      <c r="I768" s="138">
        <f t="shared" si="81"/>
        <v>0</v>
      </c>
      <c r="J768" s="25"/>
      <c r="K768" s="32"/>
    </row>
    <row r="769" spans="1:11" s="33" customFormat="1" ht="25.5" outlineLevel="3">
      <c r="A769" s="14"/>
      <c r="B769" s="38"/>
      <c r="C769" s="242" t="s">
        <v>98</v>
      </c>
      <c r="D769" s="230" t="s">
        <v>28</v>
      </c>
      <c r="E769" s="231">
        <v>1</v>
      </c>
      <c r="F769" s="232">
        <v>0</v>
      </c>
      <c r="G769" s="232">
        <v>0</v>
      </c>
      <c r="H769" s="138">
        <f t="shared" si="80"/>
        <v>0</v>
      </c>
      <c r="I769" s="138">
        <f t="shared" si="81"/>
        <v>0</v>
      </c>
      <c r="J769" s="25"/>
      <c r="K769" s="32"/>
    </row>
    <row r="770" spans="1:11" s="33" customFormat="1" ht="25.5" outlineLevel="3">
      <c r="A770" s="14"/>
      <c r="B770" s="38"/>
      <c r="C770" s="241" t="s">
        <v>148</v>
      </c>
      <c r="D770" s="233"/>
      <c r="E770" s="231"/>
      <c r="F770" s="232">
        <v>0</v>
      </c>
      <c r="G770" s="232">
        <v>0</v>
      </c>
      <c r="H770" s="214"/>
      <c r="I770" s="180"/>
      <c r="J770" s="25"/>
      <c r="K770" s="32"/>
    </row>
    <row r="771" spans="1:11" s="33" customFormat="1" ht="25.5" outlineLevel="3">
      <c r="A771" s="14"/>
      <c r="B771" s="38"/>
      <c r="C771" s="229" t="s">
        <v>172</v>
      </c>
      <c r="D771" s="230" t="s">
        <v>28</v>
      </c>
      <c r="E771" s="231">
        <v>1</v>
      </c>
      <c r="F771" s="232">
        <v>0</v>
      </c>
      <c r="G771" s="232">
        <v>0</v>
      </c>
      <c r="H771" s="138">
        <f t="shared" ref="H771:H777" si="82">G771+F771</f>
        <v>0</v>
      </c>
      <c r="I771" s="138">
        <f t="shared" ref="I771:I777" si="83">H771*E771</f>
        <v>0</v>
      </c>
      <c r="J771" s="25"/>
      <c r="K771" s="32"/>
    </row>
    <row r="772" spans="1:11" s="33" customFormat="1" ht="25.5" outlineLevel="3">
      <c r="A772" s="14"/>
      <c r="B772" s="38"/>
      <c r="C772" s="229" t="s">
        <v>149</v>
      </c>
      <c r="D772" s="230" t="s">
        <v>28</v>
      </c>
      <c r="E772" s="231">
        <v>1</v>
      </c>
      <c r="F772" s="232">
        <v>0</v>
      </c>
      <c r="G772" s="232">
        <v>0</v>
      </c>
      <c r="H772" s="138">
        <f t="shared" si="82"/>
        <v>0</v>
      </c>
      <c r="I772" s="138">
        <f t="shared" si="83"/>
        <v>0</v>
      </c>
      <c r="J772" s="25"/>
      <c r="K772" s="32"/>
    </row>
    <row r="773" spans="1:11" s="33" customFormat="1" ht="25.5" outlineLevel="3">
      <c r="A773" s="14"/>
      <c r="B773" s="38"/>
      <c r="C773" s="229" t="s">
        <v>171</v>
      </c>
      <c r="D773" s="230" t="s">
        <v>28</v>
      </c>
      <c r="E773" s="231">
        <v>4</v>
      </c>
      <c r="F773" s="232">
        <v>0</v>
      </c>
      <c r="G773" s="232">
        <v>0</v>
      </c>
      <c r="H773" s="138">
        <f t="shared" si="82"/>
        <v>0</v>
      </c>
      <c r="I773" s="138">
        <f t="shared" si="83"/>
        <v>0</v>
      </c>
      <c r="J773" s="25"/>
      <c r="K773" s="32"/>
    </row>
    <row r="774" spans="1:11" s="33" customFormat="1" ht="25.5" outlineLevel="3">
      <c r="A774" s="14"/>
      <c r="B774" s="38"/>
      <c r="C774" s="229" t="s">
        <v>263</v>
      </c>
      <c r="D774" s="230" t="s">
        <v>28</v>
      </c>
      <c r="E774" s="231">
        <v>3</v>
      </c>
      <c r="F774" s="232">
        <v>0</v>
      </c>
      <c r="G774" s="232">
        <v>0</v>
      </c>
      <c r="H774" s="138">
        <f t="shared" si="82"/>
        <v>0</v>
      </c>
      <c r="I774" s="138">
        <f t="shared" si="83"/>
        <v>0</v>
      </c>
      <c r="J774" s="25"/>
      <c r="K774" s="32"/>
    </row>
    <row r="775" spans="1:11" s="33" customFormat="1" ht="25.5" outlineLevel="3">
      <c r="A775" s="14"/>
      <c r="B775" s="38"/>
      <c r="C775" s="229" t="s">
        <v>203</v>
      </c>
      <c r="D775" s="230" t="s">
        <v>28</v>
      </c>
      <c r="E775" s="231">
        <v>1</v>
      </c>
      <c r="F775" s="232">
        <v>0</v>
      </c>
      <c r="G775" s="232">
        <v>0</v>
      </c>
      <c r="H775" s="138">
        <f t="shared" si="82"/>
        <v>0</v>
      </c>
      <c r="I775" s="138">
        <f t="shared" si="83"/>
        <v>0</v>
      </c>
      <c r="J775" s="25"/>
      <c r="K775" s="32"/>
    </row>
    <row r="776" spans="1:11" s="33" customFormat="1" ht="25.5" outlineLevel="3">
      <c r="A776" s="14"/>
      <c r="B776" s="38"/>
      <c r="C776" s="242" t="s">
        <v>161</v>
      </c>
      <c r="D776" s="230" t="s">
        <v>194</v>
      </c>
      <c r="E776" s="231">
        <v>1</v>
      </c>
      <c r="F776" s="232">
        <v>0</v>
      </c>
      <c r="G776" s="232">
        <v>0</v>
      </c>
      <c r="H776" s="138">
        <f t="shared" si="82"/>
        <v>0</v>
      </c>
      <c r="I776" s="138">
        <f t="shared" si="83"/>
        <v>0</v>
      </c>
      <c r="J776" s="25"/>
      <c r="K776" s="32"/>
    </row>
    <row r="777" spans="1:11" s="33" customFormat="1" ht="25.5" outlineLevel="3">
      <c r="A777" s="14"/>
      <c r="B777" s="38"/>
      <c r="C777" s="229" t="s">
        <v>166</v>
      </c>
      <c r="D777" s="230" t="s">
        <v>28</v>
      </c>
      <c r="E777" s="231">
        <v>1</v>
      </c>
      <c r="F777" s="232">
        <v>0</v>
      </c>
      <c r="G777" s="232">
        <v>0</v>
      </c>
      <c r="H777" s="138">
        <f t="shared" si="82"/>
        <v>0</v>
      </c>
      <c r="I777" s="138">
        <f t="shared" si="83"/>
        <v>0</v>
      </c>
      <c r="J777" s="25"/>
      <c r="K777" s="32"/>
    </row>
    <row r="778" spans="1:11" s="33" customFormat="1" ht="25.5" outlineLevel="3">
      <c r="A778" s="14"/>
      <c r="B778" s="38"/>
      <c r="C778" s="243" t="s">
        <v>264</v>
      </c>
      <c r="D778" s="230"/>
      <c r="E778" s="231"/>
      <c r="F778" s="232">
        <v>0</v>
      </c>
      <c r="G778" s="232">
        <v>0</v>
      </c>
      <c r="H778" s="214"/>
      <c r="I778" s="180"/>
      <c r="J778" s="25"/>
      <c r="K778" s="32"/>
    </row>
    <row r="779" spans="1:11" s="33" customFormat="1" ht="25.5" outlineLevel="3">
      <c r="A779" s="14"/>
      <c r="B779" s="38"/>
      <c r="C779" s="229" t="s">
        <v>265</v>
      </c>
      <c r="D779" s="230" t="s">
        <v>28</v>
      </c>
      <c r="E779" s="231">
        <v>1</v>
      </c>
      <c r="F779" s="232">
        <v>0</v>
      </c>
      <c r="G779" s="232">
        <v>0</v>
      </c>
      <c r="H779" s="138">
        <f>G779+F779</f>
        <v>0</v>
      </c>
      <c r="I779" s="138">
        <f>H779*E779</f>
        <v>0</v>
      </c>
      <c r="J779" s="25"/>
      <c r="K779" s="32"/>
    </row>
    <row r="780" spans="1:11" s="33" customFormat="1" ht="25.5" outlineLevel="3">
      <c r="A780" s="14"/>
      <c r="B780" s="38"/>
      <c r="C780" s="242" t="s">
        <v>266</v>
      </c>
      <c r="D780" s="230" t="s">
        <v>28</v>
      </c>
      <c r="E780" s="231">
        <v>1</v>
      </c>
      <c r="F780" s="232">
        <v>0</v>
      </c>
      <c r="G780" s="232">
        <v>0</v>
      </c>
      <c r="H780" s="138">
        <f>G780+F780</f>
        <v>0</v>
      </c>
      <c r="I780" s="138">
        <f>H780*E780</f>
        <v>0</v>
      </c>
      <c r="J780" s="25"/>
      <c r="K780" s="32"/>
    </row>
    <row r="781" spans="1:11" s="33" customFormat="1" ht="25.5" outlineLevel="3">
      <c r="A781" s="14"/>
      <c r="B781" s="38"/>
      <c r="C781" s="229" t="s">
        <v>267</v>
      </c>
      <c r="D781" s="230" t="s">
        <v>28</v>
      </c>
      <c r="E781" s="231">
        <v>1</v>
      </c>
      <c r="F781" s="232">
        <v>0</v>
      </c>
      <c r="G781" s="232">
        <v>0</v>
      </c>
      <c r="H781" s="138">
        <f>G781+F781</f>
        <v>0</v>
      </c>
      <c r="I781" s="138">
        <f>H781*E781</f>
        <v>0</v>
      </c>
      <c r="J781" s="25"/>
      <c r="K781" s="32"/>
    </row>
    <row r="782" spans="1:11" s="33" customFormat="1" ht="25.5" outlineLevel="3">
      <c r="A782" s="14"/>
      <c r="B782" s="38"/>
      <c r="C782" s="243" t="s">
        <v>268</v>
      </c>
      <c r="D782" s="230"/>
      <c r="E782" s="231"/>
      <c r="F782" s="232">
        <v>0</v>
      </c>
      <c r="G782" s="232">
        <v>0</v>
      </c>
      <c r="H782" s="214"/>
      <c r="I782" s="180"/>
      <c r="J782" s="25"/>
      <c r="K782" s="32"/>
    </row>
    <row r="783" spans="1:11" s="33" customFormat="1" ht="25.5" outlineLevel="3">
      <c r="A783" s="14"/>
      <c r="B783" s="38"/>
      <c r="C783" s="229" t="s">
        <v>265</v>
      </c>
      <c r="D783" s="230" t="s">
        <v>28</v>
      </c>
      <c r="E783" s="231">
        <v>1</v>
      </c>
      <c r="F783" s="232">
        <v>0</v>
      </c>
      <c r="G783" s="232">
        <v>0</v>
      </c>
      <c r="H783" s="138">
        <f t="shared" ref="H783:H788" si="84">G783+F783</f>
        <v>0</v>
      </c>
      <c r="I783" s="138">
        <f t="shared" ref="I783:I788" si="85">H783*E783</f>
        <v>0</v>
      </c>
      <c r="J783" s="25"/>
      <c r="K783" s="32"/>
    </row>
    <row r="784" spans="1:11" s="33" customFormat="1" ht="25.5" outlineLevel="3">
      <c r="A784" s="14"/>
      <c r="B784" s="38"/>
      <c r="C784" s="242" t="s">
        <v>266</v>
      </c>
      <c r="D784" s="230" t="s">
        <v>28</v>
      </c>
      <c r="E784" s="231">
        <v>1</v>
      </c>
      <c r="F784" s="232">
        <v>0</v>
      </c>
      <c r="G784" s="232">
        <v>0</v>
      </c>
      <c r="H784" s="138">
        <f t="shared" si="84"/>
        <v>0</v>
      </c>
      <c r="I784" s="138">
        <f t="shared" si="85"/>
        <v>0</v>
      </c>
      <c r="J784" s="25"/>
      <c r="K784" s="32"/>
    </row>
    <row r="785" spans="1:11" s="33" customFormat="1" ht="25.5" outlineLevel="3">
      <c r="A785" s="14"/>
      <c r="B785" s="38"/>
      <c r="C785" s="229" t="s">
        <v>269</v>
      </c>
      <c r="D785" s="230" t="s">
        <v>28</v>
      </c>
      <c r="E785" s="231">
        <v>1</v>
      </c>
      <c r="F785" s="232">
        <v>0</v>
      </c>
      <c r="G785" s="232">
        <v>0</v>
      </c>
      <c r="H785" s="138">
        <f t="shared" si="84"/>
        <v>0</v>
      </c>
      <c r="I785" s="138">
        <f t="shared" si="85"/>
        <v>0</v>
      </c>
      <c r="J785" s="25"/>
      <c r="K785" s="32"/>
    </row>
    <row r="786" spans="1:11" s="33" customFormat="1" ht="25.5" outlineLevel="3">
      <c r="A786" s="14"/>
      <c r="B786" s="38"/>
      <c r="C786" s="229" t="s">
        <v>270</v>
      </c>
      <c r="D786" s="230" t="s">
        <v>38</v>
      </c>
      <c r="E786" s="231">
        <v>1</v>
      </c>
      <c r="F786" s="232">
        <v>0</v>
      </c>
      <c r="G786" s="232">
        <v>0</v>
      </c>
      <c r="H786" s="138">
        <f t="shared" si="84"/>
        <v>0</v>
      </c>
      <c r="I786" s="138">
        <f t="shared" si="85"/>
        <v>0</v>
      </c>
      <c r="J786" s="25"/>
      <c r="K786" s="32"/>
    </row>
    <row r="787" spans="1:11" s="33" customFormat="1" ht="25.5" outlineLevel="3">
      <c r="A787" s="14"/>
      <c r="B787" s="38"/>
      <c r="C787" s="229" t="s">
        <v>139</v>
      </c>
      <c r="D787" s="230" t="s">
        <v>38</v>
      </c>
      <c r="E787" s="231">
        <v>1</v>
      </c>
      <c r="F787" s="232">
        <v>0</v>
      </c>
      <c r="G787" s="232">
        <v>0</v>
      </c>
      <c r="H787" s="138">
        <f t="shared" si="84"/>
        <v>0</v>
      </c>
      <c r="I787" s="138">
        <f t="shared" si="85"/>
        <v>0</v>
      </c>
      <c r="J787" s="25"/>
      <c r="K787" s="32"/>
    </row>
    <row r="788" spans="1:11" s="33" customFormat="1" ht="25.5" outlineLevel="3">
      <c r="A788" s="14"/>
      <c r="B788" s="35">
        <f>MAXA($B$6:B787)+1</f>
        <v>90</v>
      </c>
      <c r="C788" s="229" t="s">
        <v>271</v>
      </c>
      <c r="D788" s="230" t="s">
        <v>38</v>
      </c>
      <c r="E788" s="231">
        <v>1</v>
      </c>
      <c r="F788" s="232">
        <v>12956949</v>
      </c>
      <c r="G788" s="232">
        <v>1563188</v>
      </c>
      <c r="H788" s="138">
        <f t="shared" si="84"/>
        <v>14520137</v>
      </c>
      <c r="I788" s="138">
        <f t="shared" si="85"/>
        <v>14520137</v>
      </c>
      <c r="J788" s="25"/>
      <c r="K788" s="32"/>
    </row>
    <row r="789" spans="1:11" s="33" customFormat="1" ht="25.5" outlineLevel="3">
      <c r="A789" s="14"/>
      <c r="B789" s="38"/>
      <c r="C789" s="241" t="s">
        <v>141</v>
      </c>
      <c r="D789" s="212"/>
      <c r="E789" s="228"/>
      <c r="F789" s="232">
        <v>0</v>
      </c>
      <c r="G789" s="232">
        <v>0</v>
      </c>
      <c r="H789" s="214"/>
      <c r="I789" s="180"/>
      <c r="J789" s="25"/>
      <c r="K789" s="32"/>
    </row>
    <row r="790" spans="1:11" s="33" customFormat="1" ht="25.5" outlineLevel="3">
      <c r="A790" s="14"/>
      <c r="B790" s="38"/>
      <c r="C790" s="229" t="s">
        <v>158</v>
      </c>
      <c r="D790" s="230" t="s">
        <v>28</v>
      </c>
      <c r="E790" s="231">
        <v>1</v>
      </c>
      <c r="F790" s="232">
        <v>0</v>
      </c>
      <c r="G790" s="232">
        <v>0</v>
      </c>
      <c r="H790" s="138">
        <f t="shared" ref="H790:H795" si="86">G790+F790</f>
        <v>0</v>
      </c>
      <c r="I790" s="138">
        <f t="shared" ref="I790:I795" si="87">H790*E790</f>
        <v>0</v>
      </c>
      <c r="J790" s="25"/>
      <c r="K790" s="32"/>
    </row>
    <row r="791" spans="1:11" s="33" customFormat="1" ht="25.5" outlineLevel="3">
      <c r="A791" s="14"/>
      <c r="B791" s="38"/>
      <c r="C791" s="242" t="s">
        <v>94</v>
      </c>
      <c r="D791" s="230" t="s">
        <v>28</v>
      </c>
      <c r="E791" s="231">
        <v>3</v>
      </c>
      <c r="F791" s="232">
        <v>0</v>
      </c>
      <c r="G791" s="232">
        <v>0</v>
      </c>
      <c r="H791" s="138">
        <f t="shared" si="86"/>
        <v>0</v>
      </c>
      <c r="I791" s="138">
        <f t="shared" si="87"/>
        <v>0</v>
      </c>
      <c r="J791" s="25"/>
      <c r="K791" s="32"/>
    </row>
    <row r="792" spans="1:11" s="33" customFormat="1" ht="25.5" outlineLevel="3">
      <c r="A792" s="14"/>
      <c r="B792" s="38"/>
      <c r="C792" s="242" t="s">
        <v>95</v>
      </c>
      <c r="D792" s="230" t="s">
        <v>28</v>
      </c>
      <c r="E792" s="231">
        <v>3</v>
      </c>
      <c r="F792" s="232">
        <v>0</v>
      </c>
      <c r="G792" s="232">
        <v>0</v>
      </c>
      <c r="H792" s="138">
        <f t="shared" si="86"/>
        <v>0</v>
      </c>
      <c r="I792" s="138">
        <f t="shared" si="87"/>
        <v>0</v>
      </c>
      <c r="J792" s="25"/>
      <c r="K792" s="32"/>
    </row>
    <row r="793" spans="1:11" s="33" customFormat="1" ht="25.5" outlineLevel="3">
      <c r="A793" s="14"/>
      <c r="B793" s="38"/>
      <c r="C793" s="242" t="s">
        <v>96</v>
      </c>
      <c r="D793" s="230" t="s">
        <v>28</v>
      </c>
      <c r="E793" s="231">
        <v>1</v>
      </c>
      <c r="F793" s="232">
        <v>0</v>
      </c>
      <c r="G793" s="232">
        <v>0</v>
      </c>
      <c r="H793" s="138">
        <f t="shared" si="86"/>
        <v>0</v>
      </c>
      <c r="I793" s="138">
        <f t="shared" si="87"/>
        <v>0</v>
      </c>
      <c r="J793" s="25"/>
      <c r="K793" s="32"/>
    </row>
    <row r="794" spans="1:11" s="33" customFormat="1" ht="25.5" outlineLevel="3">
      <c r="A794" s="14"/>
      <c r="B794" s="38"/>
      <c r="C794" s="242" t="s">
        <v>97</v>
      </c>
      <c r="D794" s="230" t="s">
        <v>28</v>
      </c>
      <c r="E794" s="231">
        <v>1</v>
      </c>
      <c r="F794" s="232">
        <v>0</v>
      </c>
      <c r="G794" s="232">
        <v>0</v>
      </c>
      <c r="H794" s="138">
        <f t="shared" si="86"/>
        <v>0</v>
      </c>
      <c r="I794" s="138">
        <f t="shared" si="87"/>
        <v>0</v>
      </c>
      <c r="J794" s="25"/>
      <c r="K794" s="32"/>
    </row>
    <row r="795" spans="1:11" s="33" customFormat="1" ht="25.5" outlineLevel="3">
      <c r="A795" s="14"/>
      <c r="B795" s="38"/>
      <c r="C795" s="242" t="s">
        <v>98</v>
      </c>
      <c r="D795" s="230" t="s">
        <v>28</v>
      </c>
      <c r="E795" s="231">
        <v>1</v>
      </c>
      <c r="F795" s="232">
        <v>0</v>
      </c>
      <c r="G795" s="232">
        <v>0</v>
      </c>
      <c r="H795" s="138">
        <f t="shared" si="86"/>
        <v>0</v>
      </c>
      <c r="I795" s="138">
        <f t="shared" si="87"/>
        <v>0</v>
      </c>
      <c r="J795" s="25"/>
      <c r="K795" s="32"/>
    </row>
    <row r="796" spans="1:11" s="33" customFormat="1" ht="25.5" outlineLevel="3">
      <c r="A796" s="14"/>
      <c r="B796" s="38"/>
      <c r="C796" s="241" t="s">
        <v>148</v>
      </c>
      <c r="D796" s="233"/>
      <c r="E796" s="231"/>
      <c r="F796" s="232">
        <v>0</v>
      </c>
      <c r="G796" s="232">
        <v>0</v>
      </c>
      <c r="H796" s="214"/>
      <c r="I796" s="180"/>
      <c r="J796" s="25"/>
      <c r="K796" s="32"/>
    </row>
    <row r="797" spans="1:11" s="33" customFormat="1" ht="25.5" outlineLevel="3">
      <c r="A797" s="14"/>
      <c r="B797" s="38"/>
      <c r="C797" s="229" t="s">
        <v>150</v>
      </c>
      <c r="D797" s="230" t="s">
        <v>28</v>
      </c>
      <c r="E797" s="231">
        <v>1</v>
      </c>
      <c r="F797" s="232">
        <v>0</v>
      </c>
      <c r="G797" s="232">
        <v>0</v>
      </c>
      <c r="H797" s="138">
        <f t="shared" ref="H797:H804" si="88">G797+F797</f>
        <v>0</v>
      </c>
      <c r="I797" s="138">
        <f t="shared" ref="I797:I804" si="89">H797*E797</f>
        <v>0</v>
      </c>
      <c r="J797" s="25"/>
      <c r="K797" s="32"/>
    </row>
    <row r="798" spans="1:11" s="33" customFormat="1" ht="25.5" outlineLevel="3">
      <c r="A798" s="14"/>
      <c r="B798" s="38"/>
      <c r="C798" s="229" t="s">
        <v>149</v>
      </c>
      <c r="D798" s="230" t="s">
        <v>28</v>
      </c>
      <c r="E798" s="231">
        <v>4</v>
      </c>
      <c r="F798" s="232">
        <v>0</v>
      </c>
      <c r="G798" s="232">
        <v>0</v>
      </c>
      <c r="H798" s="138">
        <f t="shared" si="88"/>
        <v>0</v>
      </c>
      <c r="I798" s="138">
        <f t="shared" si="89"/>
        <v>0</v>
      </c>
      <c r="J798" s="25"/>
      <c r="K798" s="32"/>
    </row>
    <row r="799" spans="1:11" s="33" customFormat="1" ht="25.5" outlineLevel="3">
      <c r="A799" s="14"/>
      <c r="B799" s="38"/>
      <c r="C799" s="229" t="s">
        <v>272</v>
      </c>
      <c r="D799" s="230" t="s">
        <v>28</v>
      </c>
      <c r="E799" s="231">
        <v>1</v>
      </c>
      <c r="F799" s="232">
        <v>0</v>
      </c>
      <c r="G799" s="232">
        <v>0</v>
      </c>
      <c r="H799" s="138">
        <f t="shared" si="88"/>
        <v>0</v>
      </c>
      <c r="I799" s="138">
        <f t="shared" si="89"/>
        <v>0</v>
      </c>
      <c r="J799" s="25"/>
      <c r="K799" s="32"/>
    </row>
    <row r="800" spans="1:11" s="33" customFormat="1" ht="25.5" outlineLevel="3">
      <c r="A800" s="14"/>
      <c r="B800" s="38"/>
      <c r="C800" s="229" t="s">
        <v>203</v>
      </c>
      <c r="D800" s="230" t="s">
        <v>28</v>
      </c>
      <c r="E800" s="231">
        <v>1</v>
      </c>
      <c r="F800" s="232">
        <v>0</v>
      </c>
      <c r="G800" s="232">
        <v>0</v>
      </c>
      <c r="H800" s="138">
        <f t="shared" si="88"/>
        <v>0</v>
      </c>
      <c r="I800" s="138">
        <f t="shared" si="89"/>
        <v>0</v>
      </c>
      <c r="J800" s="25"/>
      <c r="K800" s="32"/>
    </row>
    <row r="801" spans="1:12" s="33" customFormat="1" ht="25.5" outlineLevel="3">
      <c r="A801" s="14"/>
      <c r="B801" s="38"/>
      <c r="C801" s="242" t="s">
        <v>161</v>
      </c>
      <c r="D801" s="230" t="s">
        <v>194</v>
      </c>
      <c r="E801" s="231">
        <v>1</v>
      </c>
      <c r="F801" s="232">
        <v>0</v>
      </c>
      <c r="G801" s="232">
        <v>0</v>
      </c>
      <c r="H801" s="138">
        <f t="shared" si="88"/>
        <v>0</v>
      </c>
      <c r="I801" s="138">
        <f t="shared" si="89"/>
        <v>0</v>
      </c>
      <c r="J801" s="25"/>
      <c r="K801" s="32"/>
    </row>
    <row r="802" spans="1:12" s="33" customFormat="1" ht="25.5" outlineLevel="3">
      <c r="A802" s="14"/>
      <c r="B802" s="38"/>
      <c r="C802" s="229" t="s">
        <v>139</v>
      </c>
      <c r="D802" s="230" t="s">
        <v>38</v>
      </c>
      <c r="E802" s="231">
        <v>1</v>
      </c>
      <c r="F802" s="232">
        <v>0</v>
      </c>
      <c r="G802" s="232">
        <v>0</v>
      </c>
      <c r="H802" s="138">
        <f t="shared" si="88"/>
        <v>0</v>
      </c>
      <c r="I802" s="138">
        <f t="shared" si="89"/>
        <v>0</v>
      </c>
      <c r="J802" s="25"/>
      <c r="K802" s="32"/>
    </row>
    <row r="803" spans="1:12" s="33" customFormat="1" ht="25.5" outlineLevel="3">
      <c r="A803" s="14"/>
      <c r="B803" s="35">
        <f>MAXA($B$6:B802)+1</f>
        <v>91</v>
      </c>
      <c r="C803" s="245" t="s">
        <v>273</v>
      </c>
      <c r="D803" s="230" t="s">
        <v>38</v>
      </c>
      <c r="E803" s="231">
        <v>1</v>
      </c>
      <c r="F803" s="232">
        <v>52255125</v>
      </c>
      <c r="G803" s="232">
        <v>1563188</v>
      </c>
      <c r="H803" s="138">
        <f t="shared" si="88"/>
        <v>53818313</v>
      </c>
      <c r="I803" s="138">
        <f t="shared" si="89"/>
        <v>53818313</v>
      </c>
      <c r="J803" s="25"/>
      <c r="K803" s="32"/>
    </row>
    <row r="804" spans="1:12" s="16" customFormat="1" ht="25.5" outlineLevel="3">
      <c r="A804" s="14"/>
      <c r="B804" s="35">
        <f>MAXA(B$5:B803)+1</f>
        <v>92</v>
      </c>
      <c r="C804" s="246" t="s">
        <v>274</v>
      </c>
      <c r="D804" s="233" t="s">
        <v>44</v>
      </c>
      <c r="E804" s="247">
        <v>1</v>
      </c>
      <c r="F804" s="232">
        <v>12040742</v>
      </c>
      <c r="G804" s="232">
        <v>645125</v>
      </c>
      <c r="H804" s="138">
        <f t="shared" si="88"/>
        <v>12685867</v>
      </c>
      <c r="I804" s="138">
        <f t="shared" si="89"/>
        <v>12685867</v>
      </c>
      <c r="J804" s="39"/>
      <c r="K804" s="15"/>
    </row>
    <row r="805" spans="1:12" s="33" customFormat="1" ht="26.25" outlineLevel="3">
      <c r="A805" s="34"/>
      <c r="B805" s="38" t="s">
        <v>275</v>
      </c>
      <c r="C805" s="227" t="s">
        <v>276</v>
      </c>
      <c r="D805" s="212"/>
      <c r="E805" s="228"/>
      <c r="F805" s="232">
        <v>0</v>
      </c>
      <c r="G805" s="232">
        <v>0</v>
      </c>
      <c r="H805" s="214"/>
      <c r="I805" s="180">
        <f>SUBTOTAL(9,I806:I848)</f>
        <v>2286528961</v>
      </c>
      <c r="J805" s="25"/>
      <c r="K805" s="32"/>
    </row>
    <row r="806" spans="1:12" s="16" customFormat="1" ht="25.5" outlineLevel="3">
      <c r="A806" s="14"/>
      <c r="B806" s="35"/>
      <c r="C806" s="248" t="s">
        <v>277</v>
      </c>
      <c r="D806" s="249"/>
      <c r="E806" s="247"/>
      <c r="F806" s="232">
        <v>0</v>
      </c>
      <c r="G806" s="232">
        <v>0</v>
      </c>
      <c r="H806" s="250"/>
      <c r="I806" s="251"/>
      <c r="J806" s="39"/>
      <c r="K806" s="15"/>
    </row>
    <row r="807" spans="1:12" s="16" customFormat="1" ht="38.25" outlineLevel="3">
      <c r="A807" s="14"/>
      <c r="B807" s="35">
        <f>MAXA(B$5:B806)+1</f>
        <v>93</v>
      </c>
      <c r="C807" s="252" t="s">
        <v>278</v>
      </c>
      <c r="D807" s="233" t="s">
        <v>44</v>
      </c>
      <c r="E807" s="247">
        <v>216</v>
      </c>
      <c r="F807" s="253">
        <v>1642544.9999999998</v>
      </c>
      <c r="G807" s="232">
        <v>156319</v>
      </c>
      <c r="H807" s="138">
        <f t="shared" ref="H807:H827" si="90">G807+F807</f>
        <v>1798863.9999999998</v>
      </c>
      <c r="I807" s="138">
        <f t="shared" ref="I807:I827" si="91">H807*E807</f>
        <v>388554623.99999994</v>
      </c>
      <c r="J807" s="39"/>
      <c r="K807" s="15"/>
    </row>
    <row r="808" spans="1:12" s="16" customFormat="1" ht="51" outlineLevel="3">
      <c r="A808" s="14" t="s">
        <v>154</v>
      </c>
      <c r="B808" s="35">
        <v>94</v>
      </c>
      <c r="C808" s="254" t="s">
        <v>279</v>
      </c>
      <c r="D808" s="233" t="s">
        <v>44</v>
      </c>
      <c r="E808" s="247">
        <v>171</v>
      </c>
      <c r="F808" s="253">
        <v>2108295</v>
      </c>
      <c r="G808" s="232">
        <v>156319</v>
      </c>
      <c r="H808" s="138">
        <f t="shared" si="90"/>
        <v>2264614</v>
      </c>
      <c r="I808" s="138">
        <f t="shared" si="91"/>
        <v>387248994</v>
      </c>
      <c r="J808" s="39"/>
      <c r="K808" s="15" t="s">
        <v>280</v>
      </c>
      <c r="L808" s="16" t="s">
        <v>281</v>
      </c>
    </row>
    <row r="809" spans="1:12" s="16" customFormat="1" ht="25.5" outlineLevel="3">
      <c r="A809" s="14"/>
      <c r="B809" s="35">
        <v>95</v>
      </c>
      <c r="C809" s="255" t="s">
        <v>282</v>
      </c>
      <c r="D809" s="233" t="s">
        <v>44</v>
      </c>
      <c r="E809" s="247">
        <v>203</v>
      </c>
      <c r="F809" s="253">
        <v>632385</v>
      </c>
      <c r="G809" s="232">
        <v>260531</v>
      </c>
      <c r="H809" s="138">
        <f t="shared" si="90"/>
        <v>892916</v>
      </c>
      <c r="I809" s="138">
        <f t="shared" si="91"/>
        <v>181261948</v>
      </c>
      <c r="J809" s="39"/>
      <c r="K809" s="15"/>
    </row>
    <row r="810" spans="1:12" s="16" customFormat="1" ht="25.5" outlineLevel="3">
      <c r="A810" s="14"/>
      <c r="B810" s="35">
        <f>MAXA(B$5:B809)+1</f>
        <v>96</v>
      </c>
      <c r="C810" s="255" t="s">
        <v>283</v>
      </c>
      <c r="D810" s="233" t="s">
        <v>44</v>
      </c>
      <c r="E810" s="247">
        <v>79</v>
      </c>
      <c r="F810" s="253">
        <v>366390</v>
      </c>
      <c r="G810" s="232">
        <v>125055</v>
      </c>
      <c r="H810" s="138">
        <f t="shared" si="90"/>
        <v>491445</v>
      </c>
      <c r="I810" s="138">
        <f t="shared" si="91"/>
        <v>38824155</v>
      </c>
      <c r="J810" s="39"/>
      <c r="K810" s="15"/>
    </row>
    <row r="811" spans="1:12" s="16" customFormat="1" ht="25.5" outlineLevel="3">
      <c r="A811" s="14"/>
      <c r="B811" s="35">
        <f>MAXA(B$5:B810)+1</f>
        <v>97</v>
      </c>
      <c r="C811" s="255" t="s">
        <v>284</v>
      </c>
      <c r="D811" s="233" t="s">
        <v>44</v>
      </c>
      <c r="E811" s="247">
        <v>10</v>
      </c>
      <c r="F811" s="253">
        <v>870434.99999999988</v>
      </c>
      <c r="G811" s="232">
        <v>125055</v>
      </c>
      <c r="H811" s="138">
        <f t="shared" si="90"/>
        <v>995489.99999999988</v>
      </c>
      <c r="I811" s="138">
        <f t="shared" si="91"/>
        <v>9954899.9999999981</v>
      </c>
      <c r="J811" s="39"/>
      <c r="K811" s="15"/>
    </row>
    <row r="812" spans="1:12" s="16" customFormat="1" ht="25.5" outlineLevel="3">
      <c r="A812" s="14"/>
      <c r="B812" s="35">
        <f>MAXA(B$5:B811)+1</f>
        <v>98</v>
      </c>
      <c r="C812" s="255" t="s">
        <v>285</v>
      </c>
      <c r="D812" s="233" t="s">
        <v>44</v>
      </c>
      <c r="E812" s="247">
        <v>120</v>
      </c>
      <c r="F812" s="253">
        <v>1003949.9999999999</v>
      </c>
      <c r="G812" s="232">
        <v>125055</v>
      </c>
      <c r="H812" s="138">
        <f t="shared" si="90"/>
        <v>1129005</v>
      </c>
      <c r="I812" s="138">
        <f t="shared" si="91"/>
        <v>135480600</v>
      </c>
      <c r="J812" s="39"/>
      <c r="K812" s="15"/>
    </row>
    <row r="813" spans="1:12" s="16" customFormat="1" ht="25.5" outlineLevel="3">
      <c r="A813" s="14"/>
      <c r="B813" s="35">
        <f>MAXA(B$5:B812)+1</f>
        <v>99</v>
      </c>
      <c r="C813" s="255" t="s">
        <v>286</v>
      </c>
      <c r="D813" s="233" t="s">
        <v>44</v>
      </c>
      <c r="E813" s="247">
        <v>1</v>
      </c>
      <c r="F813" s="253">
        <v>3236444.9999999995</v>
      </c>
      <c r="G813" s="232">
        <v>468956</v>
      </c>
      <c r="H813" s="138">
        <f t="shared" si="90"/>
        <v>3705400.9999999995</v>
      </c>
      <c r="I813" s="138">
        <f t="shared" si="91"/>
        <v>3705400.9999999995</v>
      </c>
      <c r="J813" s="39"/>
      <c r="K813" s="15"/>
    </row>
    <row r="814" spans="1:12" s="16" customFormat="1" ht="25.5" outlineLevel="3">
      <c r="A814" s="14"/>
      <c r="B814" s="35">
        <f>MAXA(B$5:B813)+1</f>
        <v>100</v>
      </c>
      <c r="C814" s="256" t="s">
        <v>287</v>
      </c>
      <c r="D814" s="233" t="s">
        <v>44</v>
      </c>
      <c r="E814" s="247">
        <v>17</v>
      </c>
      <c r="F814" s="253">
        <v>5428575</v>
      </c>
      <c r="G814" s="232">
        <v>156319</v>
      </c>
      <c r="H814" s="138">
        <f t="shared" si="90"/>
        <v>5584894</v>
      </c>
      <c r="I814" s="138">
        <f t="shared" si="91"/>
        <v>94943198</v>
      </c>
      <c r="J814" s="39"/>
      <c r="K814" s="15"/>
    </row>
    <row r="815" spans="1:12" s="16" customFormat="1" ht="25.5" outlineLevel="3">
      <c r="A815" s="14"/>
      <c r="B815" s="35">
        <f>MAXA(B$5:B814)+1</f>
        <v>101</v>
      </c>
      <c r="C815" s="255" t="s">
        <v>288</v>
      </c>
      <c r="D815" s="233" t="s">
        <v>44</v>
      </c>
      <c r="E815" s="247">
        <v>2</v>
      </c>
      <c r="F815" s="253">
        <v>4005449.9999999995</v>
      </c>
      <c r="G815" s="232">
        <v>260531</v>
      </c>
      <c r="H815" s="138">
        <f t="shared" si="90"/>
        <v>4265981</v>
      </c>
      <c r="I815" s="138">
        <f t="shared" si="91"/>
        <v>8531962</v>
      </c>
      <c r="J815" s="39"/>
      <c r="K815" s="15"/>
    </row>
    <row r="816" spans="1:12" s="16" customFormat="1" ht="25.5" outlineLevel="3">
      <c r="A816" s="14"/>
      <c r="B816" s="35">
        <f>MAXA(B$5:B815)+1</f>
        <v>102</v>
      </c>
      <c r="C816" s="255" t="s">
        <v>289</v>
      </c>
      <c r="D816" s="233" t="s">
        <v>44</v>
      </c>
      <c r="E816" s="247">
        <v>7</v>
      </c>
      <c r="F816" s="253">
        <v>888029.99999999988</v>
      </c>
      <c r="G816" s="232">
        <v>125055</v>
      </c>
      <c r="H816" s="138">
        <f t="shared" si="90"/>
        <v>1013084.9999999999</v>
      </c>
      <c r="I816" s="138">
        <f t="shared" si="91"/>
        <v>7091594.9999999991</v>
      </c>
      <c r="J816" s="39"/>
      <c r="K816" s="15"/>
    </row>
    <row r="817" spans="1:11" s="16" customFormat="1" ht="25.5" outlineLevel="3">
      <c r="A817" s="14"/>
      <c r="B817" s="35">
        <f>MAXA(B$5:B816)+1</f>
        <v>103</v>
      </c>
      <c r="C817" s="255" t="s">
        <v>290</v>
      </c>
      <c r="D817" s="233" t="s">
        <v>44</v>
      </c>
      <c r="E817" s="247">
        <v>349</v>
      </c>
      <c r="F817" s="253">
        <v>1130220</v>
      </c>
      <c r="G817" s="232">
        <v>208425</v>
      </c>
      <c r="H817" s="138">
        <f t="shared" si="90"/>
        <v>1338645</v>
      </c>
      <c r="I817" s="138">
        <f t="shared" si="91"/>
        <v>467187105</v>
      </c>
      <c r="J817" s="39"/>
      <c r="K817" s="15"/>
    </row>
    <row r="818" spans="1:11" s="16" customFormat="1" ht="25.5" outlineLevel="3">
      <c r="A818" s="14"/>
      <c r="B818" s="35">
        <f>MAXA(B$5:B817)+1</f>
        <v>104</v>
      </c>
      <c r="C818" s="255" t="s">
        <v>291</v>
      </c>
      <c r="D818" s="233" t="s">
        <v>44</v>
      </c>
      <c r="E818" s="247">
        <v>32</v>
      </c>
      <c r="F818" s="253">
        <v>1168515</v>
      </c>
      <c r="G818" s="232">
        <v>125055</v>
      </c>
      <c r="H818" s="138">
        <f t="shared" si="90"/>
        <v>1293570</v>
      </c>
      <c r="I818" s="138">
        <f t="shared" si="91"/>
        <v>41394240</v>
      </c>
      <c r="J818" s="39"/>
      <c r="K818" s="15"/>
    </row>
    <row r="819" spans="1:11" s="16" customFormat="1" ht="25.5" outlineLevel="3">
      <c r="A819" s="14"/>
      <c r="B819" s="35">
        <f>MAXA(B$5:B818)+1</f>
        <v>105</v>
      </c>
      <c r="C819" s="255" t="s">
        <v>292</v>
      </c>
      <c r="D819" s="233" t="s">
        <v>44</v>
      </c>
      <c r="E819" s="247">
        <v>24</v>
      </c>
      <c r="F819" s="253">
        <v>1128150</v>
      </c>
      <c r="G819" s="232">
        <v>156319</v>
      </c>
      <c r="H819" s="138">
        <f t="shared" si="90"/>
        <v>1284469</v>
      </c>
      <c r="I819" s="138">
        <f t="shared" si="91"/>
        <v>30827256</v>
      </c>
      <c r="J819" s="39"/>
      <c r="K819" s="15"/>
    </row>
    <row r="820" spans="1:11" s="16" customFormat="1" ht="25.5" outlineLevel="3">
      <c r="A820" s="14"/>
      <c r="B820" s="35">
        <f>MAXA(B$5:B819)+1</f>
        <v>106</v>
      </c>
      <c r="C820" s="256" t="s">
        <v>293</v>
      </c>
      <c r="D820" s="233" t="s">
        <v>44</v>
      </c>
      <c r="E820" s="247">
        <v>21</v>
      </c>
      <c r="F820" s="253">
        <v>427454.99999999994</v>
      </c>
      <c r="G820" s="232">
        <v>125055</v>
      </c>
      <c r="H820" s="138">
        <f t="shared" si="90"/>
        <v>552510</v>
      </c>
      <c r="I820" s="138">
        <f t="shared" si="91"/>
        <v>11602710</v>
      </c>
      <c r="J820" s="39"/>
      <c r="K820" s="15"/>
    </row>
    <row r="821" spans="1:11" s="16" customFormat="1" ht="38.25" outlineLevel="3">
      <c r="A821" s="14"/>
      <c r="B821" s="35">
        <f>MAXA(B$5:B820)+1</f>
        <v>107</v>
      </c>
      <c r="C821" s="256" t="s">
        <v>294</v>
      </c>
      <c r="D821" s="233" t="s">
        <v>44</v>
      </c>
      <c r="E821" s="247">
        <v>1</v>
      </c>
      <c r="F821" s="253">
        <v>755549.99999999988</v>
      </c>
      <c r="G821" s="232">
        <v>125055</v>
      </c>
      <c r="H821" s="138">
        <f t="shared" si="90"/>
        <v>880604.99999999988</v>
      </c>
      <c r="I821" s="138">
        <f t="shared" si="91"/>
        <v>880604.99999999988</v>
      </c>
      <c r="J821" s="39"/>
      <c r="K821" s="15"/>
    </row>
    <row r="822" spans="1:11" s="16" customFormat="1" ht="38.25" outlineLevel="3">
      <c r="A822" s="14"/>
      <c r="B822" s="35">
        <f>MAXA(B$5:B821)+1</f>
        <v>108</v>
      </c>
      <c r="C822" s="256" t="s">
        <v>295</v>
      </c>
      <c r="D822" s="233" t="s">
        <v>44</v>
      </c>
      <c r="E822" s="247">
        <v>3</v>
      </c>
      <c r="F822" s="253">
        <v>427454.99999999994</v>
      </c>
      <c r="G822" s="232">
        <v>125055</v>
      </c>
      <c r="H822" s="138">
        <f t="shared" si="90"/>
        <v>552510</v>
      </c>
      <c r="I822" s="138">
        <f t="shared" si="91"/>
        <v>1657530</v>
      </c>
      <c r="J822" s="39"/>
      <c r="K822" s="15"/>
    </row>
    <row r="823" spans="1:11" s="16" customFormat="1" ht="38.25" outlineLevel="3">
      <c r="A823" s="14"/>
      <c r="B823" s="35">
        <f>MAXA(B$5:B822)+1</f>
        <v>109</v>
      </c>
      <c r="C823" s="256" t="s">
        <v>296</v>
      </c>
      <c r="D823" s="233" t="s">
        <v>44</v>
      </c>
      <c r="E823" s="247">
        <v>43</v>
      </c>
      <c r="F823" s="253">
        <v>570285</v>
      </c>
      <c r="G823" s="232">
        <v>125055</v>
      </c>
      <c r="H823" s="138">
        <f t="shared" si="90"/>
        <v>695340</v>
      </c>
      <c r="I823" s="138">
        <f t="shared" si="91"/>
        <v>29899620</v>
      </c>
      <c r="J823" s="39"/>
      <c r="K823" s="15"/>
    </row>
    <row r="824" spans="1:11" s="16" customFormat="1" ht="51" outlineLevel="3">
      <c r="A824" s="14"/>
      <c r="B824" s="35">
        <f>MAXA(B$5:B823)+1</f>
        <v>110</v>
      </c>
      <c r="C824" s="256" t="s">
        <v>297</v>
      </c>
      <c r="D824" s="233" t="s">
        <v>44</v>
      </c>
      <c r="E824" s="247">
        <v>23</v>
      </c>
      <c r="F824" s="253">
        <v>570285</v>
      </c>
      <c r="G824" s="232">
        <v>125055</v>
      </c>
      <c r="H824" s="138">
        <f t="shared" si="90"/>
        <v>695340</v>
      </c>
      <c r="I824" s="138">
        <f t="shared" si="91"/>
        <v>15992820</v>
      </c>
      <c r="J824" s="39"/>
      <c r="K824" s="15"/>
    </row>
    <row r="825" spans="1:11" s="16" customFormat="1" ht="25.5" outlineLevel="3">
      <c r="A825" s="14"/>
      <c r="B825" s="35">
        <f>MAXA(B$5:B824)+1</f>
        <v>111</v>
      </c>
      <c r="C825" s="255" t="s">
        <v>298</v>
      </c>
      <c r="D825" s="233" t="s">
        <v>44</v>
      </c>
      <c r="E825" s="247">
        <v>23</v>
      </c>
      <c r="F825" s="253">
        <v>793844.99999999988</v>
      </c>
      <c r="G825" s="232">
        <v>156319</v>
      </c>
      <c r="H825" s="138">
        <f t="shared" si="90"/>
        <v>950163.99999999988</v>
      </c>
      <c r="I825" s="138">
        <f t="shared" si="91"/>
        <v>21853771.999999996</v>
      </c>
      <c r="J825" s="39"/>
      <c r="K825" s="15"/>
    </row>
    <row r="826" spans="1:11" s="16" customFormat="1" ht="25.5" outlineLevel="3">
      <c r="A826" s="14"/>
      <c r="B826" s="35">
        <f>MAXA(B$5:B825)+1</f>
        <v>112</v>
      </c>
      <c r="C826" s="256" t="s">
        <v>299</v>
      </c>
      <c r="D826" s="230" t="s">
        <v>28</v>
      </c>
      <c r="E826" s="247">
        <v>1500</v>
      </c>
      <c r="F826" s="232">
        <v>52255</v>
      </c>
      <c r="G826" s="232">
        <v>46896</v>
      </c>
      <c r="H826" s="138">
        <f t="shared" si="90"/>
        <v>99151</v>
      </c>
      <c r="I826" s="138">
        <f t="shared" si="91"/>
        <v>148726500</v>
      </c>
      <c r="J826" s="39"/>
      <c r="K826" s="15"/>
    </row>
    <row r="827" spans="1:11" s="16" customFormat="1" ht="25.5" outlineLevel="3">
      <c r="A827" s="14"/>
      <c r="B827" s="35">
        <f>MAXA(B$5:B826)+1</f>
        <v>113</v>
      </c>
      <c r="C827" s="238" t="s">
        <v>81</v>
      </c>
      <c r="D827" s="230" t="s">
        <v>38</v>
      </c>
      <c r="E827" s="247">
        <v>1</v>
      </c>
      <c r="F827" s="232">
        <v>49224328</v>
      </c>
      <c r="G827" s="232">
        <v>17670272</v>
      </c>
      <c r="H827" s="138">
        <f t="shared" si="90"/>
        <v>66894600</v>
      </c>
      <c r="I827" s="138">
        <f t="shared" si="91"/>
        <v>66894600</v>
      </c>
      <c r="J827" s="39"/>
      <c r="K827" s="15"/>
    </row>
    <row r="828" spans="1:11" s="16" customFormat="1" ht="25.5" outlineLevel="3">
      <c r="A828" s="14"/>
      <c r="B828" s="35"/>
      <c r="C828" s="248" t="s">
        <v>300</v>
      </c>
      <c r="D828" s="249"/>
      <c r="E828" s="247"/>
      <c r="F828" s="232">
        <v>0</v>
      </c>
      <c r="G828" s="232">
        <v>0</v>
      </c>
      <c r="H828" s="138"/>
      <c r="I828" s="138"/>
      <c r="J828" s="39"/>
      <c r="K828" s="15"/>
    </row>
    <row r="829" spans="1:11" s="16" customFormat="1" ht="25.5" outlineLevel="3">
      <c r="A829" s="14"/>
      <c r="B829" s="35">
        <f>MAXA(B$5:B828)+1</f>
        <v>114</v>
      </c>
      <c r="C829" s="256" t="s">
        <v>301</v>
      </c>
      <c r="D829" s="233" t="s">
        <v>44</v>
      </c>
      <c r="E829" s="247">
        <v>50</v>
      </c>
      <c r="F829" s="232">
        <v>34117</v>
      </c>
      <c r="G829" s="232">
        <v>36474</v>
      </c>
      <c r="H829" s="138">
        <f t="shared" ref="H829:H836" si="92">G829+F829</f>
        <v>70591</v>
      </c>
      <c r="I829" s="138">
        <f t="shared" ref="I829:I836" si="93">H829*E829</f>
        <v>3529550</v>
      </c>
      <c r="J829" s="39"/>
      <c r="K829" s="15"/>
    </row>
    <row r="830" spans="1:11" s="16" customFormat="1" ht="25.5" outlineLevel="3">
      <c r="A830" s="14"/>
      <c r="B830" s="35">
        <f>MAXA(B$5:B829)+1</f>
        <v>115</v>
      </c>
      <c r="C830" s="256" t="s">
        <v>302</v>
      </c>
      <c r="D830" s="233" t="s">
        <v>44</v>
      </c>
      <c r="E830" s="247">
        <v>65</v>
      </c>
      <c r="F830" s="232">
        <v>49968</v>
      </c>
      <c r="G830" s="232">
        <v>41685</v>
      </c>
      <c r="H830" s="138">
        <f t="shared" si="92"/>
        <v>91653</v>
      </c>
      <c r="I830" s="138">
        <f t="shared" si="93"/>
        <v>5957445</v>
      </c>
      <c r="J830" s="39"/>
      <c r="K830" s="15"/>
    </row>
    <row r="831" spans="1:11" s="16" customFormat="1" ht="25.5" outlineLevel="3">
      <c r="A831" s="14"/>
      <c r="B831" s="35">
        <f>MAXA(B$5:B830)+1</f>
        <v>116</v>
      </c>
      <c r="C831" s="256" t="s">
        <v>303</v>
      </c>
      <c r="D831" s="233" t="s">
        <v>44</v>
      </c>
      <c r="E831" s="247">
        <v>1</v>
      </c>
      <c r="F831" s="232">
        <v>65818</v>
      </c>
      <c r="G831" s="232">
        <v>46896</v>
      </c>
      <c r="H831" s="138">
        <f t="shared" si="92"/>
        <v>112714</v>
      </c>
      <c r="I831" s="138">
        <f t="shared" si="93"/>
        <v>112714</v>
      </c>
      <c r="J831" s="39"/>
      <c r="K831" s="15"/>
    </row>
    <row r="832" spans="1:11" s="16" customFormat="1" ht="25.5" outlineLevel="3">
      <c r="A832" s="14"/>
      <c r="B832" s="35">
        <f>MAXA(B$5:B831)+1</f>
        <v>117</v>
      </c>
      <c r="C832" s="256" t="s">
        <v>304</v>
      </c>
      <c r="D832" s="233" t="s">
        <v>44</v>
      </c>
      <c r="E832" s="247">
        <v>5</v>
      </c>
      <c r="F832" s="232">
        <v>84688</v>
      </c>
      <c r="G832" s="232">
        <v>41685</v>
      </c>
      <c r="H832" s="138">
        <f t="shared" si="92"/>
        <v>126373</v>
      </c>
      <c r="I832" s="138">
        <f t="shared" si="93"/>
        <v>631865</v>
      </c>
      <c r="J832" s="39"/>
      <c r="K832" s="15"/>
    </row>
    <row r="833" spans="1:11" s="16" customFormat="1" ht="25.5" outlineLevel="3">
      <c r="A833" s="14"/>
      <c r="B833" s="35">
        <f>MAXA(B$5:B832)+1</f>
        <v>118</v>
      </c>
      <c r="C833" s="255" t="s">
        <v>305</v>
      </c>
      <c r="D833" s="233" t="s">
        <v>44</v>
      </c>
      <c r="E833" s="247">
        <v>8</v>
      </c>
      <c r="F833" s="232">
        <v>51477</v>
      </c>
      <c r="G833" s="232">
        <v>41685</v>
      </c>
      <c r="H833" s="138">
        <f t="shared" si="92"/>
        <v>93162</v>
      </c>
      <c r="I833" s="138">
        <f t="shared" si="93"/>
        <v>745296</v>
      </c>
      <c r="J833" s="39"/>
      <c r="K833" s="15"/>
    </row>
    <row r="834" spans="1:11" s="16" customFormat="1" ht="25.5" outlineLevel="3">
      <c r="A834" s="14"/>
      <c r="B834" s="35">
        <f>MAXA(B$5:B833)+1</f>
        <v>119</v>
      </c>
      <c r="C834" s="256" t="s">
        <v>306</v>
      </c>
      <c r="D834" s="233" t="s">
        <v>44</v>
      </c>
      <c r="E834" s="247">
        <v>21</v>
      </c>
      <c r="F834" s="232">
        <v>104510</v>
      </c>
      <c r="G834" s="232">
        <v>41685</v>
      </c>
      <c r="H834" s="138">
        <f t="shared" si="92"/>
        <v>146195</v>
      </c>
      <c r="I834" s="138">
        <f t="shared" si="93"/>
        <v>3070095</v>
      </c>
      <c r="J834" s="39"/>
      <c r="K834" s="15"/>
    </row>
    <row r="835" spans="1:11" s="16" customFormat="1" ht="25.5" outlineLevel="3">
      <c r="A835" s="14"/>
      <c r="B835" s="35">
        <f>MAXA(B$5:B834)+1</f>
        <v>120</v>
      </c>
      <c r="C835" s="256" t="s">
        <v>307</v>
      </c>
      <c r="D835" s="230" t="s">
        <v>28</v>
      </c>
      <c r="E835" s="247">
        <v>126</v>
      </c>
      <c r="F835" s="232">
        <v>52255</v>
      </c>
      <c r="G835" s="232">
        <v>46896</v>
      </c>
      <c r="H835" s="138">
        <f t="shared" si="92"/>
        <v>99151</v>
      </c>
      <c r="I835" s="138">
        <f t="shared" si="93"/>
        <v>12493026</v>
      </c>
      <c r="J835" s="39"/>
      <c r="K835" s="15"/>
    </row>
    <row r="836" spans="1:11" s="16" customFormat="1" ht="25.5" outlineLevel="3">
      <c r="A836" s="14"/>
      <c r="B836" s="35">
        <f>MAXA(B$5:B835)+1</f>
        <v>121</v>
      </c>
      <c r="C836" s="238" t="s">
        <v>81</v>
      </c>
      <c r="D836" s="230" t="s">
        <v>38</v>
      </c>
      <c r="E836" s="247">
        <v>1</v>
      </c>
      <c r="F836" s="232">
        <v>3483675</v>
      </c>
      <c r="G836" s="232">
        <v>1250550</v>
      </c>
      <c r="H836" s="138">
        <f t="shared" si="92"/>
        <v>4734225</v>
      </c>
      <c r="I836" s="138">
        <f t="shared" si="93"/>
        <v>4734225</v>
      </c>
      <c r="J836" s="39"/>
      <c r="K836" s="15"/>
    </row>
    <row r="837" spans="1:11" s="16" customFormat="1" ht="25.5" outlineLevel="3">
      <c r="A837" s="14"/>
      <c r="B837" s="35"/>
      <c r="C837" s="248" t="s">
        <v>308</v>
      </c>
      <c r="D837" s="249"/>
      <c r="E837" s="247"/>
      <c r="F837" s="232">
        <v>0</v>
      </c>
      <c r="G837" s="232">
        <v>0</v>
      </c>
      <c r="H837" s="250"/>
      <c r="I837" s="251"/>
      <c r="J837" s="39"/>
      <c r="K837" s="15"/>
    </row>
    <row r="838" spans="1:11" s="16" customFormat="1" ht="25.5" outlineLevel="3">
      <c r="A838" s="14"/>
      <c r="B838" s="35">
        <f>MAXA(B$5:B837)+1</f>
        <v>122</v>
      </c>
      <c r="C838" s="256" t="s">
        <v>309</v>
      </c>
      <c r="D838" s="233" t="s">
        <v>44</v>
      </c>
      <c r="E838" s="247">
        <v>331</v>
      </c>
      <c r="F838" s="232">
        <v>92991</v>
      </c>
      <c r="G838" s="232">
        <v>67738</v>
      </c>
      <c r="H838" s="138">
        <f t="shared" ref="H838:H848" si="94">G838+F838</f>
        <v>160729</v>
      </c>
      <c r="I838" s="138">
        <f t="shared" ref="I838:I848" si="95">H838*E838</f>
        <v>53201299</v>
      </c>
      <c r="J838" s="39"/>
      <c r="K838" s="15"/>
    </row>
    <row r="839" spans="1:11" s="16" customFormat="1" ht="25.5" outlineLevel="3">
      <c r="A839" s="14"/>
      <c r="B839" s="35">
        <f>MAXA(B$5:B838)+1</f>
        <v>123</v>
      </c>
      <c r="C839" s="256" t="s">
        <v>310</v>
      </c>
      <c r="D839" s="233" t="s">
        <v>44</v>
      </c>
      <c r="E839" s="247">
        <v>51</v>
      </c>
      <c r="F839" s="232">
        <v>251498</v>
      </c>
      <c r="G839" s="232">
        <v>67738</v>
      </c>
      <c r="H839" s="138">
        <f t="shared" si="94"/>
        <v>319236</v>
      </c>
      <c r="I839" s="138">
        <f t="shared" si="95"/>
        <v>16281036</v>
      </c>
      <c r="J839" s="39"/>
      <c r="K839" s="15"/>
    </row>
    <row r="840" spans="1:11" s="16" customFormat="1" ht="25.5" outlineLevel="3">
      <c r="A840" s="14"/>
      <c r="B840" s="35">
        <f>MAXA(B$5:B839)+1</f>
        <v>124</v>
      </c>
      <c r="C840" s="256" t="s">
        <v>311</v>
      </c>
      <c r="D840" s="233" t="s">
        <v>44</v>
      </c>
      <c r="E840" s="247">
        <v>8</v>
      </c>
      <c r="F840" s="232">
        <v>649125</v>
      </c>
      <c r="G840" s="232">
        <v>260531</v>
      </c>
      <c r="H840" s="138">
        <f t="shared" si="94"/>
        <v>909656</v>
      </c>
      <c r="I840" s="138">
        <f t="shared" si="95"/>
        <v>7277248</v>
      </c>
      <c r="J840" s="39"/>
      <c r="K840" s="15"/>
    </row>
    <row r="841" spans="1:11" s="16" customFormat="1" ht="25.5" outlineLevel="3">
      <c r="A841" s="14"/>
      <c r="B841" s="35">
        <f>MAXA(B$5:B840)+1</f>
        <v>125</v>
      </c>
      <c r="C841" s="256" t="s">
        <v>312</v>
      </c>
      <c r="D841" s="233" t="s">
        <v>44</v>
      </c>
      <c r="E841" s="247">
        <v>21</v>
      </c>
      <c r="F841" s="232">
        <v>66448</v>
      </c>
      <c r="G841" s="232">
        <v>33224</v>
      </c>
      <c r="H841" s="138">
        <f t="shared" si="94"/>
        <v>99672</v>
      </c>
      <c r="I841" s="138">
        <f t="shared" si="95"/>
        <v>2093112</v>
      </c>
      <c r="J841" s="39"/>
      <c r="K841" s="15"/>
    </row>
    <row r="842" spans="1:11" s="16" customFormat="1" ht="25.5" outlineLevel="3">
      <c r="A842" s="14"/>
      <c r="B842" s="35">
        <f>MAXA(B$5:B841)+1</f>
        <v>126</v>
      </c>
      <c r="C842" s="256" t="s">
        <v>313</v>
      </c>
      <c r="D842" s="233" t="s">
        <v>44</v>
      </c>
      <c r="E842" s="247">
        <v>5</v>
      </c>
      <c r="F842" s="232">
        <v>290306</v>
      </c>
      <c r="G842" s="232">
        <v>104213</v>
      </c>
      <c r="H842" s="138">
        <f t="shared" si="94"/>
        <v>394519</v>
      </c>
      <c r="I842" s="138">
        <f t="shared" si="95"/>
        <v>1972595</v>
      </c>
      <c r="J842" s="39"/>
      <c r="K842" s="15"/>
    </row>
    <row r="843" spans="1:11" s="16" customFormat="1" ht="25.5" outlineLevel="3">
      <c r="A843" s="14"/>
      <c r="B843" s="35">
        <f>MAXA(B$5:B842)+1</f>
        <v>127</v>
      </c>
      <c r="C843" s="256" t="s">
        <v>314</v>
      </c>
      <c r="D843" s="233" t="s">
        <v>44</v>
      </c>
      <c r="E843" s="247">
        <v>1</v>
      </c>
      <c r="F843" s="232">
        <v>290306</v>
      </c>
      <c r="G843" s="232">
        <v>104213</v>
      </c>
      <c r="H843" s="138">
        <f t="shared" si="94"/>
        <v>394519</v>
      </c>
      <c r="I843" s="138">
        <f t="shared" si="95"/>
        <v>394519</v>
      </c>
      <c r="J843" s="39"/>
      <c r="K843" s="15"/>
    </row>
    <row r="844" spans="1:11" s="16" customFormat="1" ht="25.5" outlineLevel="3">
      <c r="A844" s="14"/>
      <c r="B844" s="35">
        <f>MAXA(B$5:B843)+1</f>
        <v>128</v>
      </c>
      <c r="C844" s="256" t="s">
        <v>315</v>
      </c>
      <c r="D844" s="233" t="s">
        <v>44</v>
      </c>
      <c r="E844" s="247">
        <v>1</v>
      </c>
      <c r="F844" s="232">
        <v>290306</v>
      </c>
      <c r="G844" s="232">
        <v>104213</v>
      </c>
      <c r="H844" s="138">
        <f t="shared" si="94"/>
        <v>394519</v>
      </c>
      <c r="I844" s="138">
        <f t="shared" si="95"/>
        <v>394519</v>
      </c>
      <c r="J844" s="39"/>
      <c r="K844" s="15"/>
    </row>
    <row r="845" spans="1:11" s="16" customFormat="1" ht="38.25" outlineLevel="3">
      <c r="A845" s="14"/>
      <c r="B845" s="35">
        <f>MAXA(B$5:B844)+1</f>
        <v>129</v>
      </c>
      <c r="C845" s="256" t="s">
        <v>316</v>
      </c>
      <c r="D845" s="233" t="s">
        <v>44</v>
      </c>
      <c r="E845" s="247">
        <v>44</v>
      </c>
      <c r="F845" s="232">
        <v>290306</v>
      </c>
      <c r="G845" s="232">
        <v>88581</v>
      </c>
      <c r="H845" s="138">
        <f t="shared" si="94"/>
        <v>378887</v>
      </c>
      <c r="I845" s="138">
        <f t="shared" si="95"/>
        <v>16671028</v>
      </c>
      <c r="J845" s="39"/>
      <c r="K845" s="15"/>
    </row>
    <row r="846" spans="1:11" s="16" customFormat="1" ht="25.5" outlineLevel="3">
      <c r="A846" s="14"/>
      <c r="B846" s="35">
        <f>MAXA(B$5:B845)+1</f>
        <v>130</v>
      </c>
      <c r="C846" s="256" t="s">
        <v>317</v>
      </c>
      <c r="D846" s="257" t="s">
        <v>318</v>
      </c>
      <c r="E846" s="247">
        <v>10</v>
      </c>
      <c r="F846" s="232">
        <v>52255</v>
      </c>
      <c r="G846" s="232">
        <v>46896</v>
      </c>
      <c r="H846" s="138">
        <f t="shared" si="94"/>
        <v>99151</v>
      </c>
      <c r="I846" s="138">
        <f t="shared" si="95"/>
        <v>991510</v>
      </c>
      <c r="J846" s="39"/>
      <c r="K846" s="15"/>
    </row>
    <row r="847" spans="1:11" s="16" customFormat="1" ht="25.5" outlineLevel="3">
      <c r="A847" s="14"/>
      <c r="B847" s="35">
        <f>MAXA(B$5:B846)+1</f>
        <v>131</v>
      </c>
      <c r="C847" s="256" t="s">
        <v>319</v>
      </c>
      <c r="D847" s="230" t="s">
        <v>28</v>
      </c>
      <c r="E847" s="247">
        <v>472</v>
      </c>
      <c r="F847" s="232">
        <v>52255</v>
      </c>
      <c r="G847" s="232">
        <v>46896</v>
      </c>
      <c r="H847" s="138">
        <f t="shared" si="94"/>
        <v>99151</v>
      </c>
      <c r="I847" s="138">
        <f t="shared" si="95"/>
        <v>46799272</v>
      </c>
      <c r="J847" s="39"/>
      <c r="K847" s="15"/>
    </row>
    <row r="848" spans="1:11" s="16" customFormat="1" ht="25.5" outlineLevel="3">
      <c r="A848" s="14"/>
      <c r="B848" s="35">
        <f>MAXA(B$5:B847)+1</f>
        <v>132</v>
      </c>
      <c r="C848" s="238" t="s">
        <v>320</v>
      </c>
      <c r="D848" s="230" t="s">
        <v>38</v>
      </c>
      <c r="E848" s="247">
        <v>1</v>
      </c>
      <c r="F848" s="232">
        <v>12262536</v>
      </c>
      <c r="G848" s="232">
        <v>4401936</v>
      </c>
      <c r="H848" s="138">
        <f t="shared" si="94"/>
        <v>16664472</v>
      </c>
      <c r="I848" s="138">
        <f t="shared" si="95"/>
        <v>16664472</v>
      </c>
      <c r="J848" s="39"/>
      <c r="K848" s="15"/>
    </row>
    <row r="849" spans="1:12" s="33" customFormat="1" ht="26.25" outlineLevel="3">
      <c r="A849" s="34"/>
      <c r="B849" s="38" t="s">
        <v>321</v>
      </c>
      <c r="C849" s="227" t="s">
        <v>322</v>
      </c>
      <c r="D849" s="212"/>
      <c r="E849" s="228"/>
      <c r="F849" s="232">
        <v>0</v>
      </c>
      <c r="G849" s="232">
        <v>0</v>
      </c>
      <c r="H849" s="258"/>
      <c r="I849" s="180">
        <f>SUBTOTAL(9,I850:I898)</f>
        <v>2678221379</v>
      </c>
      <c r="J849" s="25"/>
      <c r="K849" s="32"/>
    </row>
    <row r="850" spans="1:12" s="33" customFormat="1" ht="25.5" outlineLevel="3">
      <c r="A850" s="14"/>
      <c r="B850" s="40"/>
      <c r="C850" s="248" t="s">
        <v>323</v>
      </c>
      <c r="D850" s="259"/>
      <c r="E850" s="213"/>
      <c r="F850" s="232">
        <v>0</v>
      </c>
      <c r="G850" s="232">
        <v>0</v>
      </c>
      <c r="H850" s="258"/>
      <c r="I850" s="260"/>
      <c r="J850" s="41"/>
      <c r="K850" s="32"/>
    </row>
    <row r="851" spans="1:12" s="16" customFormat="1" ht="25.5" outlineLevel="3">
      <c r="A851" s="14"/>
      <c r="B851" s="35">
        <f>MAXA(B$5:B850)+1</f>
        <v>133</v>
      </c>
      <c r="C851" s="256" t="s">
        <v>324</v>
      </c>
      <c r="D851" s="230" t="s">
        <v>25</v>
      </c>
      <c r="E851" s="247">
        <v>750</v>
      </c>
      <c r="F851" s="232">
        <v>621046</v>
      </c>
      <c r="G851" s="232">
        <v>62528</v>
      </c>
      <c r="H851" s="138">
        <f t="shared" ref="H851:H868" si="96">G851+F851</f>
        <v>683574</v>
      </c>
      <c r="I851" s="138">
        <f t="shared" ref="I851:I868" si="97">H851*E851</f>
        <v>512680500</v>
      </c>
      <c r="J851" s="39"/>
      <c r="K851" s="15"/>
    </row>
    <row r="852" spans="1:12" s="16" customFormat="1" ht="25.5" outlineLevel="3">
      <c r="A852" s="14"/>
      <c r="B852" s="35">
        <f>MAXA(B$5:B851)+1</f>
        <v>134</v>
      </c>
      <c r="C852" s="256" t="s">
        <v>325</v>
      </c>
      <c r="D852" s="230" t="s">
        <v>25</v>
      </c>
      <c r="E852" s="247">
        <v>166</v>
      </c>
      <c r="F852" s="232">
        <v>473710</v>
      </c>
      <c r="G852" s="232">
        <v>46896</v>
      </c>
      <c r="H852" s="138">
        <f t="shared" si="96"/>
        <v>520606</v>
      </c>
      <c r="I852" s="138">
        <f t="shared" si="97"/>
        <v>86420596</v>
      </c>
      <c r="J852" s="39"/>
      <c r="K852" s="15"/>
    </row>
    <row r="853" spans="1:12" s="16" customFormat="1" ht="25.5" outlineLevel="3">
      <c r="A853" s="14"/>
      <c r="B853" s="35">
        <f>MAXA(B$5:B852)+1</f>
        <v>135</v>
      </c>
      <c r="C853" s="256" t="s">
        <v>326</v>
      </c>
      <c r="D853" s="230" t="s">
        <v>25</v>
      </c>
      <c r="E853" s="247">
        <v>154</v>
      </c>
      <c r="F853" s="232">
        <v>306830</v>
      </c>
      <c r="G853" s="232">
        <v>41685</v>
      </c>
      <c r="H853" s="138">
        <f t="shared" si="96"/>
        <v>348515</v>
      </c>
      <c r="I853" s="138">
        <f t="shared" si="97"/>
        <v>53671310</v>
      </c>
      <c r="J853" s="39"/>
      <c r="K853" s="15"/>
    </row>
    <row r="854" spans="1:12" s="16" customFormat="1" ht="25.5" outlineLevel="3">
      <c r="A854" s="14"/>
      <c r="B854" s="35">
        <f>MAXA(B$5:B853)+1</f>
        <v>136</v>
      </c>
      <c r="C854" s="256" t="s">
        <v>327</v>
      </c>
      <c r="D854" s="230" t="s">
        <v>25</v>
      </c>
      <c r="E854" s="247">
        <v>390</v>
      </c>
      <c r="F854" s="232">
        <v>244542</v>
      </c>
      <c r="G854" s="232">
        <v>41685</v>
      </c>
      <c r="H854" s="138">
        <f t="shared" si="96"/>
        <v>286227</v>
      </c>
      <c r="I854" s="138">
        <f t="shared" si="97"/>
        <v>111628530</v>
      </c>
      <c r="J854" s="39"/>
      <c r="K854" s="15"/>
    </row>
    <row r="855" spans="1:12" s="16" customFormat="1" ht="25.5" outlineLevel="3">
      <c r="A855" s="14"/>
      <c r="B855" s="35">
        <f>MAXA(B$5:B854)+1</f>
        <v>137</v>
      </c>
      <c r="C855" s="256" t="s">
        <v>328</v>
      </c>
      <c r="D855" s="230" t="s">
        <v>25</v>
      </c>
      <c r="E855" s="247">
        <f>444-390</f>
        <v>54</v>
      </c>
      <c r="F855" s="232">
        <v>177772</v>
      </c>
      <c r="G855" s="232">
        <v>36474</v>
      </c>
      <c r="H855" s="138">
        <f t="shared" si="96"/>
        <v>214246</v>
      </c>
      <c r="I855" s="138">
        <f t="shared" si="97"/>
        <v>11569284</v>
      </c>
      <c r="J855" s="39"/>
      <c r="K855" s="15"/>
    </row>
    <row r="856" spans="1:12" s="16" customFormat="1" ht="25.5" outlineLevel="3">
      <c r="A856" s="14"/>
      <c r="B856" s="35">
        <f>MAXA(B$5:B855)+1</f>
        <v>138</v>
      </c>
      <c r="C856" s="256" t="s">
        <v>329</v>
      </c>
      <c r="D856" s="230" t="s">
        <v>25</v>
      </c>
      <c r="E856" s="247">
        <f>632+336</f>
        <v>968</v>
      </c>
      <c r="F856" s="232">
        <v>124867</v>
      </c>
      <c r="G856" s="232">
        <v>31264</v>
      </c>
      <c r="H856" s="138">
        <f t="shared" si="96"/>
        <v>156131</v>
      </c>
      <c r="I856" s="138">
        <f t="shared" si="97"/>
        <v>151134808</v>
      </c>
      <c r="J856" s="39"/>
      <c r="K856" s="15"/>
    </row>
    <row r="857" spans="1:12" s="16" customFormat="1" ht="25.5" outlineLevel="3">
      <c r="A857" s="14"/>
      <c r="B857" s="35">
        <f>MAXA(B$5:B856)+1</f>
        <v>139</v>
      </c>
      <c r="C857" s="256" t="s">
        <v>330</v>
      </c>
      <c r="D857" s="230" t="s">
        <v>25</v>
      </c>
      <c r="E857" s="247">
        <f>801-336</f>
        <v>465</v>
      </c>
      <c r="F857" s="232">
        <v>93479</v>
      </c>
      <c r="G857" s="232">
        <v>26053</v>
      </c>
      <c r="H857" s="138">
        <f t="shared" si="96"/>
        <v>119532</v>
      </c>
      <c r="I857" s="138">
        <f t="shared" si="97"/>
        <v>55582380</v>
      </c>
      <c r="J857" s="39"/>
      <c r="K857" s="15"/>
    </row>
    <row r="858" spans="1:12" s="16" customFormat="1" ht="25.5" outlineLevel="3">
      <c r="A858" s="14"/>
      <c r="B858" s="35">
        <f>MAXA(B$5:B857)+1</f>
        <v>140</v>
      </c>
      <c r="C858" s="256" t="s">
        <v>331</v>
      </c>
      <c r="D858" s="230" t="s">
        <v>25</v>
      </c>
      <c r="E858" s="247">
        <v>680</v>
      </c>
      <c r="F858" s="232">
        <v>68849</v>
      </c>
      <c r="G858" s="232">
        <v>20843</v>
      </c>
      <c r="H858" s="138">
        <f t="shared" si="96"/>
        <v>89692</v>
      </c>
      <c r="I858" s="138">
        <f t="shared" si="97"/>
        <v>60990560</v>
      </c>
      <c r="J858" s="39"/>
      <c r="K858" s="15"/>
    </row>
    <row r="859" spans="1:12" s="16" customFormat="1" ht="25.5" outlineLevel="3">
      <c r="A859" s="14"/>
      <c r="B859" s="35">
        <f>MAXA(B$5:B858)+1</f>
        <v>141</v>
      </c>
      <c r="C859" s="256" t="s">
        <v>332</v>
      </c>
      <c r="D859" s="230" t="s">
        <v>25</v>
      </c>
      <c r="E859" s="247">
        <f>1364-680</f>
        <v>684</v>
      </c>
      <c r="F859" s="232">
        <v>45346</v>
      </c>
      <c r="G859" s="232">
        <v>15632</v>
      </c>
      <c r="H859" s="138">
        <f t="shared" si="96"/>
        <v>60978</v>
      </c>
      <c r="I859" s="138">
        <f t="shared" si="97"/>
        <v>41708952</v>
      </c>
      <c r="J859" s="39"/>
      <c r="K859" s="15"/>
    </row>
    <row r="860" spans="1:12" s="16" customFormat="1" ht="25.5" outlineLevel="3">
      <c r="A860" s="14"/>
      <c r="B860" s="35">
        <f>MAXA(B$5:B859)+1</f>
        <v>142</v>
      </c>
      <c r="C860" s="256" t="s">
        <v>333</v>
      </c>
      <c r="D860" s="230" t="s">
        <v>25</v>
      </c>
      <c r="E860" s="247">
        <v>1026</v>
      </c>
      <c r="F860" s="232">
        <v>28694</v>
      </c>
      <c r="G860" s="232">
        <v>15632</v>
      </c>
      <c r="H860" s="138">
        <f t="shared" si="96"/>
        <v>44326</v>
      </c>
      <c r="I860" s="138">
        <f t="shared" si="97"/>
        <v>45478476</v>
      </c>
      <c r="J860" s="39"/>
      <c r="K860" s="15"/>
    </row>
    <row r="861" spans="1:12" s="16" customFormat="1" ht="25.5" outlineLevel="3">
      <c r="A861" s="14" t="s">
        <v>154</v>
      </c>
      <c r="B861" s="35">
        <f>MAXA(B$5:B860)+1</f>
        <v>143</v>
      </c>
      <c r="C861" s="256" t="s">
        <v>334</v>
      </c>
      <c r="D861" s="230" t="s">
        <v>25</v>
      </c>
      <c r="E861" s="247">
        <f>709+192+244</f>
        <v>1145</v>
      </c>
      <c r="F861" s="232">
        <v>18092</v>
      </c>
      <c r="G861" s="232">
        <v>6774</v>
      </c>
      <c r="H861" s="138">
        <f t="shared" si="96"/>
        <v>24866</v>
      </c>
      <c r="I861" s="138">
        <f t="shared" si="97"/>
        <v>28471570</v>
      </c>
      <c r="J861" s="39"/>
      <c r="K861" s="15" t="s">
        <v>156</v>
      </c>
      <c r="L861" s="16" t="s">
        <v>157</v>
      </c>
    </row>
    <row r="862" spans="1:12" s="16" customFormat="1" ht="25.5" outlineLevel="3">
      <c r="A862" s="14"/>
      <c r="B862" s="35">
        <f>MAXA(B$5:B861)+1</f>
        <v>144</v>
      </c>
      <c r="C862" s="256" t="s">
        <v>335</v>
      </c>
      <c r="D862" s="230" t="s">
        <v>25</v>
      </c>
      <c r="E862" s="247">
        <v>54</v>
      </c>
      <c r="F862" s="232">
        <v>12959</v>
      </c>
      <c r="G862" s="232">
        <v>6253</v>
      </c>
      <c r="H862" s="138">
        <f t="shared" si="96"/>
        <v>19212</v>
      </c>
      <c r="I862" s="138">
        <f t="shared" si="97"/>
        <v>1037448</v>
      </c>
      <c r="J862" s="39"/>
      <c r="K862" s="15"/>
    </row>
    <row r="863" spans="1:12" s="16" customFormat="1" ht="25.5" outlineLevel="3">
      <c r="A863" s="14"/>
      <c r="B863" s="35">
        <f>MAXA(B$5:B862)+1</f>
        <v>145</v>
      </c>
      <c r="C863" s="256" t="s">
        <v>336</v>
      </c>
      <c r="D863" s="230" t="s">
        <v>25</v>
      </c>
      <c r="E863" s="247">
        <f>58+57</f>
        <v>115</v>
      </c>
      <c r="F863" s="232">
        <v>142262</v>
      </c>
      <c r="G863" s="232">
        <v>20843</v>
      </c>
      <c r="H863" s="138">
        <f t="shared" si="96"/>
        <v>163105</v>
      </c>
      <c r="I863" s="138">
        <f t="shared" si="97"/>
        <v>18757075</v>
      </c>
      <c r="J863" s="39"/>
      <c r="K863" s="15"/>
    </row>
    <row r="864" spans="1:12" s="16" customFormat="1" ht="25.5" outlineLevel="3">
      <c r="A864" s="14"/>
      <c r="B864" s="35">
        <f>MAXA(B$5:B863)+1</f>
        <v>146</v>
      </c>
      <c r="C864" s="256" t="s">
        <v>337</v>
      </c>
      <c r="D864" s="230" t="s">
        <v>25</v>
      </c>
      <c r="E864" s="247">
        <f>597+52-57</f>
        <v>592</v>
      </c>
      <c r="F864" s="232">
        <v>134191</v>
      </c>
      <c r="G864" s="232">
        <v>46896</v>
      </c>
      <c r="H864" s="138">
        <f t="shared" si="96"/>
        <v>181087</v>
      </c>
      <c r="I864" s="138">
        <f t="shared" si="97"/>
        <v>107203504</v>
      </c>
      <c r="J864" s="39"/>
      <c r="K864" s="15"/>
    </row>
    <row r="865" spans="1:11" s="16" customFormat="1" ht="25.5" outlineLevel="3">
      <c r="A865" s="14"/>
      <c r="B865" s="35">
        <f>MAXA(B$5:B864)+1</f>
        <v>147</v>
      </c>
      <c r="C865" s="256" t="s">
        <v>338</v>
      </c>
      <c r="D865" s="230" t="s">
        <v>25</v>
      </c>
      <c r="E865" s="247">
        <v>540</v>
      </c>
      <c r="F865" s="232">
        <v>87916</v>
      </c>
      <c r="G865" s="232">
        <v>46896</v>
      </c>
      <c r="H865" s="138">
        <f t="shared" si="96"/>
        <v>134812</v>
      </c>
      <c r="I865" s="138">
        <f t="shared" si="97"/>
        <v>72798480</v>
      </c>
      <c r="J865" s="39"/>
      <c r="K865" s="15"/>
    </row>
    <row r="866" spans="1:11" s="16" customFormat="1" ht="25.5" outlineLevel="3">
      <c r="A866" s="14"/>
      <c r="B866" s="35">
        <f>MAXA(B$5:B865)+1</f>
        <v>148</v>
      </c>
      <c r="C866" s="256" t="s">
        <v>339</v>
      </c>
      <c r="D866" s="230" t="s">
        <v>25</v>
      </c>
      <c r="E866" s="247">
        <v>861</v>
      </c>
      <c r="F866" s="232">
        <v>55344</v>
      </c>
      <c r="G866" s="232">
        <v>20321</v>
      </c>
      <c r="H866" s="138">
        <f t="shared" si="96"/>
        <v>75665</v>
      </c>
      <c r="I866" s="138">
        <f t="shared" si="97"/>
        <v>65147565</v>
      </c>
      <c r="J866" s="39"/>
      <c r="K866" s="15"/>
    </row>
    <row r="867" spans="1:11" s="16" customFormat="1" ht="25.5" outlineLevel="3">
      <c r="A867" s="14"/>
      <c r="B867" s="35">
        <f>MAXA(B$5:B866)+1</f>
        <v>149</v>
      </c>
      <c r="C867" s="256" t="s">
        <v>340</v>
      </c>
      <c r="D867" s="230" t="s">
        <v>25</v>
      </c>
      <c r="E867" s="247">
        <v>999</v>
      </c>
      <c r="F867" s="232">
        <v>39400</v>
      </c>
      <c r="G867" s="232">
        <v>18758</v>
      </c>
      <c r="H867" s="138">
        <f t="shared" si="96"/>
        <v>58158</v>
      </c>
      <c r="I867" s="138">
        <f t="shared" si="97"/>
        <v>58099842</v>
      </c>
      <c r="J867" s="39"/>
      <c r="K867" s="15"/>
    </row>
    <row r="868" spans="1:11" s="16" customFormat="1" ht="25.5" outlineLevel="3">
      <c r="A868" s="14"/>
      <c r="B868" s="35">
        <f>MAXA(B$5:B867)+1</f>
        <v>150</v>
      </c>
      <c r="C868" s="238" t="s">
        <v>320</v>
      </c>
      <c r="D868" s="230" t="s">
        <v>38</v>
      </c>
      <c r="E868" s="247">
        <v>1</v>
      </c>
      <c r="F868" s="232">
        <v>21382797</v>
      </c>
      <c r="G868" s="232">
        <v>7675876</v>
      </c>
      <c r="H868" s="138">
        <f t="shared" si="96"/>
        <v>29058673</v>
      </c>
      <c r="I868" s="138">
        <f t="shared" si="97"/>
        <v>29058673</v>
      </c>
      <c r="J868" s="39"/>
      <c r="K868" s="15"/>
    </row>
    <row r="869" spans="1:11" s="16" customFormat="1" ht="25.5" outlineLevel="3">
      <c r="A869" s="14"/>
      <c r="B869" s="35"/>
      <c r="C869" s="248" t="s">
        <v>341</v>
      </c>
      <c r="D869" s="230"/>
      <c r="E869" s="247"/>
      <c r="F869" s="232">
        <v>0</v>
      </c>
      <c r="G869" s="232">
        <v>0</v>
      </c>
      <c r="H869" s="250"/>
      <c r="I869" s="251"/>
      <c r="J869" s="39"/>
      <c r="K869" s="15"/>
    </row>
    <row r="870" spans="1:11" s="16" customFormat="1" ht="25.5" outlineLevel="3">
      <c r="A870" s="14"/>
      <c r="B870" s="35">
        <f>MAXA(B$5:B869)+1</f>
        <v>151</v>
      </c>
      <c r="C870" s="256" t="s">
        <v>342</v>
      </c>
      <c r="D870" s="230" t="s">
        <v>25</v>
      </c>
      <c r="E870" s="247">
        <v>284</v>
      </c>
      <c r="F870" s="232">
        <v>398730</v>
      </c>
      <c r="G870" s="232">
        <v>41685</v>
      </c>
      <c r="H870" s="138">
        <f t="shared" ref="H870:H878" si="98">G870+F870</f>
        <v>440415</v>
      </c>
      <c r="I870" s="138">
        <f t="shared" ref="I870:I878" si="99">H870*E870</f>
        <v>125077860</v>
      </c>
      <c r="J870" s="39"/>
      <c r="K870" s="15"/>
    </row>
    <row r="871" spans="1:11" s="16" customFormat="1" ht="25.5" outlineLevel="3">
      <c r="A871" s="14"/>
      <c r="B871" s="35">
        <f>MAXA(B$5:B870)+1</f>
        <v>152</v>
      </c>
      <c r="C871" s="256" t="s">
        <v>343</v>
      </c>
      <c r="D871" s="230" t="s">
        <v>25</v>
      </c>
      <c r="E871" s="247">
        <v>346</v>
      </c>
      <c r="F871" s="232">
        <v>75352</v>
      </c>
      <c r="G871" s="232">
        <v>20843</v>
      </c>
      <c r="H871" s="138">
        <f t="shared" si="98"/>
        <v>96195</v>
      </c>
      <c r="I871" s="138">
        <f t="shared" si="99"/>
        <v>33283470</v>
      </c>
      <c r="J871" s="39"/>
      <c r="K871" s="15"/>
    </row>
    <row r="872" spans="1:11" s="16" customFormat="1" ht="25.5" outlineLevel="3">
      <c r="A872" s="14"/>
      <c r="B872" s="35">
        <f>MAXA(B$5:B871)+1</f>
        <v>153</v>
      </c>
      <c r="C872" s="256" t="s">
        <v>344</v>
      </c>
      <c r="D872" s="230" t="s">
        <v>25</v>
      </c>
      <c r="E872" s="247">
        <f>1008-346</f>
        <v>662</v>
      </c>
      <c r="F872" s="232">
        <v>50246</v>
      </c>
      <c r="G872" s="232">
        <v>15632</v>
      </c>
      <c r="H872" s="138">
        <f t="shared" si="98"/>
        <v>65878</v>
      </c>
      <c r="I872" s="138">
        <f t="shared" si="99"/>
        <v>43611236</v>
      </c>
      <c r="J872" s="39"/>
      <c r="K872" s="15"/>
    </row>
    <row r="873" spans="1:11" s="16" customFormat="1" ht="25.5" outlineLevel="3">
      <c r="A873" s="14"/>
      <c r="B873" s="35">
        <f>MAXA(B$5:B872)+1</f>
        <v>154</v>
      </c>
      <c r="C873" s="256" t="s">
        <v>345</v>
      </c>
      <c r="D873" s="230" t="s">
        <v>25</v>
      </c>
      <c r="E873" s="247">
        <v>686</v>
      </c>
      <c r="F873" s="232">
        <v>33002</v>
      </c>
      <c r="G873" s="232">
        <v>15632</v>
      </c>
      <c r="H873" s="138">
        <f t="shared" si="98"/>
        <v>48634</v>
      </c>
      <c r="I873" s="138">
        <f t="shared" si="99"/>
        <v>33362924</v>
      </c>
      <c r="J873" s="39"/>
      <c r="K873" s="15"/>
    </row>
    <row r="874" spans="1:11" s="16" customFormat="1" ht="25.5" outlineLevel="3">
      <c r="A874" s="14"/>
      <c r="B874" s="35">
        <f>MAXA(B$5:B873)+1</f>
        <v>155</v>
      </c>
      <c r="C874" s="256" t="s">
        <v>346</v>
      </c>
      <c r="D874" s="230" t="s">
        <v>25</v>
      </c>
      <c r="E874" s="247">
        <v>234</v>
      </c>
      <c r="F874" s="232">
        <v>16756</v>
      </c>
      <c r="G874" s="232">
        <v>6774</v>
      </c>
      <c r="H874" s="138">
        <f t="shared" si="98"/>
        <v>23530</v>
      </c>
      <c r="I874" s="138">
        <f t="shared" si="99"/>
        <v>5506020</v>
      </c>
      <c r="J874" s="39"/>
      <c r="K874" s="15"/>
    </row>
    <row r="875" spans="1:11" s="16" customFormat="1" ht="25.5" outlineLevel="3">
      <c r="A875" s="14"/>
      <c r="B875" s="35">
        <f>MAXA(B$5:B874)+1</f>
        <v>156</v>
      </c>
      <c r="C875" s="256" t="s">
        <v>347</v>
      </c>
      <c r="D875" s="230" t="s">
        <v>25</v>
      </c>
      <c r="E875" s="247">
        <v>446</v>
      </c>
      <c r="F875" s="232">
        <v>15769</v>
      </c>
      <c r="G875" s="232">
        <v>6253</v>
      </c>
      <c r="H875" s="138">
        <f t="shared" si="98"/>
        <v>22022</v>
      </c>
      <c r="I875" s="138">
        <f t="shared" si="99"/>
        <v>9821812</v>
      </c>
      <c r="J875" s="39"/>
      <c r="K875" s="15"/>
    </row>
    <row r="876" spans="1:11" s="16" customFormat="1" ht="25.5" outlineLevel="3">
      <c r="A876" s="14"/>
      <c r="B876" s="35">
        <f>MAXA(B$5:B875)+1</f>
        <v>157</v>
      </c>
      <c r="C876" s="256" t="s">
        <v>348</v>
      </c>
      <c r="D876" s="230" t="s">
        <v>25</v>
      </c>
      <c r="E876" s="247">
        <f>1066+533</f>
        <v>1599</v>
      </c>
      <c r="F876" s="232">
        <v>11043</v>
      </c>
      <c r="G876" s="232">
        <v>5211</v>
      </c>
      <c r="H876" s="138">
        <f t="shared" si="98"/>
        <v>16254</v>
      </c>
      <c r="I876" s="138">
        <f t="shared" si="99"/>
        <v>25990146</v>
      </c>
      <c r="J876" s="39"/>
      <c r="K876" s="15"/>
    </row>
    <row r="877" spans="1:11" s="16" customFormat="1" ht="25.5" outlineLevel="3">
      <c r="A877" s="14"/>
      <c r="B877" s="35">
        <f>MAXA(B$5:B876)+1</f>
        <v>158</v>
      </c>
      <c r="C877" s="255" t="s">
        <v>349</v>
      </c>
      <c r="D877" s="230" t="s">
        <v>25</v>
      </c>
      <c r="E877" s="247">
        <v>1066</v>
      </c>
      <c r="F877" s="232">
        <v>24920</v>
      </c>
      <c r="G877" s="232">
        <v>10421</v>
      </c>
      <c r="H877" s="138">
        <f t="shared" si="98"/>
        <v>35341</v>
      </c>
      <c r="I877" s="138">
        <f t="shared" si="99"/>
        <v>37673506</v>
      </c>
      <c r="J877" s="39"/>
      <c r="K877" s="15"/>
    </row>
    <row r="878" spans="1:11" s="16" customFormat="1" ht="25.5" outlineLevel="3">
      <c r="A878" s="14"/>
      <c r="B878" s="35">
        <f>MAXA(B$5:B877)+1</f>
        <v>159</v>
      </c>
      <c r="C878" s="238" t="s">
        <v>320</v>
      </c>
      <c r="D878" s="230" t="s">
        <v>38</v>
      </c>
      <c r="E878" s="247">
        <v>1</v>
      </c>
      <c r="F878" s="232">
        <v>12362401</v>
      </c>
      <c r="G878" s="232">
        <v>4437785</v>
      </c>
      <c r="H878" s="138">
        <f t="shared" si="98"/>
        <v>16800186</v>
      </c>
      <c r="I878" s="138">
        <f t="shared" si="99"/>
        <v>16800186</v>
      </c>
      <c r="J878" s="39"/>
      <c r="K878" s="15"/>
    </row>
    <row r="879" spans="1:11" s="16" customFormat="1" ht="25.5" outlineLevel="3">
      <c r="A879" s="14"/>
      <c r="B879" s="35"/>
      <c r="C879" s="261" t="s">
        <v>350</v>
      </c>
      <c r="D879" s="230"/>
      <c r="E879" s="247"/>
      <c r="F879" s="232">
        <v>0</v>
      </c>
      <c r="G879" s="232">
        <v>0</v>
      </c>
      <c r="H879" s="250"/>
      <c r="I879" s="251"/>
      <c r="J879" s="39"/>
      <c r="K879" s="15"/>
    </row>
    <row r="880" spans="1:11" s="16" customFormat="1" ht="25.5" outlineLevel="3">
      <c r="A880" s="14"/>
      <c r="B880" s="35">
        <f>MAXA(B$5:B879)+1</f>
        <v>160</v>
      </c>
      <c r="C880" s="256" t="s">
        <v>351</v>
      </c>
      <c r="D880" s="230" t="s">
        <v>25</v>
      </c>
      <c r="E880" s="247">
        <v>852</v>
      </c>
      <c r="F880" s="232">
        <v>43569</v>
      </c>
      <c r="G880" s="232">
        <v>15632</v>
      </c>
      <c r="H880" s="138">
        <f t="shared" ref="H880:H898" si="100">G880+F880</f>
        <v>59201</v>
      </c>
      <c r="I880" s="138">
        <f t="shared" ref="I880:I898" si="101">H880*E880</f>
        <v>50439252</v>
      </c>
      <c r="J880" s="41"/>
      <c r="K880" s="15"/>
    </row>
    <row r="881" spans="1:12" s="16" customFormat="1" ht="25.5" outlineLevel="3">
      <c r="A881" s="14" t="s">
        <v>154</v>
      </c>
      <c r="B881" s="35">
        <f>MAXA(B$5:B880)+1</f>
        <v>161</v>
      </c>
      <c r="C881" s="256" t="s">
        <v>352</v>
      </c>
      <c r="D881" s="230" t="s">
        <v>25</v>
      </c>
      <c r="E881" s="247">
        <f>555+48+61</f>
        <v>664</v>
      </c>
      <c r="F881" s="232">
        <v>16106</v>
      </c>
      <c r="G881" s="232">
        <v>6774</v>
      </c>
      <c r="H881" s="138">
        <f t="shared" si="100"/>
        <v>22880</v>
      </c>
      <c r="I881" s="138">
        <f t="shared" si="101"/>
        <v>15192320</v>
      </c>
      <c r="J881" s="41"/>
      <c r="K881" s="15" t="s">
        <v>156</v>
      </c>
      <c r="L881" s="16" t="s">
        <v>157</v>
      </c>
    </row>
    <row r="882" spans="1:12" s="16" customFormat="1" ht="25.5" outlineLevel="3">
      <c r="A882" s="14"/>
      <c r="B882" s="35">
        <f>MAXA(B$5:B881)+1</f>
        <v>162</v>
      </c>
      <c r="C882" s="256" t="s">
        <v>353</v>
      </c>
      <c r="D882" s="230" t="s">
        <v>25</v>
      </c>
      <c r="E882" s="247">
        <v>6927</v>
      </c>
      <c r="F882" s="232">
        <v>11090</v>
      </c>
      <c r="G882" s="232">
        <v>6253</v>
      </c>
      <c r="H882" s="138">
        <f t="shared" si="100"/>
        <v>17343</v>
      </c>
      <c r="I882" s="138">
        <f t="shared" si="101"/>
        <v>120134961</v>
      </c>
      <c r="J882" s="41"/>
      <c r="K882" s="15"/>
    </row>
    <row r="883" spans="1:12" s="16" customFormat="1" ht="25.5" outlineLevel="3">
      <c r="A883" s="14"/>
      <c r="B883" s="35">
        <f>MAXA(B$5:B882)+1</f>
        <v>163</v>
      </c>
      <c r="C883" s="256" t="s">
        <v>354</v>
      </c>
      <c r="D883" s="230" t="s">
        <v>25</v>
      </c>
      <c r="E883" s="247">
        <v>14815</v>
      </c>
      <c r="F883" s="232">
        <v>6886</v>
      </c>
      <c r="G883" s="232">
        <v>5211</v>
      </c>
      <c r="H883" s="138">
        <f t="shared" si="100"/>
        <v>12097</v>
      </c>
      <c r="I883" s="138">
        <f t="shared" si="101"/>
        <v>179217055</v>
      </c>
      <c r="J883" s="41"/>
      <c r="K883" s="15"/>
    </row>
    <row r="884" spans="1:12" s="16" customFormat="1" ht="25.5" outlineLevel="3">
      <c r="A884" s="14"/>
      <c r="B884" s="35">
        <f>MAXA(B$5:B883)+1</f>
        <v>164</v>
      </c>
      <c r="C884" s="256" t="s">
        <v>355</v>
      </c>
      <c r="D884" s="230" t="s">
        <v>25</v>
      </c>
      <c r="E884" s="247">
        <v>7572</v>
      </c>
      <c r="F884" s="232">
        <v>4366</v>
      </c>
      <c r="G884" s="232">
        <v>4690</v>
      </c>
      <c r="H884" s="138">
        <f t="shared" si="100"/>
        <v>9056</v>
      </c>
      <c r="I884" s="138">
        <f t="shared" si="101"/>
        <v>68572032</v>
      </c>
      <c r="J884" s="41"/>
      <c r="K884" s="15"/>
    </row>
    <row r="885" spans="1:12" s="16" customFormat="1" ht="25.5" outlineLevel="3">
      <c r="A885" s="14"/>
      <c r="B885" s="35">
        <f>MAXA(B$5:B884)+1</f>
        <v>165</v>
      </c>
      <c r="C885" s="256" t="s">
        <v>356</v>
      </c>
      <c r="D885" s="230" t="s">
        <v>25</v>
      </c>
      <c r="E885" s="247">
        <v>15</v>
      </c>
      <c r="F885" s="232">
        <v>612964</v>
      </c>
      <c r="G885" s="232">
        <v>62528</v>
      </c>
      <c r="H885" s="138">
        <f t="shared" si="100"/>
        <v>675492</v>
      </c>
      <c r="I885" s="138">
        <f t="shared" si="101"/>
        <v>10132380</v>
      </c>
      <c r="J885" s="39"/>
      <c r="K885" s="15"/>
    </row>
    <row r="886" spans="1:12" s="16" customFormat="1" ht="25.5" outlineLevel="3">
      <c r="A886" s="14"/>
      <c r="B886" s="35">
        <f>MAXA(B$5:B885)+1</f>
        <v>166</v>
      </c>
      <c r="C886" s="256" t="s">
        <v>357</v>
      </c>
      <c r="D886" s="230" t="s">
        <v>25</v>
      </c>
      <c r="E886" s="247">
        <v>18</v>
      </c>
      <c r="F886" s="232">
        <v>467672</v>
      </c>
      <c r="G886" s="232">
        <v>46896</v>
      </c>
      <c r="H886" s="138">
        <f t="shared" si="100"/>
        <v>514568</v>
      </c>
      <c r="I886" s="138">
        <f t="shared" si="101"/>
        <v>9262224</v>
      </c>
      <c r="J886" s="39"/>
      <c r="K886" s="15"/>
    </row>
    <row r="887" spans="1:12" s="16" customFormat="1" ht="25.5" outlineLevel="3">
      <c r="A887" s="14"/>
      <c r="B887" s="35">
        <f>MAXA(B$5:B886)+1</f>
        <v>167</v>
      </c>
      <c r="C887" s="256" t="s">
        <v>358</v>
      </c>
      <c r="D887" s="230" t="s">
        <v>25</v>
      </c>
      <c r="E887" s="247">
        <v>166</v>
      </c>
      <c r="F887" s="232">
        <v>303173</v>
      </c>
      <c r="G887" s="232">
        <v>41685</v>
      </c>
      <c r="H887" s="138">
        <f t="shared" si="100"/>
        <v>344858</v>
      </c>
      <c r="I887" s="138">
        <f t="shared" si="101"/>
        <v>57246428</v>
      </c>
      <c r="J887" s="39"/>
      <c r="K887" s="15"/>
    </row>
    <row r="888" spans="1:12" s="16" customFormat="1" ht="25.5" outlineLevel="3">
      <c r="A888" s="14"/>
      <c r="B888" s="35">
        <f>MAXA(B$5:B887)+1</f>
        <v>168</v>
      </c>
      <c r="C888" s="256" t="s">
        <v>359</v>
      </c>
      <c r="D888" s="230" t="s">
        <v>25</v>
      </c>
      <c r="E888" s="247">
        <v>110</v>
      </c>
      <c r="F888" s="232">
        <v>174834</v>
      </c>
      <c r="G888" s="232">
        <v>36474</v>
      </c>
      <c r="H888" s="138">
        <f t="shared" si="100"/>
        <v>211308</v>
      </c>
      <c r="I888" s="138">
        <f t="shared" si="101"/>
        <v>23243880</v>
      </c>
      <c r="J888" s="39"/>
      <c r="K888" s="15"/>
    </row>
    <row r="889" spans="1:12" s="16" customFormat="1" ht="25.5" outlineLevel="3">
      <c r="A889" s="14"/>
      <c r="B889" s="35">
        <f>MAXA(B$5:B888)+1</f>
        <v>169</v>
      </c>
      <c r="C889" s="256" t="s">
        <v>360</v>
      </c>
      <c r="D889" s="230" t="s">
        <v>25</v>
      </c>
      <c r="E889" s="247">
        <v>98</v>
      </c>
      <c r="F889" s="232">
        <v>122428</v>
      </c>
      <c r="G889" s="232">
        <v>31264</v>
      </c>
      <c r="H889" s="138">
        <f t="shared" si="100"/>
        <v>153692</v>
      </c>
      <c r="I889" s="138">
        <f t="shared" si="101"/>
        <v>15061816</v>
      </c>
      <c r="J889" s="39"/>
      <c r="K889" s="15"/>
    </row>
    <row r="890" spans="1:12" s="16" customFormat="1" ht="25.5" outlineLevel="3">
      <c r="A890" s="14"/>
      <c r="B890" s="35">
        <f>MAXA(B$5:B889)+1</f>
        <v>170</v>
      </c>
      <c r="C890" s="256" t="s">
        <v>361</v>
      </c>
      <c r="D890" s="230" t="s">
        <v>25</v>
      </c>
      <c r="E890" s="247">
        <v>111</v>
      </c>
      <c r="F890" s="232">
        <v>91911</v>
      </c>
      <c r="G890" s="232">
        <v>20843</v>
      </c>
      <c r="H890" s="138">
        <f t="shared" si="100"/>
        <v>112754</v>
      </c>
      <c r="I890" s="138">
        <f t="shared" si="101"/>
        <v>12515694</v>
      </c>
      <c r="J890" s="39"/>
      <c r="K890" s="15"/>
    </row>
    <row r="891" spans="1:12" s="16" customFormat="1" ht="25.5" outlineLevel="3">
      <c r="A891" s="14"/>
      <c r="B891" s="35">
        <f>MAXA(B$5:B890)+1</f>
        <v>171</v>
      </c>
      <c r="C891" s="256" t="s">
        <v>362</v>
      </c>
      <c r="D891" s="230" t="s">
        <v>25</v>
      </c>
      <c r="E891" s="247">
        <f>158+84</f>
        <v>242</v>
      </c>
      <c r="F891" s="232">
        <v>67339</v>
      </c>
      <c r="G891" s="232">
        <v>20843</v>
      </c>
      <c r="H891" s="138">
        <f t="shared" si="100"/>
        <v>88182</v>
      </c>
      <c r="I891" s="138">
        <f t="shared" si="101"/>
        <v>21340044</v>
      </c>
      <c r="J891" s="39"/>
      <c r="K891" s="15"/>
    </row>
    <row r="892" spans="1:12" s="16" customFormat="1" ht="25.5" outlineLevel="3">
      <c r="A892" s="14"/>
      <c r="B892" s="35">
        <f>MAXA(B$5:B891)+1</f>
        <v>172</v>
      </c>
      <c r="C892" s="256" t="s">
        <v>363</v>
      </c>
      <c r="D892" s="230" t="s">
        <v>25</v>
      </c>
      <c r="E892" s="247">
        <v>257</v>
      </c>
      <c r="F892" s="232">
        <v>43569</v>
      </c>
      <c r="G892" s="232">
        <v>15632</v>
      </c>
      <c r="H892" s="138">
        <f t="shared" si="100"/>
        <v>59201</v>
      </c>
      <c r="I892" s="138">
        <f t="shared" si="101"/>
        <v>15214657</v>
      </c>
      <c r="J892" s="39"/>
      <c r="K892" s="15"/>
    </row>
    <row r="893" spans="1:12" s="16" customFormat="1" ht="25.5" outlineLevel="3">
      <c r="A893" s="14"/>
      <c r="B893" s="35">
        <f>MAXA(B$5:B892)+1</f>
        <v>173</v>
      </c>
      <c r="C893" s="256" t="s">
        <v>364</v>
      </c>
      <c r="D893" s="230" t="s">
        <v>25</v>
      </c>
      <c r="E893" s="247">
        <v>464</v>
      </c>
      <c r="F893" s="232">
        <v>26662</v>
      </c>
      <c r="G893" s="232">
        <v>15632</v>
      </c>
      <c r="H893" s="138">
        <f t="shared" si="100"/>
        <v>42294</v>
      </c>
      <c r="I893" s="138">
        <f t="shared" si="101"/>
        <v>19624416</v>
      </c>
      <c r="J893" s="39"/>
      <c r="K893" s="15"/>
    </row>
    <row r="894" spans="1:12" s="16" customFormat="1" ht="25.5" outlineLevel="3">
      <c r="A894" s="14"/>
      <c r="B894" s="35">
        <f>MAXA(B$5:B893)+1</f>
        <v>174</v>
      </c>
      <c r="C894" s="256" t="s">
        <v>365</v>
      </c>
      <c r="D894" s="230" t="s">
        <v>25</v>
      </c>
      <c r="E894" s="247">
        <v>14</v>
      </c>
      <c r="F894" s="232">
        <v>16106</v>
      </c>
      <c r="G894" s="232">
        <v>6774</v>
      </c>
      <c r="H894" s="138">
        <f t="shared" si="100"/>
        <v>22880</v>
      </c>
      <c r="I894" s="138">
        <f t="shared" si="101"/>
        <v>320320</v>
      </c>
      <c r="J894" s="39"/>
      <c r="K894" s="15"/>
    </row>
    <row r="895" spans="1:12" s="16" customFormat="1" ht="25.5" outlineLevel="3">
      <c r="A895" s="14"/>
      <c r="B895" s="35">
        <f>MAXA(B$5:B894)+1</f>
        <v>175</v>
      </c>
      <c r="C895" s="256" t="s">
        <v>366</v>
      </c>
      <c r="D895" s="230" t="s">
        <v>25</v>
      </c>
      <c r="E895" s="247">
        <v>505</v>
      </c>
      <c r="F895" s="232">
        <v>11090</v>
      </c>
      <c r="G895" s="232">
        <v>6253</v>
      </c>
      <c r="H895" s="138">
        <f t="shared" si="100"/>
        <v>17343</v>
      </c>
      <c r="I895" s="138">
        <f t="shared" si="101"/>
        <v>8758215</v>
      </c>
      <c r="J895" s="39"/>
      <c r="K895" s="15"/>
    </row>
    <row r="896" spans="1:12" s="16" customFormat="1" ht="25.5" outlineLevel="3">
      <c r="A896" s="14"/>
      <c r="B896" s="35">
        <f>MAXA(B$5:B895)+1</f>
        <v>176</v>
      </c>
      <c r="C896" s="256" t="s">
        <v>367</v>
      </c>
      <c r="D896" s="230" t="s">
        <v>25</v>
      </c>
      <c r="E896" s="247">
        <v>4937</v>
      </c>
      <c r="F896" s="232">
        <v>6886</v>
      </c>
      <c r="G896" s="232">
        <v>5211</v>
      </c>
      <c r="H896" s="138">
        <f t="shared" si="100"/>
        <v>12097</v>
      </c>
      <c r="I896" s="138">
        <f t="shared" si="101"/>
        <v>59722889</v>
      </c>
      <c r="J896" s="39"/>
      <c r="K896" s="15"/>
    </row>
    <row r="897" spans="1:11" s="16" customFormat="1" ht="25.5" outlineLevel="3">
      <c r="A897" s="14"/>
      <c r="B897" s="35">
        <f>MAXA(B$5:B896)+1</f>
        <v>177</v>
      </c>
      <c r="C897" s="256" t="s">
        <v>368</v>
      </c>
      <c r="D897" s="230" t="s">
        <v>25</v>
      </c>
      <c r="E897" s="247">
        <v>2523</v>
      </c>
      <c r="F897" s="232">
        <v>4366</v>
      </c>
      <c r="G897" s="232">
        <v>4690</v>
      </c>
      <c r="H897" s="138">
        <f t="shared" si="100"/>
        <v>9056</v>
      </c>
      <c r="I897" s="138">
        <f t="shared" si="101"/>
        <v>22848288</v>
      </c>
      <c r="J897" s="39"/>
      <c r="K897" s="15"/>
    </row>
    <row r="898" spans="1:11" s="16" customFormat="1" ht="25.5" outlineLevel="3">
      <c r="A898" s="14"/>
      <c r="B898" s="35">
        <f>MAXA(B$5:B897)+1</f>
        <v>178</v>
      </c>
      <c r="C898" s="238" t="s">
        <v>369</v>
      </c>
      <c r="D898" s="230" t="s">
        <v>38</v>
      </c>
      <c r="E898" s="247">
        <v>1</v>
      </c>
      <c r="F898" s="232">
        <v>93311396</v>
      </c>
      <c r="G898" s="232">
        <v>33496399</v>
      </c>
      <c r="H898" s="138">
        <f t="shared" si="100"/>
        <v>126807795</v>
      </c>
      <c r="I898" s="138">
        <f t="shared" si="101"/>
        <v>126807795</v>
      </c>
      <c r="J898" s="39"/>
      <c r="K898" s="15"/>
    </row>
    <row r="899" spans="1:11" s="33" customFormat="1" ht="26.25" outlineLevel="3">
      <c r="A899" s="34"/>
      <c r="B899" s="38" t="s">
        <v>370</v>
      </c>
      <c r="C899" s="227" t="s">
        <v>371</v>
      </c>
      <c r="D899" s="212"/>
      <c r="E899" s="228"/>
      <c r="F899" s="232">
        <v>0</v>
      </c>
      <c r="G899" s="232">
        <v>0</v>
      </c>
      <c r="H899" s="214"/>
      <c r="I899" s="180">
        <f>SUBTOTAL(9,I900:I933)</f>
        <v>1548306767</v>
      </c>
      <c r="J899" s="25"/>
      <c r="K899" s="32"/>
    </row>
    <row r="900" spans="1:11" s="33" customFormat="1" ht="25.5" outlineLevel="3">
      <c r="A900" s="14"/>
      <c r="B900" s="40"/>
      <c r="C900" s="256" t="s">
        <v>372</v>
      </c>
      <c r="D900" s="259"/>
      <c r="E900" s="213"/>
      <c r="F900" s="232">
        <v>0</v>
      </c>
      <c r="G900" s="232">
        <v>0</v>
      </c>
      <c r="H900" s="258"/>
      <c r="I900" s="260"/>
      <c r="J900" s="41"/>
      <c r="K900" s="32"/>
    </row>
    <row r="901" spans="1:11" s="16" customFormat="1" ht="25.5" outlineLevel="3">
      <c r="A901" s="14"/>
      <c r="B901" s="35">
        <f>MAXA(B$5:B900)+1</f>
        <v>179</v>
      </c>
      <c r="C901" s="256" t="s">
        <v>373</v>
      </c>
      <c r="D901" s="230" t="s">
        <v>25</v>
      </c>
      <c r="E901" s="247">
        <v>22118</v>
      </c>
      <c r="F901" s="232">
        <v>7158</v>
      </c>
      <c r="G901" s="232">
        <v>14590</v>
      </c>
      <c r="H901" s="138">
        <f t="shared" ref="H901:H914" si="102">G901+F901</f>
        <v>21748</v>
      </c>
      <c r="I901" s="138">
        <f t="shared" ref="I901:I914" si="103">H901*E901</f>
        <v>481022264</v>
      </c>
      <c r="J901" s="39"/>
      <c r="K901" s="15"/>
    </row>
    <row r="902" spans="1:11" s="16" customFormat="1" ht="25.5" outlineLevel="3">
      <c r="A902" s="14"/>
      <c r="B902" s="35">
        <f>MAXA(B$5:B901)+1</f>
        <v>180</v>
      </c>
      <c r="C902" s="256" t="s">
        <v>374</v>
      </c>
      <c r="D902" s="230" t="s">
        <v>28</v>
      </c>
      <c r="E902" s="247">
        <v>14740</v>
      </c>
      <c r="F902" s="232">
        <v>813</v>
      </c>
      <c r="G902" s="232">
        <v>521</v>
      </c>
      <c r="H902" s="138">
        <f t="shared" si="102"/>
        <v>1334</v>
      </c>
      <c r="I902" s="138">
        <f t="shared" si="103"/>
        <v>19663160</v>
      </c>
      <c r="J902" s="39"/>
      <c r="K902" s="15"/>
    </row>
    <row r="903" spans="1:11" s="16" customFormat="1" ht="25.5" outlineLevel="3">
      <c r="A903" s="14"/>
      <c r="B903" s="35">
        <f>MAXA(B$5:B902)+1</f>
        <v>181</v>
      </c>
      <c r="C903" s="256" t="s">
        <v>375</v>
      </c>
      <c r="D903" s="230" t="s">
        <v>28</v>
      </c>
      <c r="E903" s="247">
        <v>11348</v>
      </c>
      <c r="F903" s="232">
        <v>2290</v>
      </c>
      <c r="G903" s="232">
        <v>521</v>
      </c>
      <c r="H903" s="138">
        <f t="shared" si="102"/>
        <v>2811</v>
      </c>
      <c r="I903" s="138">
        <f t="shared" si="103"/>
        <v>31899228</v>
      </c>
      <c r="J903" s="39"/>
      <c r="K903" s="15"/>
    </row>
    <row r="904" spans="1:11" s="16" customFormat="1" ht="25.5" outlineLevel="3">
      <c r="A904" s="14"/>
      <c r="B904" s="35">
        <f>MAXA(B$5:B903)+1</f>
        <v>182</v>
      </c>
      <c r="C904" s="256" t="s">
        <v>376</v>
      </c>
      <c r="D904" s="230" t="s">
        <v>25</v>
      </c>
      <c r="E904" s="247">
        <v>7528</v>
      </c>
      <c r="F904" s="232">
        <v>10412</v>
      </c>
      <c r="G904" s="232">
        <v>16674</v>
      </c>
      <c r="H904" s="138">
        <f t="shared" si="102"/>
        <v>27086</v>
      </c>
      <c r="I904" s="138">
        <f t="shared" si="103"/>
        <v>203903408</v>
      </c>
      <c r="J904" s="39"/>
      <c r="K904" s="15"/>
    </row>
    <row r="905" spans="1:11" s="16" customFormat="1" ht="25.5" outlineLevel="3">
      <c r="A905" s="14"/>
      <c r="B905" s="35">
        <f>MAXA(B$5:B904)+1</f>
        <v>183</v>
      </c>
      <c r="C905" s="256" t="s">
        <v>377</v>
      </c>
      <c r="D905" s="230" t="s">
        <v>28</v>
      </c>
      <c r="E905" s="247">
        <v>5134</v>
      </c>
      <c r="F905" s="232">
        <v>1510</v>
      </c>
      <c r="G905" s="232">
        <v>521</v>
      </c>
      <c r="H905" s="138">
        <f t="shared" si="102"/>
        <v>2031</v>
      </c>
      <c r="I905" s="138">
        <f t="shared" si="103"/>
        <v>10427154</v>
      </c>
      <c r="J905" s="39"/>
      <c r="K905" s="15"/>
    </row>
    <row r="906" spans="1:11" s="16" customFormat="1" ht="25.5" outlineLevel="3">
      <c r="A906" s="14"/>
      <c r="B906" s="35">
        <f>MAXA(B$5:B905)+1</f>
        <v>184</v>
      </c>
      <c r="C906" s="256" t="s">
        <v>378</v>
      </c>
      <c r="D906" s="230" t="s">
        <v>28</v>
      </c>
      <c r="E906" s="247">
        <v>3682</v>
      </c>
      <c r="F906" s="232">
        <v>2627</v>
      </c>
      <c r="G906" s="232">
        <v>521</v>
      </c>
      <c r="H906" s="138">
        <f t="shared" si="102"/>
        <v>3148</v>
      </c>
      <c r="I906" s="138">
        <f t="shared" si="103"/>
        <v>11590936</v>
      </c>
      <c r="J906" s="39"/>
      <c r="K906" s="15"/>
    </row>
    <row r="907" spans="1:11" s="16" customFormat="1" ht="25.5" outlineLevel="3">
      <c r="A907" s="14"/>
      <c r="B907" s="35">
        <f>MAXA(B$5:B906)+1</f>
        <v>185</v>
      </c>
      <c r="C907" s="256" t="s">
        <v>379</v>
      </c>
      <c r="D907" s="230" t="s">
        <v>25</v>
      </c>
      <c r="E907" s="247">
        <v>160</v>
      </c>
      <c r="F907" s="232">
        <v>16052</v>
      </c>
      <c r="G907" s="232">
        <v>18758</v>
      </c>
      <c r="H907" s="138">
        <f t="shared" si="102"/>
        <v>34810</v>
      </c>
      <c r="I907" s="138">
        <f t="shared" si="103"/>
        <v>5569600</v>
      </c>
      <c r="J907" s="39"/>
      <c r="K907" s="15"/>
    </row>
    <row r="908" spans="1:11" s="16" customFormat="1" ht="25.5" outlineLevel="3">
      <c r="A908" s="14"/>
      <c r="B908" s="35">
        <f>MAXA(B$5:B907)+1</f>
        <v>186</v>
      </c>
      <c r="C908" s="256" t="s">
        <v>380</v>
      </c>
      <c r="D908" s="230" t="s">
        <v>28</v>
      </c>
      <c r="E908" s="247">
        <v>105</v>
      </c>
      <c r="F908" s="232">
        <v>2613</v>
      </c>
      <c r="G908" s="232">
        <v>521</v>
      </c>
      <c r="H908" s="138">
        <f t="shared" si="102"/>
        <v>3134</v>
      </c>
      <c r="I908" s="138">
        <f t="shared" si="103"/>
        <v>329070</v>
      </c>
      <c r="J908" s="39"/>
      <c r="K908" s="15"/>
    </row>
    <row r="909" spans="1:11" s="16" customFormat="1" ht="25.5" outlineLevel="3">
      <c r="A909" s="14"/>
      <c r="B909" s="35">
        <f>MAXA(B$5:B908)+1</f>
        <v>187</v>
      </c>
      <c r="C909" s="256" t="s">
        <v>381</v>
      </c>
      <c r="D909" s="230" t="s">
        <v>28</v>
      </c>
      <c r="E909" s="247">
        <v>83</v>
      </c>
      <c r="F909" s="232">
        <v>4703</v>
      </c>
      <c r="G909" s="232">
        <v>521</v>
      </c>
      <c r="H909" s="138">
        <f t="shared" si="102"/>
        <v>5224</v>
      </c>
      <c r="I909" s="138">
        <f t="shared" si="103"/>
        <v>433592</v>
      </c>
      <c r="J909" s="39"/>
      <c r="K909" s="15"/>
    </row>
    <row r="910" spans="1:11" s="16" customFormat="1" ht="25.5" outlineLevel="3">
      <c r="A910" s="14"/>
      <c r="B910" s="35">
        <f>MAXA(B$5:B909)+1</f>
        <v>188</v>
      </c>
      <c r="C910" s="256" t="s">
        <v>382</v>
      </c>
      <c r="D910" s="230" t="s">
        <v>25</v>
      </c>
      <c r="E910" s="247">
        <v>756</v>
      </c>
      <c r="F910" s="232">
        <v>31670</v>
      </c>
      <c r="G910" s="232">
        <v>26053</v>
      </c>
      <c r="H910" s="138">
        <f t="shared" si="102"/>
        <v>57723</v>
      </c>
      <c r="I910" s="138">
        <f t="shared" si="103"/>
        <v>43638588</v>
      </c>
      <c r="J910" s="39"/>
      <c r="K910" s="15"/>
    </row>
    <row r="911" spans="1:11" s="16" customFormat="1" ht="25.5" outlineLevel="3">
      <c r="A911" s="14"/>
      <c r="B911" s="35">
        <f>MAXA(B$5:B910)+1</f>
        <v>189</v>
      </c>
      <c r="C911" s="256" t="s">
        <v>383</v>
      </c>
      <c r="D911" s="230" t="s">
        <v>28</v>
      </c>
      <c r="E911" s="247">
        <v>506</v>
      </c>
      <c r="F911" s="232">
        <v>8129</v>
      </c>
      <c r="G911" s="232">
        <v>1042</v>
      </c>
      <c r="H911" s="138">
        <f t="shared" si="102"/>
        <v>9171</v>
      </c>
      <c r="I911" s="138">
        <f t="shared" si="103"/>
        <v>4640526</v>
      </c>
      <c r="J911" s="39"/>
      <c r="K911" s="15"/>
    </row>
    <row r="912" spans="1:11" s="16" customFormat="1" ht="25.5" outlineLevel="3">
      <c r="A912" s="14"/>
      <c r="B912" s="35">
        <f>MAXA(B$5:B911)+1</f>
        <v>190</v>
      </c>
      <c r="C912" s="256" t="s">
        <v>384</v>
      </c>
      <c r="D912" s="230" t="s">
        <v>28</v>
      </c>
      <c r="E912" s="247">
        <v>381</v>
      </c>
      <c r="F912" s="232">
        <v>13935</v>
      </c>
      <c r="G912" s="232">
        <v>1042</v>
      </c>
      <c r="H912" s="138">
        <f t="shared" si="102"/>
        <v>14977</v>
      </c>
      <c r="I912" s="138">
        <f t="shared" si="103"/>
        <v>5706237</v>
      </c>
      <c r="J912" s="39"/>
      <c r="K912" s="15"/>
    </row>
    <row r="913" spans="1:12" s="16" customFormat="1" ht="25.5" outlineLevel="3">
      <c r="A913" s="14"/>
      <c r="B913" s="35">
        <f>MAXA(B$5:B912)+1</f>
        <v>191</v>
      </c>
      <c r="C913" s="256" t="s">
        <v>385</v>
      </c>
      <c r="D913" s="230" t="s">
        <v>38</v>
      </c>
      <c r="E913" s="247">
        <v>1</v>
      </c>
      <c r="F913" s="232">
        <v>32869459</v>
      </c>
      <c r="G913" s="232">
        <v>11799293</v>
      </c>
      <c r="H913" s="138">
        <f t="shared" si="102"/>
        <v>44668752</v>
      </c>
      <c r="I913" s="138">
        <f t="shared" si="103"/>
        <v>44668752</v>
      </c>
      <c r="J913" s="39"/>
      <c r="K913" s="15"/>
    </row>
    <row r="914" spans="1:12" s="16" customFormat="1" ht="25.5" outlineLevel="3">
      <c r="A914" s="14"/>
      <c r="B914" s="35">
        <f>MAXA(B$5:B913)+1</f>
        <v>192</v>
      </c>
      <c r="C914" s="238" t="s">
        <v>52</v>
      </c>
      <c r="D914" s="230" t="s">
        <v>38</v>
      </c>
      <c r="E914" s="247">
        <v>1</v>
      </c>
      <c r="F914" s="232">
        <v>36156404</v>
      </c>
      <c r="G914" s="232">
        <v>12979222</v>
      </c>
      <c r="H914" s="138">
        <f t="shared" si="102"/>
        <v>49135626</v>
      </c>
      <c r="I914" s="138">
        <f t="shared" si="103"/>
        <v>49135626</v>
      </c>
      <c r="J914" s="39"/>
      <c r="K914" s="15"/>
    </row>
    <row r="915" spans="1:12" s="16" customFormat="1" ht="25.5" outlineLevel="3">
      <c r="A915" s="14"/>
      <c r="B915" s="42"/>
      <c r="C915" s="261" t="s">
        <v>386</v>
      </c>
      <c r="D915" s="262"/>
      <c r="E915" s="263"/>
      <c r="F915" s="232">
        <v>0</v>
      </c>
      <c r="G915" s="232">
        <v>0</v>
      </c>
      <c r="H915" s="264"/>
      <c r="I915" s="265"/>
      <c r="J915" s="43"/>
      <c r="K915" s="15"/>
    </row>
    <row r="916" spans="1:12" s="16" customFormat="1" ht="25.5" outlineLevel="3">
      <c r="A916" s="14"/>
      <c r="B916" s="35">
        <f>MAXA(B$5:B914)+1</f>
        <v>193</v>
      </c>
      <c r="C916" s="255" t="s">
        <v>387</v>
      </c>
      <c r="D916" s="230" t="s">
        <v>25</v>
      </c>
      <c r="E916" s="247">
        <v>7</v>
      </c>
      <c r="F916" s="232">
        <v>2022043</v>
      </c>
      <c r="G916" s="232">
        <v>141928</v>
      </c>
      <c r="H916" s="138">
        <f>G916+F916</f>
        <v>2163971</v>
      </c>
      <c r="I916" s="138">
        <f>H916*E916</f>
        <v>15147797</v>
      </c>
      <c r="J916" s="39"/>
      <c r="K916" s="15"/>
    </row>
    <row r="917" spans="1:12" s="16" customFormat="1" ht="25.5" outlineLevel="3">
      <c r="A917" s="14"/>
      <c r="B917" s="35">
        <f>MAXA(B$5:B916)+1</f>
        <v>194</v>
      </c>
      <c r="C917" s="255" t="s">
        <v>388</v>
      </c>
      <c r="D917" s="230" t="s">
        <v>25</v>
      </c>
      <c r="E917" s="247">
        <v>55</v>
      </c>
      <c r="F917" s="232">
        <v>782476</v>
      </c>
      <c r="G917" s="232">
        <v>96769</v>
      </c>
      <c r="H917" s="138">
        <f>G917+F917</f>
        <v>879245</v>
      </c>
      <c r="I917" s="138">
        <f>H917*E917</f>
        <v>48358475</v>
      </c>
      <c r="J917" s="39"/>
      <c r="K917" s="15"/>
    </row>
    <row r="918" spans="1:12" s="16" customFormat="1" ht="25.5" outlineLevel="3">
      <c r="A918" s="14"/>
      <c r="B918" s="35">
        <f>MAXA(B$5:B917)+1</f>
        <v>195</v>
      </c>
      <c r="C918" s="255" t="s">
        <v>389</v>
      </c>
      <c r="D918" s="230" t="s">
        <v>25</v>
      </c>
      <c r="E918" s="247">
        <v>83</v>
      </c>
      <c r="F918" s="232">
        <v>375971</v>
      </c>
      <c r="G918" s="232">
        <v>64513</v>
      </c>
      <c r="H918" s="138">
        <f>G918+F918</f>
        <v>440484</v>
      </c>
      <c r="I918" s="138">
        <f>H918*E918</f>
        <v>36560172</v>
      </c>
      <c r="J918" s="39"/>
      <c r="K918" s="15"/>
    </row>
    <row r="919" spans="1:12" s="16" customFormat="1" ht="25.5" outlineLevel="3">
      <c r="A919" s="14"/>
      <c r="B919" s="35"/>
      <c r="C919" s="261" t="s">
        <v>390</v>
      </c>
      <c r="D919" s="230"/>
      <c r="E919" s="247"/>
      <c r="F919" s="232">
        <v>0</v>
      </c>
      <c r="G919" s="232">
        <v>0</v>
      </c>
      <c r="H919" s="250"/>
      <c r="I919" s="251"/>
      <c r="J919" s="39"/>
      <c r="K919" s="15"/>
    </row>
    <row r="920" spans="1:12" s="16" customFormat="1" ht="25.5" outlineLevel="3">
      <c r="A920" s="14"/>
      <c r="B920" s="35">
        <f>MAXA(B$5:B919)+1</f>
        <v>196</v>
      </c>
      <c r="C920" s="255" t="s">
        <v>391</v>
      </c>
      <c r="D920" s="230" t="s">
        <v>25</v>
      </c>
      <c r="E920" s="247">
        <v>70</v>
      </c>
      <c r="F920" s="232">
        <v>1025377</v>
      </c>
      <c r="G920" s="232">
        <v>154830</v>
      </c>
      <c r="H920" s="138">
        <f t="shared" ref="H920:H929" si="104">G920+F920</f>
        <v>1180207</v>
      </c>
      <c r="I920" s="138">
        <f t="shared" ref="I920:I929" si="105">H920*E920</f>
        <v>82614490</v>
      </c>
      <c r="J920" s="39"/>
      <c r="K920" s="15"/>
    </row>
    <row r="921" spans="1:12" s="16" customFormat="1" ht="25.5" outlineLevel="3">
      <c r="A921" s="14"/>
      <c r="B921" s="35">
        <f>MAXA(B$5:B920)+1</f>
        <v>197</v>
      </c>
      <c r="C921" s="256" t="s">
        <v>392</v>
      </c>
      <c r="D921" s="230" t="s">
        <v>25</v>
      </c>
      <c r="E921" s="247">
        <v>4</v>
      </c>
      <c r="F921" s="232">
        <v>344884</v>
      </c>
      <c r="G921" s="232">
        <v>260531</v>
      </c>
      <c r="H921" s="138">
        <f t="shared" si="104"/>
        <v>605415</v>
      </c>
      <c r="I921" s="138">
        <f t="shared" si="105"/>
        <v>2421660</v>
      </c>
      <c r="J921" s="39"/>
      <c r="K921" s="15"/>
    </row>
    <row r="922" spans="1:12" s="16" customFormat="1" ht="25.5" outlineLevel="3">
      <c r="A922" s="14"/>
      <c r="B922" s="35">
        <f>MAXA(B$5:B921)+1</f>
        <v>198</v>
      </c>
      <c r="C922" s="256" t="s">
        <v>393</v>
      </c>
      <c r="D922" s="230" t="s">
        <v>25</v>
      </c>
      <c r="E922" s="247">
        <v>120</v>
      </c>
      <c r="F922" s="232">
        <v>233406</v>
      </c>
      <c r="G922" s="232">
        <v>156319</v>
      </c>
      <c r="H922" s="138">
        <f t="shared" si="104"/>
        <v>389725</v>
      </c>
      <c r="I922" s="138">
        <f t="shared" si="105"/>
        <v>46767000</v>
      </c>
      <c r="J922" s="39"/>
      <c r="K922" s="15"/>
    </row>
    <row r="923" spans="1:12" s="16" customFormat="1" ht="25.5" outlineLevel="3">
      <c r="A923" s="14"/>
      <c r="B923" s="35">
        <f>MAXA(B$5:B922)+1</f>
        <v>199</v>
      </c>
      <c r="C923" s="256" t="s">
        <v>394</v>
      </c>
      <c r="D923" s="230" t="s">
        <v>25</v>
      </c>
      <c r="E923" s="247">
        <v>4</v>
      </c>
      <c r="F923" s="232">
        <v>215988</v>
      </c>
      <c r="G923" s="232">
        <v>156319</v>
      </c>
      <c r="H923" s="138">
        <f t="shared" si="104"/>
        <v>372307</v>
      </c>
      <c r="I923" s="138">
        <f t="shared" si="105"/>
        <v>1489228</v>
      </c>
      <c r="J923" s="39"/>
      <c r="K923" s="15"/>
    </row>
    <row r="924" spans="1:12" s="16" customFormat="1" ht="25.5" outlineLevel="3">
      <c r="A924" s="14"/>
      <c r="B924" s="35">
        <f>MAXA(B$5:B923)+1</f>
        <v>200</v>
      </c>
      <c r="C924" s="256" t="s">
        <v>395</v>
      </c>
      <c r="D924" s="230" t="s">
        <v>25</v>
      </c>
      <c r="E924" s="247">
        <v>47</v>
      </c>
      <c r="F924" s="232">
        <v>206698</v>
      </c>
      <c r="G924" s="232">
        <v>125055</v>
      </c>
      <c r="H924" s="138">
        <f t="shared" si="104"/>
        <v>331753</v>
      </c>
      <c r="I924" s="138">
        <f t="shared" si="105"/>
        <v>15592391</v>
      </c>
      <c r="J924" s="39"/>
      <c r="K924" s="15"/>
    </row>
    <row r="925" spans="1:12" s="16" customFormat="1" ht="25.5" outlineLevel="3">
      <c r="A925" s="14"/>
      <c r="B925" s="35">
        <f>MAXA(B$5:B924)+1</f>
        <v>201</v>
      </c>
      <c r="C925" s="256" t="s">
        <v>396</v>
      </c>
      <c r="D925" s="230" t="s">
        <v>25</v>
      </c>
      <c r="E925" s="247">
        <v>20</v>
      </c>
      <c r="F925" s="232">
        <v>1112454</v>
      </c>
      <c r="G925" s="232">
        <v>208425</v>
      </c>
      <c r="H925" s="138">
        <f t="shared" si="104"/>
        <v>1320879</v>
      </c>
      <c r="I925" s="138">
        <f t="shared" si="105"/>
        <v>26417580</v>
      </c>
      <c r="J925" s="39"/>
      <c r="K925" s="15"/>
    </row>
    <row r="926" spans="1:12" s="16" customFormat="1" ht="25.5" outlineLevel="3">
      <c r="A926" s="14"/>
      <c r="B926" s="35">
        <f>MAXA(B$5:B925)+1</f>
        <v>202</v>
      </c>
      <c r="C926" s="256" t="s">
        <v>397</v>
      </c>
      <c r="D926" s="230" t="s">
        <v>25</v>
      </c>
      <c r="E926" s="247">
        <v>12</v>
      </c>
      <c r="F926" s="232">
        <v>935947</v>
      </c>
      <c r="G926" s="232">
        <v>208425</v>
      </c>
      <c r="H926" s="138">
        <f t="shared" si="104"/>
        <v>1144372</v>
      </c>
      <c r="I926" s="138">
        <f t="shared" si="105"/>
        <v>13732464</v>
      </c>
      <c r="J926" s="39"/>
      <c r="K926" s="15"/>
    </row>
    <row r="927" spans="1:12" s="16" customFormat="1" ht="25.5" outlineLevel="3">
      <c r="A927" s="14"/>
      <c r="B927" s="35">
        <f>MAXA(B$5:B926)+1</f>
        <v>203</v>
      </c>
      <c r="C927" s="256" t="s">
        <v>388</v>
      </c>
      <c r="D927" s="230" t="s">
        <v>25</v>
      </c>
      <c r="E927" s="247">
        <v>184</v>
      </c>
      <c r="F927" s="232">
        <v>500488</v>
      </c>
      <c r="G927" s="232">
        <v>156319</v>
      </c>
      <c r="H927" s="138">
        <f t="shared" si="104"/>
        <v>656807</v>
      </c>
      <c r="I927" s="138">
        <f t="shared" si="105"/>
        <v>120852488</v>
      </c>
      <c r="J927" s="39"/>
      <c r="K927" s="15"/>
    </row>
    <row r="928" spans="1:12" s="16" customFormat="1" ht="25.5" outlineLevel="3">
      <c r="A928" s="14" t="s">
        <v>154</v>
      </c>
      <c r="B928" s="35">
        <f>MAXA(B$5:B927)+1</f>
        <v>204</v>
      </c>
      <c r="C928" s="256" t="s">
        <v>398</v>
      </c>
      <c r="D928" s="230" t="s">
        <v>25</v>
      </c>
      <c r="E928" s="247">
        <f>20+31</f>
        <v>51</v>
      </c>
      <c r="F928" s="232">
        <v>271727</v>
      </c>
      <c r="G928" s="232">
        <v>156319</v>
      </c>
      <c r="H928" s="138">
        <f t="shared" si="104"/>
        <v>428046</v>
      </c>
      <c r="I928" s="138">
        <f t="shared" si="105"/>
        <v>21830346</v>
      </c>
      <c r="J928" s="39"/>
      <c r="K928" s="15" t="s">
        <v>156</v>
      </c>
      <c r="L928" s="16" t="s">
        <v>157</v>
      </c>
    </row>
    <row r="929" spans="1:12" s="16" customFormat="1" ht="25.5" outlineLevel="3">
      <c r="A929" s="14"/>
      <c r="B929" s="35">
        <f>MAXA(B$5:B928)+1</f>
        <v>205</v>
      </c>
      <c r="C929" s="256" t="s">
        <v>399</v>
      </c>
      <c r="D929" s="230" t="s">
        <v>38</v>
      </c>
      <c r="E929" s="247">
        <v>1</v>
      </c>
      <c r="F929" s="232">
        <v>37904126</v>
      </c>
      <c r="G929" s="232">
        <v>13606609</v>
      </c>
      <c r="H929" s="138">
        <f t="shared" si="104"/>
        <v>51510735</v>
      </c>
      <c r="I929" s="138">
        <f t="shared" si="105"/>
        <v>51510735</v>
      </c>
      <c r="J929" s="39"/>
      <c r="K929" s="15"/>
    </row>
    <row r="930" spans="1:12" s="16" customFormat="1" ht="25.5" outlineLevel="3">
      <c r="A930" s="14"/>
      <c r="B930" s="35"/>
      <c r="C930" s="261" t="s">
        <v>400</v>
      </c>
      <c r="D930" s="249"/>
      <c r="E930" s="247"/>
      <c r="F930" s="232">
        <v>0</v>
      </c>
      <c r="G930" s="232">
        <v>0</v>
      </c>
      <c r="H930" s="250"/>
      <c r="I930" s="251"/>
      <c r="J930" s="39"/>
      <c r="K930" s="15"/>
    </row>
    <row r="931" spans="1:12" s="16" customFormat="1" ht="25.5" outlineLevel="3">
      <c r="A931" s="14" t="s">
        <v>154</v>
      </c>
      <c r="B931" s="35">
        <f>MAXA(B$5:B930)+1</f>
        <v>206</v>
      </c>
      <c r="C931" s="256" t="s">
        <v>401</v>
      </c>
      <c r="D931" s="230" t="s">
        <v>25</v>
      </c>
      <c r="E931" s="247">
        <v>438</v>
      </c>
      <c r="F931" s="232">
        <v>82099</v>
      </c>
      <c r="G931" s="232">
        <v>15632</v>
      </c>
      <c r="H931" s="138">
        <f>G931+F931</f>
        <v>97731</v>
      </c>
      <c r="I931" s="138">
        <f>H931*E931</f>
        <v>42806178</v>
      </c>
      <c r="J931" s="39"/>
      <c r="K931" s="15" t="s">
        <v>156</v>
      </c>
      <c r="L931" s="16" t="s">
        <v>157</v>
      </c>
    </row>
    <row r="932" spans="1:12" s="16" customFormat="1" ht="25.5" outlineLevel="3">
      <c r="A932" s="14"/>
      <c r="B932" s="35">
        <f>MAXA(B$5:B931)+1</f>
        <v>207</v>
      </c>
      <c r="C932" s="237" t="s">
        <v>402</v>
      </c>
      <c r="D932" s="230" t="s">
        <v>38</v>
      </c>
      <c r="E932" s="247">
        <v>1</v>
      </c>
      <c r="F932" s="232">
        <v>22571340</v>
      </c>
      <c r="G932" s="232">
        <v>8102532</v>
      </c>
      <c r="H932" s="138">
        <f>G932+F932</f>
        <v>30673872</v>
      </c>
      <c r="I932" s="138">
        <f>H932*E932</f>
        <v>30673872</v>
      </c>
      <c r="J932" s="39"/>
      <c r="K932" s="15"/>
    </row>
    <row r="933" spans="1:12" s="16" customFormat="1" ht="25.5" outlineLevel="3">
      <c r="A933" s="14"/>
      <c r="B933" s="35">
        <f>MAXA(B$5:B932)+1</f>
        <v>208</v>
      </c>
      <c r="C933" s="237" t="s">
        <v>403</v>
      </c>
      <c r="D933" s="230" t="s">
        <v>38</v>
      </c>
      <c r="E933" s="247">
        <v>1</v>
      </c>
      <c r="F933" s="232">
        <v>58061250</v>
      </c>
      <c r="G933" s="232">
        <v>20842500</v>
      </c>
      <c r="H933" s="138">
        <f>G933+F933</f>
        <v>78903750</v>
      </c>
      <c r="I933" s="138">
        <f>H933*E933</f>
        <v>78903750</v>
      </c>
      <c r="J933" s="39"/>
      <c r="K933" s="15"/>
    </row>
    <row r="934" spans="1:12" s="33" customFormat="1" ht="26.25" outlineLevel="3">
      <c r="A934" s="34"/>
      <c r="B934" s="38" t="s">
        <v>404</v>
      </c>
      <c r="C934" s="227" t="s">
        <v>405</v>
      </c>
      <c r="D934" s="212"/>
      <c r="E934" s="228"/>
      <c r="F934" s="232">
        <v>0</v>
      </c>
      <c r="G934" s="232">
        <v>0</v>
      </c>
      <c r="H934" s="258"/>
      <c r="I934" s="180">
        <f>SUBTOTAL(9,I935:I961)</f>
        <v>193454941</v>
      </c>
      <c r="J934" s="25"/>
      <c r="K934" s="32"/>
    </row>
    <row r="935" spans="1:12" s="16" customFormat="1" ht="25.5" outlineLevel="3">
      <c r="A935" s="14"/>
      <c r="B935" s="35"/>
      <c r="C935" s="261" t="s">
        <v>406</v>
      </c>
      <c r="D935" s="249"/>
      <c r="E935" s="247"/>
      <c r="F935" s="232">
        <v>0</v>
      </c>
      <c r="G935" s="232">
        <v>0</v>
      </c>
      <c r="H935" s="250"/>
      <c r="I935" s="251"/>
      <c r="J935" s="39"/>
      <c r="K935" s="15"/>
    </row>
    <row r="936" spans="1:12" s="16" customFormat="1" ht="25.9" customHeight="1" outlineLevel="3">
      <c r="A936" s="14"/>
      <c r="B936" s="35">
        <f>MAXA(B$5:B935)+1</f>
        <v>209</v>
      </c>
      <c r="C936" s="256" t="s">
        <v>407</v>
      </c>
      <c r="D936" s="233" t="s">
        <v>44</v>
      </c>
      <c r="E936" s="247">
        <v>1</v>
      </c>
      <c r="F936" s="232">
        <v>14921741</v>
      </c>
      <c r="G936" s="232">
        <v>1250550</v>
      </c>
      <c r="H936" s="138">
        <f t="shared" ref="H936:H949" si="106">G936+F936</f>
        <v>16172291</v>
      </c>
      <c r="I936" s="138">
        <f t="shared" ref="I936:I949" si="107">H936*E936</f>
        <v>16172291</v>
      </c>
      <c r="J936" s="39"/>
      <c r="K936" s="15"/>
    </row>
    <row r="937" spans="1:12" s="16" customFormat="1" ht="25.9" customHeight="1" outlineLevel="3">
      <c r="A937" s="14"/>
      <c r="B937" s="35">
        <f>MAXA(B$5:B936)+1</f>
        <v>210</v>
      </c>
      <c r="C937" s="256" t="s">
        <v>408</v>
      </c>
      <c r="D937" s="233" t="s">
        <v>44</v>
      </c>
      <c r="E937" s="247">
        <v>2</v>
      </c>
      <c r="F937" s="232">
        <v>3773981</v>
      </c>
      <c r="G937" s="232">
        <v>260531</v>
      </c>
      <c r="H937" s="138">
        <f t="shared" si="106"/>
        <v>4034512</v>
      </c>
      <c r="I937" s="138">
        <f t="shared" si="107"/>
        <v>8069024</v>
      </c>
      <c r="J937" s="39"/>
      <c r="K937" s="15"/>
    </row>
    <row r="938" spans="1:12" s="16" customFormat="1" ht="25.9" customHeight="1" outlineLevel="3">
      <c r="A938" s="14"/>
      <c r="B938" s="35">
        <f>MAXA(B$5:B937)+1</f>
        <v>211</v>
      </c>
      <c r="C938" s="256" t="s">
        <v>409</v>
      </c>
      <c r="D938" s="230" t="s">
        <v>410</v>
      </c>
      <c r="E938" s="247">
        <v>1</v>
      </c>
      <c r="F938" s="232">
        <v>2612756</v>
      </c>
      <c r="G938" s="232">
        <v>468956</v>
      </c>
      <c r="H938" s="138">
        <f t="shared" si="106"/>
        <v>3081712</v>
      </c>
      <c r="I938" s="138">
        <f t="shared" si="107"/>
        <v>3081712</v>
      </c>
      <c r="J938" s="39"/>
      <c r="K938" s="15"/>
    </row>
    <row r="939" spans="1:12" s="16" customFormat="1" ht="25.9" customHeight="1" outlineLevel="3">
      <c r="A939" s="14"/>
      <c r="B939" s="35">
        <f>MAXA(B$5:B938)+1</f>
        <v>212</v>
      </c>
      <c r="C939" s="256" t="s">
        <v>411</v>
      </c>
      <c r="D939" s="230" t="s">
        <v>28</v>
      </c>
      <c r="E939" s="247">
        <v>1</v>
      </c>
      <c r="F939" s="232">
        <v>4238471</v>
      </c>
      <c r="G939" s="232">
        <v>260531</v>
      </c>
      <c r="H939" s="138">
        <f t="shared" si="106"/>
        <v>4499002</v>
      </c>
      <c r="I939" s="138">
        <f t="shared" si="107"/>
        <v>4499002</v>
      </c>
      <c r="J939" s="39"/>
      <c r="K939" s="15"/>
    </row>
    <row r="940" spans="1:12" s="16" customFormat="1" ht="25.9" customHeight="1" outlineLevel="3">
      <c r="A940" s="14"/>
      <c r="B940" s="35">
        <f>MAXA(B$5:B939)+1</f>
        <v>213</v>
      </c>
      <c r="C940" s="256" t="s">
        <v>412</v>
      </c>
      <c r="D940" s="233" t="s">
        <v>44</v>
      </c>
      <c r="E940" s="247">
        <v>1</v>
      </c>
      <c r="F940" s="232">
        <v>459845</v>
      </c>
      <c r="G940" s="232">
        <v>104213</v>
      </c>
      <c r="H940" s="138">
        <f t="shared" si="106"/>
        <v>564058</v>
      </c>
      <c r="I940" s="138">
        <f t="shared" si="107"/>
        <v>564058</v>
      </c>
      <c r="J940" s="39"/>
      <c r="K940" s="15"/>
    </row>
    <row r="941" spans="1:12" s="16" customFormat="1" ht="25.9" customHeight="1" outlineLevel="3">
      <c r="A941" s="14"/>
      <c r="B941" s="35">
        <f>MAXA(B$5:B940)+1</f>
        <v>214</v>
      </c>
      <c r="C941" s="256" t="s">
        <v>413</v>
      </c>
      <c r="D941" s="233" t="s">
        <v>44</v>
      </c>
      <c r="E941" s="247">
        <v>3</v>
      </c>
      <c r="F941" s="232">
        <v>339078</v>
      </c>
      <c r="G941" s="232">
        <v>20843</v>
      </c>
      <c r="H941" s="138">
        <f t="shared" si="106"/>
        <v>359921</v>
      </c>
      <c r="I941" s="138">
        <f t="shared" si="107"/>
        <v>1079763</v>
      </c>
      <c r="J941" s="39"/>
      <c r="K941" s="15"/>
    </row>
    <row r="942" spans="1:12" s="16" customFormat="1" ht="25.5" customHeight="1" outlineLevel="3">
      <c r="A942" s="14"/>
      <c r="B942" s="35">
        <f>MAXA(B$5:B941)+1</f>
        <v>215</v>
      </c>
      <c r="C942" s="256" t="s">
        <v>414</v>
      </c>
      <c r="D942" s="233" t="s">
        <v>44</v>
      </c>
      <c r="E942" s="247">
        <v>2</v>
      </c>
      <c r="F942" s="232">
        <v>871812</v>
      </c>
      <c r="G942" s="232">
        <v>105801</v>
      </c>
      <c r="H942" s="138">
        <f t="shared" si="106"/>
        <v>977613</v>
      </c>
      <c r="I942" s="138">
        <f t="shared" si="107"/>
        <v>1955226</v>
      </c>
      <c r="J942" s="41"/>
      <c r="K942" s="15"/>
    </row>
    <row r="943" spans="1:12" s="16" customFormat="1" ht="25.9" customHeight="1" outlineLevel="3">
      <c r="A943" s="14"/>
      <c r="B943" s="35">
        <f>MAXA(B$5:B942)+1</f>
        <v>216</v>
      </c>
      <c r="C943" s="256" t="s">
        <v>415</v>
      </c>
      <c r="D943" s="257" t="s">
        <v>44</v>
      </c>
      <c r="E943" s="247">
        <v>10</v>
      </c>
      <c r="F943" s="232">
        <v>156765</v>
      </c>
      <c r="G943" s="232">
        <v>156319</v>
      </c>
      <c r="H943" s="138">
        <f t="shared" si="106"/>
        <v>313084</v>
      </c>
      <c r="I943" s="138">
        <f t="shared" si="107"/>
        <v>3130840</v>
      </c>
      <c r="J943" s="41"/>
      <c r="K943" s="15"/>
    </row>
    <row r="944" spans="1:12" s="16" customFormat="1" ht="25.9" customHeight="1" outlineLevel="3">
      <c r="A944" s="14"/>
      <c r="B944" s="35">
        <f>MAXA(B$5:B943)+1</f>
        <v>217</v>
      </c>
      <c r="C944" s="256" t="s">
        <v>416</v>
      </c>
      <c r="D944" s="230" t="s">
        <v>417</v>
      </c>
      <c r="E944" s="247">
        <v>10</v>
      </c>
      <c r="F944" s="232">
        <v>98704</v>
      </c>
      <c r="G944" s="232">
        <v>125055</v>
      </c>
      <c r="H944" s="138">
        <f t="shared" si="106"/>
        <v>223759</v>
      </c>
      <c r="I944" s="138">
        <f t="shared" si="107"/>
        <v>2237590</v>
      </c>
      <c r="J944" s="41"/>
      <c r="K944" s="15"/>
    </row>
    <row r="945" spans="1:11" s="16" customFormat="1" ht="25.9" customHeight="1" outlineLevel="3">
      <c r="A945" s="14"/>
      <c r="B945" s="35">
        <f>MAXA(B$5:B944)+1</f>
        <v>218</v>
      </c>
      <c r="C945" s="256" t="s">
        <v>418</v>
      </c>
      <c r="D945" s="233" t="s">
        <v>44</v>
      </c>
      <c r="E945" s="247">
        <v>2</v>
      </c>
      <c r="F945" s="232">
        <v>406429</v>
      </c>
      <c r="G945" s="232">
        <v>125055</v>
      </c>
      <c r="H945" s="138">
        <f t="shared" si="106"/>
        <v>531484</v>
      </c>
      <c r="I945" s="138">
        <f t="shared" si="107"/>
        <v>1062968</v>
      </c>
      <c r="J945" s="41"/>
      <c r="K945" s="15"/>
    </row>
    <row r="946" spans="1:11" s="16" customFormat="1" ht="25.9" customHeight="1" outlineLevel="3">
      <c r="A946" s="14"/>
      <c r="B946" s="35">
        <f>MAXA(B$5:B945)+1</f>
        <v>219</v>
      </c>
      <c r="C946" s="256" t="s">
        <v>419</v>
      </c>
      <c r="D946" s="230" t="s">
        <v>25</v>
      </c>
      <c r="E946" s="247">
        <v>60</v>
      </c>
      <c r="F946" s="232">
        <v>44127</v>
      </c>
      <c r="G946" s="232">
        <v>26053</v>
      </c>
      <c r="H946" s="138">
        <f t="shared" si="106"/>
        <v>70180</v>
      </c>
      <c r="I946" s="138">
        <f t="shared" si="107"/>
        <v>4210800</v>
      </c>
      <c r="J946" s="41"/>
      <c r="K946" s="15"/>
    </row>
    <row r="947" spans="1:11" s="16" customFormat="1" ht="25.9" customHeight="1" outlineLevel="3">
      <c r="A947" s="14"/>
      <c r="B947" s="35">
        <f>MAXA(B$5:B946)+1</f>
        <v>220</v>
      </c>
      <c r="C947" s="256" t="s">
        <v>420</v>
      </c>
      <c r="D947" s="230" t="s">
        <v>25</v>
      </c>
      <c r="E947" s="247">
        <v>132</v>
      </c>
      <c r="F947" s="232">
        <v>170816</v>
      </c>
      <c r="G947" s="232">
        <v>36474</v>
      </c>
      <c r="H947" s="138">
        <f t="shared" si="106"/>
        <v>207290</v>
      </c>
      <c r="I947" s="138">
        <f t="shared" si="107"/>
        <v>27362280</v>
      </c>
      <c r="J947" s="41"/>
      <c r="K947" s="15"/>
    </row>
    <row r="948" spans="1:11" s="16" customFormat="1" ht="25.9" customHeight="1" outlineLevel="3">
      <c r="A948" s="14"/>
      <c r="B948" s="35">
        <f>MAXA(B$5:B947)+1</f>
        <v>221</v>
      </c>
      <c r="C948" s="256" t="s">
        <v>379</v>
      </c>
      <c r="D948" s="230" t="s">
        <v>25</v>
      </c>
      <c r="E948" s="247">
        <v>132</v>
      </c>
      <c r="F948" s="232">
        <v>16052</v>
      </c>
      <c r="G948" s="232">
        <v>18758</v>
      </c>
      <c r="H948" s="138">
        <f t="shared" si="106"/>
        <v>34810</v>
      </c>
      <c r="I948" s="138">
        <f t="shared" si="107"/>
        <v>4594920</v>
      </c>
      <c r="J948" s="41"/>
      <c r="K948" s="15"/>
    </row>
    <row r="949" spans="1:11" s="16" customFormat="1" ht="25.9" customHeight="1" outlineLevel="3">
      <c r="A949" s="14"/>
      <c r="B949" s="35">
        <f>MAXA(B$5:B948)+1</f>
        <v>222</v>
      </c>
      <c r="C949" s="237" t="s">
        <v>421</v>
      </c>
      <c r="D949" s="230" t="s">
        <v>25</v>
      </c>
      <c r="E949" s="247">
        <v>1</v>
      </c>
      <c r="F949" s="232">
        <v>5806125</v>
      </c>
      <c r="G949" s="232">
        <v>2084250</v>
      </c>
      <c r="H949" s="138">
        <f t="shared" si="106"/>
        <v>7890375</v>
      </c>
      <c r="I949" s="138">
        <f t="shared" si="107"/>
        <v>7890375</v>
      </c>
      <c r="J949" s="41"/>
      <c r="K949" s="15"/>
    </row>
    <row r="950" spans="1:11" s="33" customFormat="1" ht="25.5" outlineLevel="3">
      <c r="A950" s="14"/>
      <c r="B950" s="40"/>
      <c r="C950" s="248" t="s">
        <v>422</v>
      </c>
      <c r="D950" s="244"/>
      <c r="E950" s="247"/>
      <c r="F950" s="232">
        <v>0</v>
      </c>
      <c r="G950" s="232">
        <v>0</v>
      </c>
      <c r="H950" s="258"/>
      <c r="I950" s="260"/>
      <c r="J950" s="41"/>
      <c r="K950" s="32"/>
    </row>
    <row r="951" spans="1:11" s="16" customFormat="1" ht="25.9" customHeight="1" outlineLevel="3">
      <c r="A951" s="14"/>
      <c r="B951" s="35">
        <f>MAXA(B$5:B950)+1</f>
        <v>223</v>
      </c>
      <c r="C951" s="256" t="s">
        <v>423</v>
      </c>
      <c r="D951" s="230" t="s">
        <v>25</v>
      </c>
      <c r="E951" s="247">
        <v>120</v>
      </c>
      <c r="F951" s="232">
        <v>174834</v>
      </c>
      <c r="G951" s="232">
        <v>36474</v>
      </c>
      <c r="H951" s="138">
        <f t="shared" ref="H951:H961" si="108">G951+F951</f>
        <v>211308</v>
      </c>
      <c r="I951" s="138">
        <f t="shared" ref="I951:I961" si="109">H951*E951</f>
        <v>25356960</v>
      </c>
      <c r="J951" s="39"/>
      <c r="K951" s="15"/>
    </row>
    <row r="952" spans="1:11" s="16" customFormat="1" ht="25.9" customHeight="1" outlineLevel="3">
      <c r="A952" s="14"/>
      <c r="B952" s="35">
        <f>MAXA(B$5:B951)+1</f>
        <v>224</v>
      </c>
      <c r="C952" s="256" t="s">
        <v>424</v>
      </c>
      <c r="D952" s="230" t="s">
        <v>25</v>
      </c>
      <c r="E952" s="247">
        <v>20</v>
      </c>
      <c r="F952" s="232">
        <v>467672</v>
      </c>
      <c r="G952" s="232">
        <v>46896</v>
      </c>
      <c r="H952" s="138">
        <f t="shared" si="108"/>
        <v>514568</v>
      </c>
      <c r="I952" s="138">
        <f t="shared" si="109"/>
        <v>10291360</v>
      </c>
      <c r="J952" s="39"/>
      <c r="K952" s="15"/>
    </row>
    <row r="953" spans="1:11" s="16" customFormat="1" ht="25.9" customHeight="1" outlineLevel="3">
      <c r="A953" s="14"/>
      <c r="B953" s="35">
        <f>MAXA(B$5:B952)+1</f>
        <v>225</v>
      </c>
      <c r="C953" s="256" t="s">
        <v>425</v>
      </c>
      <c r="D953" s="230" t="s">
        <v>25</v>
      </c>
      <c r="E953" s="247">
        <v>35</v>
      </c>
      <c r="F953" s="232">
        <v>612964</v>
      </c>
      <c r="G953" s="232">
        <v>62528</v>
      </c>
      <c r="H953" s="138">
        <f t="shared" si="108"/>
        <v>675492</v>
      </c>
      <c r="I953" s="138">
        <f t="shared" si="109"/>
        <v>23642220</v>
      </c>
      <c r="J953" s="39"/>
      <c r="K953" s="15"/>
    </row>
    <row r="954" spans="1:11" s="16" customFormat="1" ht="25.9" customHeight="1" outlineLevel="3">
      <c r="A954" s="14"/>
      <c r="B954" s="35">
        <f>MAXA(B$5:B953)+1</f>
        <v>226</v>
      </c>
      <c r="C954" s="256" t="s">
        <v>426</v>
      </c>
      <c r="D954" s="230" t="s">
        <v>25</v>
      </c>
      <c r="E954" s="247">
        <v>30</v>
      </c>
      <c r="F954" s="232">
        <v>303173</v>
      </c>
      <c r="G954" s="232">
        <v>41685</v>
      </c>
      <c r="H954" s="138">
        <f t="shared" si="108"/>
        <v>344858</v>
      </c>
      <c r="I954" s="138">
        <f t="shared" si="109"/>
        <v>10345740</v>
      </c>
      <c r="J954" s="39"/>
      <c r="K954" s="15"/>
    </row>
    <row r="955" spans="1:11" s="16" customFormat="1" ht="25.9" customHeight="1" outlineLevel="3">
      <c r="A955" s="14"/>
      <c r="B955" s="35">
        <f>MAXA(B$5:B954)+1</f>
        <v>227</v>
      </c>
      <c r="C955" s="256" t="s">
        <v>420</v>
      </c>
      <c r="D955" s="230" t="s">
        <v>25</v>
      </c>
      <c r="E955" s="247">
        <v>50</v>
      </c>
      <c r="F955" s="232">
        <v>170816</v>
      </c>
      <c r="G955" s="232">
        <v>36474</v>
      </c>
      <c r="H955" s="138">
        <f t="shared" si="108"/>
        <v>207290</v>
      </c>
      <c r="I955" s="138">
        <f t="shared" si="109"/>
        <v>10364500</v>
      </c>
      <c r="J955" s="39"/>
      <c r="K955" s="15"/>
    </row>
    <row r="956" spans="1:11" s="16" customFormat="1" ht="38.1" customHeight="1" outlineLevel="3">
      <c r="A956" s="14"/>
      <c r="B956" s="35">
        <f>MAXA(B$5:B955)+1</f>
        <v>228</v>
      </c>
      <c r="C956" s="256" t="s">
        <v>427</v>
      </c>
      <c r="D956" s="233" t="s">
        <v>44</v>
      </c>
      <c r="E956" s="247">
        <v>1</v>
      </c>
      <c r="F956" s="232">
        <v>2612756</v>
      </c>
      <c r="G956" s="232">
        <v>260531</v>
      </c>
      <c r="H956" s="138">
        <f t="shared" si="108"/>
        <v>2873287</v>
      </c>
      <c r="I956" s="138">
        <f t="shared" si="109"/>
        <v>2873287</v>
      </c>
      <c r="J956" s="39"/>
      <c r="K956" s="15"/>
    </row>
    <row r="957" spans="1:11" s="16" customFormat="1" ht="38.25" outlineLevel="3">
      <c r="A957" s="14"/>
      <c r="B957" s="35">
        <f>MAXA(B$5:B956)+1</f>
        <v>229</v>
      </c>
      <c r="C957" s="256" t="s">
        <v>428</v>
      </c>
      <c r="D957" s="233" t="s">
        <v>44</v>
      </c>
      <c r="E957" s="247">
        <v>1</v>
      </c>
      <c r="F957" s="232">
        <v>1916021</v>
      </c>
      <c r="G957" s="232">
        <v>260531</v>
      </c>
      <c r="H957" s="138">
        <f t="shared" si="108"/>
        <v>2176552</v>
      </c>
      <c r="I957" s="138">
        <f t="shared" si="109"/>
        <v>2176552</v>
      </c>
      <c r="J957" s="39"/>
      <c r="K957" s="15"/>
    </row>
    <row r="958" spans="1:11" s="16" customFormat="1" ht="25.9" customHeight="1" outlineLevel="3">
      <c r="A958" s="14"/>
      <c r="B958" s="35">
        <f>MAXA(B$5:B957)+1</f>
        <v>230</v>
      </c>
      <c r="C958" s="256" t="s">
        <v>415</v>
      </c>
      <c r="D958" s="233" t="s">
        <v>44</v>
      </c>
      <c r="E958" s="247">
        <v>16</v>
      </c>
      <c r="F958" s="232">
        <v>209021</v>
      </c>
      <c r="G958" s="232">
        <v>156319</v>
      </c>
      <c r="H958" s="138">
        <f t="shared" si="108"/>
        <v>365340</v>
      </c>
      <c r="I958" s="138">
        <f t="shared" si="109"/>
        <v>5845440</v>
      </c>
      <c r="J958" s="39"/>
      <c r="K958" s="15"/>
    </row>
    <row r="959" spans="1:11" s="16" customFormat="1" ht="25.9" customHeight="1" outlineLevel="3">
      <c r="A959" s="14"/>
      <c r="B959" s="35">
        <f>MAXA(B$5:B958)+1</f>
        <v>231</v>
      </c>
      <c r="C959" s="256" t="s">
        <v>416</v>
      </c>
      <c r="D959" s="257" t="s">
        <v>417</v>
      </c>
      <c r="E959" s="247">
        <v>16</v>
      </c>
      <c r="F959" s="232">
        <v>106833</v>
      </c>
      <c r="G959" s="232">
        <v>125055</v>
      </c>
      <c r="H959" s="138">
        <f t="shared" si="108"/>
        <v>231888</v>
      </c>
      <c r="I959" s="138">
        <f t="shared" si="109"/>
        <v>3710208</v>
      </c>
      <c r="J959" s="39"/>
      <c r="K959" s="15"/>
    </row>
    <row r="960" spans="1:11" s="16" customFormat="1" ht="25.9" customHeight="1" outlineLevel="3">
      <c r="A960" s="14"/>
      <c r="B960" s="35">
        <f>MAXA(B$5:B959)+1</f>
        <v>232</v>
      </c>
      <c r="C960" s="256" t="s">
        <v>379</v>
      </c>
      <c r="D960" s="230" t="s">
        <v>25</v>
      </c>
      <c r="E960" s="247">
        <v>145</v>
      </c>
      <c r="F960" s="232">
        <v>16052</v>
      </c>
      <c r="G960" s="232">
        <v>18758</v>
      </c>
      <c r="H960" s="138">
        <f t="shared" si="108"/>
        <v>34810</v>
      </c>
      <c r="I960" s="138">
        <f t="shared" si="109"/>
        <v>5047450</v>
      </c>
      <c r="J960" s="39"/>
      <c r="K960" s="15"/>
    </row>
    <row r="961" spans="1:14" s="16" customFormat="1" ht="25.9" customHeight="1" outlineLevel="3">
      <c r="A961" s="14"/>
      <c r="B961" s="35">
        <f>MAXA(B$5:B960)+1</f>
        <v>233</v>
      </c>
      <c r="C961" s="238" t="s">
        <v>429</v>
      </c>
      <c r="D961" s="230" t="s">
        <v>38</v>
      </c>
      <c r="E961" s="247">
        <v>1</v>
      </c>
      <c r="F961" s="232">
        <v>5806125</v>
      </c>
      <c r="G961" s="232">
        <v>2084250</v>
      </c>
      <c r="H961" s="138">
        <f t="shared" si="108"/>
        <v>7890375</v>
      </c>
      <c r="I961" s="138">
        <f t="shared" si="109"/>
        <v>7890375</v>
      </c>
      <c r="J961" s="39"/>
      <c r="K961" s="15"/>
    </row>
    <row r="962" spans="1:14" s="33" customFormat="1" ht="26.25" outlineLevel="2">
      <c r="A962" s="14"/>
      <c r="B962" s="30" t="s">
        <v>430</v>
      </c>
      <c r="C962" s="225" t="s">
        <v>431</v>
      </c>
      <c r="D962" s="225"/>
      <c r="E962" s="226"/>
      <c r="F962" s="232">
        <v>0</v>
      </c>
      <c r="G962" s="232">
        <v>0</v>
      </c>
      <c r="H962" s="225"/>
      <c r="I962" s="266">
        <f>SUBTOTAL(9,I963:I1118)</f>
        <v>10478533860</v>
      </c>
      <c r="J962" s="31"/>
      <c r="K962" s="32"/>
      <c r="M962" s="16" t="s">
        <v>430</v>
      </c>
      <c r="N962" s="33" t="s">
        <v>430</v>
      </c>
    </row>
    <row r="963" spans="1:14" s="33" customFormat="1" ht="25.9" customHeight="1" outlineLevel="3">
      <c r="A963" s="34"/>
      <c r="B963" s="38" t="s">
        <v>432</v>
      </c>
      <c r="C963" s="267" t="s">
        <v>433</v>
      </c>
      <c r="D963" s="268"/>
      <c r="E963" s="213"/>
      <c r="F963" s="232">
        <v>0</v>
      </c>
      <c r="G963" s="232">
        <v>0</v>
      </c>
      <c r="H963" s="258"/>
      <c r="I963" s="180">
        <f>SUBTOTAL(9,I964:I1036)</f>
        <v>4448737702</v>
      </c>
      <c r="J963" s="41"/>
      <c r="K963" s="32"/>
    </row>
    <row r="964" spans="1:14" s="16" customFormat="1" ht="25.5" customHeight="1" outlineLevel="3">
      <c r="A964" s="14"/>
      <c r="B964" s="35">
        <f>MAXA(B$5:B963)+1</f>
        <v>234</v>
      </c>
      <c r="C964" s="256" t="s">
        <v>434</v>
      </c>
      <c r="D964" s="230" t="s">
        <v>38</v>
      </c>
      <c r="E964" s="231">
        <v>1</v>
      </c>
      <c r="F964" s="232">
        <v>0</v>
      </c>
      <c r="G964" s="232">
        <v>0</v>
      </c>
      <c r="H964" s="138">
        <f t="shared" ref="H964:H970" si="110">G964+F964</f>
        <v>0</v>
      </c>
      <c r="I964" s="138">
        <f t="shared" ref="I964:I970" si="111">H964*E964</f>
        <v>0</v>
      </c>
      <c r="J964" s="25"/>
      <c r="K964" s="15"/>
    </row>
    <row r="965" spans="1:14" s="16" customFormat="1" ht="25.5" customHeight="1" outlineLevel="3">
      <c r="A965" s="14"/>
      <c r="B965" s="35"/>
      <c r="C965" s="256" t="s">
        <v>435</v>
      </c>
      <c r="D965" s="230" t="s">
        <v>28</v>
      </c>
      <c r="E965" s="231">
        <v>1</v>
      </c>
      <c r="F965" s="232">
        <v>19905977</v>
      </c>
      <c r="G965" s="232">
        <v>1392478</v>
      </c>
      <c r="H965" s="138">
        <f t="shared" si="110"/>
        <v>21298455</v>
      </c>
      <c r="I965" s="138">
        <f t="shared" si="111"/>
        <v>21298455</v>
      </c>
      <c r="J965" s="25"/>
      <c r="K965" s="15"/>
    </row>
    <row r="966" spans="1:14" s="16" customFormat="1" ht="25.5" customHeight="1" outlineLevel="3">
      <c r="A966" s="14"/>
      <c r="B966" s="35"/>
      <c r="C966" s="256" t="s">
        <v>436</v>
      </c>
      <c r="D966" s="233" t="s">
        <v>44</v>
      </c>
      <c r="E966" s="231">
        <v>1</v>
      </c>
      <c r="F966" s="232">
        <v>2694042</v>
      </c>
      <c r="G966" s="232">
        <v>1141375</v>
      </c>
      <c r="H966" s="138">
        <f t="shared" si="110"/>
        <v>3835417</v>
      </c>
      <c r="I966" s="138">
        <f t="shared" si="111"/>
        <v>3835417</v>
      </c>
      <c r="J966" s="25"/>
      <c r="K966" s="15"/>
    </row>
    <row r="967" spans="1:14" s="16" customFormat="1" ht="25.5" customHeight="1" outlineLevel="3">
      <c r="A967" s="14"/>
      <c r="B967" s="35"/>
      <c r="C967" s="256" t="s">
        <v>437</v>
      </c>
      <c r="D967" s="230" t="s">
        <v>28</v>
      </c>
      <c r="E967" s="231">
        <v>1</v>
      </c>
      <c r="F967" s="232">
        <v>181338960</v>
      </c>
      <c r="G967" s="232">
        <v>570688</v>
      </c>
      <c r="H967" s="138">
        <f t="shared" si="110"/>
        <v>181909648</v>
      </c>
      <c r="I967" s="138">
        <f t="shared" si="111"/>
        <v>181909648</v>
      </c>
      <c r="J967" s="25"/>
      <c r="K967" s="15"/>
    </row>
    <row r="968" spans="1:14" s="16" customFormat="1" ht="25.5" customHeight="1" outlineLevel="3">
      <c r="A968" s="14"/>
      <c r="B968" s="35"/>
      <c r="C968" s="256" t="s">
        <v>438</v>
      </c>
      <c r="D968" s="233" t="s">
        <v>44</v>
      </c>
      <c r="E968" s="231">
        <v>1</v>
      </c>
      <c r="F968" s="232">
        <v>241199364</v>
      </c>
      <c r="G968" s="232">
        <v>570688</v>
      </c>
      <c r="H968" s="138">
        <f t="shared" si="110"/>
        <v>241770052</v>
      </c>
      <c r="I968" s="138">
        <f t="shared" si="111"/>
        <v>241770052</v>
      </c>
      <c r="J968" s="25"/>
      <c r="K968" s="15"/>
    </row>
    <row r="969" spans="1:14" s="16" customFormat="1" ht="25.5" customHeight="1" outlineLevel="3">
      <c r="A969" s="14"/>
      <c r="B969" s="35"/>
      <c r="C969" s="256" t="s">
        <v>439</v>
      </c>
      <c r="D969" s="230" t="s">
        <v>28</v>
      </c>
      <c r="E969" s="231">
        <v>2</v>
      </c>
      <c r="F969" s="232">
        <v>40103809</v>
      </c>
      <c r="G969" s="232">
        <v>342413</v>
      </c>
      <c r="H969" s="138">
        <f t="shared" si="110"/>
        <v>40446222</v>
      </c>
      <c r="I969" s="138">
        <f t="shared" si="111"/>
        <v>80892444</v>
      </c>
      <c r="J969" s="25"/>
      <c r="K969" s="15"/>
    </row>
    <row r="970" spans="1:14" s="16" customFormat="1" ht="25.5" customHeight="1" outlineLevel="3">
      <c r="A970" s="14"/>
      <c r="B970" s="35"/>
      <c r="C970" s="256" t="s">
        <v>440</v>
      </c>
      <c r="D970" s="230" t="s">
        <v>28</v>
      </c>
      <c r="E970" s="231">
        <v>1</v>
      </c>
      <c r="F970" s="232">
        <v>40103809</v>
      </c>
      <c r="G970" s="232">
        <v>342413</v>
      </c>
      <c r="H970" s="138">
        <f t="shared" si="110"/>
        <v>40446222</v>
      </c>
      <c r="I970" s="138">
        <f t="shared" si="111"/>
        <v>40446222</v>
      </c>
      <c r="J970" s="25"/>
      <c r="K970" s="15"/>
    </row>
    <row r="971" spans="1:14" s="16" customFormat="1" ht="51" outlineLevel="3">
      <c r="A971" s="14"/>
      <c r="B971" s="35"/>
      <c r="C971" s="256" t="s">
        <v>441</v>
      </c>
      <c r="D971" s="230" t="s">
        <v>28</v>
      </c>
      <c r="E971" s="231"/>
      <c r="F971" s="232">
        <v>0</v>
      </c>
      <c r="G971" s="232">
        <v>0</v>
      </c>
      <c r="H971" s="214"/>
      <c r="I971" s="180"/>
      <c r="J971" s="36" t="s">
        <v>442</v>
      </c>
      <c r="K971" s="15"/>
    </row>
    <row r="972" spans="1:14" s="16" customFormat="1" ht="25.5" customHeight="1" outlineLevel="3">
      <c r="A972" s="14"/>
      <c r="B972" s="35"/>
      <c r="C972" s="256" t="s">
        <v>443</v>
      </c>
      <c r="D972" s="230" t="s">
        <v>28</v>
      </c>
      <c r="E972" s="231">
        <v>3</v>
      </c>
      <c r="F972" s="232">
        <v>6145064</v>
      </c>
      <c r="G972" s="232">
        <v>1141375</v>
      </c>
      <c r="H972" s="138">
        <f t="shared" ref="H972:H1035" si="112">G972+F972</f>
        <v>7286439</v>
      </c>
      <c r="I972" s="138">
        <f t="shared" ref="I972:I1003" si="113">H972*E972</f>
        <v>21859317</v>
      </c>
      <c r="J972" s="25"/>
      <c r="K972" s="15"/>
    </row>
    <row r="973" spans="1:14" s="16" customFormat="1" ht="25.5" customHeight="1" outlineLevel="3">
      <c r="A973" s="14"/>
      <c r="B973" s="35"/>
      <c r="C973" s="256" t="s">
        <v>444</v>
      </c>
      <c r="D973" s="230" t="s">
        <v>28</v>
      </c>
      <c r="E973" s="231">
        <v>1</v>
      </c>
      <c r="F973" s="232">
        <v>329272</v>
      </c>
      <c r="G973" s="232">
        <v>114138</v>
      </c>
      <c r="H973" s="138">
        <f t="shared" si="112"/>
        <v>443410</v>
      </c>
      <c r="I973" s="138">
        <f t="shared" si="113"/>
        <v>443410</v>
      </c>
      <c r="J973" s="25"/>
      <c r="K973" s="15"/>
    </row>
    <row r="974" spans="1:14" s="16" customFormat="1" ht="25.5" customHeight="1" outlineLevel="3">
      <c r="A974" s="14"/>
      <c r="B974" s="35"/>
      <c r="C974" s="256" t="s">
        <v>445</v>
      </c>
      <c r="D974" s="230" t="s">
        <v>28</v>
      </c>
      <c r="E974" s="231">
        <v>1</v>
      </c>
      <c r="F974" s="232">
        <v>1092584</v>
      </c>
      <c r="G974" s="232">
        <v>114138</v>
      </c>
      <c r="H974" s="138">
        <f t="shared" si="112"/>
        <v>1206722</v>
      </c>
      <c r="I974" s="138">
        <f t="shared" si="113"/>
        <v>1206722</v>
      </c>
      <c r="J974" s="25"/>
      <c r="K974" s="15"/>
    </row>
    <row r="975" spans="1:14" s="16" customFormat="1" ht="25.5" customHeight="1" outlineLevel="3">
      <c r="A975" s="14"/>
      <c r="B975" s="35"/>
      <c r="C975" s="256" t="s">
        <v>446</v>
      </c>
      <c r="D975" s="233" t="s">
        <v>44</v>
      </c>
      <c r="E975" s="231">
        <v>1</v>
      </c>
      <c r="F975" s="232">
        <v>10858852</v>
      </c>
      <c r="G975" s="232">
        <v>570688</v>
      </c>
      <c r="H975" s="138">
        <f t="shared" si="112"/>
        <v>11429540</v>
      </c>
      <c r="I975" s="138">
        <f t="shared" si="113"/>
        <v>11429540</v>
      </c>
      <c r="J975" s="25"/>
      <c r="K975" s="15"/>
    </row>
    <row r="976" spans="1:14" s="16" customFormat="1" ht="25.5" customHeight="1" outlineLevel="3">
      <c r="A976" s="14"/>
      <c r="B976" s="35"/>
      <c r="C976" s="256" t="s">
        <v>447</v>
      </c>
      <c r="D976" s="230" t="s">
        <v>38</v>
      </c>
      <c r="E976" s="231">
        <v>1</v>
      </c>
      <c r="F976" s="232">
        <v>124200413</v>
      </c>
      <c r="G976" s="232">
        <v>5821013</v>
      </c>
      <c r="H976" s="138">
        <f t="shared" si="112"/>
        <v>130021426</v>
      </c>
      <c r="I976" s="138">
        <f t="shared" si="113"/>
        <v>130021426</v>
      </c>
      <c r="J976" s="25"/>
      <c r="K976" s="15"/>
    </row>
    <row r="977" spans="1:11" s="16" customFormat="1" ht="25.5" customHeight="1" outlineLevel="3">
      <c r="A977" s="14"/>
      <c r="B977" s="35">
        <f>MAXA(B$5:B976)+1</f>
        <v>235</v>
      </c>
      <c r="C977" s="256" t="s">
        <v>448</v>
      </c>
      <c r="D977" s="230" t="s">
        <v>38</v>
      </c>
      <c r="E977" s="231">
        <v>1</v>
      </c>
      <c r="F977" s="232">
        <v>0</v>
      </c>
      <c r="G977" s="232">
        <v>0</v>
      </c>
      <c r="H977" s="138">
        <f t="shared" si="112"/>
        <v>0</v>
      </c>
      <c r="I977" s="138">
        <f t="shared" si="113"/>
        <v>0</v>
      </c>
      <c r="J977" s="25"/>
      <c r="K977" s="15"/>
    </row>
    <row r="978" spans="1:11" s="16" customFormat="1" ht="25.5" customHeight="1" outlineLevel="3">
      <c r="A978" s="14"/>
      <c r="B978" s="35"/>
      <c r="C978" s="256" t="s">
        <v>449</v>
      </c>
      <c r="D978" s="230" t="s">
        <v>28</v>
      </c>
      <c r="E978" s="231">
        <v>1</v>
      </c>
      <c r="F978" s="232">
        <v>14812741</v>
      </c>
      <c r="G978" s="232">
        <v>1141375</v>
      </c>
      <c r="H978" s="138">
        <f t="shared" si="112"/>
        <v>15954116</v>
      </c>
      <c r="I978" s="138">
        <f t="shared" si="113"/>
        <v>15954116</v>
      </c>
      <c r="J978" s="25"/>
      <c r="K978" s="15"/>
    </row>
    <row r="979" spans="1:11" s="16" customFormat="1" ht="25.5" customHeight="1" outlineLevel="3">
      <c r="A979" s="14"/>
      <c r="B979" s="35"/>
      <c r="C979" s="256" t="s">
        <v>450</v>
      </c>
      <c r="D979" s="233" t="s">
        <v>44</v>
      </c>
      <c r="E979" s="231">
        <v>1</v>
      </c>
      <c r="F979" s="232">
        <v>1421856</v>
      </c>
      <c r="G979" s="232">
        <v>342413</v>
      </c>
      <c r="H979" s="138">
        <f t="shared" si="112"/>
        <v>1764269</v>
      </c>
      <c r="I979" s="138">
        <f t="shared" si="113"/>
        <v>1764269</v>
      </c>
      <c r="J979" s="25"/>
      <c r="K979" s="15"/>
    </row>
    <row r="980" spans="1:11" s="16" customFormat="1" ht="25.5" customHeight="1" outlineLevel="3">
      <c r="A980" s="14"/>
      <c r="B980" s="35"/>
      <c r="C980" s="256" t="s">
        <v>451</v>
      </c>
      <c r="D980" s="230" t="s">
        <v>28</v>
      </c>
      <c r="E980" s="231">
        <v>2</v>
      </c>
      <c r="F980" s="232">
        <v>40103809</v>
      </c>
      <c r="G980" s="232">
        <v>342413</v>
      </c>
      <c r="H980" s="138">
        <f t="shared" si="112"/>
        <v>40446222</v>
      </c>
      <c r="I980" s="138">
        <f t="shared" si="113"/>
        <v>80892444</v>
      </c>
      <c r="J980" s="25"/>
      <c r="K980" s="15"/>
    </row>
    <row r="981" spans="1:11" s="16" customFormat="1" ht="25.5" customHeight="1" outlineLevel="3">
      <c r="A981" s="14"/>
      <c r="B981" s="35"/>
      <c r="C981" s="256" t="s">
        <v>452</v>
      </c>
      <c r="D981" s="230" t="s">
        <v>28</v>
      </c>
      <c r="E981" s="231">
        <v>1</v>
      </c>
      <c r="F981" s="232">
        <v>40103809</v>
      </c>
      <c r="G981" s="232">
        <v>342413</v>
      </c>
      <c r="H981" s="138">
        <f t="shared" si="112"/>
        <v>40446222</v>
      </c>
      <c r="I981" s="138">
        <f t="shared" si="113"/>
        <v>40446222</v>
      </c>
      <c r="J981" s="25"/>
      <c r="K981" s="15"/>
    </row>
    <row r="982" spans="1:11" s="16" customFormat="1" ht="25.5" customHeight="1" outlineLevel="3">
      <c r="A982" s="14"/>
      <c r="B982" s="35"/>
      <c r="C982" s="256" t="s">
        <v>443</v>
      </c>
      <c r="D982" s="230" t="s">
        <v>28</v>
      </c>
      <c r="E982" s="231">
        <v>3</v>
      </c>
      <c r="F982" s="232">
        <v>6145064</v>
      </c>
      <c r="G982" s="232">
        <v>1141375</v>
      </c>
      <c r="H982" s="138">
        <f t="shared" si="112"/>
        <v>7286439</v>
      </c>
      <c r="I982" s="138">
        <f t="shared" si="113"/>
        <v>21859317</v>
      </c>
      <c r="J982" s="25"/>
      <c r="K982" s="15"/>
    </row>
    <row r="983" spans="1:11" s="16" customFormat="1" ht="25.5" customHeight="1" outlineLevel="3">
      <c r="A983" s="14"/>
      <c r="B983" s="35"/>
      <c r="C983" s="256" t="s">
        <v>444</v>
      </c>
      <c r="D983" s="230" t="s">
        <v>28</v>
      </c>
      <c r="E983" s="231">
        <v>1</v>
      </c>
      <c r="F983" s="232">
        <v>329272</v>
      </c>
      <c r="G983" s="232">
        <v>114138</v>
      </c>
      <c r="H983" s="138">
        <f t="shared" si="112"/>
        <v>443410</v>
      </c>
      <c r="I983" s="138">
        <f t="shared" si="113"/>
        <v>443410</v>
      </c>
      <c r="J983" s="25"/>
      <c r="K983" s="15"/>
    </row>
    <row r="984" spans="1:11" s="16" customFormat="1" ht="25.5" customHeight="1" outlineLevel="3">
      <c r="A984" s="14"/>
      <c r="B984" s="35"/>
      <c r="C984" s="256" t="s">
        <v>445</v>
      </c>
      <c r="D984" s="230" t="s">
        <v>28</v>
      </c>
      <c r="E984" s="231">
        <v>1</v>
      </c>
      <c r="F984" s="232">
        <v>1092584</v>
      </c>
      <c r="G984" s="232">
        <v>114138</v>
      </c>
      <c r="H984" s="138">
        <f t="shared" si="112"/>
        <v>1206722</v>
      </c>
      <c r="I984" s="138">
        <f t="shared" si="113"/>
        <v>1206722</v>
      </c>
      <c r="J984" s="25"/>
      <c r="K984" s="15"/>
    </row>
    <row r="985" spans="1:11" s="16" customFormat="1" ht="25.5" customHeight="1" outlineLevel="3">
      <c r="A985" s="14"/>
      <c r="B985" s="35"/>
      <c r="C985" s="256" t="s">
        <v>446</v>
      </c>
      <c r="D985" s="233" t="s">
        <v>44</v>
      </c>
      <c r="E985" s="231">
        <v>1</v>
      </c>
      <c r="F985" s="232">
        <v>10858852</v>
      </c>
      <c r="G985" s="232">
        <v>570688</v>
      </c>
      <c r="H985" s="138">
        <f t="shared" si="112"/>
        <v>11429540</v>
      </c>
      <c r="I985" s="138">
        <f t="shared" si="113"/>
        <v>11429540</v>
      </c>
      <c r="J985" s="25"/>
      <c r="K985" s="15"/>
    </row>
    <row r="986" spans="1:11" s="16" customFormat="1" ht="25.5" customHeight="1" outlineLevel="3">
      <c r="A986" s="14"/>
      <c r="B986" s="35"/>
      <c r="C986" s="256" t="s">
        <v>447</v>
      </c>
      <c r="D986" s="230" t="s">
        <v>38</v>
      </c>
      <c r="E986" s="231">
        <v>1</v>
      </c>
      <c r="F986" s="232">
        <v>31116507</v>
      </c>
      <c r="G986" s="232">
        <v>913100</v>
      </c>
      <c r="H986" s="138">
        <f t="shared" si="112"/>
        <v>32029607</v>
      </c>
      <c r="I986" s="138">
        <f t="shared" si="113"/>
        <v>32029607</v>
      </c>
      <c r="J986" s="25"/>
      <c r="K986" s="15"/>
    </row>
    <row r="987" spans="1:11" s="16" customFormat="1" ht="25.5" customHeight="1" outlineLevel="3">
      <c r="A987" s="14"/>
      <c r="B987" s="35">
        <f>MAXA(B$5:B986)+1</f>
        <v>236</v>
      </c>
      <c r="C987" s="256" t="s">
        <v>453</v>
      </c>
      <c r="D987" s="230" t="s">
        <v>38</v>
      </c>
      <c r="E987" s="231">
        <v>1</v>
      </c>
      <c r="F987" s="232">
        <v>0</v>
      </c>
      <c r="G987" s="232">
        <v>0</v>
      </c>
      <c r="H987" s="138">
        <f t="shared" si="112"/>
        <v>0</v>
      </c>
      <c r="I987" s="138">
        <f t="shared" si="113"/>
        <v>0</v>
      </c>
      <c r="J987" s="25"/>
      <c r="K987" s="15"/>
    </row>
    <row r="988" spans="1:11" s="16" customFormat="1" ht="25.5" customHeight="1" outlineLevel="3">
      <c r="A988" s="14"/>
      <c r="B988" s="35"/>
      <c r="C988" s="256" t="s">
        <v>454</v>
      </c>
      <c r="D988" s="230" t="s">
        <v>28</v>
      </c>
      <c r="E988" s="231">
        <v>1</v>
      </c>
      <c r="F988" s="232">
        <v>14812741</v>
      </c>
      <c r="G988" s="232">
        <v>1141375</v>
      </c>
      <c r="H988" s="138">
        <f t="shared" si="112"/>
        <v>15954116</v>
      </c>
      <c r="I988" s="138">
        <f t="shared" si="113"/>
        <v>15954116</v>
      </c>
      <c r="J988" s="25"/>
      <c r="K988" s="15"/>
    </row>
    <row r="989" spans="1:11" s="16" customFormat="1" ht="25.5" customHeight="1" outlineLevel="3">
      <c r="A989" s="14"/>
      <c r="B989" s="35"/>
      <c r="C989" s="256" t="s">
        <v>450</v>
      </c>
      <c r="D989" s="230" t="s">
        <v>28</v>
      </c>
      <c r="E989" s="231">
        <v>1</v>
      </c>
      <c r="F989" s="232">
        <v>1421856</v>
      </c>
      <c r="G989" s="232">
        <v>342413</v>
      </c>
      <c r="H989" s="138">
        <f t="shared" si="112"/>
        <v>1764269</v>
      </c>
      <c r="I989" s="138">
        <f t="shared" si="113"/>
        <v>1764269</v>
      </c>
      <c r="J989" s="25"/>
      <c r="K989" s="15"/>
    </row>
    <row r="990" spans="1:11" s="16" customFormat="1" ht="25.5" customHeight="1" outlineLevel="3">
      <c r="A990" s="14"/>
      <c r="B990" s="35"/>
      <c r="C990" s="269" t="s">
        <v>455</v>
      </c>
      <c r="D990" s="230" t="s">
        <v>28</v>
      </c>
      <c r="E990" s="231">
        <v>2</v>
      </c>
      <c r="F990" s="232">
        <v>40103809</v>
      </c>
      <c r="G990" s="232">
        <v>342413</v>
      </c>
      <c r="H990" s="138">
        <f t="shared" si="112"/>
        <v>40446222</v>
      </c>
      <c r="I990" s="138">
        <f t="shared" si="113"/>
        <v>80892444</v>
      </c>
      <c r="J990" s="25"/>
      <c r="K990" s="15"/>
    </row>
    <row r="991" spans="1:11" s="16" customFormat="1" ht="25.5" customHeight="1" outlineLevel="3">
      <c r="A991" s="14"/>
      <c r="B991" s="35"/>
      <c r="C991" s="256" t="s">
        <v>456</v>
      </c>
      <c r="D991" s="230" t="s">
        <v>28</v>
      </c>
      <c r="E991" s="231">
        <v>1</v>
      </c>
      <c r="F991" s="232">
        <v>19119004</v>
      </c>
      <c r="G991" s="232">
        <v>198659</v>
      </c>
      <c r="H991" s="138">
        <f t="shared" si="112"/>
        <v>19317663</v>
      </c>
      <c r="I991" s="138">
        <f t="shared" si="113"/>
        <v>19317663</v>
      </c>
      <c r="J991" s="25"/>
      <c r="K991" s="15"/>
    </row>
    <row r="992" spans="1:11" s="16" customFormat="1" ht="25.5" customHeight="1" outlineLevel="3">
      <c r="A992" s="14"/>
      <c r="B992" s="35"/>
      <c r="C992" s="256" t="s">
        <v>443</v>
      </c>
      <c r="D992" s="230" t="s">
        <v>28</v>
      </c>
      <c r="E992" s="231">
        <v>2</v>
      </c>
      <c r="F992" s="232">
        <v>6145064</v>
      </c>
      <c r="G992" s="232">
        <v>1141375</v>
      </c>
      <c r="H992" s="138">
        <f t="shared" si="112"/>
        <v>7286439</v>
      </c>
      <c r="I992" s="138">
        <f t="shared" si="113"/>
        <v>14572878</v>
      </c>
      <c r="J992" s="25"/>
      <c r="K992" s="15"/>
    </row>
    <row r="993" spans="1:11" s="16" customFormat="1" ht="25.5" customHeight="1" outlineLevel="3">
      <c r="A993" s="14"/>
      <c r="B993" s="35"/>
      <c r="C993" s="256" t="s">
        <v>457</v>
      </c>
      <c r="D993" s="230" t="s">
        <v>28</v>
      </c>
      <c r="E993" s="231">
        <v>1</v>
      </c>
      <c r="F993" s="232">
        <v>3223640</v>
      </c>
      <c r="G993" s="232">
        <v>342413</v>
      </c>
      <c r="H993" s="138">
        <f t="shared" si="112"/>
        <v>3566053</v>
      </c>
      <c r="I993" s="138">
        <f t="shared" si="113"/>
        <v>3566053</v>
      </c>
      <c r="J993" s="25"/>
      <c r="K993" s="15"/>
    </row>
    <row r="994" spans="1:11" s="16" customFormat="1" ht="25.5" customHeight="1" outlineLevel="3">
      <c r="A994" s="14"/>
      <c r="B994" s="35"/>
      <c r="C994" s="256" t="s">
        <v>444</v>
      </c>
      <c r="D994" s="230" t="s">
        <v>28</v>
      </c>
      <c r="E994" s="231">
        <v>1</v>
      </c>
      <c r="F994" s="232">
        <v>329272</v>
      </c>
      <c r="G994" s="232">
        <v>114138</v>
      </c>
      <c r="H994" s="138">
        <f t="shared" si="112"/>
        <v>443410</v>
      </c>
      <c r="I994" s="138">
        <f t="shared" si="113"/>
        <v>443410</v>
      </c>
      <c r="J994" s="25"/>
      <c r="K994" s="15"/>
    </row>
    <row r="995" spans="1:11" s="16" customFormat="1" ht="25.5" customHeight="1" outlineLevel="3">
      <c r="A995" s="14"/>
      <c r="B995" s="35"/>
      <c r="C995" s="256" t="s">
        <v>445</v>
      </c>
      <c r="D995" s="230" t="s">
        <v>28</v>
      </c>
      <c r="E995" s="231">
        <v>1</v>
      </c>
      <c r="F995" s="232">
        <v>1050561</v>
      </c>
      <c r="G995" s="232">
        <v>114138</v>
      </c>
      <c r="H995" s="138">
        <f t="shared" si="112"/>
        <v>1164699</v>
      </c>
      <c r="I995" s="138">
        <f t="shared" si="113"/>
        <v>1164699</v>
      </c>
      <c r="J995" s="25"/>
      <c r="K995" s="15"/>
    </row>
    <row r="996" spans="1:11" s="16" customFormat="1" ht="25.5" customHeight="1" outlineLevel="3">
      <c r="A996" s="14"/>
      <c r="B996" s="35"/>
      <c r="C996" s="256" t="s">
        <v>446</v>
      </c>
      <c r="D996" s="233" t="s">
        <v>44</v>
      </c>
      <c r="E996" s="231">
        <v>1</v>
      </c>
      <c r="F996" s="232">
        <v>10858852</v>
      </c>
      <c r="G996" s="232">
        <v>228277</v>
      </c>
      <c r="H996" s="138">
        <f t="shared" si="112"/>
        <v>11087129</v>
      </c>
      <c r="I996" s="138">
        <f t="shared" si="113"/>
        <v>11087129</v>
      </c>
      <c r="J996" s="25"/>
      <c r="K996" s="15"/>
    </row>
    <row r="997" spans="1:11" s="16" customFormat="1" ht="25.5" customHeight="1" outlineLevel="3">
      <c r="A997" s="14"/>
      <c r="B997" s="35"/>
      <c r="C997" s="256" t="s">
        <v>458</v>
      </c>
      <c r="D997" s="230" t="s">
        <v>38</v>
      </c>
      <c r="E997" s="231">
        <v>1</v>
      </c>
      <c r="F997" s="232">
        <v>31116507</v>
      </c>
      <c r="G997" s="232">
        <v>913100</v>
      </c>
      <c r="H997" s="138">
        <f t="shared" si="112"/>
        <v>32029607</v>
      </c>
      <c r="I997" s="138">
        <f t="shared" si="113"/>
        <v>32029607</v>
      </c>
      <c r="J997" s="25"/>
      <c r="K997" s="15"/>
    </row>
    <row r="998" spans="1:11" s="16" customFormat="1" ht="25.5" customHeight="1" outlineLevel="3">
      <c r="A998" s="14"/>
      <c r="B998" s="35">
        <f>MAXA(B$5:B997)+1</f>
        <v>237</v>
      </c>
      <c r="C998" s="256" t="s">
        <v>459</v>
      </c>
      <c r="D998" s="233" t="s">
        <v>460</v>
      </c>
      <c r="E998" s="231">
        <v>1</v>
      </c>
      <c r="F998" s="232">
        <v>0</v>
      </c>
      <c r="G998" s="232">
        <v>0</v>
      </c>
      <c r="H998" s="138">
        <f t="shared" si="112"/>
        <v>0</v>
      </c>
      <c r="I998" s="138">
        <f t="shared" si="113"/>
        <v>0</v>
      </c>
      <c r="J998" s="25"/>
      <c r="K998" s="15"/>
    </row>
    <row r="999" spans="1:11" s="16" customFormat="1" ht="25.5" customHeight="1" outlineLevel="3">
      <c r="A999" s="14"/>
      <c r="B999" s="35"/>
      <c r="C999" s="256" t="s">
        <v>461</v>
      </c>
      <c r="D999" s="230" t="s">
        <v>28</v>
      </c>
      <c r="E999" s="231">
        <v>1</v>
      </c>
      <c r="F999" s="232">
        <v>17253842</v>
      </c>
      <c r="G999" s="232">
        <v>1141375</v>
      </c>
      <c r="H999" s="138">
        <f t="shared" si="112"/>
        <v>18395217</v>
      </c>
      <c r="I999" s="138">
        <f t="shared" si="113"/>
        <v>18395217</v>
      </c>
      <c r="J999" s="25"/>
      <c r="K999" s="15"/>
    </row>
    <row r="1000" spans="1:11" s="16" customFormat="1" ht="25.5" customHeight="1" outlineLevel="3">
      <c r="A1000" s="14"/>
      <c r="B1000" s="35"/>
      <c r="C1000" s="256" t="s">
        <v>450</v>
      </c>
      <c r="D1000" s="230" t="s">
        <v>28</v>
      </c>
      <c r="E1000" s="231">
        <v>1</v>
      </c>
      <c r="F1000" s="232">
        <v>1421856</v>
      </c>
      <c r="G1000" s="232">
        <v>342413</v>
      </c>
      <c r="H1000" s="138">
        <f t="shared" si="112"/>
        <v>1764269</v>
      </c>
      <c r="I1000" s="138">
        <f t="shared" si="113"/>
        <v>1764269</v>
      </c>
      <c r="J1000" s="25"/>
      <c r="K1000" s="15"/>
    </row>
    <row r="1001" spans="1:11" s="16" customFormat="1" ht="25.5" customHeight="1" outlineLevel="3">
      <c r="A1001" s="14"/>
      <c r="B1001" s="35"/>
      <c r="C1001" s="269" t="s">
        <v>455</v>
      </c>
      <c r="D1001" s="230" t="s">
        <v>28</v>
      </c>
      <c r="E1001" s="231">
        <v>3</v>
      </c>
      <c r="F1001" s="232">
        <v>40103809</v>
      </c>
      <c r="G1001" s="232">
        <v>342413</v>
      </c>
      <c r="H1001" s="138">
        <f t="shared" si="112"/>
        <v>40446222</v>
      </c>
      <c r="I1001" s="138">
        <f t="shared" si="113"/>
        <v>121338666</v>
      </c>
      <c r="J1001" s="25"/>
      <c r="K1001" s="15"/>
    </row>
    <row r="1002" spans="1:11" s="16" customFormat="1" ht="25.5" customHeight="1" outlineLevel="3">
      <c r="A1002" s="14"/>
      <c r="B1002" s="35"/>
      <c r="C1002" s="256" t="s">
        <v>462</v>
      </c>
      <c r="D1002" s="230" t="s">
        <v>28</v>
      </c>
      <c r="E1002" s="231">
        <v>1</v>
      </c>
      <c r="F1002" s="232">
        <v>30832132</v>
      </c>
      <c r="G1002" s="232">
        <v>371354</v>
      </c>
      <c r="H1002" s="138">
        <f t="shared" si="112"/>
        <v>31203486</v>
      </c>
      <c r="I1002" s="138">
        <f t="shared" si="113"/>
        <v>31203486</v>
      </c>
      <c r="J1002" s="25"/>
      <c r="K1002" s="15"/>
    </row>
    <row r="1003" spans="1:11" s="16" customFormat="1" ht="25.5" customHeight="1" outlineLevel="3">
      <c r="A1003" s="14"/>
      <c r="B1003" s="35"/>
      <c r="C1003" s="256" t="s">
        <v>443</v>
      </c>
      <c r="D1003" s="230" t="s">
        <v>28</v>
      </c>
      <c r="E1003" s="231">
        <v>4</v>
      </c>
      <c r="F1003" s="232">
        <v>6145064</v>
      </c>
      <c r="G1003" s="232">
        <v>342413</v>
      </c>
      <c r="H1003" s="138">
        <f t="shared" si="112"/>
        <v>6487477</v>
      </c>
      <c r="I1003" s="138">
        <f t="shared" si="113"/>
        <v>25949908</v>
      </c>
      <c r="J1003" s="25"/>
      <c r="K1003" s="15"/>
    </row>
    <row r="1004" spans="1:11" s="16" customFormat="1" ht="25.5" customHeight="1" outlineLevel="3">
      <c r="A1004" s="14"/>
      <c r="B1004" s="35"/>
      <c r="C1004" s="256" t="s">
        <v>444</v>
      </c>
      <c r="D1004" s="230" t="s">
        <v>28</v>
      </c>
      <c r="E1004" s="231">
        <v>1</v>
      </c>
      <c r="F1004" s="232">
        <v>329272</v>
      </c>
      <c r="G1004" s="232">
        <v>114138</v>
      </c>
      <c r="H1004" s="138">
        <f t="shared" si="112"/>
        <v>443410</v>
      </c>
      <c r="I1004" s="138">
        <f t="shared" ref="I1004:I1035" si="114">H1004*E1004</f>
        <v>443410</v>
      </c>
      <c r="J1004" s="25"/>
      <c r="K1004" s="15"/>
    </row>
    <row r="1005" spans="1:11" s="16" customFormat="1" ht="25.5" customHeight="1" outlineLevel="3">
      <c r="A1005" s="14"/>
      <c r="B1005" s="35"/>
      <c r="C1005" s="256" t="s">
        <v>445</v>
      </c>
      <c r="D1005" s="230" t="s">
        <v>28</v>
      </c>
      <c r="E1005" s="231">
        <v>1</v>
      </c>
      <c r="F1005" s="232">
        <v>1092584</v>
      </c>
      <c r="G1005" s="232">
        <v>114138</v>
      </c>
      <c r="H1005" s="138">
        <f t="shared" si="112"/>
        <v>1206722</v>
      </c>
      <c r="I1005" s="138">
        <f t="shared" si="114"/>
        <v>1206722</v>
      </c>
      <c r="J1005" s="25"/>
      <c r="K1005" s="15"/>
    </row>
    <row r="1006" spans="1:11" s="16" customFormat="1" ht="25.5" customHeight="1" outlineLevel="3">
      <c r="A1006" s="14"/>
      <c r="B1006" s="35"/>
      <c r="C1006" s="256" t="s">
        <v>446</v>
      </c>
      <c r="D1006" s="233" t="s">
        <v>44</v>
      </c>
      <c r="E1006" s="231">
        <v>1</v>
      </c>
      <c r="F1006" s="232">
        <v>10858852</v>
      </c>
      <c r="G1006" s="232">
        <v>570688</v>
      </c>
      <c r="H1006" s="138">
        <f t="shared" si="112"/>
        <v>11429540</v>
      </c>
      <c r="I1006" s="138">
        <f t="shared" si="114"/>
        <v>11429540</v>
      </c>
      <c r="J1006" s="25"/>
      <c r="K1006" s="15"/>
    </row>
    <row r="1007" spans="1:11" s="16" customFormat="1" ht="25.5" customHeight="1" outlineLevel="3">
      <c r="A1007" s="14"/>
      <c r="B1007" s="35"/>
      <c r="C1007" s="256" t="s">
        <v>463</v>
      </c>
      <c r="D1007" s="230" t="s">
        <v>38</v>
      </c>
      <c r="E1007" s="231">
        <v>1</v>
      </c>
      <c r="F1007" s="232">
        <v>23026000</v>
      </c>
      <c r="G1007" s="232">
        <v>4565500</v>
      </c>
      <c r="H1007" s="138">
        <f t="shared" si="112"/>
        <v>27591500</v>
      </c>
      <c r="I1007" s="138">
        <f t="shared" si="114"/>
        <v>27591500</v>
      </c>
      <c r="J1007" s="25"/>
      <c r="K1007" s="15"/>
    </row>
    <row r="1008" spans="1:11" s="16" customFormat="1" ht="25.5" customHeight="1" outlineLevel="3">
      <c r="A1008" s="14"/>
      <c r="B1008" s="35">
        <f>MAXA(B$5:B1007)+1</f>
        <v>238</v>
      </c>
      <c r="C1008" s="256" t="s">
        <v>464</v>
      </c>
      <c r="D1008" s="233" t="s">
        <v>460</v>
      </c>
      <c r="E1008" s="231">
        <v>1</v>
      </c>
      <c r="F1008" s="232">
        <v>0</v>
      </c>
      <c r="G1008" s="232">
        <v>0</v>
      </c>
      <c r="H1008" s="138">
        <f t="shared" si="112"/>
        <v>0</v>
      </c>
      <c r="I1008" s="138">
        <f t="shared" si="114"/>
        <v>0</v>
      </c>
      <c r="J1008" s="25"/>
      <c r="K1008" s="15"/>
    </row>
    <row r="1009" spans="1:11" s="16" customFormat="1" ht="25.5" customHeight="1" outlineLevel="3">
      <c r="A1009" s="14"/>
      <c r="B1009" s="35"/>
      <c r="C1009" s="256" t="s">
        <v>465</v>
      </c>
      <c r="D1009" s="230" t="s">
        <v>28</v>
      </c>
      <c r="E1009" s="231">
        <v>1</v>
      </c>
      <c r="F1009" s="232">
        <v>17253842</v>
      </c>
      <c r="G1009" s="232">
        <v>1141375</v>
      </c>
      <c r="H1009" s="138">
        <f t="shared" si="112"/>
        <v>18395217</v>
      </c>
      <c r="I1009" s="138">
        <f t="shared" si="114"/>
        <v>18395217</v>
      </c>
      <c r="J1009" s="25"/>
      <c r="K1009" s="15"/>
    </row>
    <row r="1010" spans="1:11" s="16" customFormat="1" ht="25.5" customHeight="1" outlineLevel="3">
      <c r="A1010" s="14"/>
      <c r="B1010" s="35"/>
      <c r="C1010" s="256" t="s">
        <v>450</v>
      </c>
      <c r="D1010" s="230" t="s">
        <v>28</v>
      </c>
      <c r="E1010" s="231">
        <v>1</v>
      </c>
      <c r="F1010" s="232">
        <v>1421856</v>
      </c>
      <c r="G1010" s="232">
        <v>342413</v>
      </c>
      <c r="H1010" s="138">
        <f t="shared" si="112"/>
        <v>1764269</v>
      </c>
      <c r="I1010" s="138">
        <f t="shared" si="114"/>
        <v>1764269</v>
      </c>
      <c r="J1010" s="25"/>
      <c r="K1010" s="15"/>
    </row>
    <row r="1011" spans="1:11" s="16" customFormat="1" ht="25.5" customHeight="1" outlineLevel="3">
      <c r="A1011" s="14"/>
      <c r="B1011" s="35"/>
      <c r="C1011" s="256" t="s">
        <v>466</v>
      </c>
      <c r="D1011" s="230" t="s">
        <v>28</v>
      </c>
      <c r="E1011" s="231">
        <v>3</v>
      </c>
      <c r="F1011" s="232">
        <v>40103809</v>
      </c>
      <c r="G1011" s="232">
        <v>342413</v>
      </c>
      <c r="H1011" s="138">
        <f t="shared" si="112"/>
        <v>40446222</v>
      </c>
      <c r="I1011" s="138">
        <f t="shared" si="114"/>
        <v>121338666</v>
      </c>
      <c r="J1011" s="25"/>
      <c r="K1011" s="15"/>
    </row>
    <row r="1012" spans="1:11" s="16" customFormat="1" ht="25.5" customHeight="1" outlineLevel="3">
      <c r="A1012" s="14"/>
      <c r="B1012" s="35"/>
      <c r="C1012" s="256" t="s">
        <v>462</v>
      </c>
      <c r="D1012" s="230" t="s">
        <v>28</v>
      </c>
      <c r="E1012" s="231">
        <v>1</v>
      </c>
      <c r="F1012" s="232">
        <v>30832132</v>
      </c>
      <c r="G1012" s="232">
        <v>371354</v>
      </c>
      <c r="H1012" s="138">
        <f t="shared" si="112"/>
        <v>31203486</v>
      </c>
      <c r="I1012" s="138">
        <f t="shared" si="114"/>
        <v>31203486</v>
      </c>
      <c r="J1012" s="25"/>
      <c r="K1012" s="15"/>
    </row>
    <row r="1013" spans="1:11" s="16" customFormat="1" ht="25.5" customHeight="1" outlineLevel="3">
      <c r="A1013" s="14"/>
      <c r="B1013" s="35"/>
      <c r="C1013" s="256" t="s">
        <v>443</v>
      </c>
      <c r="D1013" s="230" t="s">
        <v>28</v>
      </c>
      <c r="E1013" s="231">
        <v>4</v>
      </c>
      <c r="F1013" s="232">
        <v>6145064</v>
      </c>
      <c r="G1013" s="232">
        <v>342413</v>
      </c>
      <c r="H1013" s="138">
        <f t="shared" si="112"/>
        <v>6487477</v>
      </c>
      <c r="I1013" s="138">
        <f t="shared" si="114"/>
        <v>25949908</v>
      </c>
      <c r="J1013" s="25"/>
      <c r="K1013" s="15"/>
    </row>
    <row r="1014" spans="1:11" s="16" customFormat="1" ht="25.5" customHeight="1" outlineLevel="3">
      <c r="A1014" s="14"/>
      <c r="B1014" s="35"/>
      <c r="C1014" s="256" t="s">
        <v>444</v>
      </c>
      <c r="D1014" s="230" t="s">
        <v>28</v>
      </c>
      <c r="E1014" s="231">
        <v>1</v>
      </c>
      <c r="F1014" s="232">
        <v>329272</v>
      </c>
      <c r="G1014" s="232">
        <v>114138</v>
      </c>
      <c r="H1014" s="138">
        <f t="shared" si="112"/>
        <v>443410</v>
      </c>
      <c r="I1014" s="138">
        <f t="shared" si="114"/>
        <v>443410</v>
      </c>
      <c r="J1014" s="25"/>
      <c r="K1014" s="15"/>
    </row>
    <row r="1015" spans="1:11" s="16" customFormat="1" ht="25.5" customHeight="1" outlineLevel="3">
      <c r="A1015" s="14"/>
      <c r="B1015" s="35"/>
      <c r="C1015" s="256" t="s">
        <v>445</v>
      </c>
      <c r="D1015" s="230" t="s">
        <v>28</v>
      </c>
      <c r="E1015" s="231">
        <v>1</v>
      </c>
      <c r="F1015" s="232">
        <v>1092584</v>
      </c>
      <c r="G1015" s="232">
        <v>114138</v>
      </c>
      <c r="H1015" s="138">
        <f t="shared" si="112"/>
        <v>1206722</v>
      </c>
      <c r="I1015" s="138">
        <f t="shared" si="114"/>
        <v>1206722</v>
      </c>
      <c r="J1015" s="25"/>
      <c r="K1015" s="15"/>
    </row>
    <row r="1016" spans="1:11" s="16" customFormat="1" ht="25.5" customHeight="1" outlineLevel="3">
      <c r="A1016" s="14"/>
      <c r="B1016" s="35"/>
      <c r="C1016" s="256" t="s">
        <v>446</v>
      </c>
      <c r="D1016" s="233" t="s">
        <v>44</v>
      </c>
      <c r="E1016" s="231">
        <v>1</v>
      </c>
      <c r="F1016" s="232">
        <v>10858852</v>
      </c>
      <c r="G1016" s="232">
        <v>570688</v>
      </c>
      <c r="H1016" s="138">
        <f t="shared" si="112"/>
        <v>11429540</v>
      </c>
      <c r="I1016" s="138">
        <f t="shared" si="114"/>
        <v>11429540</v>
      </c>
      <c r="J1016" s="25"/>
      <c r="K1016" s="15"/>
    </row>
    <row r="1017" spans="1:11" s="16" customFormat="1" ht="25.5" customHeight="1" outlineLevel="3">
      <c r="A1017" s="14"/>
      <c r="B1017" s="35"/>
      <c r="C1017" s="256" t="s">
        <v>463</v>
      </c>
      <c r="D1017" s="230" t="s">
        <v>38</v>
      </c>
      <c r="E1017" s="231">
        <v>1</v>
      </c>
      <c r="F1017" s="232">
        <v>23026000</v>
      </c>
      <c r="G1017" s="232">
        <v>4565500</v>
      </c>
      <c r="H1017" s="138">
        <f t="shared" si="112"/>
        <v>27591500</v>
      </c>
      <c r="I1017" s="138">
        <f t="shared" si="114"/>
        <v>27591500</v>
      </c>
      <c r="J1017" s="25"/>
      <c r="K1017" s="15"/>
    </row>
    <row r="1018" spans="1:11" s="16" customFormat="1" ht="25.5" customHeight="1" outlineLevel="3">
      <c r="A1018" s="14"/>
      <c r="B1018" s="35">
        <f>MAXA(B$5:B1017)+1</f>
        <v>239</v>
      </c>
      <c r="C1018" s="256" t="s">
        <v>467</v>
      </c>
      <c r="D1018" s="233" t="s">
        <v>44</v>
      </c>
      <c r="E1018" s="231">
        <v>176</v>
      </c>
      <c r="F1018" s="232">
        <v>220186</v>
      </c>
      <c r="G1018" s="232">
        <v>114138</v>
      </c>
      <c r="H1018" s="138">
        <f t="shared" si="112"/>
        <v>334324</v>
      </c>
      <c r="I1018" s="138">
        <f t="shared" si="114"/>
        <v>58841024</v>
      </c>
      <c r="J1018" s="25"/>
      <c r="K1018" s="15"/>
    </row>
    <row r="1019" spans="1:11" s="16" customFormat="1" ht="25.5" customHeight="1" outlineLevel="3">
      <c r="A1019" s="14"/>
      <c r="B1019" s="35">
        <f>MAXA(B$5:B1018)+1</f>
        <v>240</v>
      </c>
      <c r="C1019" s="256" t="s">
        <v>468</v>
      </c>
      <c r="D1019" s="233" t="s">
        <v>44</v>
      </c>
      <c r="E1019" s="231">
        <v>8</v>
      </c>
      <c r="F1019" s="232">
        <v>2014775</v>
      </c>
      <c r="G1019" s="232">
        <v>114138</v>
      </c>
      <c r="H1019" s="138">
        <f t="shared" si="112"/>
        <v>2128913</v>
      </c>
      <c r="I1019" s="138">
        <f t="shared" si="114"/>
        <v>17031304</v>
      </c>
      <c r="J1019" s="25"/>
      <c r="K1019" s="15"/>
    </row>
    <row r="1020" spans="1:11" s="16" customFormat="1" ht="25.5" customHeight="1" outlineLevel="3">
      <c r="A1020" s="14"/>
      <c r="B1020" s="35">
        <f>MAXA(B$5:B1019)+1</f>
        <v>241</v>
      </c>
      <c r="C1020" s="256" t="s">
        <v>469</v>
      </c>
      <c r="D1020" s="233" t="s">
        <v>44</v>
      </c>
      <c r="E1020" s="231">
        <v>40</v>
      </c>
      <c r="F1020" s="232">
        <v>18675773</v>
      </c>
      <c r="G1020" s="232">
        <v>342413</v>
      </c>
      <c r="H1020" s="138">
        <f t="shared" si="112"/>
        <v>19018186</v>
      </c>
      <c r="I1020" s="138">
        <f t="shared" si="114"/>
        <v>760727440</v>
      </c>
      <c r="J1020" s="25"/>
      <c r="K1020" s="15"/>
    </row>
    <row r="1021" spans="1:11" s="16" customFormat="1" ht="25.5" customHeight="1" outlineLevel="3">
      <c r="A1021" s="14"/>
      <c r="B1021" s="35">
        <f>MAXA(B$5:B1020)+1</f>
        <v>242</v>
      </c>
      <c r="C1021" s="256" t="s">
        <v>470</v>
      </c>
      <c r="D1021" s="233" t="s">
        <v>44</v>
      </c>
      <c r="E1021" s="231">
        <v>5</v>
      </c>
      <c r="F1021" s="232">
        <v>28919867</v>
      </c>
      <c r="G1021" s="232">
        <v>342413</v>
      </c>
      <c r="H1021" s="138">
        <f t="shared" si="112"/>
        <v>29262280</v>
      </c>
      <c r="I1021" s="138">
        <f t="shared" si="114"/>
        <v>146311400</v>
      </c>
      <c r="J1021" s="25"/>
      <c r="K1021" s="15"/>
    </row>
    <row r="1022" spans="1:11" s="16" customFormat="1" ht="25.5" customHeight="1" outlineLevel="3">
      <c r="A1022" s="14"/>
      <c r="B1022" s="35">
        <f>MAXA(B$5:B1021)+1</f>
        <v>243</v>
      </c>
      <c r="C1022" s="256" t="s">
        <v>471</v>
      </c>
      <c r="D1022" s="233" t="s">
        <v>44</v>
      </c>
      <c r="E1022" s="231">
        <v>1</v>
      </c>
      <c r="F1022" s="232">
        <v>22990901</v>
      </c>
      <c r="G1022" s="232">
        <v>570688</v>
      </c>
      <c r="H1022" s="138">
        <f t="shared" si="112"/>
        <v>23561589</v>
      </c>
      <c r="I1022" s="138">
        <f t="shared" si="114"/>
        <v>23561589</v>
      </c>
      <c r="J1022" s="25"/>
      <c r="K1022" s="15"/>
    </row>
    <row r="1023" spans="1:11" s="16" customFormat="1" ht="25.5" customHeight="1" outlineLevel="3">
      <c r="A1023" s="14"/>
      <c r="B1023" s="35">
        <f>MAXA(B$5:B1022)+1</f>
        <v>244</v>
      </c>
      <c r="C1023" s="256" t="s">
        <v>472</v>
      </c>
      <c r="D1023" s="233" t="s">
        <v>44</v>
      </c>
      <c r="E1023" s="231">
        <v>36</v>
      </c>
      <c r="F1023" s="232">
        <v>23022834</v>
      </c>
      <c r="G1023" s="232">
        <v>570688</v>
      </c>
      <c r="H1023" s="138">
        <f t="shared" si="112"/>
        <v>23593522</v>
      </c>
      <c r="I1023" s="138">
        <f t="shared" si="114"/>
        <v>849366792</v>
      </c>
      <c r="J1023" s="25"/>
      <c r="K1023" s="15"/>
    </row>
    <row r="1024" spans="1:11" s="16" customFormat="1" ht="25.5" customHeight="1" outlineLevel="3">
      <c r="A1024" s="14"/>
      <c r="B1024" s="35">
        <f>MAXA(B$5:B1023)+1</f>
        <v>245</v>
      </c>
      <c r="C1024" s="256" t="s">
        <v>473</v>
      </c>
      <c r="D1024" s="233" t="s">
        <v>44</v>
      </c>
      <c r="E1024" s="231">
        <v>1</v>
      </c>
      <c r="F1024" s="232">
        <v>47280437</v>
      </c>
      <c r="G1024" s="232">
        <v>228275</v>
      </c>
      <c r="H1024" s="138">
        <f t="shared" si="112"/>
        <v>47508712</v>
      </c>
      <c r="I1024" s="138">
        <f t="shared" si="114"/>
        <v>47508712</v>
      </c>
      <c r="J1024" s="25"/>
      <c r="K1024" s="15"/>
    </row>
    <row r="1025" spans="1:11" s="16" customFormat="1" ht="25.5" customHeight="1" outlineLevel="3">
      <c r="A1025" s="14"/>
      <c r="B1025" s="35">
        <f>MAXA(B$5:B1024)+1</f>
        <v>246</v>
      </c>
      <c r="C1025" s="256" t="s">
        <v>474</v>
      </c>
      <c r="D1025" s="233" t="s">
        <v>44</v>
      </c>
      <c r="E1025" s="231">
        <v>1</v>
      </c>
      <c r="F1025" s="232">
        <v>351722150</v>
      </c>
      <c r="G1025" s="232">
        <v>34241250</v>
      </c>
      <c r="H1025" s="138">
        <f t="shared" si="112"/>
        <v>385963400</v>
      </c>
      <c r="I1025" s="138">
        <f t="shared" si="114"/>
        <v>385963400</v>
      </c>
      <c r="J1025" s="25"/>
      <c r="K1025" s="15"/>
    </row>
    <row r="1026" spans="1:11" s="16" customFormat="1" ht="25.5" customHeight="1" outlineLevel="3">
      <c r="A1026" s="14"/>
      <c r="B1026" s="35">
        <f>MAXA(B$5:B1025)+1</f>
        <v>247</v>
      </c>
      <c r="C1026" s="256" t="s">
        <v>475</v>
      </c>
      <c r="D1026" s="233" t="s">
        <v>44</v>
      </c>
      <c r="E1026" s="231">
        <v>1</v>
      </c>
      <c r="F1026" s="232">
        <v>43404010</v>
      </c>
      <c r="G1026" s="232">
        <v>5706875</v>
      </c>
      <c r="H1026" s="138">
        <f t="shared" si="112"/>
        <v>49110885</v>
      </c>
      <c r="I1026" s="138">
        <f t="shared" si="114"/>
        <v>49110885</v>
      </c>
      <c r="J1026" s="25"/>
      <c r="K1026" s="15"/>
    </row>
    <row r="1027" spans="1:11" s="16" customFormat="1" ht="25.5" outlineLevel="3">
      <c r="A1027" s="14"/>
      <c r="B1027" s="35">
        <f>MAXA(B$5:B1026)+1</f>
        <v>248</v>
      </c>
      <c r="C1027" s="256" t="s">
        <v>476</v>
      </c>
      <c r="D1027" s="233" t="s">
        <v>44</v>
      </c>
      <c r="E1027" s="231">
        <v>48</v>
      </c>
      <c r="F1027" s="232">
        <v>164636</v>
      </c>
      <c r="G1027" s="232">
        <v>228275</v>
      </c>
      <c r="H1027" s="138">
        <f t="shared" si="112"/>
        <v>392911</v>
      </c>
      <c r="I1027" s="138">
        <f t="shared" si="114"/>
        <v>18859728</v>
      </c>
      <c r="J1027" s="25"/>
      <c r="K1027" s="15"/>
    </row>
    <row r="1028" spans="1:11" s="16" customFormat="1" ht="25.5" customHeight="1" outlineLevel="3">
      <c r="A1028" s="14"/>
      <c r="B1028" s="35">
        <f>MAXA(B$5:B1027)+1</f>
        <v>249</v>
      </c>
      <c r="C1028" s="256" t="s">
        <v>477</v>
      </c>
      <c r="D1028" s="230" t="s">
        <v>28</v>
      </c>
      <c r="E1028" s="231">
        <v>48</v>
      </c>
      <c r="F1028" s="232">
        <v>74835</v>
      </c>
      <c r="G1028" s="232">
        <v>228275</v>
      </c>
      <c r="H1028" s="138">
        <f t="shared" si="112"/>
        <v>303110</v>
      </c>
      <c r="I1028" s="138">
        <f t="shared" si="114"/>
        <v>14549280</v>
      </c>
      <c r="J1028" s="25"/>
      <c r="K1028" s="15"/>
    </row>
    <row r="1029" spans="1:11" s="16" customFormat="1" ht="25.5" customHeight="1" outlineLevel="3">
      <c r="A1029" s="14"/>
      <c r="B1029" s="35">
        <f>MAXA(B$5:B1028)+1</f>
        <v>250</v>
      </c>
      <c r="C1029" s="256" t="s">
        <v>478</v>
      </c>
      <c r="D1029" s="230" t="s">
        <v>25</v>
      </c>
      <c r="E1029" s="231">
        <v>264</v>
      </c>
      <c r="F1029" s="232">
        <v>33676</v>
      </c>
      <c r="G1029" s="232">
        <v>11414</v>
      </c>
      <c r="H1029" s="138">
        <f t="shared" si="112"/>
        <v>45090</v>
      </c>
      <c r="I1029" s="138">
        <f t="shared" si="114"/>
        <v>11903760</v>
      </c>
      <c r="J1029" s="25"/>
      <c r="K1029" s="15"/>
    </row>
    <row r="1030" spans="1:11" s="16" customFormat="1" ht="25.5" customHeight="1" outlineLevel="3">
      <c r="A1030" s="14"/>
      <c r="B1030" s="35">
        <f>MAXA(B$5:B1029)+1</f>
        <v>251</v>
      </c>
      <c r="C1030" s="256" t="s">
        <v>479</v>
      </c>
      <c r="D1030" s="230" t="s">
        <v>38</v>
      </c>
      <c r="E1030" s="231">
        <v>1</v>
      </c>
      <c r="F1030" s="232">
        <v>8634750</v>
      </c>
      <c r="G1030" s="232">
        <v>8560313</v>
      </c>
      <c r="H1030" s="138">
        <f t="shared" si="112"/>
        <v>17195063</v>
      </c>
      <c r="I1030" s="138">
        <f t="shared" si="114"/>
        <v>17195063</v>
      </c>
      <c r="J1030" s="25"/>
      <c r="K1030" s="15"/>
    </row>
    <row r="1031" spans="1:11" s="16" customFormat="1" ht="25.5" customHeight="1" outlineLevel="3">
      <c r="A1031" s="14"/>
      <c r="B1031" s="35">
        <f>MAXA(B$5:B1030)+1</f>
        <v>252</v>
      </c>
      <c r="C1031" s="256" t="s">
        <v>480</v>
      </c>
      <c r="D1031" s="230" t="s">
        <v>25</v>
      </c>
      <c r="E1031" s="231">
        <v>1200</v>
      </c>
      <c r="F1031" s="232">
        <v>34136</v>
      </c>
      <c r="G1031" s="232">
        <v>11414</v>
      </c>
      <c r="H1031" s="138">
        <f t="shared" si="112"/>
        <v>45550</v>
      </c>
      <c r="I1031" s="138">
        <f t="shared" si="114"/>
        <v>54660000</v>
      </c>
      <c r="J1031" s="25"/>
      <c r="K1031" s="15"/>
    </row>
    <row r="1032" spans="1:11" s="16" customFormat="1" ht="25.5" customHeight="1" outlineLevel="3">
      <c r="A1032" s="14" t="s">
        <v>154</v>
      </c>
      <c r="B1032" s="35">
        <f>MAXA(B$5:B1031)+1</f>
        <v>253</v>
      </c>
      <c r="C1032" s="256" t="s">
        <v>481</v>
      </c>
      <c r="D1032" s="230" t="s">
        <v>25</v>
      </c>
      <c r="E1032" s="231">
        <v>13034</v>
      </c>
      <c r="F1032" s="232">
        <v>12004</v>
      </c>
      <c r="G1032" s="232">
        <v>10272</v>
      </c>
      <c r="H1032" s="138">
        <f t="shared" si="112"/>
        <v>22276</v>
      </c>
      <c r="I1032" s="138">
        <f t="shared" si="114"/>
        <v>290345384</v>
      </c>
      <c r="J1032" s="25"/>
      <c r="K1032" s="15" t="s">
        <v>482</v>
      </c>
    </row>
    <row r="1033" spans="1:11" s="16" customFormat="1" ht="25.5" customHeight="1" outlineLevel="3">
      <c r="A1033" s="14"/>
      <c r="B1033" s="35">
        <f>MAXA(B$5:B1032)+1</f>
        <v>254</v>
      </c>
      <c r="C1033" s="256" t="s">
        <v>373</v>
      </c>
      <c r="D1033" s="230" t="s">
        <v>25</v>
      </c>
      <c r="E1033" s="231">
        <v>3990</v>
      </c>
      <c r="F1033" s="232">
        <v>7158</v>
      </c>
      <c r="G1033" s="232">
        <v>14590</v>
      </c>
      <c r="H1033" s="138">
        <f t="shared" si="112"/>
        <v>21748</v>
      </c>
      <c r="I1033" s="138">
        <f t="shared" si="114"/>
        <v>86774520</v>
      </c>
      <c r="J1033" s="25"/>
      <c r="K1033" s="15"/>
    </row>
    <row r="1034" spans="1:11" s="16" customFormat="1" ht="25.5" customHeight="1" outlineLevel="3">
      <c r="A1034" s="14"/>
      <c r="B1034" s="35">
        <f>MAXA(B$5:B1033)+1</f>
        <v>255</v>
      </c>
      <c r="C1034" s="256" t="s">
        <v>483</v>
      </c>
      <c r="D1034" s="230" t="s">
        <v>28</v>
      </c>
      <c r="E1034" s="231">
        <v>1997</v>
      </c>
      <c r="F1034" s="232">
        <v>813</v>
      </c>
      <c r="G1034" s="232">
        <v>521</v>
      </c>
      <c r="H1034" s="138">
        <f t="shared" si="112"/>
        <v>1334</v>
      </c>
      <c r="I1034" s="138">
        <f t="shared" si="114"/>
        <v>2663998</v>
      </c>
      <c r="J1034" s="25"/>
      <c r="K1034" s="15"/>
    </row>
    <row r="1035" spans="1:11" s="16" customFormat="1" ht="25.5" customHeight="1" outlineLevel="3">
      <c r="A1035" s="14"/>
      <c r="B1035" s="35">
        <f>MAXA(B$5:B1034)+1</f>
        <v>256</v>
      </c>
      <c r="C1035" s="256" t="s">
        <v>484</v>
      </c>
      <c r="D1035" s="230" t="s">
        <v>28</v>
      </c>
      <c r="E1035" s="231">
        <v>1329</v>
      </c>
      <c r="F1035" s="232">
        <v>2290</v>
      </c>
      <c r="G1035" s="232">
        <v>521</v>
      </c>
      <c r="H1035" s="138">
        <f t="shared" si="112"/>
        <v>2811</v>
      </c>
      <c r="I1035" s="138">
        <f t="shared" si="114"/>
        <v>3735819</v>
      </c>
      <c r="J1035" s="25"/>
      <c r="K1035" s="15"/>
    </row>
    <row r="1036" spans="1:11" s="16" customFormat="1" ht="25.5" customHeight="1" outlineLevel="3">
      <c r="A1036" s="14"/>
      <c r="B1036" s="35">
        <f>MAXA(B$5:B1035)+1</f>
        <v>257</v>
      </c>
      <c r="C1036" s="256" t="s">
        <v>485</v>
      </c>
      <c r="D1036" s="230" t="s">
        <v>38</v>
      </c>
      <c r="E1036" s="231">
        <v>1</v>
      </c>
      <c r="F1036" s="232">
        <v>6967350</v>
      </c>
      <c r="G1036" s="232">
        <v>2084250</v>
      </c>
      <c r="H1036" s="138">
        <f t="shared" ref="H1036" si="115">G1036+F1036</f>
        <v>9051600</v>
      </c>
      <c r="I1036" s="138">
        <f t="shared" ref="I1036" si="116">H1036*E1036</f>
        <v>9051600</v>
      </c>
      <c r="J1036" s="25"/>
      <c r="K1036" s="15"/>
    </row>
    <row r="1037" spans="1:11" s="33" customFormat="1" ht="27" outlineLevel="3">
      <c r="A1037" s="34"/>
      <c r="B1037" s="38" t="s">
        <v>486</v>
      </c>
      <c r="C1037" s="267" t="s">
        <v>487</v>
      </c>
      <c r="D1037" s="268"/>
      <c r="E1037" s="213"/>
      <c r="F1037" s="232">
        <v>0</v>
      </c>
      <c r="G1037" s="232">
        <v>0</v>
      </c>
      <c r="H1037" s="258"/>
      <c r="I1037" s="180">
        <f>SUBTOTAL(9,I1038:I1054)</f>
        <v>1865150873</v>
      </c>
      <c r="J1037" s="25"/>
      <c r="K1037" s="32"/>
    </row>
    <row r="1038" spans="1:11" s="16" customFormat="1" ht="25.5" outlineLevel="3">
      <c r="A1038" s="14"/>
      <c r="B1038" s="35">
        <f>MAXA(B$5:B1037)+1</f>
        <v>258</v>
      </c>
      <c r="C1038" s="256" t="s">
        <v>488</v>
      </c>
      <c r="D1038" s="233" t="s">
        <v>44</v>
      </c>
      <c r="E1038" s="247">
        <v>29</v>
      </c>
      <c r="F1038" s="232">
        <v>14848871</v>
      </c>
      <c r="G1038" s="232">
        <v>342413</v>
      </c>
      <c r="H1038" s="138">
        <f t="shared" ref="H1038:H1054" si="117">G1038+F1038</f>
        <v>15191284</v>
      </c>
      <c r="I1038" s="138">
        <f t="shared" ref="I1038:I1054" si="118">H1038*E1038</f>
        <v>440547236</v>
      </c>
      <c r="J1038" s="41"/>
      <c r="K1038" s="15"/>
    </row>
    <row r="1039" spans="1:11" s="16" customFormat="1" ht="25.5" outlineLevel="3">
      <c r="A1039" s="14"/>
      <c r="B1039" s="35">
        <f>MAXA(B$5:B1038)+1</f>
        <v>259</v>
      </c>
      <c r="C1039" s="256" t="s">
        <v>489</v>
      </c>
      <c r="D1039" s="233" t="s">
        <v>44</v>
      </c>
      <c r="E1039" s="247">
        <v>29</v>
      </c>
      <c r="F1039" s="232">
        <v>15357746</v>
      </c>
      <c r="G1039" s="232">
        <v>342413</v>
      </c>
      <c r="H1039" s="138">
        <f t="shared" si="117"/>
        <v>15700159</v>
      </c>
      <c r="I1039" s="138">
        <f t="shared" si="118"/>
        <v>455304611</v>
      </c>
      <c r="J1039" s="41"/>
      <c r="K1039" s="15"/>
    </row>
    <row r="1040" spans="1:11" s="16" customFormat="1" ht="25.5" outlineLevel="3">
      <c r="A1040" s="14"/>
      <c r="B1040" s="35">
        <f>MAXA(B$5:B1039)+1</f>
        <v>260</v>
      </c>
      <c r="C1040" s="256" t="s">
        <v>490</v>
      </c>
      <c r="D1040" s="233" t="s">
        <v>44</v>
      </c>
      <c r="E1040" s="247">
        <v>16</v>
      </c>
      <c r="F1040" s="232">
        <v>15357746</v>
      </c>
      <c r="G1040" s="232">
        <v>342413</v>
      </c>
      <c r="H1040" s="138">
        <f t="shared" si="117"/>
        <v>15700159</v>
      </c>
      <c r="I1040" s="138">
        <f t="shared" si="118"/>
        <v>251202544</v>
      </c>
      <c r="J1040" s="41"/>
      <c r="K1040" s="15"/>
    </row>
    <row r="1041" spans="1:11" s="16" customFormat="1" ht="25.5" outlineLevel="3">
      <c r="A1041" s="14"/>
      <c r="B1041" s="35">
        <f>MAXA(B$5:B1040)+1</f>
        <v>261</v>
      </c>
      <c r="C1041" s="254" t="s">
        <v>491</v>
      </c>
      <c r="D1041" s="233" t="s">
        <v>44</v>
      </c>
      <c r="E1041" s="247">
        <v>1</v>
      </c>
      <c r="F1041" s="232">
        <v>8960624</v>
      </c>
      <c r="G1041" s="232">
        <v>342413</v>
      </c>
      <c r="H1041" s="270">
        <f t="shared" si="117"/>
        <v>9303037</v>
      </c>
      <c r="I1041" s="270">
        <f t="shared" si="118"/>
        <v>9303037</v>
      </c>
      <c r="J1041" s="41"/>
      <c r="K1041" s="15"/>
    </row>
    <row r="1042" spans="1:11" s="16" customFormat="1" ht="38.25" outlineLevel="3">
      <c r="A1042" s="14"/>
      <c r="B1042" s="35">
        <f>MAXA(B$5:B1041)+1</f>
        <v>262</v>
      </c>
      <c r="C1042" s="256" t="s">
        <v>492</v>
      </c>
      <c r="D1042" s="230" t="s">
        <v>38</v>
      </c>
      <c r="E1042" s="247">
        <v>3</v>
      </c>
      <c r="F1042" s="232">
        <v>86140623</v>
      </c>
      <c r="G1042" s="232">
        <v>604433</v>
      </c>
      <c r="H1042" s="138">
        <f t="shared" si="117"/>
        <v>86745056</v>
      </c>
      <c r="I1042" s="138">
        <f t="shared" si="118"/>
        <v>260235168</v>
      </c>
      <c r="J1042" s="41"/>
      <c r="K1042" s="15"/>
    </row>
    <row r="1043" spans="1:11" s="16" customFormat="1" ht="25.5" outlineLevel="3">
      <c r="A1043" s="14"/>
      <c r="B1043" s="35">
        <f>MAXA(B$5:B1042)+1</f>
        <v>263</v>
      </c>
      <c r="C1043" s="256" t="s">
        <v>493</v>
      </c>
      <c r="D1043" s="233" t="s">
        <v>44</v>
      </c>
      <c r="E1043" s="247">
        <v>1</v>
      </c>
      <c r="F1043" s="232">
        <v>1011313</v>
      </c>
      <c r="G1043" s="232">
        <v>114138</v>
      </c>
      <c r="H1043" s="138">
        <f t="shared" si="117"/>
        <v>1125451</v>
      </c>
      <c r="I1043" s="138">
        <f t="shared" si="118"/>
        <v>1125451</v>
      </c>
      <c r="J1043" s="41"/>
      <c r="K1043" s="15"/>
    </row>
    <row r="1044" spans="1:11" s="16" customFormat="1" ht="25.5" outlineLevel="3">
      <c r="A1044" s="14"/>
      <c r="B1044" s="35">
        <f>MAXA(B$5:B1043)+1</f>
        <v>264</v>
      </c>
      <c r="C1044" s="256" t="s">
        <v>494</v>
      </c>
      <c r="D1044" s="233" t="s">
        <v>44</v>
      </c>
      <c r="E1044" s="247">
        <v>3</v>
      </c>
      <c r="F1044" s="232">
        <v>25951331</v>
      </c>
      <c r="G1044" s="232">
        <v>456550</v>
      </c>
      <c r="H1044" s="138">
        <f t="shared" si="117"/>
        <v>26407881</v>
      </c>
      <c r="I1044" s="138">
        <f t="shared" si="118"/>
        <v>79223643</v>
      </c>
      <c r="J1044" s="41"/>
      <c r="K1044" s="15"/>
    </row>
    <row r="1045" spans="1:11" s="16" customFormat="1" ht="25.5" outlineLevel="3">
      <c r="A1045" s="14"/>
      <c r="B1045" s="35">
        <f>MAXA(B$5:B1044)+1</f>
        <v>265</v>
      </c>
      <c r="C1045" s="256" t="s">
        <v>495</v>
      </c>
      <c r="D1045" s="233" t="s">
        <v>44</v>
      </c>
      <c r="E1045" s="247">
        <v>2</v>
      </c>
      <c r="F1045" s="232">
        <v>25951331</v>
      </c>
      <c r="G1045" s="232">
        <v>456550</v>
      </c>
      <c r="H1045" s="138">
        <f t="shared" si="117"/>
        <v>26407881</v>
      </c>
      <c r="I1045" s="138">
        <f t="shared" si="118"/>
        <v>52815762</v>
      </c>
      <c r="J1045" s="41"/>
      <c r="K1045" s="15"/>
    </row>
    <row r="1046" spans="1:11" s="16" customFormat="1" ht="25.5" outlineLevel="3">
      <c r="A1046" s="14"/>
      <c r="B1046" s="35">
        <f>MAXA(B$5:B1045)+1</f>
        <v>266</v>
      </c>
      <c r="C1046" s="256" t="s">
        <v>496</v>
      </c>
      <c r="D1046" s="233" t="s">
        <v>44</v>
      </c>
      <c r="E1046" s="247">
        <v>1</v>
      </c>
      <c r="F1046" s="232">
        <v>47280437</v>
      </c>
      <c r="G1046" s="232">
        <v>228275</v>
      </c>
      <c r="H1046" s="138">
        <f t="shared" si="117"/>
        <v>47508712</v>
      </c>
      <c r="I1046" s="138">
        <f t="shared" si="118"/>
        <v>47508712</v>
      </c>
      <c r="J1046" s="41"/>
      <c r="K1046" s="15"/>
    </row>
    <row r="1047" spans="1:11" s="16" customFormat="1" ht="38.25" outlineLevel="3">
      <c r="A1047" s="14"/>
      <c r="B1047" s="35">
        <f>MAXA(B$5:B1046)+1</f>
        <v>267</v>
      </c>
      <c r="C1047" s="256" t="s">
        <v>497</v>
      </c>
      <c r="D1047" s="233" t="s">
        <v>44</v>
      </c>
      <c r="E1047" s="247">
        <v>1</v>
      </c>
      <c r="F1047" s="232">
        <v>47280437</v>
      </c>
      <c r="G1047" s="232">
        <v>228275</v>
      </c>
      <c r="H1047" s="138">
        <f t="shared" si="117"/>
        <v>47508712</v>
      </c>
      <c r="I1047" s="138">
        <f t="shared" si="118"/>
        <v>47508712</v>
      </c>
      <c r="J1047" s="41"/>
      <c r="K1047" s="15"/>
    </row>
    <row r="1048" spans="1:11" s="16" customFormat="1" ht="25.5" outlineLevel="3">
      <c r="A1048" s="14"/>
      <c r="B1048" s="35">
        <f>MAXA(B$5:B1047)+1</f>
        <v>268</v>
      </c>
      <c r="C1048" s="256" t="s">
        <v>498</v>
      </c>
      <c r="D1048" s="230" t="s">
        <v>38</v>
      </c>
      <c r="E1048" s="247">
        <v>1</v>
      </c>
      <c r="F1048" s="232">
        <v>3367553</v>
      </c>
      <c r="G1048" s="232">
        <v>1335409</v>
      </c>
      <c r="H1048" s="138">
        <f t="shared" si="117"/>
        <v>4702962</v>
      </c>
      <c r="I1048" s="138">
        <f t="shared" si="118"/>
        <v>4702962</v>
      </c>
      <c r="J1048" s="41"/>
      <c r="K1048" s="15"/>
    </row>
    <row r="1049" spans="1:11" s="16" customFormat="1" ht="25.5" outlineLevel="3">
      <c r="A1049" s="14" t="s">
        <v>154</v>
      </c>
      <c r="B1049" s="35">
        <f>MAXA(B$5:B1048)+1</f>
        <v>269</v>
      </c>
      <c r="C1049" s="256" t="s">
        <v>499</v>
      </c>
      <c r="D1049" s="230" t="s">
        <v>25</v>
      </c>
      <c r="E1049" s="247">
        <v>4200</v>
      </c>
      <c r="F1049" s="232">
        <v>13004</v>
      </c>
      <c r="G1049" s="232">
        <v>10272</v>
      </c>
      <c r="H1049" s="138">
        <f t="shared" si="117"/>
        <v>23276</v>
      </c>
      <c r="I1049" s="138">
        <f t="shared" si="118"/>
        <v>97759200</v>
      </c>
      <c r="J1049" s="41"/>
      <c r="K1049" s="15" t="s">
        <v>482</v>
      </c>
    </row>
    <row r="1050" spans="1:11" s="16" customFormat="1" ht="25.5" outlineLevel="3">
      <c r="A1050" s="14"/>
      <c r="B1050" s="35">
        <f>MAXA(B$5:B1049)+1</f>
        <v>270</v>
      </c>
      <c r="C1050" s="256" t="s">
        <v>373</v>
      </c>
      <c r="D1050" s="230" t="s">
        <v>25</v>
      </c>
      <c r="E1050" s="247">
        <f>ROUND(E1049*0.95,-1)</f>
        <v>3990</v>
      </c>
      <c r="F1050" s="232">
        <v>7158</v>
      </c>
      <c r="G1050" s="232">
        <v>14590</v>
      </c>
      <c r="H1050" s="138">
        <f t="shared" si="117"/>
        <v>21748</v>
      </c>
      <c r="I1050" s="138">
        <f t="shared" si="118"/>
        <v>86774520</v>
      </c>
      <c r="J1050" s="41"/>
      <c r="K1050" s="15"/>
    </row>
    <row r="1051" spans="1:11" s="16" customFormat="1" ht="25.5" outlineLevel="3">
      <c r="A1051" s="14"/>
      <c r="B1051" s="35">
        <f>MAXA(B$5:B1050)+1</f>
        <v>271</v>
      </c>
      <c r="C1051" s="256" t="s">
        <v>500</v>
      </c>
      <c r="D1051" s="230" t="s">
        <v>38</v>
      </c>
      <c r="E1051" s="247">
        <v>1</v>
      </c>
      <c r="F1051" s="232">
        <v>12567000</v>
      </c>
      <c r="G1051" s="232">
        <v>2255615</v>
      </c>
      <c r="H1051" s="138">
        <f t="shared" si="117"/>
        <v>14822615</v>
      </c>
      <c r="I1051" s="138">
        <f t="shared" si="118"/>
        <v>14822615</v>
      </c>
      <c r="J1051" s="41"/>
      <c r="K1051" s="15"/>
    </row>
    <row r="1052" spans="1:11" s="16" customFormat="1" ht="25.5" outlineLevel="3">
      <c r="A1052" s="14"/>
      <c r="B1052" s="35">
        <f>MAXA(B$5:B1051)+1</f>
        <v>272</v>
      </c>
      <c r="C1052" s="256" t="s">
        <v>501</v>
      </c>
      <c r="D1052" s="230" t="s">
        <v>38</v>
      </c>
      <c r="E1052" s="247">
        <v>1</v>
      </c>
      <c r="F1052" s="232">
        <v>5806125</v>
      </c>
      <c r="G1052" s="232">
        <v>2084250</v>
      </c>
      <c r="H1052" s="138">
        <f t="shared" si="117"/>
        <v>7890375</v>
      </c>
      <c r="I1052" s="138">
        <f t="shared" si="118"/>
        <v>7890375</v>
      </c>
      <c r="J1052" s="41"/>
      <c r="K1052" s="15"/>
    </row>
    <row r="1053" spans="1:11" s="16" customFormat="1" ht="25.5" outlineLevel="3">
      <c r="A1053" s="14"/>
      <c r="B1053" s="35">
        <f>MAXA(B$5:B1052)+1</f>
        <v>273</v>
      </c>
      <c r="C1053" s="256" t="s">
        <v>502</v>
      </c>
      <c r="D1053" s="230" t="s">
        <v>38</v>
      </c>
      <c r="E1053" s="247">
        <v>1</v>
      </c>
      <c r="F1053" s="232">
        <v>1161225</v>
      </c>
      <c r="G1053" s="232">
        <v>416850</v>
      </c>
      <c r="H1053" s="138">
        <f t="shared" si="117"/>
        <v>1578075</v>
      </c>
      <c r="I1053" s="138">
        <f t="shared" si="118"/>
        <v>1578075</v>
      </c>
      <c r="J1053" s="41"/>
      <c r="K1053" s="15"/>
    </row>
    <row r="1054" spans="1:11" s="16" customFormat="1" ht="25.5" outlineLevel="3">
      <c r="A1054" s="14"/>
      <c r="B1054" s="35">
        <f>MAXA(B$5:B1053)+1</f>
        <v>274</v>
      </c>
      <c r="C1054" s="256" t="s">
        <v>485</v>
      </c>
      <c r="D1054" s="230" t="s">
        <v>38</v>
      </c>
      <c r="E1054" s="247">
        <v>1</v>
      </c>
      <c r="F1054" s="232">
        <v>5806125</v>
      </c>
      <c r="G1054" s="232">
        <v>1042125</v>
      </c>
      <c r="H1054" s="138">
        <f t="shared" si="117"/>
        <v>6848250</v>
      </c>
      <c r="I1054" s="138">
        <f t="shared" si="118"/>
        <v>6848250</v>
      </c>
      <c r="J1054" s="41"/>
      <c r="K1054" s="15"/>
    </row>
    <row r="1055" spans="1:11" s="33" customFormat="1" ht="27" outlineLevel="3">
      <c r="A1055" s="34"/>
      <c r="B1055" s="38" t="s">
        <v>503</v>
      </c>
      <c r="C1055" s="271" t="s">
        <v>504</v>
      </c>
      <c r="D1055" s="271"/>
      <c r="E1055" s="228"/>
      <c r="F1055" s="232">
        <v>0</v>
      </c>
      <c r="G1055" s="232">
        <v>0</v>
      </c>
      <c r="H1055" s="258"/>
      <c r="I1055" s="180">
        <f>SUBTOTAL(9,I1056:I1094)</f>
        <v>3610904771</v>
      </c>
      <c r="J1055" s="41"/>
      <c r="K1055" s="32"/>
    </row>
    <row r="1056" spans="1:11" s="16" customFormat="1" ht="25.5" outlineLevel="3">
      <c r="A1056" s="14"/>
      <c r="B1056" s="35">
        <f>MAXA(B$5:B1055)+1</f>
        <v>275</v>
      </c>
      <c r="C1056" s="256" t="s">
        <v>505</v>
      </c>
      <c r="D1056" s="233" t="s">
        <v>44</v>
      </c>
      <c r="E1056" s="231">
        <v>1</v>
      </c>
      <c r="F1056" s="232">
        <v>30647050</v>
      </c>
      <c r="G1056" s="232">
        <v>863475</v>
      </c>
      <c r="H1056" s="138">
        <f t="shared" ref="H1056:H1075" si="119">G1056+F1056</f>
        <v>31510525</v>
      </c>
      <c r="I1056" s="138">
        <f t="shared" ref="I1056:I1075" si="120">H1056*E1056</f>
        <v>31510525</v>
      </c>
      <c r="J1056" s="44"/>
      <c r="K1056" s="15"/>
    </row>
    <row r="1057" spans="1:11" s="16" customFormat="1" ht="25.5" outlineLevel="3">
      <c r="A1057" s="14"/>
      <c r="B1057" s="35">
        <f>MAXA(B$5:B1056)+1</f>
        <v>276</v>
      </c>
      <c r="C1057" s="256" t="s">
        <v>506</v>
      </c>
      <c r="D1057" s="233" t="s">
        <v>44</v>
      </c>
      <c r="E1057" s="231">
        <v>1</v>
      </c>
      <c r="F1057" s="232">
        <v>55485296</v>
      </c>
      <c r="G1057" s="232">
        <v>431738</v>
      </c>
      <c r="H1057" s="138">
        <f t="shared" si="119"/>
        <v>55917034</v>
      </c>
      <c r="I1057" s="138">
        <f t="shared" si="120"/>
        <v>55917034</v>
      </c>
      <c r="J1057" s="44"/>
      <c r="K1057" s="15"/>
    </row>
    <row r="1058" spans="1:11" s="16" customFormat="1" ht="25.5" outlineLevel="3">
      <c r="A1058" s="14"/>
      <c r="B1058" s="35">
        <f>MAXA(B$5:B1057)+1</f>
        <v>277</v>
      </c>
      <c r="C1058" s="256" t="s">
        <v>507</v>
      </c>
      <c r="D1058" s="233" t="s">
        <v>44</v>
      </c>
      <c r="E1058" s="231">
        <v>1</v>
      </c>
      <c r="F1058" s="232">
        <v>0</v>
      </c>
      <c r="G1058" s="232">
        <v>0</v>
      </c>
      <c r="H1058" s="138">
        <f t="shared" si="119"/>
        <v>0</v>
      </c>
      <c r="I1058" s="138">
        <f t="shared" si="120"/>
        <v>0</v>
      </c>
      <c r="J1058" s="44"/>
      <c r="K1058" s="15"/>
    </row>
    <row r="1059" spans="1:11" s="16" customFormat="1" ht="25.5" outlineLevel="3">
      <c r="A1059" s="14"/>
      <c r="B1059" s="35">
        <f>MAXA(B$5:B1058)+1</f>
        <v>278</v>
      </c>
      <c r="C1059" s="256" t="s">
        <v>508</v>
      </c>
      <c r="D1059" s="233" t="s">
        <v>44</v>
      </c>
      <c r="E1059" s="231">
        <v>1</v>
      </c>
      <c r="F1059" s="232">
        <v>97773359</v>
      </c>
      <c r="G1059" s="232">
        <v>863475</v>
      </c>
      <c r="H1059" s="138">
        <f t="shared" si="119"/>
        <v>98636834</v>
      </c>
      <c r="I1059" s="138">
        <f t="shared" si="120"/>
        <v>98636834</v>
      </c>
      <c r="J1059" s="44"/>
      <c r="K1059" s="15"/>
    </row>
    <row r="1060" spans="1:11" s="16" customFormat="1" ht="25.5" outlineLevel="3">
      <c r="A1060" s="14"/>
      <c r="B1060" s="35">
        <f>MAXA(B$5:B1059)+1</f>
        <v>279</v>
      </c>
      <c r="C1060" s="256" t="s">
        <v>509</v>
      </c>
      <c r="D1060" s="233" t="s">
        <v>44</v>
      </c>
      <c r="E1060" s="231">
        <v>1</v>
      </c>
      <c r="F1060" s="232">
        <v>0</v>
      </c>
      <c r="G1060" s="232">
        <v>0</v>
      </c>
      <c r="H1060" s="138">
        <f t="shared" si="119"/>
        <v>0</v>
      </c>
      <c r="I1060" s="138">
        <f t="shared" si="120"/>
        <v>0</v>
      </c>
      <c r="J1060" s="44"/>
      <c r="K1060" s="15"/>
    </row>
    <row r="1061" spans="1:11" s="16" customFormat="1" ht="25.5" outlineLevel="3">
      <c r="A1061" s="14"/>
      <c r="B1061" s="35">
        <f>MAXA(B$5:B1060)+1</f>
        <v>280</v>
      </c>
      <c r="C1061" s="256" t="s">
        <v>510</v>
      </c>
      <c r="D1061" s="233" t="s">
        <v>44</v>
      </c>
      <c r="E1061" s="231">
        <v>1</v>
      </c>
      <c r="F1061" s="232">
        <v>13455799</v>
      </c>
      <c r="G1061" s="232">
        <v>198659</v>
      </c>
      <c r="H1061" s="138">
        <f t="shared" si="119"/>
        <v>13654458</v>
      </c>
      <c r="I1061" s="138">
        <f t="shared" si="120"/>
        <v>13654458</v>
      </c>
      <c r="J1061" s="44"/>
      <c r="K1061" s="15"/>
    </row>
    <row r="1062" spans="1:11" s="16" customFormat="1" ht="25.5" outlineLevel="3">
      <c r="A1062" s="14"/>
      <c r="B1062" s="35">
        <f>MAXA(B$5:B1061)+1</f>
        <v>281</v>
      </c>
      <c r="C1062" s="256" t="s">
        <v>511</v>
      </c>
      <c r="D1062" s="233" t="s">
        <v>44</v>
      </c>
      <c r="E1062" s="231">
        <v>3</v>
      </c>
      <c r="F1062" s="232">
        <v>14486729</v>
      </c>
      <c r="G1062" s="232">
        <v>215928</v>
      </c>
      <c r="H1062" s="138">
        <f t="shared" si="119"/>
        <v>14702657</v>
      </c>
      <c r="I1062" s="138">
        <f t="shared" si="120"/>
        <v>44107971</v>
      </c>
      <c r="J1062" s="44"/>
      <c r="K1062" s="15"/>
    </row>
    <row r="1063" spans="1:11" s="16" customFormat="1" ht="25.5" outlineLevel="3">
      <c r="A1063" s="14"/>
      <c r="B1063" s="35">
        <f>MAXA(B$5:B1062)+1</f>
        <v>282</v>
      </c>
      <c r="C1063" s="256" t="s">
        <v>512</v>
      </c>
      <c r="D1063" s="233" t="s">
        <v>44</v>
      </c>
      <c r="E1063" s="231">
        <v>1</v>
      </c>
      <c r="F1063" s="232">
        <v>0</v>
      </c>
      <c r="G1063" s="232">
        <v>0</v>
      </c>
      <c r="H1063" s="138">
        <f t="shared" si="119"/>
        <v>0</v>
      </c>
      <c r="I1063" s="138">
        <f t="shared" si="120"/>
        <v>0</v>
      </c>
      <c r="J1063" s="44"/>
      <c r="K1063" s="15"/>
    </row>
    <row r="1064" spans="1:11" s="16" customFormat="1" ht="25.5" outlineLevel="3">
      <c r="A1064" s="14"/>
      <c r="B1064" s="35">
        <f>MAXA(B$5:B1063)+1</f>
        <v>283</v>
      </c>
      <c r="C1064" s="256" t="s">
        <v>513</v>
      </c>
      <c r="D1064" s="233" t="s">
        <v>44</v>
      </c>
      <c r="E1064" s="231">
        <v>1</v>
      </c>
      <c r="F1064" s="232">
        <v>0</v>
      </c>
      <c r="G1064" s="232">
        <v>0</v>
      </c>
      <c r="H1064" s="138">
        <f t="shared" si="119"/>
        <v>0</v>
      </c>
      <c r="I1064" s="138">
        <f t="shared" si="120"/>
        <v>0</v>
      </c>
      <c r="J1064" s="44"/>
      <c r="K1064" s="15"/>
    </row>
    <row r="1065" spans="1:11" s="16" customFormat="1" ht="25.5" outlineLevel="3">
      <c r="A1065" s="14"/>
      <c r="B1065" s="35">
        <f>MAXA(B$5:B1064)+1</f>
        <v>284</v>
      </c>
      <c r="C1065" s="256" t="s">
        <v>514</v>
      </c>
      <c r="D1065" s="233" t="s">
        <v>44</v>
      </c>
      <c r="E1065" s="231">
        <v>1</v>
      </c>
      <c r="F1065" s="232">
        <v>0</v>
      </c>
      <c r="G1065" s="232">
        <v>0</v>
      </c>
      <c r="H1065" s="138">
        <f t="shared" si="119"/>
        <v>0</v>
      </c>
      <c r="I1065" s="138">
        <f t="shared" si="120"/>
        <v>0</v>
      </c>
      <c r="J1065" s="44"/>
      <c r="K1065" s="15"/>
    </row>
    <row r="1066" spans="1:11" s="16" customFormat="1" ht="25.5" outlineLevel="3">
      <c r="A1066" s="14"/>
      <c r="B1066" s="35">
        <f>MAXA(B$5:B1065)+1</f>
        <v>285</v>
      </c>
      <c r="C1066" s="256" t="s">
        <v>515</v>
      </c>
      <c r="D1066" s="233" t="s">
        <v>44</v>
      </c>
      <c r="E1066" s="231">
        <v>49</v>
      </c>
      <c r="F1066" s="232">
        <v>2541832</v>
      </c>
      <c r="G1066" s="232">
        <v>189965</v>
      </c>
      <c r="H1066" s="138">
        <f t="shared" si="119"/>
        <v>2731797</v>
      </c>
      <c r="I1066" s="138">
        <f t="shared" si="120"/>
        <v>133858053</v>
      </c>
      <c r="J1066" s="44"/>
      <c r="K1066" s="15"/>
    </row>
    <row r="1067" spans="1:11" s="16" customFormat="1" ht="25.5" outlineLevel="3">
      <c r="A1067" s="14"/>
      <c r="B1067" s="35">
        <f>MAXA(B$5:B1066)+1</f>
        <v>286</v>
      </c>
      <c r="C1067" s="256" t="s">
        <v>516</v>
      </c>
      <c r="D1067" s="233" t="s">
        <v>44</v>
      </c>
      <c r="E1067" s="231">
        <v>27</v>
      </c>
      <c r="F1067" s="232">
        <v>3204981</v>
      </c>
      <c r="G1067" s="232">
        <v>189965</v>
      </c>
      <c r="H1067" s="138">
        <f t="shared" si="119"/>
        <v>3394946</v>
      </c>
      <c r="I1067" s="138">
        <f t="shared" si="120"/>
        <v>91663542</v>
      </c>
      <c r="J1067" s="44"/>
      <c r="K1067" s="15"/>
    </row>
    <row r="1068" spans="1:11" s="16" customFormat="1" ht="25.5" outlineLevel="3">
      <c r="A1068" s="14"/>
      <c r="B1068" s="35">
        <f>MAXA(B$5:B1067)+1</f>
        <v>287</v>
      </c>
      <c r="C1068" s="256" t="s">
        <v>517</v>
      </c>
      <c r="D1068" s="233" t="s">
        <v>44</v>
      </c>
      <c r="E1068" s="231">
        <v>11</v>
      </c>
      <c r="F1068" s="232">
        <v>661362</v>
      </c>
      <c r="G1068" s="232">
        <v>129581</v>
      </c>
      <c r="H1068" s="138">
        <f t="shared" si="119"/>
        <v>790943</v>
      </c>
      <c r="I1068" s="138">
        <f t="shared" si="120"/>
        <v>8700373</v>
      </c>
      <c r="J1068" s="44"/>
      <c r="K1068" s="15"/>
    </row>
    <row r="1069" spans="1:11" s="16" customFormat="1" ht="76.5" outlineLevel="3">
      <c r="A1069" s="14"/>
      <c r="B1069" s="35">
        <f>MAXA(B$5:B1068)+1</f>
        <v>288</v>
      </c>
      <c r="C1069" s="272" t="s">
        <v>518</v>
      </c>
      <c r="D1069" s="233" t="s">
        <v>44</v>
      </c>
      <c r="E1069" s="231">
        <v>1</v>
      </c>
      <c r="F1069" s="232">
        <v>41083545</v>
      </c>
      <c r="G1069" s="232">
        <v>604433</v>
      </c>
      <c r="H1069" s="138">
        <f t="shared" si="119"/>
        <v>41687978</v>
      </c>
      <c r="I1069" s="138">
        <f t="shared" si="120"/>
        <v>41687978</v>
      </c>
      <c r="J1069" s="44"/>
      <c r="K1069" s="15"/>
    </row>
    <row r="1070" spans="1:11" s="16" customFormat="1" ht="25.5" outlineLevel="3">
      <c r="A1070" s="14"/>
      <c r="B1070" s="35">
        <f>MAXA(B$5:B1069)+1</f>
        <v>289</v>
      </c>
      <c r="C1070" s="256" t="s">
        <v>519</v>
      </c>
      <c r="D1070" s="233" t="s">
        <v>44</v>
      </c>
      <c r="E1070" s="231">
        <v>1</v>
      </c>
      <c r="F1070" s="232">
        <v>116416439</v>
      </c>
      <c r="G1070" s="232">
        <v>2453222</v>
      </c>
      <c r="H1070" s="138">
        <f t="shared" si="119"/>
        <v>118869661</v>
      </c>
      <c r="I1070" s="138">
        <f t="shared" si="120"/>
        <v>118869661</v>
      </c>
      <c r="J1070" s="44"/>
      <c r="K1070" s="15"/>
    </row>
    <row r="1071" spans="1:11" s="16" customFormat="1" ht="25.5" outlineLevel="3">
      <c r="A1071" s="14"/>
      <c r="B1071" s="35">
        <f>MAXA(B$5:B1070)+1</f>
        <v>290</v>
      </c>
      <c r="C1071" s="256" t="s">
        <v>520</v>
      </c>
      <c r="D1071" s="230" t="s">
        <v>25</v>
      </c>
      <c r="E1071" s="231">
        <v>2200</v>
      </c>
      <c r="F1071" s="232">
        <v>37154</v>
      </c>
      <c r="G1071" s="232">
        <v>5342</v>
      </c>
      <c r="H1071" s="138">
        <f t="shared" si="119"/>
        <v>42496</v>
      </c>
      <c r="I1071" s="138">
        <f t="shared" si="120"/>
        <v>93491200</v>
      </c>
      <c r="J1071" s="44"/>
      <c r="K1071" s="15"/>
    </row>
    <row r="1072" spans="1:11" s="16" customFormat="1" ht="25.5" outlineLevel="3">
      <c r="A1072" s="14"/>
      <c r="B1072" s="35">
        <f>MAXA(B$5:B1071)+1</f>
        <v>291</v>
      </c>
      <c r="C1072" s="256" t="s">
        <v>521</v>
      </c>
      <c r="D1072" s="230" t="s">
        <v>25</v>
      </c>
      <c r="E1072" s="231">
        <v>700</v>
      </c>
      <c r="F1072" s="232">
        <v>28822</v>
      </c>
      <c r="G1072" s="232">
        <v>11195</v>
      </c>
      <c r="H1072" s="138">
        <f t="shared" si="119"/>
        <v>40017</v>
      </c>
      <c r="I1072" s="138">
        <f t="shared" si="120"/>
        <v>28011900</v>
      </c>
      <c r="J1072" s="44"/>
      <c r="K1072" s="15"/>
    </row>
    <row r="1073" spans="1:11" s="16" customFormat="1" ht="25.5" outlineLevel="3">
      <c r="A1073" s="14"/>
      <c r="B1073" s="35">
        <f>MAXA(B$5:B1072)+1</f>
        <v>292</v>
      </c>
      <c r="C1073" s="256" t="s">
        <v>522</v>
      </c>
      <c r="D1073" s="230" t="s">
        <v>25</v>
      </c>
      <c r="E1073" s="231">
        <v>2500</v>
      </c>
      <c r="F1073" s="232">
        <v>9914</v>
      </c>
      <c r="G1073" s="232">
        <v>16544</v>
      </c>
      <c r="H1073" s="138">
        <f t="shared" si="119"/>
        <v>26458</v>
      </c>
      <c r="I1073" s="138">
        <f t="shared" si="120"/>
        <v>66145000</v>
      </c>
      <c r="J1073" s="44"/>
      <c r="K1073" s="15"/>
    </row>
    <row r="1074" spans="1:11" s="16" customFormat="1" ht="25.5" outlineLevel="3">
      <c r="A1074" s="14"/>
      <c r="B1074" s="35">
        <f>MAXA(B$5:B1073)+1</f>
        <v>293</v>
      </c>
      <c r="C1074" s="256" t="s">
        <v>485</v>
      </c>
      <c r="D1074" s="230" t="s">
        <v>38</v>
      </c>
      <c r="E1074" s="231">
        <v>1</v>
      </c>
      <c r="F1074" s="232">
        <v>6736058</v>
      </c>
      <c r="G1074" s="232">
        <v>7527870</v>
      </c>
      <c r="H1074" s="138">
        <f t="shared" si="119"/>
        <v>14263928</v>
      </c>
      <c r="I1074" s="138">
        <f t="shared" si="120"/>
        <v>14263928</v>
      </c>
      <c r="J1074" s="44"/>
      <c r="K1074" s="15"/>
    </row>
    <row r="1075" spans="1:11" s="16" customFormat="1" ht="25.5" outlineLevel="3">
      <c r="A1075" s="14"/>
      <c r="B1075" s="35">
        <f>MAXA(B$5:B1074)+1</f>
        <v>294</v>
      </c>
      <c r="C1075" s="256" t="s">
        <v>523</v>
      </c>
      <c r="D1075" s="230" t="s">
        <v>28</v>
      </c>
      <c r="E1075" s="231">
        <v>1</v>
      </c>
      <c r="F1075" s="232">
        <v>11013773</v>
      </c>
      <c r="G1075" s="232">
        <v>1295213</v>
      </c>
      <c r="H1075" s="138">
        <f t="shared" si="119"/>
        <v>12308986</v>
      </c>
      <c r="I1075" s="138">
        <f t="shared" si="120"/>
        <v>12308986</v>
      </c>
      <c r="J1075" s="44"/>
      <c r="K1075" s="15"/>
    </row>
    <row r="1076" spans="1:11" s="16" customFormat="1" ht="26.25" outlineLevel="3">
      <c r="A1076" s="14"/>
      <c r="B1076" s="40"/>
      <c r="C1076" s="271" t="s">
        <v>524</v>
      </c>
      <c r="D1076" s="273"/>
      <c r="E1076" s="228"/>
      <c r="F1076" s="232">
        <v>0</v>
      </c>
      <c r="G1076" s="232">
        <v>0</v>
      </c>
      <c r="H1076" s="258"/>
      <c r="I1076" s="260"/>
      <c r="J1076" s="45"/>
      <c r="K1076" s="15"/>
    </row>
    <row r="1077" spans="1:11" s="16" customFormat="1" ht="25.5" outlineLevel="3">
      <c r="A1077" s="14"/>
      <c r="B1077" s="35">
        <f>MAXA(B$5:B1076)+1</f>
        <v>295</v>
      </c>
      <c r="C1077" s="256" t="s">
        <v>525</v>
      </c>
      <c r="D1077" s="233" t="s">
        <v>44</v>
      </c>
      <c r="E1077" s="231">
        <v>3</v>
      </c>
      <c r="F1077" s="232">
        <v>9430100</v>
      </c>
      <c r="G1077" s="232">
        <v>431738</v>
      </c>
      <c r="H1077" s="138">
        <f t="shared" ref="H1077:H1094" si="121">G1077+F1077</f>
        <v>9861838</v>
      </c>
      <c r="I1077" s="138">
        <f t="shared" ref="I1077:I1094" si="122">H1077*E1077</f>
        <v>29585514</v>
      </c>
      <c r="J1077" s="44"/>
      <c r="K1077" s="15"/>
    </row>
    <row r="1078" spans="1:11" s="16" customFormat="1" ht="25.5" outlineLevel="3">
      <c r="A1078" s="14"/>
      <c r="B1078" s="35">
        <f>MAXA(B$5:B1077)+1</f>
        <v>296</v>
      </c>
      <c r="C1078" s="256" t="s">
        <v>526</v>
      </c>
      <c r="D1078" s="233" t="s">
        <v>44</v>
      </c>
      <c r="E1078" s="231">
        <v>18</v>
      </c>
      <c r="F1078" s="232">
        <v>9430100</v>
      </c>
      <c r="G1078" s="232">
        <v>431738</v>
      </c>
      <c r="H1078" s="138">
        <f t="shared" si="121"/>
        <v>9861838</v>
      </c>
      <c r="I1078" s="138">
        <f t="shared" si="122"/>
        <v>177513084</v>
      </c>
      <c r="J1078" s="44"/>
      <c r="K1078" s="15"/>
    </row>
    <row r="1079" spans="1:11" s="16" customFormat="1" ht="25.5" outlineLevel="3">
      <c r="A1079" s="14"/>
      <c r="B1079" s="35">
        <f>MAXA(B$5:B1078)+1</f>
        <v>297</v>
      </c>
      <c r="C1079" s="256" t="s">
        <v>527</v>
      </c>
      <c r="D1079" s="233" t="s">
        <v>44</v>
      </c>
      <c r="E1079" s="231">
        <v>1</v>
      </c>
      <c r="F1079" s="232">
        <v>12142483</v>
      </c>
      <c r="G1079" s="232">
        <v>431738</v>
      </c>
      <c r="H1079" s="138">
        <f t="shared" si="121"/>
        <v>12574221</v>
      </c>
      <c r="I1079" s="138">
        <f t="shared" si="122"/>
        <v>12574221</v>
      </c>
      <c r="J1079" s="44"/>
      <c r="K1079" s="15"/>
    </row>
    <row r="1080" spans="1:11" s="16" customFormat="1" ht="25.5" outlineLevel="3">
      <c r="A1080" s="14"/>
      <c r="B1080" s="35">
        <f>MAXA(B$5:B1079)+1</f>
        <v>298</v>
      </c>
      <c r="C1080" s="256" t="s">
        <v>528</v>
      </c>
      <c r="D1080" s="233" t="s">
        <v>44</v>
      </c>
      <c r="E1080" s="231">
        <v>50</v>
      </c>
      <c r="F1080" s="232">
        <v>2541832</v>
      </c>
      <c r="G1080" s="232">
        <v>189965</v>
      </c>
      <c r="H1080" s="138">
        <f t="shared" si="121"/>
        <v>2731797</v>
      </c>
      <c r="I1080" s="138">
        <f t="shared" si="122"/>
        <v>136589850</v>
      </c>
      <c r="J1080" s="44"/>
      <c r="K1080" s="15"/>
    </row>
    <row r="1081" spans="1:11" s="16" customFormat="1" ht="25.5" outlineLevel="3">
      <c r="A1081" s="14"/>
      <c r="B1081" s="35">
        <f>MAXA(B$5:B1080)+1</f>
        <v>299</v>
      </c>
      <c r="C1081" s="256" t="s">
        <v>529</v>
      </c>
      <c r="D1081" s="233" t="s">
        <v>44</v>
      </c>
      <c r="E1081" s="231">
        <v>30</v>
      </c>
      <c r="F1081" s="232">
        <v>3204981</v>
      </c>
      <c r="G1081" s="232">
        <v>189965</v>
      </c>
      <c r="H1081" s="138">
        <f t="shared" si="121"/>
        <v>3394946</v>
      </c>
      <c r="I1081" s="138">
        <f t="shared" si="122"/>
        <v>101848380</v>
      </c>
      <c r="J1081" s="44"/>
      <c r="K1081" s="15"/>
    </row>
    <row r="1082" spans="1:11" s="16" customFormat="1" ht="25.5" outlineLevel="3">
      <c r="A1082" s="14"/>
      <c r="B1082" s="35">
        <f>MAXA(B$5:B1081)+1</f>
        <v>300</v>
      </c>
      <c r="C1082" s="256" t="s">
        <v>530</v>
      </c>
      <c r="D1082" s="233" t="s">
        <v>44</v>
      </c>
      <c r="E1082" s="231">
        <v>4</v>
      </c>
      <c r="F1082" s="232">
        <v>3257623</v>
      </c>
      <c r="G1082" s="232">
        <v>129581</v>
      </c>
      <c r="H1082" s="138">
        <f t="shared" si="121"/>
        <v>3387204</v>
      </c>
      <c r="I1082" s="138">
        <f t="shared" si="122"/>
        <v>13548816</v>
      </c>
      <c r="J1082" s="46"/>
      <c r="K1082" s="15"/>
    </row>
    <row r="1083" spans="1:11" s="16" customFormat="1" ht="25.5" customHeight="1" outlineLevel="3">
      <c r="A1083" s="14"/>
      <c r="B1083" s="35">
        <f>MAXA(B$5:B1082)+1</f>
        <v>301</v>
      </c>
      <c r="C1083" s="256" t="s">
        <v>531</v>
      </c>
      <c r="D1083" s="233" t="s">
        <v>44</v>
      </c>
      <c r="E1083" s="231">
        <v>11</v>
      </c>
      <c r="F1083" s="232">
        <v>30549150</v>
      </c>
      <c r="G1083" s="232">
        <v>863475</v>
      </c>
      <c r="H1083" s="138">
        <f t="shared" si="121"/>
        <v>31412625</v>
      </c>
      <c r="I1083" s="138">
        <f t="shared" si="122"/>
        <v>345538875</v>
      </c>
      <c r="J1083" s="25"/>
      <c r="K1083" s="15"/>
    </row>
    <row r="1084" spans="1:11" s="16" customFormat="1" ht="25.5" customHeight="1" outlineLevel="3">
      <c r="A1084" s="14"/>
      <c r="B1084" s="35">
        <f>MAXA(B$5:B1083)+1</f>
        <v>302</v>
      </c>
      <c r="C1084" s="256" t="s">
        <v>532</v>
      </c>
      <c r="D1084" s="233" t="s">
        <v>44</v>
      </c>
      <c r="E1084" s="231">
        <v>10</v>
      </c>
      <c r="F1084" s="232">
        <v>32931150</v>
      </c>
      <c r="G1084" s="232">
        <v>1208865</v>
      </c>
      <c r="H1084" s="138">
        <f t="shared" si="121"/>
        <v>34140015</v>
      </c>
      <c r="I1084" s="138">
        <f t="shared" si="122"/>
        <v>341400150</v>
      </c>
      <c r="J1084" s="25"/>
      <c r="K1084" s="15"/>
    </row>
    <row r="1085" spans="1:11" s="16" customFormat="1" ht="25.5" customHeight="1" outlineLevel="3">
      <c r="A1085" s="14"/>
      <c r="B1085" s="35">
        <f>MAXA(B$5:B1084)+1</f>
        <v>303</v>
      </c>
      <c r="C1085" s="256" t="s">
        <v>533</v>
      </c>
      <c r="D1085" s="233" t="s">
        <v>44</v>
      </c>
      <c r="E1085" s="231">
        <v>17</v>
      </c>
      <c r="F1085" s="232">
        <v>3482603</v>
      </c>
      <c r="G1085" s="232">
        <v>129581</v>
      </c>
      <c r="H1085" s="138">
        <f t="shared" si="121"/>
        <v>3612184</v>
      </c>
      <c r="I1085" s="138">
        <f t="shared" si="122"/>
        <v>61407128</v>
      </c>
      <c r="J1085" s="25"/>
      <c r="K1085" s="15"/>
    </row>
    <row r="1086" spans="1:11" s="16" customFormat="1" ht="25.5" customHeight="1" outlineLevel="3">
      <c r="A1086" s="14"/>
      <c r="B1086" s="35">
        <f>MAXA(B$5:B1085)+1</f>
        <v>304</v>
      </c>
      <c r="C1086" s="256" t="s">
        <v>534</v>
      </c>
      <c r="D1086" s="233" t="s">
        <v>44</v>
      </c>
      <c r="E1086" s="231">
        <v>5</v>
      </c>
      <c r="F1086" s="232">
        <v>4387823</v>
      </c>
      <c r="G1086" s="232">
        <v>604433</v>
      </c>
      <c r="H1086" s="138">
        <f t="shared" si="121"/>
        <v>4992256</v>
      </c>
      <c r="I1086" s="138">
        <f t="shared" si="122"/>
        <v>24961280</v>
      </c>
      <c r="J1086" s="25"/>
      <c r="K1086" s="15"/>
    </row>
    <row r="1087" spans="1:11" s="16" customFormat="1" ht="25.5" outlineLevel="3">
      <c r="A1087" s="14"/>
      <c r="B1087" s="35">
        <f>MAXA(B$5:B1086)+1</f>
        <v>305</v>
      </c>
      <c r="C1087" s="274" t="s">
        <v>535</v>
      </c>
      <c r="D1087" s="230" t="s">
        <v>28</v>
      </c>
      <c r="E1087" s="231">
        <v>22</v>
      </c>
      <c r="F1087" s="232">
        <v>9936513</v>
      </c>
      <c r="G1087" s="232">
        <v>388623</v>
      </c>
      <c r="H1087" s="138">
        <f t="shared" si="121"/>
        <v>10325136</v>
      </c>
      <c r="I1087" s="138">
        <f t="shared" si="122"/>
        <v>227152992</v>
      </c>
      <c r="J1087" s="46"/>
      <c r="K1087" s="15"/>
    </row>
    <row r="1088" spans="1:11" s="16" customFormat="1" ht="25.5" outlineLevel="3">
      <c r="A1088" s="14"/>
      <c r="B1088" s="35">
        <f>MAXA(B$5:B1087)+1</f>
        <v>306</v>
      </c>
      <c r="C1088" s="274" t="s">
        <v>536</v>
      </c>
      <c r="D1088" s="230" t="s">
        <v>28</v>
      </c>
      <c r="E1088" s="231">
        <v>22</v>
      </c>
      <c r="F1088" s="232">
        <v>9679257</v>
      </c>
      <c r="G1088" s="232">
        <v>388623</v>
      </c>
      <c r="H1088" s="138">
        <f t="shared" si="121"/>
        <v>10067880</v>
      </c>
      <c r="I1088" s="138">
        <f t="shared" si="122"/>
        <v>221493360</v>
      </c>
      <c r="J1088" s="46"/>
      <c r="K1088" s="15"/>
    </row>
    <row r="1089" spans="1:11" s="16" customFormat="1" ht="25.5" outlineLevel="3">
      <c r="A1089" s="14"/>
      <c r="B1089" s="35">
        <f>MAXA(B$5:B1088)+1</f>
        <v>307</v>
      </c>
      <c r="C1089" s="274" t="s">
        <v>537</v>
      </c>
      <c r="D1089" s="233" t="s">
        <v>44</v>
      </c>
      <c r="E1089" s="231">
        <v>22</v>
      </c>
      <c r="F1089" s="232">
        <v>43580834</v>
      </c>
      <c r="G1089" s="232">
        <v>388623</v>
      </c>
      <c r="H1089" s="138">
        <f t="shared" si="121"/>
        <v>43969457</v>
      </c>
      <c r="I1089" s="138">
        <f t="shared" si="122"/>
        <v>967328054</v>
      </c>
      <c r="J1089" s="46"/>
      <c r="K1089" s="15"/>
    </row>
    <row r="1090" spans="1:11" s="16" customFormat="1" ht="25.5" outlineLevel="3">
      <c r="A1090" s="14"/>
      <c r="B1090" s="35">
        <f>MAXA(B$5:B1089)+1</f>
        <v>308</v>
      </c>
      <c r="C1090" s="256" t="s">
        <v>538</v>
      </c>
      <c r="D1090" s="230" t="s">
        <v>539</v>
      </c>
      <c r="E1090" s="231">
        <v>22</v>
      </c>
      <c r="F1090" s="232">
        <v>578826</v>
      </c>
      <c r="G1090" s="232">
        <v>129581</v>
      </c>
      <c r="H1090" s="138">
        <f t="shared" si="121"/>
        <v>708407</v>
      </c>
      <c r="I1090" s="138">
        <f t="shared" si="122"/>
        <v>15584954</v>
      </c>
      <c r="J1090" s="46"/>
      <c r="K1090" s="15"/>
    </row>
    <row r="1091" spans="1:11" s="16" customFormat="1" ht="25.5" outlineLevel="3">
      <c r="A1091" s="14"/>
      <c r="B1091" s="35">
        <f>MAXA(B$5:B1090)+1</f>
        <v>309</v>
      </c>
      <c r="C1091" s="256" t="s">
        <v>540</v>
      </c>
      <c r="D1091" s="230" t="s">
        <v>25</v>
      </c>
      <c r="E1091" s="231">
        <v>650</v>
      </c>
      <c r="F1091" s="232">
        <v>18699</v>
      </c>
      <c r="G1091" s="232">
        <v>9528</v>
      </c>
      <c r="H1091" s="138">
        <f t="shared" si="121"/>
        <v>28227</v>
      </c>
      <c r="I1091" s="138">
        <f t="shared" si="122"/>
        <v>18347550</v>
      </c>
      <c r="J1091" s="46"/>
      <c r="K1091" s="15"/>
    </row>
    <row r="1092" spans="1:11" s="16" customFormat="1" ht="25.5" outlineLevel="3">
      <c r="A1092" s="14"/>
      <c r="B1092" s="35">
        <f>MAXA(B$5:B1091)+1</f>
        <v>310</v>
      </c>
      <c r="C1092" s="256" t="s">
        <v>521</v>
      </c>
      <c r="D1092" s="230" t="s">
        <v>25</v>
      </c>
      <c r="E1092" s="231">
        <v>330</v>
      </c>
      <c r="F1092" s="232">
        <v>12004</v>
      </c>
      <c r="G1092" s="232">
        <v>10272</v>
      </c>
      <c r="H1092" s="138">
        <f t="shared" si="121"/>
        <v>22276</v>
      </c>
      <c r="I1092" s="138">
        <f t="shared" si="122"/>
        <v>7351080</v>
      </c>
      <c r="J1092" s="46"/>
      <c r="K1092" s="15"/>
    </row>
    <row r="1093" spans="1:11" s="16" customFormat="1" ht="25.5" outlineLevel="3">
      <c r="A1093" s="14"/>
      <c r="B1093" s="35">
        <f>MAXA(B$5:B1092)+1</f>
        <v>311</v>
      </c>
      <c r="C1093" s="256" t="s">
        <v>373</v>
      </c>
      <c r="D1093" s="230" t="s">
        <v>25</v>
      </c>
      <c r="E1093" s="231">
        <v>980</v>
      </c>
      <c r="F1093" s="232">
        <v>7158</v>
      </c>
      <c r="G1093" s="232">
        <v>14590</v>
      </c>
      <c r="H1093" s="138">
        <f t="shared" si="121"/>
        <v>21748</v>
      </c>
      <c r="I1093" s="138">
        <f t="shared" si="122"/>
        <v>21313040</v>
      </c>
      <c r="J1093" s="46"/>
      <c r="K1093" s="15"/>
    </row>
    <row r="1094" spans="1:11" s="16" customFormat="1" ht="25.5" outlineLevel="3">
      <c r="A1094" s="14"/>
      <c r="B1094" s="35">
        <f>MAXA(B$5:B1093)+1</f>
        <v>312</v>
      </c>
      <c r="C1094" s="256" t="s">
        <v>541</v>
      </c>
      <c r="D1094" s="230" t="s">
        <v>38</v>
      </c>
      <c r="E1094" s="231">
        <v>1</v>
      </c>
      <c r="F1094" s="232">
        <v>34539000</v>
      </c>
      <c r="G1094" s="232">
        <v>0</v>
      </c>
      <c r="H1094" s="138">
        <f t="shared" si="121"/>
        <v>34539000</v>
      </c>
      <c r="I1094" s="138">
        <f t="shared" si="122"/>
        <v>34539000</v>
      </c>
      <c r="J1094" s="44"/>
      <c r="K1094" s="15"/>
    </row>
    <row r="1095" spans="1:11" s="33" customFormat="1" ht="27" outlineLevel="3">
      <c r="A1095" s="34"/>
      <c r="B1095" s="40" t="s">
        <v>542</v>
      </c>
      <c r="C1095" s="271" t="s">
        <v>543</v>
      </c>
      <c r="D1095" s="259"/>
      <c r="E1095" s="228"/>
      <c r="F1095" s="232">
        <v>0</v>
      </c>
      <c r="G1095" s="232">
        <v>0</v>
      </c>
      <c r="H1095" s="228"/>
      <c r="I1095" s="180">
        <f>SUBTOTAL(9,I1096:I1106)</f>
        <v>202551665</v>
      </c>
      <c r="J1095" s="45"/>
      <c r="K1095" s="32"/>
    </row>
    <row r="1096" spans="1:11" s="16" customFormat="1" ht="51" outlineLevel="3">
      <c r="A1096" s="14"/>
      <c r="B1096" s="35">
        <f>MAXA(B$5:B1095)+1</f>
        <v>313</v>
      </c>
      <c r="C1096" s="256" t="s">
        <v>544</v>
      </c>
      <c r="D1096" s="233" t="s">
        <v>44</v>
      </c>
      <c r="E1096" s="231">
        <v>1</v>
      </c>
      <c r="F1096" s="232">
        <v>20291067</v>
      </c>
      <c r="G1096" s="232">
        <v>774150</v>
      </c>
      <c r="H1096" s="138">
        <f t="shared" ref="H1096:H1106" si="123">G1096+F1096</f>
        <v>21065217</v>
      </c>
      <c r="I1096" s="138">
        <f t="shared" ref="I1096:I1106" si="124">H1096*E1096</f>
        <v>21065217</v>
      </c>
      <c r="J1096" s="44"/>
      <c r="K1096" s="15"/>
    </row>
    <row r="1097" spans="1:11" s="16" customFormat="1" ht="25.5" outlineLevel="3">
      <c r="A1097" s="14"/>
      <c r="B1097" s="35">
        <f>MAXA(B$5:B1096)+1</f>
        <v>314</v>
      </c>
      <c r="C1097" s="256" t="s">
        <v>545</v>
      </c>
      <c r="D1097" s="233" t="s">
        <v>44</v>
      </c>
      <c r="E1097" s="231">
        <v>5</v>
      </c>
      <c r="F1097" s="232">
        <v>5423278</v>
      </c>
      <c r="G1097" s="232">
        <v>178650</v>
      </c>
      <c r="H1097" s="138">
        <f t="shared" si="123"/>
        <v>5601928</v>
      </c>
      <c r="I1097" s="138">
        <f t="shared" si="124"/>
        <v>28009640</v>
      </c>
      <c r="J1097" s="44"/>
      <c r="K1097" s="15"/>
    </row>
    <row r="1098" spans="1:11" s="16" customFormat="1" ht="25.5" outlineLevel="3">
      <c r="A1098" s="14"/>
      <c r="B1098" s="35">
        <f>MAXA(B$5:B1097)+1</f>
        <v>315</v>
      </c>
      <c r="C1098" s="256" t="s">
        <v>546</v>
      </c>
      <c r="D1098" s="233" t="s">
        <v>44</v>
      </c>
      <c r="E1098" s="231">
        <v>6</v>
      </c>
      <c r="F1098" s="232">
        <v>9296589</v>
      </c>
      <c r="G1098" s="232">
        <v>416850</v>
      </c>
      <c r="H1098" s="138">
        <f t="shared" si="123"/>
        <v>9713439</v>
      </c>
      <c r="I1098" s="138">
        <f t="shared" si="124"/>
        <v>58280634</v>
      </c>
      <c r="J1098" s="44"/>
      <c r="K1098" s="15"/>
    </row>
    <row r="1099" spans="1:11" s="16" customFormat="1" ht="25.5" outlineLevel="3">
      <c r="A1099" s="14"/>
      <c r="B1099" s="35">
        <f>MAXA(B$5:B1098)+1</f>
        <v>316</v>
      </c>
      <c r="C1099" s="256" t="s">
        <v>547</v>
      </c>
      <c r="D1099" s="233" t="s">
        <v>44</v>
      </c>
      <c r="E1099" s="231">
        <v>6</v>
      </c>
      <c r="F1099" s="232">
        <v>0</v>
      </c>
      <c r="G1099" s="232">
        <v>0</v>
      </c>
      <c r="H1099" s="138">
        <f t="shared" si="123"/>
        <v>0</v>
      </c>
      <c r="I1099" s="138">
        <f t="shared" si="124"/>
        <v>0</v>
      </c>
      <c r="J1099" s="44"/>
      <c r="K1099" s="15"/>
    </row>
    <row r="1100" spans="1:11" s="16" customFormat="1" ht="25.5" outlineLevel="3">
      <c r="A1100" s="14"/>
      <c r="B1100" s="35">
        <f>MAXA(B$5:B1099)+1</f>
        <v>317</v>
      </c>
      <c r="C1100" s="256" t="s">
        <v>548</v>
      </c>
      <c r="D1100" s="233" t="s">
        <v>44</v>
      </c>
      <c r="E1100" s="231">
        <v>1</v>
      </c>
      <c r="F1100" s="232">
        <v>17525565</v>
      </c>
      <c r="G1100" s="232">
        <v>655050</v>
      </c>
      <c r="H1100" s="138">
        <f t="shared" si="123"/>
        <v>18180615</v>
      </c>
      <c r="I1100" s="138">
        <f t="shared" si="124"/>
        <v>18180615</v>
      </c>
      <c r="J1100" s="44"/>
      <c r="K1100" s="15"/>
    </row>
    <row r="1101" spans="1:11" s="16" customFormat="1" ht="51" outlineLevel="3">
      <c r="A1101" s="14"/>
      <c r="B1101" s="35">
        <f>MAXA(B$5:B1100)+1</f>
        <v>318</v>
      </c>
      <c r="C1101" s="256" t="s">
        <v>549</v>
      </c>
      <c r="D1101" s="233" t="s">
        <v>44</v>
      </c>
      <c r="E1101" s="231">
        <v>1</v>
      </c>
      <c r="F1101" s="232">
        <v>29222674</v>
      </c>
      <c r="G1101" s="232">
        <v>535950</v>
      </c>
      <c r="H1101" s="138">
        <f t="shared" si="123"/>
        <v>29758624</v>
      </c>
      <c r="I1101" s="138">
        <f t="shared" si="124"/>
        <v>29758624</v>
      </c>
      <c r="J1101" s="44"/>
      <c r="K1101" s="15"/>
    </row>
    <row r="1102" spans="1:11" s="16" customFormat="1" ht="25.5" outlineLevel="3">
      <c r="A1102" s="14"/>
      <c r="B1102" s="35">
        <f>MAXA(B$5:B1101)+1</f>
        <v>319</v>
      </c>
      <c r="C1102" s="256" t="s">
        <v>550</v>
      </c>
      <c r="D1102" s="230" t="s">
        <v>38</v>
      </c>
      <c r="E1102" s="231">
        <v>1</v>
      </c>
      <c r="F1102" s="232">
        <v>16912200</v>
      </c>
      <c r="G1102" s="232">
        <v>3811200</v>
      </c>
      <c r="H1102" s="138">
        <f t="shared" si="123"/>
        <v>20723400</v>
      </c>
      <c r="I1102" s="138">
        <f t="shared" si="124"/>
        <v>20723400</v>
      </c>
      <c r="J1102" s="44"/>
      <c r="K1102" s="15"/>
    </row>
    <row r="1103" spans="1:11" s="16" customFormat="1" ht="25.5" outlineLevel="3">
      <c r="A1103" s="14"/>
      <c r="B1103" s="35">
        <f>MAXA(B$5:B1102)+1</f>
        <v>320</v>
      </c>
      <c r="C1103" s="256" t="s">
        <v>551</v>
      </c>
      <c r="D1103" s="230" t="s">
        <v>38</v>
      </c>
      <c r="E1103" s="231">
        <v>1</v>
      </c>
      <c r="F1103" s="232">
        <v>10290240</v>
      </c>
      <c r="G1103" s="232">
        <v>3430080</v>
      </c>
      <c r="H1103" s="138">
        <f t="shared" si="123"/>
        <v>13720320</v>
      </c>
      <c r="I1103" s="138">
        <f t="shared" si="124"/>
        <v>13720320</v>
      </c>
      <c r="J1103" s="44"/>
      <c r="K1103" s="15"/>
    </row>
    <row r="1104" spans="1:11" s="16" customFormat="1" ht="25.5" outlineLevel="3">
      <c r="A1104" s="14"/>
      <c r="B1104" s="35">
        <f>MAXA(B$5:B1103)+1</f>
        <v>321</v>
      </c>
      <c r="C1104" s="256" t="s">
        <v>552</v>
      </c>
      <c r="D1104" s="233" t="s">
        <v>44</v>
      </c>
      <c r="E1104" s="231">
        <v>5</v>
      </c>
      <c r="F1104" s="232">
        <v>175256</v>
      </c>
      <c r="G1104" s="232">
        <v>129581</v>
      </c>
      <c r="H1104" s="138">
        <f t="shared" si="123"/>
        <v>304837</v>
      </c>
      <c r="I1104" s="138">
        <f t="shared" si="124"/>
        <v>1524185</v>
      </c>
      <c r="J1104" s="44"/>
      <c r="K1104" s="15"/>
    </row>
    <row r="1105" spans="1:14" s="16" customFormat="1" ht="25.5" outlineLevel="3">
      <c r="A1105" s="14"/>
      <c r="B1105" s="35">
        <f>MAXA(B$5:B1104)+1</f>
        <v>322</v>
      </c>
      <c r="C1105" s="256" t="s">
        <v>373</v>
      </c>
      <c r="D1105" s="230" t="s">
        <v>38</v>
      </c>
      <c r="E1105" s="231">
        <v>1</v>
      </c>
      <c r="F1105" s="232">
        <v>9914</v>
      </c>
      <c r="G1105" s="232">
        <v>16544</v>
      </c>
      <c r="H1105" s="138">
        <f t="shared" si="123"/>
        <v>26458</v>
      </c>
      <c r="I1105" s="138">
        <f t="shared" si="124"/>
        <v>26458</v>
      </c>
      <c r="J1105" s="44"/>
      <c r="K1105" s="15"/>
    </row>
    <row r="1106" spans="1:14" s="16" customFormat="1" ht="25.5" outlineLevel="3">
      <c r="A1106" s="14"/>
      <c r="B1106" s="35">
        <f>MAXA(B$5:B1105)+1</f>
        <v>323</v>
      </c>
      <c r="C1106" s="256" t="s">
        <v>485</v>
      </c>
      <c r="D1106" s="230" t="s">
        <v>38</v>
      </c>
      <c r="E1106" s="231">
        <v>1</v>
      </c>
      <c r="F1106" s="232">
        <v>7508421</v>
      </c>
      <c r="G1106" s="232">
        <v>3754151</v>
      </c>
      <c r="H1106" s="138">
        <f t="shared" si="123"/>
        <v>11262572</v>
      </c>
      <c r="I1106" s="138">
        <f t="shared" si="124"/>
        <v>11262572</v>
      </c>
      <c r="J1106" s="44"/>
      <c r="K1106" s="15"/>
    </row>
    <row r="1107" spans="1:14" s="33" customFormat="1" ht="27" outlineLevel="3">
      <c r="A1107" s="34"/>
      <c r="B1107" s="38" t="s">
        <v>553</v>
      </c>
      <c r="C1107" s="267" t="s">
        <v>554</v>
      </c>
      <c r="D1107" s="268"/>
      <c r="E1107" s="213"/>
      <c r="F1107" s="232">
        <v>0</v>
      </c>
      <c r="G1107" s="232">
        <v>0</v>
      </c>
      <c r="H1107" s="228"/>
      <c r="I1107" s="180">
        <f>SUBTOTAL(9,I1108:I1118)</f>
        <v>351188849</v>
      </c>
      <c r="J1107" s="41"/>
      <c r="K1107" s="32"/>
    </row>
    <row r="1108" spans="1:14" s="16" customFormat="1" ht="25.5" outlineLevel="3">
      <c r="A1108" s="14"/>
      <c r="B1108" s="35">
        <f>MAXA(B$5:B1107)+1</f>
        <v>324</v>
      </c>
      <c r="C1108" s="256" t="s">
        <v>555</v>
      </c>
      <c r="D1108" s="230" t="s">
        <v>25</v>
      </c>
      <c r="E1108" s="247">
        <v>100</v>
      </c>
      <c r="F1108" s="232">
        <v>500488</v>
      </c>
      <c r="G1108" s="232">
        <v>156319</v>
      </c>
      <c r="H1108" s="138">
        <f t="shared" ref="H1108:H1113" si="125">G1108+F1108</f>
        <v>656807</v>
      </c>
      <c r="I1108" s="138">
        <f t="shared" ref="I1108:I1113" si="126">H1108*E1108</f>
        <v>65680700</v>
      </c>
      <c r="J1108" s="41"/>
      <c r="K1108" s="15"/>
    </row>
    <row r="1109" spans="1:14" s="16" customFormat="1" ht="25.5" outlineLevel="3">
      <c r="A1109" s="14"/>
      <c r="B1109" s="35">
        <f>MAXA(B$5:B1108)+1</f>
        <v>325</v>
      </c>
      <c r="C1109" s="256" t="s">
        <v>556</v>
      </c>
      <c r="D1109" s="230" t="s">
        <v>28</v>
      </c>
      <c r="E1109" s="247">
        <v>10</v>
      </c>
      <c r="F1109" s="232">
        <v>598031</v>
      </c>
      <c r="G1109" s="232">
        <v>156319</v>
      </c>
      <c r="H1109" s="138">
        <f t="shared" si="125"/>
        <v>754350</v>
      </c>
      <c r="I1109" s="138">
        <f t="shared" si="126"/>
        <v>7543500</v>
      </c>
      <c r="J1109" s="41"/>
      <c r="K1109" s="15"/>
    </row>
    <row r="1110" spans="1:14" s="16" customFormat="1" ht="25.5" outlineLevel="3">
      <c r="A1110" s="14"/>
      <c r="B1110" s="35">
        <f>MAXA(B$5:B1109)+1</f>
        <v>326</v>
      </c>
      <c r="C1110" s="256" t="s">
        <v>557</v>
      </c>
      <c r="D1110" s="230" t="s">
        <v>28</v>
      </c>
      <c r="E1110" s="247">
        <v>15</v>
      </c>
      <c r="F1110" s="232">
        <v>483070</v>
      </c>
      <c r="G1110" s="232">
        <v>156319</v>
      </c>
      <c r="H1110" s="138">
        <f t="shared" si="125"/>
        <v>639389</v>
      </c>
      <c r="I1110" s="138">
        <f t="shared" si="126"/>
        <v>9590835</v>
      </c>
      <c r="J1110" s="41"/>
      <c r="K1110" s="15"/>
    </row>
    <row r="1111" spans="1:14" s="16" customFormat="1" ht="25.5" outlineLevel="3">
      <c r="A1111" s="14"/>
      <c r="B1111" s="35">
        <f>MAXA(B$5:B1110)+1</f>
        <v>327</v>
      </c>
      <c r="C1111" s="256" t="s">
        <v>558</v>
      </c>
      <c r="D1111" s="230" t="s">
        <v>25</v>
      </c>
      <c r="E1111" s="247">
        <v>203</v>
      </c>
      <c r="F1111" s="232">
        <v>400390</v>
      </c>
      <c r="G1111" s="232">
        <v>125055</v>
      </c>
      <c r="H1111" s="138">
        <f t="shared" si="125"/>
        <v>525445</v>
      </c>
      <c r="I1111" s="138">
        <f t="shared" si="126"/>
        <v>106665335</v>
      </c>
      <c r="J1111" s="41"/>
      <c r="K1111" s="15"/>
    </row>
    <row r="1112" spans="1:14" s="16" customFormat="1" ht="25.5" outlineLevel="3">
      <c r="A1112" s="14"/>
      <c r="B1112" s="35">
        <f>MAXA(B$5:B1111)+1</f>
        <v>328</v>
      </c>
      <c r="C1112" s="256" t="s">
        <v>559</v>
      </c>
      <c r="D1112" s="230" t="s">
        <v>28</v>
      </c>
      <c r="E1112" s="247">
        <v>12</v>
      </c>
      <c r="F1112" s="232">
        <v>478425</v>
      </c>
      <c r="G1112" s="232">
        <v>125055</v>
      </c>
      <c r="H1112" s="138">
        <f t="shared" si="125"/>
        <v>603480</v>
      </c>
      <c r="I1112" s="138">
        <f t="shared" si="126"/>
        <v>7241760</v>
      </c>
      <c r="J1112" s="41"/>
      <c r="K1112" s="15"/>
    </row>
    <row r="1113" spans="1:14" s="16" customFormat="1" ht="25.5" outlineLevel="3">
      <c r="A1113" s="14"/>
      <c r="B1113" s="35">
        <f>MAXA(B$5:B1112)+1</f>
        <v>329</v>
      </c>
      <c r="C1113" s="256" t="s">
        <v>560</v>
      </c>
      <c r="D1113" s="230" t="s">
        <v>25</v>
      </c>
      <c r="E1113" s="247">
        <v>210</v>
      </c>
      <c r="F1113" s="232">
        <v>271727</v>
      </c>
      <c r="G1113" s="232">
        <v>125055</v>
      </c>
      <c r="H1113" s="138">
        <f t="shared" si="125"/>
        <v>396782</v>
      </c>
      <c r="I1113" s="138">
        <f t="shared" si="126"/>
        <v>83324220</v>
      </c>
      <c r="J1113" s="41"/>
      <c r="K1113" s="15"/>
    </row>
    <row r="1114" spans="1:14" s="16" customFormat="1" ht="25.5" outlineLevel="3">
      <c r="A1114" s="14"/>
      <c r="B1114" s="38"/>
      <c r="C1114" s="261" t="s">
        <v>400</v>
      </c>
      <c r="D1114" s="275"/>
      <c r="E1114" s="247"/>
      <c r="F1114" s="232">
        <v>0</v>
      </c>
      <c r="G1114" s="232">
        <v>0</v>
      </c>
      <c r="H1114" s="231"/>
      <c r="I1114" s="251"/>
      <c r="J1114" s="41"/>
      <c r="K1114" s="15"/>
    </row>
    <row r="1115" spans="1:14" s="16" customFormat="1" ht="25.5" outlineLevel="3">
      <c r="A1115" s="14"/>
      <c r="B1115" s="35">
        <f>MAXA(B$5:B1114)+1</f>
        <v>330</v>
      </c>
      <c r="C1115" s="256" t="s">
        <v>401</v>
      </c>
      <c r="D1115" s="230" t="s">
        <v>25</v>
      </c>
      <c r="E1115" s="247">
        <v>171</v>
      </c>
      <c r="F1115" s="232">
        <v>82099</v>
      </c>
      <c r="G1115" s="232">
        <v>15632</v>
      </c>
      <c r="H1115" s="138">
        <f>G1115+F1115</f>
        <v>97731</v>
      </c>
      <c r="I1115" s="138">
        <f>H1115*E1115</f>
        <v>16712001</v>
      </c>
      <c r="J1115" s="41"/>
      <c r="K1115" s="15"/>
    </row>
    <row r="1116" spans="1:14" s="16" customFormat="1" ht="25.5" outlineLevel="3">
      <c r="A1116" s="14"/>
      <c r="B1116" s="35">
        <f>MAXA(B$5:B1115)+1</f>
        <v>331</v>
      </c>
      <c r="C1116" s="256" t="s">
        <v>561</v>
      </c>
      <c r="D1116" s="230" t="s">
        <v>25</v>
      </c>
      <c r="E1116" s="247">
        <v>513</v>
      </c>
      <c r="F1116" s="232">
        <v>25740</v>
      </c>
      <c r="G1116" s="232">
        <v>10421</v>
      </c>
      <c r="H1116" s="138">
        <f>G1116+F1116</f>
        <v>36161</v>
      </c>
      <c r="I1116" s="138">
        <f>H1116*E1116</f>
        <v>18550593</v>
      </c>
      <c r="J1116" s="41"/>
      <c r="K1116" s="15"/>
    </row>
    <row r="1117" spans="1:14" s="16" customFormat="1" ht="25.5" outlineLevel="3">
      <c r="A1117" s="14"/>
      <c r="B1117" s="35">
        <f>MAXA(B$5:B1116)+1</f>
        <v>332</v>
      </c>
      <c r="C1117" s="256" t="s">
        <v>562</v>
      </c>
      <c r="D1117" s="230" t="s">
        <v>28</v>
      </c>
      <c r="E1117" s="247">
        <v>684</v>
      </c>
      <c r="F1117" s="232">
        <v>9174</v>
      </c>
      <c r="G1117" s="232">
        <v>2084</v>
      </c>
      <c r="H1117" s="138">
        <f>G1117+F1117</f>
        <v>11258</v>
      </c>
      <c r="I1117" s="138">
        <f>H1117*E1117</f>
        <v>7700472</v>
      </c>
      <c r="J1117" s="41"/>
      <c r="K1117" s="15"/>
    </row>
    <row r="1118" spans="1:14" s="16" customFormat="1" ht="25.5" outlineLevel="3">
      <c r="A1118" s="14"/>
      <c r="B1118" s="35">
        <f>MAXA(B$5:B1117)+1</f>
        <v>333</v>
      </c>
      <c r="C1118" s="256" t="s">
        <v>485</v>
      </c>
      <c r="D1118" s="230" t="s">
        <v>38</v>
      </c>
      <c r="E1118" s="247">
        <v>1</v>
      </c>
      <c r="F1118" s="232">
        <v>20735809</v>
      </c>
      <c r="G1118" s="232">
        <v>7443624</v>
      </c>
      <c r="H1118" s="138">
        <f>G1118+F1118</f>
        <v>28179433</v>
      </c>
      <c r="I1118" s="138">
        <f>H1118*E1118</f>
        <v>28179433</v>
      </c>
      <c r="J1118" s="41"/>
      <c r="K1118" s="15"/>
    </row>
    <row r="1119" spans="1:14" s="33" customFormat="1" ht="26.25" outlineLevel="2">
      <c r="A1119" s="14"/>
      <c r="B1119" s="30" t="s">
        <v>563</v>
      </c>
      <c r="C1119" s="225" t="s">
        <v>564</v>
      </c>
      <c r="D1119" s="225"/>
      <c r="E1119" s="226"/>
      <c r="F1119" s="232">
        <v>0</v>
      </c>
      <c r="G1119" s="232">
        <v>0</v>
      </c>
      <c r="H1119" s="225"/>
      <c r="I1119" s="180">
        <f>SUBTOTAL(9,I1120:I1120)</f>
        <v>248125000</v>
      </c>
      <c r="J1119" s="31"/>
      <c r="K1119" s="32"/>
      <c r="M1119" s="16" t="s">
        <v>563</v>
      </c>
      <c r="N1119" s="33" t="s">
        <v>563</v>
      </c>
    </row>
    <row r="1120" spans="1:14" s="16" customFormat="1" ht="25.5" outlineLevel="3">
      <c r="A1120" s="14"/>
      <c r="B1120" s="30"/>
      <c r="C1120" s="256" t="s">
        <v>565</v>
      </c>
      <c r="D1120" s="230" t="s">
        <v>38</v>
      </c>
      <c r="E1120" s="231">
        <v>1</v>
      </c>
      <c r="F1120" s="232">
        <v>49625000</v>
      </c>
      <c r="G1120" s="232">
        <v>198500000</v>
      </c>
      <c r="H1120" s="138">
        <f>G1120+F1120</f>
        <v>248125000</v>
      </c>
      <c r="I1120" s="138">
        <f>H1120*E1120</f>
        <v>248125000</v>
      </c>
      <c r="J1120" s="47"/>
      <c r="K1120" s="15"/>
    </row>
    <row r="1121" spans="1:15" s="16" customFormat="1" ht="26.25" outlineLevel="1">
      <c r="A1121" s="14"/>
      <c r="B1121" s="28" t="s">
        <v>566</v>
      </c>
      <c r="C1121" s="220" t="s">
        <v>567</v>
      </c>
      <c r="D1121" s="221"/>
      <c r="E1121" s="222"/>
      <c r="F1121" s="232">
        <v>0</v>
      </c>
      <c r="G1121" s="232">
        <v>0</v>
      </c>
      <c r="H1121" s="223"/>
      <c r="I1121" s="224">
        <f>SUBTOTAL(9,I1122:I1343)</f>
        <v>2300804703</v>
      </c>
      <c r="J1121" s="29">
        <v>2097963688</v>
      </c>
      <c r="K1121" s="184">
        <f>I1121-J1121</f>
        <v>202841015</v>
      </c>
      <c r="M1121" s="16" t="s">
        <v>566</v>
      </c>
      <c r="O1121" s="16" t="s">
        <v>566</v>
      </c>
    </row>
    <row r="1122" spans="1:15" s="33" customFormat="1" ht="27" outlineLevel="2">
      <c r="A1122" s="14"/>
      <c r="B1122" s="30" t="s">
        <v>20</v>
      </c>
      <c r="C1122" s="225" t="s">
        <v>568</v>
      </c>
      <c r="D1122" s="212"/>
      <c r="E1122" s="228"/>
      <c r="F1122" s="232">
        <v>0</v>
      </c>
      <c r="G1122" s="232">
        <v>0</v>
      </c>
      <c r="H1122" s="276"/>
      <c r="I1122" s="180">
        <f>SUBTOTAL(9,I1123:I1195)</f>
        <v>817199534</v>
      </c>
      <c r="J1122" s="48"/>
      <c r="K1122" s="32"/>
      <c r="M1122" s="16" t="s">
        <v>20</v>
      </c>
      <c r="N1122" s="33" t="s">
        <v>20</v>
      </c>
    </row>
    <row r="1123" spans="1:15" s="33" customFormat="1" ht="26.25" outlineLevel="3">
      <c r="A1123" s="34"/>
      <c r="B1123" s="49" t="s">
        <v>22</v>
      </c>
      <c r="C1123" s="277" t="s">
        <v>569</v>
      </c>
      <c r="D1123" s="278"/>
      <c r="E1123" s="213"/>
      <c r="F1123" s="232">
        <v>0</v>
      </c>
      <c r="G1123" s="232">
        <v>0</v>
      </c>
      <c r="H1123" s="279"/>
      <c r="I1123" s="180">
        <f>SUBTOTAL(9,I1124:I1171)</f>
        <v>624447598</v>
      </c>
      <c r="J1123" s="50"/>
      <c r="K1123" s="32"/>
    </row>
    <row r="1124" spans="1:15" s="16" customFormat="1" ht="25.5" outlineLevel="3">
      <c r="A1124" s="14"/>
      <c r="B1124" s="51">
        <f>MAX($B$9:B1123)+1</f>
        <v>334</v>
      </c>
      <c r="C1124" s="280" t="s">
        <v>570</v>
      </c>
      <c r="D1124" s="233" t="s">
        <v>44</v>
      </c>
      <c r="E1124" s="247">
        <v>2</v>
      </c>
      <c r="F1124" s="232">
        <v>48156001</v>
      </c>
      <c r="G1124" s="232">
        <v>6252750</v>
      </c>
      <c r="H1124" s="138">
        <f>G1124+F1124</f>
        <v>54408751</v>
      </c>
      <c r="I1124" s="138">
        <f>H1124*E1124</f>
        <v>108817502</v>
      </c>
      <c r="J1124" s="50"/>
      <c r="K1124" s="15"/>
    </row>
    <row r="1125" spans="1:15" s="16" customFormat="1" ht="25.5" outlineLevel="3">
      <c r="A1125" s="14"/>
      <c r="B1125" s="51">
        <f>MAX($B$9:B1124)+1</f>
        <v>335</v>
      </c>
      <c r="C1125" s="280" t="s">
        <v>571</v>
      </c>
      <c r="D1125" s="233" t="s">
        <v>44</v>
      </c>
      <c r="E1125" s="247">
        <v>1</v>
      </c>
      <c r="F1125" s="232">
        <v>26531669</v>
      </c>
      <c r="G1125" s="232">
        <v>677381</v>
      </c>
      <c r="H1125" s="138">
        <f>G1125+F1125</f>
        <v>27209050</v>
      </c>
      <c r="I1125" s="138">
        <f>H1125*E1125</f>
        <v>27209050</v>
      </c>
      <c r="J1125" s="50"/>
      <c r="K1125" s="15"/>
    </row>
    <row r="1126" spans="1:15" s="16" customFormat="1" ht="25.5" outlineLevel="3">
      <c r="A1126" s="14"/>
      <c r="B1126" s="51">
        <f>MAX($B$9:B1125)+1</f>
        <v>336</v>
      </c>
      <c r="C1126" s="281" t="s">
        <v>572</v>
      </c>
      <c r="D1126" s="230" t="s">
        <v>38</v>
      </c>
      <c r="E1126" s="247">
        <v>1</v>
      </c>
      <c r="F1126" s="232">
        <v>63536426</v>
      </c>
      <c r="G1126" s="232">
        <v>1563188</v>
      </c>
      <c r="H1126" s="138">
        <f>G1126+F1126</f>
        <v>65099614</v>
      </c>
      <c r="I1126" s="138">
        <f>H1126*E1126</f>
        <v>65099614</v>
      </c>
      <c r="J1126" s="50"/>
      <c r="K1126" s="15"/>
    </row>
    <row r="1127" spans="1:15" s="16" customFormat="1" ht="25.5" outlineLevel="3">
      <c r="A1127" s="14"/>
      <c r="B1127" s="51"/>
      <c r="C1127" s="241" t="s">
        <v>141</v>
      </c>
      <c r="D1127" s="244"/>
      <c r="E1127" s="247"/>
      <c r="F1127" s="232">
        <v>0</v>
      </c>
      <c r="G1127" s="232">
        <v>0</v>
      </c>
      <c r="H1127" s="282"/>
      <c r="I1127" s="283"/>
      <c r="J1127" s="50"/>
      <c r="K1127" s="15"/>
    </row>
    <row r="1128" spans="1:15" s="16" customFormat="1" ht="25.5" outlineLevel="3">
      <c r="A1128" s="14"/>
      <c r="B1128" s="51"/>
      <c r="C1128" s="281" t="s">
        <v>159</v>
      </c>
      <c r="D1128" s="230" t="s">
        <v>28</v>
      </c>
      <c r="E1128" s="247">
        <v>1</v>
      </c>
      <c r="F1128" s="232">
        <v>0</v>
      </c>
      <c r="G1128" s="232">
        <v>0</v>
      </c>
      <c r="H1128" s="282"/>
      <c r="I1128" s="283"/>
      <c r="J1128" s="50"/>
      <c r="K1128" s="15"/>
    </row>
    <row r="1129" spans="1:15" s="16" customFormat="1" ht="25.5" outlineLevel="3">
      <c r="A1129" s="14"/>
      <c r="B1129" s="51"/>
      <c r="C1129" s="281" t="s">
        <v>573</v>
      </c>
      <c r="D1129" s="230" t="s">
        <v>28</v>
      </c>
      <c r="E1129" s="247">
        <v>3</v>
      </c>
      <c r="F1129" s="232">
        <v>0</v>
      </c>
      <c r="G1129" s="232">
        <v>0</v>
      </c>
      <c r="H1129" s="282"/>
      <c r="I1129" s="283"/>
      <c r="J1129" s="50"/>
      <c r="K1129" s="15"/>
    </row>
    <row r="1130" spans="1:15" s="16" customFormat="1" ht="25.5" outlineLevel="3">
      <c r="A1130" s="14"/>
      <c r="B1130" s="51"/>
      <c r="C1130" s="281" t="s">
        <v>574</v>
      </c>
      <c r="D1130" s="230" t="s">
        <v>28</v>
      </c>
      <c r="E1130" s="247">
        <v>3</v>
      </c>
      <c r="F1130" s="232">
        <v>0</v>
      </c>
      <c r="G1130" s="232">
        <v>0</v>
      </c>
      <c r="H1130" s="282"/>
      <c r="I1130" s="283"/>
      <c r="J1130" s="50"/>
      <c r="K1130" s="15"/>
    </row>
    <row r="1131" spans="1:15" s="16" customFormat="1" ht="25.5" outlineLevel="3">
      <c r="A1131" s="14"/>
      <c r="B1131" s="51"/>
      <c r="C1131" s="241" t="s">
        <v>148</v>
      </c>
      <c r="D1131" s="244"/>
      <c r="E1131" s="247"/>
      <c r="F1131" s="232">
        <v>0</v>
      </c>
      <c r="G1131" s="232">
        <v>0</v>
      </c>
      <c r="H1131" s="282"/>
      <c r="I1131" s="283"/>
      <c r="J1131" s="50"/>
      <c r="K1131" s="15"/>
    </row>
    <row r="1132" spans="1:15" s="16" customFormat="1" ht="25.5" outlineLevel="3">
      <c r="A1132" s="14"/>
      <c r="B1132" s="51"/>
      <c r="C1132" s="281" t="s">
        <v>272</v>
      </c>
      <c r="D1132" s="230" t="s">
        <v>28</v>
      </c>
      <c r="E1132" s="247">
        <v>1</v>
      </c>
      <c r="F1132" s="232">
        <v>0</v>
      </c>
      <c r="G1132" s="232">
        <v>0</v>
      </c>
      <c r="H1132" s="282"/>
      <c r="I1132" s="283"/>
      <c r="J1132" s="50"/>
      <c r="K1132" s="15"/>
    </row>
    <row r="1133" spans="1:15" s="16" customFormat="1" ht="25.5" outlineLevel="3">
      <c r="A1133" s="14"/>
      <c r="B1133" s="51"/>
      <c r="C1133" s="281" t="s">
        <v>159</v>
      </c>
      <c r="D1133" s="230" t="s">
        <v>28</v>
      </c>
      <c r="E1133" s="247">
        <v>2</v>
      </c>
      <c r="F1133" s="232">
        <v>0</v>
      </c>
      <c r="G1133" s="232">
        <v>0</v>
      </c>
      <c r="H1133" s="282"/>
      <c r="I1133" s="283"/>
      <c r="J1133" s="50"/>
      <c r="K1133" s="15"/>
    </row>
    <row r="1134" spans="1:15" s="16" customFormat="1" ht="25.5" outlineLevel="3">
      <c r="A1134" s="14"/>
      <c r="B1134" s="51"/>
      <c r="C1134" s="281" t="s">
        <v>203</v>
      </c>
      <c r="D1134" s="230" t="s">
        <v>28</v>
      </c>
      <c r="E1134" s="247">
        <v>1</v>
      </c>
      <c r="F1134" s="232">
        <v>0</v>
      </c>
      <c r="G1134" s="232">
        <v>0</v>
      </c>
      <c r="H1134" s="282"/>
      <c r="I1134" s="283"/>
      <c r="J1134" s="50"/>
      <c r="K1134" s="15"/>
    </row>
    <row r="1135" spans="1:15" s="16" customFormat="1" ht="25.5" outlineLevel="3">
      <c r="A1135" s="14"/>
      <c r="B1135" s="51"/>
      <c r="C1135" s="242" t="s">
        <v>161</v>
      </c>
      <c r="D1135" s="233" t="s">
        <v>44</v>
      </c>
      <c r="E1135" s="247">
        <v>1</v>
      </c>
      <c r="F1135" s="232">
        <v>0</v>
      </c>
      <c r="G1135" s="232">
        <v>0</v>
      </c>
      <c r="H1135" s="282"/>
      <c r="I1135" s="283"/>
      <c r="J1135" s="50"/>
      <c r="K1135" s="15"/>
    </row>
    <row r="1136" spans="1:15" s="16" customFormat="1" ht="25.5" outlineLevel="3">
      <c r="A1136" s="14"/>
      <c r="B1136" s="51"/>
      <c r="C1136" s="281" t="s">
        <v>575</v>
      </c>
      <c r="D1136" s="230" t="s">
        <v>28</v>
      </c>
      <c r="E1136" s="247">
        <v>1</v>
      </c>
      <c r="F1136" s="232">
        <v>0</v>
      </c>
      <c r="G1136" s="232">
        <v>0</v>
      </c>
      <c r="H1136" s="282"/>
      <c r="I1136" s="283"/>
      <c r="J1136" s="50"/>
      <c r="K1136" s="15"/>
    </row>
    <row r="1137" spans="1:11" s="16" customFormat="1" ht="25.5" outlineLevel="3">
      <c r="A1137" s="14"/>
      <c r="B1137" s="51"/>
      <c r="C1137" s="284" t="s">
        <v>576</v>
      </c>
      <c r="D1137" s="244"/>
      <c r="E1137" s="247"/>
      <c r="F1137" s="232">
        <v>0</v>
      </c>
      <c r="G1137" s="232">
        <v>0</v>
      </c>
      <c r="H1137" s="282"/>
      <c r="I1137" s="283"/>
      <c r="J1137" s="50"/>
      <c r="K1137" s="15"/>
    </row>
    <row r="1138" spans="1:11" s="16" customFormat="1" ht="25.5" outlineLevel="3">
      <c r="A1138" s="14"/>
      <c r="B1138" s="51"/>
      <c r="C1138" s="281" t="s">
        <v>577</v>
      </c>
      <c r="D1138" s="230" t="s">
        <v>28</v>
      </c>
      <c r="E1138" s="247">
        <v>2</v>
      </c>
      <c r="F1138" s="232">
        <v>0</v>
      </c>
      <c r="G1138" s="232">
        <v>0</v>
      </c>
      <c r="H1138" s="282"/>
      <c r="I1138" s="283"/>
      <c r="J1138" s="50"/>
      <c r="K1138" s="15"/>
    </row>
    <row r="1139" spans="1:11" s="16" customFormat="1" ht="25.5" outlineLevel="3">
      <c r="A1139" s="14"/>
      <c r="B1139" s="51"/>
      <c r="C1139" s="281" t="s">
        <v>578</v>
      </c>
      <c r="D1139" s="230" t="s">
        <v>38</v>
      </c>
      <c r="E1139" s="247">
        <v>1</v>
      </c>
      <c r="F1139" s="232">
        <v>0</v>
      </c>
      <c r="G1139" s="232">
        <v>0</v>
      </c>
      <c r="H1139" s="282"/>
      <c r="I1139" s="283"/>
      <c r="J1139" s="50"/>
      <c r="K1139" s="15"/>
    </row>
    <row r="1140" spans="1:11" s="16" customFormat="1" ht="25.5" outlineLevel="3">
      <c r="A1140" s="14"/>
      <c r="B1140" s="51"/>
      <c r="C1140" s="229" t="s">
        <v>139</v>
      </c>
      <c r="D1140" s="230" t="s">
        <v>38</v>
      </c>
      <c r="E1140" s="247">
        <v>1</v>
      </c>
      <c r="F1140" s="232">
        <v>0</v>
      </c>
      <c r="G1140" s="232">
        <v>0</v>
      </c>
      <c r="H1140" s="282"/>
      <c r="I1140" s="283"/>
      <c r="J1140" s="50"/>
      <c r="K1140" s="15"/>
    </row>
    <row r="1141" spans="1:11" s="16" customFormat="1" ht="25.5" outlineLevel="3">
      <c r="A1141" s="14"/>
      <c r="B1141" s="51">
        <f>MAX($B$9:B1126)+1</f>
        <v>337</v>
      </c>
      <c r="C1141" s="281" t="s">
        <v>579</v>
      </c>
      <c r="D1141" s="230" t="s">
        <v>38</v>
      </c>
      <c r="E1141" s="247">
        <v>1</v>
      </c>
      <c r="F1141" s="232">
        <v>34836750</v>
      </c>
      <c r="G1141" s="232">
        <v>12505500</v>
      </c>
      <c r="H1141" s="138">
        <f t="shared" ref="H1141:H1158" si="127">G1141+F1141</f>
        <v>47342250</v>
      </c>
      <c r="I1141" s="138">
        <f t="shared" ref="I1141:I1158" si="128">H1141*E1141</f>
        <v>47342250</v>
      </c>
      <c r="J1141" s="50"/>
      <c r="K1141" s="15"/>
    </row>
    <row r="1142" spans="1:11" s="16" customFormat="1" ht="25.5" outlineLevel="3">
      <c r="A1142" s="14"/>
      <c r="B1142" s="51">
        <f>MAX($B$9:B1141)+1</f>
        <v>338</v>
      </c>
      <c r="C1142" s="281" t="s">
        <v>580</v>
      </c>
      <c r="D1142" s="230" t="s">
        <v>28</v>
      </c>
      <c r="E1142" s="247">
        <v>1</v>
      </c>
      <c r="F1142" s="232">
        <v>782666</v>
      </c>
      <c r="G1142" s="232">
        <v>208425</v>
      </c>
      <c r="H1142" s="138">
        <f t="shared" si="127"/>
        <v>991091</v>
      </c>
      <c r="I1142" s="138">
        <f t="shared" si="128"/>
        <v>991091</v>
      </c>
      <c r="J1142" s="50"/>
      <c r="K1142" s="15"/>
    </row>
    <row r="1143" spans="1:11" s="16" customFormat="1" ht="25.5" outlineLevel="3">
      <c r="A1143" s="14"/>
      <c r="B1143" s="51">
        <f>MAX($B$9:B1142)+1</f>
        <v>339</v>
      </c>
      <c r="C1143" s="281" t="s">
        <v>581</v>
      </c>
      <c r="D1143" s="230" t="s">
        <v>28</v>
      </c>
      <c r="E1143" s="247">
        <v>2</v>
      </c>
      <c r="F1143" s="232">
        <v>2140138</v>
      </c>
      <c r="G1143" s="232">
        <v>364744</v>
      </c>
      <c r="H1143" s="138">
        <f t="shared" si="127"/>
        <v>2504882</v>
      </c>
      <c r="I1143" s="138">
        <f t="shared" si="128"/>
        <v>5009764</v>
      </c>
      <c r="J1143" s="50"/>
      <c r="K1143" s="15"/>
    </row>
    <row r="1144" spans="1:11" s="16" customFormat="1" ht="25.5" outlineLevel="3">
      <c r="A1144" s="14"/>
      <c r="B1144" s="51">
        <f>MAX($B$9:B1143)+1</f>
        <v>340</v>
      </c>
      <c r="C1144" s="274" t="s">
        <v>582</v>
      </c>
      <c r="D1144" s="230" t="s">
        <v>28</v>
      </c>
      <c r="E1144" s="247">
        <v>4</v>
      </c>
      <c r="F1144" s="232">
        <v>2403736</v>
      </c>
      <c r="G1144" s="232">
        <v>416850</v>
      </c>
      <c r="H1144" s="138">
        <f t="shared" si="127"/>
        <v>2820586</v>
      </c>
      <c r="I1144" s="138">
        <f t="shared" si="128"/>
        <v>11282344</v>
      </c>
      <c r="J1144" s="50"/>
      <c r="K1144" s="15"/>
    </row>
    <row r="1145" spans="1:11" s="16" customFormat="1" ht="25.5" outlineLevel="3">
      <c r="A1145" s="14"/>
      <c r="B1145" s="51">
        <f>MAX($B$9:B1144)+1</f>
        <v>341</v>
      </c>
      <c r="C1145" s="274" t="s">
        <v>583</v>
      </c>
      <c r="D1145" s="230" t="s">
        <v>28</v>
      </c>
      <c r="E1145" s="247">
        <v>1</v>
      </c>
      <c r="F1145" s="232">
        <v>3070279</v>
      </c>
      <c r="G1145" s="232">
        <v>521063</v>
      </c>
      <c r="H1145" s="138">
        <f t="shared" si="127"/>
        <v>3591342</v>
      </c>
      <c r="I1145" s="138">
        <f t="shared" si="128"/>
        <v>3591342</v>
      </c>
      <c r="J1145" s="50"/>
      <c r="K1145" s="15"/>
    </row>
    <row r="1146" spans="1:11" s="16" customFormat="1" ht="25.5" outlineLevel="3">
      <c r="A1146" s="14"/>
      <c r="B1146" s="51">
        <f>MAX($B$9:B1145)+1</f>
        <v>342</v>
      </c>
      <c r="C1146" s="274" t="s">
        <v>584</v>
      </c>
      <c r="D1146" s="230" t="s">
        <v>28</v>
      </c>
      <c r="E1146" s="247">
        <v>2</v>
      </c>
      <c r="F1146" s="232">
        <v>2284130</v>
      </c>
      <c r="G1146" s="232">
        <v>364744</v>
      </c>
      <c r="H1146" s="138">
        <f t="shared" si="127"/>
        <v>2648874</v>
      </c>
      <c r="I1146" s="138">
        <f t="shared" si="128"/>
        <v>5297748</v>
      </c>
      <c r="J1146" s="50"/>
      <c r="K1146" s="15"/>
    </row>
    <row r="1147" spans="1:11" s="16" customFormat="1" ht="25.5" outlineLevel="3">
      <c r="A1147" s="14"/>
      <c r="B1147" s="51">
        <f>MAX($B$9:B1146)+1</f>
        <v>343</v>
      </c>
      <c r="C1147" s="256" t="s">
        <v>585</v>
      </c>
      <c r="D1147" s="230" t="s">
        <v>28</v>
      </c>
      <c r="E1147" s="247">
        <v>2</v>
      </c>
      <c r="F1147" s="232">
        <v>1961309</v>
      </c>
      <c r="G1147" s="232">
        <v>416850</v>
      </c>
      <c r="H1147" s="138">
        <f t="shared" si="127"/>
        <v>2378159</v>
      </c>
      <c r="I1147" s="138">
        <f t="shared" si="128"/>
        <v>4756318</v>
      </c>
      <c r="J1147" s="50"/>
      <c r="K1147" s="15"/>
    </row>
    <row r="1148" spans="1:11" s="16" customFormat="1" ht="25.5" outlineLevel="3">
      <c r="A1148" s="14"/>
      <c r="B1148" s="51">
        <f>MAX($B$9:B1147)+1</f>
        <v>344</v>
      </c>
      <c r="C1148" s="256" t="s">
        <v>586</v>
      </c>
      <c r="D1148" s="230" t="s">
        <v>28</v>
      </c>
      <c r="E1148" s="247">
        <v>2</v>
      </c>
      <c r="F1148" s="232">
        <v>1864927</v>
      </c>
      <c r="G1148" s="232">
        <v>364744</v>
      </c>
      <c r="H1148" s="138">
        <f t="shared" si="127"/>
        <v>2229671</v>
      </c>
      <c r="I1148" s="138">
        <f t="shared" si="128"/>
        <v>4459342</v>
      </c>
      <c r="J1148" s="50"/>
      <c r="K1148" s="15"/>
    </row>
    <row r="1149" spans="1:11" s="16" customFormat="1" ht="25.5" outlineLevel="3">
      <c r="A1149" s="14"/>
      <c r="B1149" s="51">
        <f>MAX($B$9:B1148)+1</f>
        <v>345</v>
      </c>
      <c r="C1149" s="256" t="s">
        <v>587</v>
      </c>
      <c r="D1149" s="230" t="s">
        <v>28</v>
      </c>
      <c r="E1149" s="247">
        <v>2</v>
      </c>
      <c r="F1149" s="232">
        <v>2166846</v>
      </c>
      <c r="G1149" s="232">
        <v>416850</v>
      </c>
      <c r="H1149" s="138">
        <f t="shared" si="127"/>
        <v>2583696</v>
      </c>
      <c r="I1149" s="138">
        <f t="shared" si="128"/>
        <v>5167392</v>
      </c>
      <c r="J1149" s="50"/>
      <c r="K1149" s="15"/>
    </row>
    <row r="1150" spans="1:11" s="16" customFormat="1" ht="25.5" outlineLevel="3">
      <c r="A1150" s="14"/>
      <c r="B1150" s="51">
        <f>MAX($B$9:B1149)+1</f>
        <v>346</v>
      </c>
      <c r="C1150" s="281" t="s">
        <v>588</v>
      </c>
      <c r="D1150" s="230" t="s">
        <v>28</v>
      </c>
      <c r="E1150" s="247">
        <v>1</v>
      </c>
      <c r="F1150" s="232">
        <v>1245994</v>
      </c>
      <c r="G1150" s="232">
        <v>208425</v>
      </c>
      <c r="H1150" s="138">
        <f t="shared" si="127"/>
        <v>1454419</v>
      </c>
      <c r="I1150" s="138">
        <f t="shared" si="128"/>
        <v>1454419</v>
      </c>
      <c r="J1150" s="50"/>
      <c r="K1150" s="15"/>
    </row>
    <row r="1151" spans="1:11" s="16" customFormat="1" ht="25.5" outlineLevel="3">
      <c r="A1151" s="14"/>
      <c r="B1151" s="51">
        <f>MAX($B$9:B1150)+1</f>
        <v>347</v>
      </c>
      <c r="C1151" s="256" t="s">
        <v>589</v>
      </c>
      <c r="D1151" s="230" t="s">
        <v>28</v>
      </c>
      <c r="E1151" s="247">
        <v>2</v>
      </c>
      <c r="F1151" s="232">
        <v>391333</v>
      </c>
      <c r="G1151" s="232">
        <v>156319</v>
      </c>
      <c r="H1151" s="138">
        <f t="shared" si="127"/>
        <v>547652</v>
      </c>
      <c r="I1151" s="138">
        <f t="shared" si="128"/>
        <v>1095304</v>
      </c>
      <c r="J1151" s="50"/>
      <c r="K1151" s="15"/>
    </row>
    <row r="1152" spans="1:11" s="16" customFormat="1" ht="25.5" outlineLevel="3">
      <c r="A1152" s="14"/>
      <c r="B1152" s="51">
        <f>MAX($B$9:B1151)+1</f>
        <v>348</v>
      </c>
      <c r="C1152" s="256" t="s">
        <v>590</v>
      </c>
      <c r="D1152" s="230" t="s">
        <v>28</v>
      </c>
      <c r="E1152" s="247">
        <v>5</v>
      </c>
      <c r="F1152" s="232">
        <v>971945</v>
      </c>
      <c r="G1152" s="232">
        <v>156319</v>
      </c>
      <c r="H1152" s="138">
        <f t="shared" si="127"/>
        <v>1128264</v>
      </c>
      <c r="I1152" s="138">
        <f t="shared" si="128"/>
        <v>5641320</v>
      </c>
      <c r="J1152" s="50"/>
      <c r="K1152" s="15"/>
    </row>
    <row r="1153" spans="1:11" s="16" customFormat="1" ht="25.5" outlineLevel="3">
      <c r="A1153" s="14"/>
      <c r="B1153" s="51">
        <f>MAX($B$9:B1152)+1</f>
        <v>349</v>
      </c>
      <c r="C1153" s="256" t="s">
        <v>591</v>
      </c>
      <c r="D1153" s="230" t="s">
        <v>28</v>
      </c>
      <c r="E1153" s="247">
        <v>1</v>
      </c>
      <c r="F1153" s="232">
        <v>1456176</v>
      </c>
      <c r="G1153" s="232">
        <v>208425</v>
      </c>
      <c r="H1153" s="138">
        <f t="shared" si="127"/>
        <v>1664601</v>
      </c>
      <c r="I1153" s="138">
        <f t="shared" si="128"/>
        <v>1664601</v>
      </c>
      <c r="J1153" s="50"/>
      <c r="K1153" s="15"/>
    </row>
    <row r="1154" spans="1:11" s="16" customFormat="1" ht="25.5" outlineLevel="3">
      <c r="A1154" s="14"/>
      <c r="B1154" s="51">
        <f>MAX($B$9:B1153)+1</f>
        <v>350</v>
      </c>
      <c r="C1154" s="256" t="s">
        <v>592</v>
      </c>
      <c r="D1154" s="230" t="s">
        <v>28</v>
      </c>
      <c r="E1154" s="247">
        <v>2</v>
      </c>
      <c r="F1154" s="232">
        <v>3135308</v>
      </c>
      <c r="G1154" s="232">
        <v>260531</v>
      </c>
      <c r="H1154" s="138">
        <f t="shared" si="127"/>
        <v>3395839</v>
      </c>
      <c r="I1154" s="138">
        <f t="shared" si="128"/>
        <v>6791678</v>
      </c>
      <c r="J1154" s="50"/>
      <c r="K1154" s="15"/>
    </row>
    <row r="1155" spans="1:11" s="16" customFormat="1" ht="25.5" outlineLevel="3">
      <c r="A1155" s="14"/>
      <c r="B1155" s="51">
        <f>MAX($B$9:B1154)+1</f>
        <v>351</v>
      </c>
      <c r="C1155" s="274" t="s">
        <v>582</v>
      </c>
      <c r="D1155" s="230" t="s">
        <v>28</v>
      </c>
      <c r="E1155" s="247">
        <v>2</v>
      </c>
      <c r="F1155" s="232">
        <v>2403736</v>
      </c>
      <c r="G1155" s="232">
        <v>416850</v>
      </c>
      <c r="H1155" s="138">
        <f t="shared" si="127"/>
        <v>2820586</v>
      </c>
      <c r="I1155" s="138">
        <f t="shared" si="128"/>
        <v>5641172</v>
      </c>
      <c r="J1155" s="50"/>
      <c r="K1155" s="15"/>
    </row>
    <row r="1156" spans="1:11" s="16" customFormat="1" ht="25.5" outlineLevel="3">
      <c r="A1156" s="14"/>
      <c r="B1156" s="51">
        <f>MAX($B$9:B1155)+1</f>
        <v>352</v>
      </c>
      <c r="C1156" s="256" t="s">
        <v>593</v>
      </c>
      <c r="D1156" s="230" t="s">
        <v>28</v>
      </c>
      <c r="E1156" s="247">
        <v>2</v>
      </c>
      <c r="F1156" s="232">
        <v>16996850</v>
      </c>
      <c r="G1156" s="232">
        <v>1563188</v>
      </c>
      <c r="H1156" s="138">
        <f t="shared" si="127"/>
        <v>18560038</v>
      </c>
      <c r="I1156" s="138">
        <f t="shared" si="128"/>
        <v>37120076</v>
      </c>
      <c r="J1156" s="50"/>
      <c r="K1156" s="15"/>
    </row>
    <row r="1157" spans="1:11" s="16" customFormat="1" ht="25.5" outlineLevel="3">
      <c r="A1157" s="14"/>
      <c r="B1157" s="51">
        <f>MAX($B$9:B1156)+1</f>
        <v>353</v>
      </c>
      <c r="C1157" s="256" t="s">
        <v>594</v>
      </c>
      <c r="D1157" s="230" t="s">
        <v>28</v>
      </c>
      <c r="E1157" s="247">
        <v>1</v>
      </c>
      <c r="F1157" s="232">
        <v>0</v>
      </c>
      <c r="G1157" s="232">
        <v>0</v>
      </c>
      <c r="H1157" s="138">
        <f t="shared" si="127"/>
        <v>0</v>
      </c>
      <c r="I1157" s="138">
        <f t="shared" si="128"/>
        <v>0</v>
      </c>
      <c r="J1157" s="50"/>
      <c r="K1157" s="15"/>
    </row>
    <row r="1158" spans="1:11" s="16" customFormat="1" ht="25.5" outlineLevel="3">
      <c r="A1158" s="14"/>
      <c r="B1158" s="51">
        <f>MAX($B$9:B1157)+1</f>
        <v>354</v>
      </c>
      <c r="C1158" s="256" t="s">
        <v>595</v>
      </c>
      <c r="D1158" s="230" t="s">
        <v>38</v>
      </c>
      <c r="E1158" s="247">
        <v>1</v>
      </c>
      <c r="F1158" s="232">
        <v>58061250</v>
      </c>
      <c r="G1158" s="232">
        <v>20842500</v>
      </c>
      <c r="H1158" s="138">
        <f t="shared" si="127"/>
        <v>78903750</v>
      </c>
      <c r="I1158" s="138">
        <f t="shared" si="128"/>
        <v>78903750</v>
      </c>
      <c r="J1158" s="50"/>
      <c r="K1158" s="15"/>
    </row>
    <row r="1159" spans="1:11" s="33" customFormat="1" ht="26.25" outlineLevel="3">
      <c r="A1159" s="14"/>
      <c r="B1159" s="51"/>
      <c r="C1159" s="277" t="s">
        <v>596</v>
      </c>
      <c r="D1159" s="278"/>
      <c r="E1159" s="213"/>
      <c r="F1159" s="232">
        <v>0</v>
      </c>
      <c r="G1159" s="232">
        <v>0</v>
      </c>
      <c r="H1159" s="282"/>
      <c r="I1159" s="283"/>
      <c r="J1159" s="50"/>
      <c r="K1159" s="32"/>
    </row>
    <row r="1160" spans="1:11" s="16" customFormat="1" ht="25.5" outlineLevel="3">
      <c r="A1160" s="14"/>
      <c r="B1160" s="51">
        <f>MAX($B$9:B1159)+1</f>
        <v>355</v>
      </c>
      <c r="C1160" s="280" t="s">
        <v>597</v>
      </c>
      <c r="D1160" s="230" t="s">
        <v>28</v>
      </c>
      <c r="E1160" s="247">
        <v>4</v>
      </c>
      <c r="F1160" s="232">
        <v>139347</v>
      </c>
      <c r="G1160" s="232">
        <v>88581</v>
      </c>
      <c r="H1160" s="138">
        <f t="shared" ref="H1160:H1167" si="129">G1160+F1160</f>
        <v>227928</v>
      </c>
      <c r="I1160" s="138">
        <f t="shared" ref="I1160:I1167" si="130">H1160*E1160</f>
        <v>911712</v>
      </c>
      <c r="J1160" s="50"/>
      <c r="K1160" s="15"/>
    </row>
    <row r="1161" spans="1:11" s="16" customFormat="1" ht="38.25" outlineLevel="3">
      <c r="A1161" s="14"/>
      <c r="B1161" s="51">
        <f>MAX($B$9:B1160)+1</f>
        <v>356</v>
      </c>
      <c r="C1161" s="280" t="s">
        <v>598</v>
      </c>
      <c r="D1161" s="230" t="s">
        <v>28</v>
      </c>
      <c r="E1161" s="247">
        <v>46</v>
      </c>
      <c r="F1161" s="232">
        <v>754796</v>
      </c>
      <c r="G1161" s="232">
        <v>260531</v>
      </c>
      <c r="H1161" s="138">
        <f t="shared" si="129"/>
        <v>1015327</v>
      </c>
      <c r="I1161" s="138">
        <f t="shared" si="130"/>
        <v>46705042</v>
      </c>
      <c r="J1161" s="50"/>
      <c r="K1161" s="15"/>
    </row>
    <row r="1162" spans="1:11" s="16" customFormat="1" ht="25.5" outlineLevel="3">
      <c r="A1162" s="14"/>
      <c r="B1162" s="51">
        <f>MAX($B$9:B1161)+1</f>
        <v>357</v>
      </c>
      <c r="C1162" s="280" t="s">
        <v>599</v>
      </c>
      <c r="D1162" s="230" t="s">
        <v>28</v>
      </c>
      <c r="E1162" s="247">
        <v>17</v>
      </c>
      <c r="F1162" s="232">
        <v>281016</v>
      </c>
      <c r="G1162" s="232">
        <v>156319</v>
      </c>
      <c r="H1162" s="138">
        <f t="shared" si="129"/>
        <v>437335</v>
      </c>
      <c r="I1162" s="138">
        <f t="shared" si="130"/>
        <v>7434695</v>
      </c>
      <c r="J1162" s="50"/>
      <c r="K1162" s="15"/>
    </row>
    <row r="1163" spans="1:11" s="16" customFormat="1" ht="25.5" outlineLevel="3">
      <c r="A1163" s="14"/>
      <c r="B1163" s="51">
        <f>MAX($B$9:B1162)+1</f>
        <v>358</v>
      </c>
      <c r="C1163" s="280" t="s">
        <v>589</v>
      </c>
      <c r="D1163" s="230" t="s">
        <v>28</v>
      </c>
      <c r="E1163" s="247">
        <v>2</v>
      </c>
      <c r="F1163" s="232">
        <v>391333</v>
      </c>
      <c r="G1163" s="232">
        <v>156319</v>
      </c>
      <c r="H1163" s="138">
        <f t="shared" si="129"/>
        <v>547652</v>
      </c>
      <c r="I1163" s="138">
        <f t="shared" si="130"/>
        <v>1095304</v>
      </c>
      <c r="J1163" s="50"/>
      <c r="K1163" s="15"/>
    </row>
    <row r="1164" spans="1:11" s="16" customFormat="1" ht="25.5" outlineLevel="3">
      <c r="A1164" s="14"/>
      <c r="B1164" s="51">
        <f>MAX($B$9:B1163)+1</f>
        <v>359</v>
      </c>
      <c r="C1164" s="280" t="s">
        <v>600</v>
      </c>
      <c r="D1164" s="230" t="s">
        <v>28</v>
      </c>
      <c r="E1164" s="247">
        <v>7</v>
      </c>
      <c r="F1164" s="232">
        <v>573645</v>
      </c>
      <c r="G1164" s="232">
        <v>156319</v>
      </c>
      <c r="H1164" s="138">
        <f t="shared" si="129"/>
        <v>729964</v>
      </c>
      <c r="I1164" s="138">
        <f t="shared" si="130"/>
        <v>5109748</v>
      </c>
      <c r="J1164" s="50"/>
      <c r="K1164" s="15"/>
    </row>
    <row r="1165" spans="1:11" s="16" customFormat="1" ht="25.5" outlineLevel="3">
      <c r="A1165" s="14"/>
      <c r="B1165" s="51">
        <f>MAX($B$9:B1164)+1</f>
        <v>360</v>
      </c>
      <c r="C1165" s="280" t="s">
        <v>580</v>
      </c>
      <c r="D1165" s="230" t="s">
        <v>28</v>
      </c>
      <c r="E1165" s="247">
        <v>7</v>
      </c>
      <c r="F1165" s="232">
        <v>782666</v>
      </c>
      <c r="G1165" s="232">
        <v>208425</v>
      </c>
      <c r="H1165" s="138">
        <f t="shared" si="129"/>
        <v>991091</v>
      </c>
      <c r="I1165" s="138">
        <f t="shared" si="130"/>
        <v>6937637</v>
      </c>
      <c r="J1165" s="50"/>
      <c r="K1165" s="15"/>
    </row>
    <row r="1166" spans="1:11" s="16" customFormat="1" ht="25.5" outlineLevel="3">
      <c r="A1166" s="14"/>
      <c r="B1166" s="51">
        <f>MAX($B$9:B1165)+1</f>
        <v>361</v>
      </c>
      <c r="C1166" s="280" t="s">
        <v>601</v>
      </c>
      <c r="D1166" s="230" t="s">
        <v>28</v>
      </c>
      <c r="E1166" s="247">
        <v>2</v>
      </c>
      <c r="F1166" s="232">
        <v>311208</v>
      </c>
      <c r="G1166" s="232">
        <v>156319</v>
      </c>
      <c r="H1166" s="138">
        <f t="shared" si="129"/>
        <v>467527</v>
      </c>
      <c r="I1166" s="138">
        <f t="shared" si="130"/>
        <v>935054</v>
      </c>
      <c r="J1166" s="50"/>
      <c r="K1166" s="15"/>
    </row>
    <row r="1167" spans="1:11" s="16" customFormat="1" ht="25.5" outlineLevel="3">
      <c r="A1167" s="14"/>
      <c r="B1167" s="51">
        <f>MAX($B$9:B1166)+1</f>
        <v>362</v>
      </c>
      <c r="C1167" s="256" t="s">
        <v>602</v>
      </c>
      <c r="D1167" s="230" t="s">
        <v>38</v>
      </c>
      <c r="E1167" s="247">
        <v>1</v>
      </c>
      <c r="F1167" s="232">
        <v>17418375</v>
      </c>
      <c r="G1167" s="232">
        <v>6252750</v>
      </c>
      <c r="H1167" s="138">
        <f t="shared" si="129"/>
        <v>23671125</v>
      </c>
      <c r="I1167" s="138">
        <f t="shared" si="130"/>
        <v>23671125</v>
      </c>
      <c r="J1167" s="50"/>
      <c r="K1167" s="15"/>
    </row>
    <row r="1168" spans="1:11" s="33" customFormat="1" ht="26.25" outlineLevel="3">
      <c r="A1168" s="14"/>
      <c r="B1168" s="51"/>
      <c r="C1168" s="277" t="s">
        <v>603</v>
      </c>
      <c r="D1168" s="278"/>
      <c r="E1168" s="213"/>
      <c r="F1168" s="232">
        <v>0</v>
      </c>
      <c r="G1168" s="232">
        <v>0</v>
      </c>
      <c r="H1168" s="282"/>
      <c r="I1168" s="283"/>
      <c r="J1168" s="50"/>
      <c r="K1168" s="32"/>
    </row>
    <row r="1169" spans="1:11" s="16" customFormat="1" ht="25.5" outlineLevel="3">
      <c r="A1169" s="14"/>
      <c r="B1169" s="51">
        <f>MAX($B$9:B1168)+1</f>
        <v>363</v>
      </c>
      <c r="C1169" s="280" t="s">
        <v>604</v>
      </c>
      <c r="D1169" s="230" t="s">
        <v>25</v>
      </c>
      <c r="E1169" s="247">
        <v>36</v>
      </c>
      <c r="F1169" s="232">
        <v>1256910</v>
      </c>
      <c r="G1169" s="232">
        <v>108381</v>
      </c>
      <c r="H1169" s="138">
        <f>G1169+F1169</f>
        <v>1365291</v>
      </c>
      <c r="I1169" s="138">
        <f>H1169*E1169</f>
        <v>49150476</v>
      </c>
      <c r="J1169" s="50"/>
      <c r="K1169" s="15"/>
    </row>
    <row r="1170" spans="1:11" s="16" customFormat="1" ht="25.5" outlineLevel="3">
      <c r="A1170" s="14"/>
      <c r="B1170" s="51">
        <f>MAX($B$9:B1169)+1</f>
        <v>364</v>
      </c>
      <c r="C1170" s="280" t="s">
        <v>605</v>
      </c>
      <c r="D1170" s="230" t="s">
        <v>25</v>
      </c>
      <c r="E1170" s="247">
        <v>8</v>
      </c>
      <c r="F1170" s="232">
        <v>961494</v>
      </c>
      <c r="G1170" s="232">
        <v>88060</v>
      </c>
      <c r="H1170" s="138">
        <f>G1170+F1170</f>
        <v>1049554</v>
      </c>
      <c r="I1170" s="138">
        <f>H1170*E1170</f>
        <v>8396432</v>
      </c>
      <c r="J1170" s="50"/>
      <c r="K1170" s="15"/>
    </row>
    <row r="1171" spans="1:11" s="16" customFormat="1" ht="25.5" outlineLevel="3">
      <c r="A1171" s="14"/>
      <c r="B1171" s="51">
        <f>MAX($B$9:B1170)+1</f>
        <v>365</v>
      </c>
      <c r="C1171" s="280" t="s">
        <v>606</v>
      </c>
      <c r="D1171" s="230" t="s">
        <v>38</v>
      </c>
      <c r="E1171" s="247">
        <v>1</v>
      </c>
      <c r="F1171" s="232">
        <v>34411463</v>
      </c>
      <c r="G1171" s="232">
        <v>12352833</v>
      </c>
      <c r="H1171" s="138">
        <f>G1171+F1171</f>
        <v>46764296</v>
      </c>
      <c r="I1171" s="138">
        <f>H1171*E1171</f>
        <v>46764296</v>
      </c>
      <c r="J1171" s="50"/>
      <c r="K1171" s="15"/>
    </row>
    <row r="1172" spans="1:11" s="33" customFormat="1" ht="26.25" outlineLevel="3">
      <c r="A1172" s="34"/>
      <c r="B1172" s="49" t="s">
        <v>39</v>
      </c>
      <c r="C1172" s="277" t="s">
        <v>607</v>
      </c>
      <c r="D1172" s="278"/>
      <c r="E1172" s="213"/>
      <c r="F1172" s="232">
        <v>0</v>
      </c>
      <c r="G1172" s="232">
        <v>0</v>
      </c>
      <c r="H1172" s="279"/>
      <c r="I1172" s="180">
        <f>SUBTOTAL(9,I1173:I1185)</f>
        <v>178327294</v>
      </c>
      <c r="J1172" s="50"/>
      <c r="K1172" s="32"/>
    </row>
    <row r="1173" spans="1:11" s="16" customFormat="1" ht="25.5" outlineLevel="3">
      <c r="A1173" s="14"/>
      <c r="B1173" s="51">
        <f>MAX($B$9:B1172)+1</f>
        <v>366</v>
      </c>
      <c r="C1173" s="280" t="s">
        <v>608</v>
      </c>
      <c r="D1173" s="230" t="s">
        <v>25</v>
      </c>
      <c r="E1173" s="247">
        <v>54</v>
      </c>
      <c r="F1173" s="232">
        <v>76921</v>
      </c>
      <c r="G1173" s="232">
        <v>78159</v>
      </c>
      <c r="H1173" s="138">
        <f t="shared" ref="H1173:H1185" si="131">G1173+F1173</f>
        <v>155080</v>
      </c>
      <c r="I1173" s="138">
        <f t="shared" ref="I1173:I1185" si="132">H1173*E1173</f>
        <v>8374320</v>
      </c>
      <c r="J1173" s="50"/>
      <c r="K1173" s="15"/>
    </row>
    <row r="1174" spans="1:11" s="16" customFormat="1" ht="25.5" outlineLevel="3">
      <c r="A1174" s="14"/>
      <c r="B1174" s="51">
        <f>MAX($B$9:B1173)+1</f>
        <v>367</v>
      </c>
      <c r="C1174" s="280" t="s">
        <v>609</v>
      </c>
      <c r="D1174" s="230" t="s">
        <v>38</v>
      </c>
      <c r="E1174" s="247">
        <v>1</v>
      </c>
      <c r="F1174" s="232">
        <v>2699917</v>
      </c>
      <c r="G1174" s="232">
        <v>969201</v>
      </c>
      <c r="H1174" s="138">
        <f t="shared" si="131"/>
        <v>3669118</v>
      </c>
      <c r="I1174" s="138">
        <f t="shared" si="132"/>
        <v>3669118</v>
      </c>
      <c r="J1174" s="50"/>
      <c r="K1174" s="15"/>
    </row>
    <row r="1175" spans="1:11" s="16" customFormat="1" ht="25.5" outlineLevel="3">
      <c r="A1175" s="14"/>
      <c r="B1175" s="51">
        <f>MAX($B$9:B1174)+1</f>
        <v>368</v>
      </c>
      <c r="C1175" s="280" t="s">
        <v>610</v>
      </c>
      <c r="D1175" s="230" t="s">
        <v>25</v>
      </c>
      <c r="E1175" s="247">
        <v>860</v>
      </c>
      <c r="F1175" s="232">
        <v>9274</v>
      </c>
      <c r="G1175" s="232">
        <v>33348</v>
      </c>
      <c r="H1175" s="138">
        <f t="shared" si="131"/>
        <v>42622</v>
      </c>
      <c r="I1175" s="138">
        <f t="shared" si="132"/>
        <v>36654920</v>
      </c>
      <c r="J1175" s="50"/>
      <c r="K1175" s="15"/>
    </row>
    <row r="1176" spans="1:11" s="16" customFormat="1" ht="25.5" outlineLevel="3">
      <c r="A1176" s="14"/>
      <c r="B1176" s="51">
        <f>MAX($B$9:B1175)+1</f>
        <v>369</v>
      </c>
      <c r="C1176" s="280" t="s">
        <v>611</v>
      </c>
      <c r="D1176" s="230" t="s">
        <v>25</v>
      </c>
      <c r="E1176" s="247">
        <v>524</v>
      </c>
      <c r="F1176" s="232">
        <v>16531</v>
      </c>
      <c r="G1176" s="232">
        <v>35432</v>
      </c>
      <c r="H1176" s="138">
        <f t="shared" si="131"/>
        <v>51963</v>
      </c>
      <c r="I1176" s="138">
        <f t="shared" si="132"/>
        <v>27228612</v>
      </c>
      <c r="J1176" s="50"/>
      <c r="K1176" s="15"/>
    </row>
    <row r="1177" spans="1:11" s="16" customFormat="1" ht="25.5" outlineLevel="3">
      <c r="A1177" s="14"/>
      <c r="B1177" s="51">
        <f>MAX($B$9:B1176)+1</f>
        <v>370</v>
      </c>
      <c r="C1177" s="280" t="s">
        <v>612</v>
      </c>
      <c r="D1177" s="230" t="s">
        <v>25</v>
      </c>
      <c r="E1177" s="247">
        <v>124</v>
      </c>
      <c r="F1177" s="232">
        <v>21472</v>
      </c>
      <c r="G1177" s="232">
        <v>37517</v>
      </c>
      <c r="H1177" s="138">
        <f t="shared" si="131"/>
        <v>58989</v>
      </c>
      <c r="I1177" s="138">
        <f t="shared" si="132"/>
        <v>7314636</v>
      </c>
      <c r="J1177" s="50"/>
      <c r="K1177" s="15"/>
    </row>
    <row r="1178" spans="1:11" s="16" customFormat="1" ht="25.5" outlineLevel="3">
      <c r="A1178" s="14"/>
      <c r="B1178" s="51">
        <f>MAX($B$9:B1177)+1</f>
        <v>371</v>
      </c>
      <c r="C1178" s="280" t="s">
        <v>613</v>
      </c>
      <c r="D1178" s="230" t="s">
        <v>25</v>
      </c>
      <c r="E1178" s="247">
        <v>184</v>
      </c>
      <c r="F1178" s="232">
        <v>28807</v>
      </c>
      <c r="G1178" s="232">
        <v>39601</v>
      </c>
      <c r="H1178" s="138">
        <f t="shared" si="131"/>
        <v>68408</v>
      </c>
      <c r="I1178" s="138">
        <f t="shared" si="132"/>
        <v>12587072</v>
      </c>
      <c r="J1178" s="50"/>
      <c r="K1178" s="15"/>
    </row>
    <row r="1179" spans="1:11" s="16" customFormat="1" ht="25.5" outlineLevel="3">
      <c r="A1179" s="14"/>
      <c r="B1179" s="51">
        <f>MAX($B$9:B1178)+1</f>
        <v>372</v>
      </c>
      <c r="C1179" s="280" t="s">
        <v>614</v>
      </c>
      <c r="D1179" s="230" t="s">
        <v>25</v>
      </c>
      <c r="E1179" s="247">
        <v>52</v>
      </c>
      <c r="F1179" s="232">
        <v>42222</v>
      </c>
      <c r="G1179" s="232">
        <v>41685</v>
      </c>
      <c r="H1179" s="138">
        <f t="shared" si="131"/>
        <v>83907</v>
      </c>
      <c r="I1179" s="138">
        <f t="shared" si="132"/>
        <v>4363164</v>
      </c>
      <c r="J1179" s="50"/>
      <c r="K1179" s="15"/>
    </row>
    <row r="1180" spans="1:11" s="16" customFormat="1" ht="25.5" outlineLevel="3">
      <c r="A1180" s="14"/>
      <c r="B1180" s="51">
        <f>MAX($B$9:B1179)+1</f>
        <v>373</v>
      </c>
      <c r="C1180" s="280" t="s">
        <v>615</v>
      </c>
      <c r="D1180" s="230" t="s">
        <v>25</v>
      </c>
      <c r="E1180" s="247">
        <v>108</v>
      </c>
      <c r="F1180" s="232">
        <v>67343</v>
      </c>
      <c r="G1180" s="232">
        <v>46896</v>
      </c>
      <c r="H1180" s="138">
        <f t="shared" si="131"/>
        <v>114239</v>
      </c>
      <c r="I1180" s="138">
        <f t="shared" si="132"/>
        <v>12337812</v>
      </c>
      <c r="J1180" s="50"/>
      <c r="K1180" s="15"/>
    </row>
    <row r="1181" spans="1:11" s="16" customFormat="1" ht="25.5" outlineLevel="3">
      <c r="A1181" s="14"/>
      <c r="B1181" s="51">
        <f>MAX($B$9:B1180)+1</f>
        <v>374</v>
      </c>
      <c r="C1181" s="280" t="s">
        <v>616</v>
      </c>
      <c r="D1181" s="230" t="s">
        <v>25</v>
      </c>
      <c r="E1181" s="247">
        <v>96</v>
      </c>
      <c r="F1181" s="232">
        <v>136358</v>
      </c>
      <c r="G1181" s="232">
        <v>88581</v>
      </c>
      <c r="H1181" s="138">
        <f t="shared" si="131"/>
        <v>224939</v>
      </c>
      <c r="I1181" s="138">
        <f t="shared" si="132"/>
        <v>21594144</v>
      </c>
      <c r="J1181" s="50"/>
      <c r="K1181" s="15"/>
    </row>
    <row r="1182" spans="1:11" s="16" customFormat="1" ht="25.5" outlineLevel="3">
      <c r="A1182" s="14"/>
      <c r="B1182" s="51">
        <f>MAX($B$9:B1181)+1</f>
        <v>375</v>
      </c>
      <c r="C1182" s="280" t="s">
        <v>617</v>
      </c>
      <c r="D1182" s="230" t="s">
        <v>25</v>
      </c>
      <c r="E1182" s="247">
        <v>24</v>
      </c>
      <c r="F1182" s="232">
        <v>20294</v>
      </c>
      <c r="G1182" s="232">
        <v>35432</v>
      </c>
      <c r="H1182" s="138">
        <f t="shared" si="131"/>
        <v>55726</v>
      </c>
      <c r="I1182" s="138">
        <f t="shared" si="132"/>
        <v>1337424</v>
      </c>
      <c r="J1182" s="50"/>
      <c r="K1182" s="15"/>
    </row>
    <row r="1183" spans="1:11" s="16" customFormat="1" ht="25.5" outlineLevel="3">
      <c r="A1183" s="14"/>
      <c r="B1183" s="51">
        <f>MAX($B$9:B1182)+1</f>
        <v>376</v>
      </c>
      <c r="C1183" s="280" t="s">
        <v>618</v>
      </c>
      <c r="D1183" s="230" t="s">
        <v>38</v>
      </c>
      <c r="E1183" s="247">
        <v>1</v>
      </c>
      <c r="F1183" s="232">
        <v>19411052</v>
      </c>
      <c r="G1183" s="232">
        <v>6968070</v>
      </c>
      <c r="H1183" s="138">
        <f t="shared" si="131"/>
        <v>26379122</v>
      </c>
      <c r="I1183" s="138">
        <f t="shared" si="132"/>
        <v>26379122</v>
      </c>
      <c r="J1183" s="50"/>
      <c r="K1183" s="15"/>
    </row>
    <row r="1184" spans="1:11" s="16" customFormat="1" ht="25.5" outlineLevel="3">
      <c r="A1184" s="14"/>
      <c r="B1184" s="51">
        <f>MAX($B$9:B1183)+1</f>
        <v>377</v>
      </c>
      <c r="C1184" s="280" t="s">
        <v>619</v>
      </c>
      <c r="D1184" s="230" t="s">
        <v>38</v>
      </c>
      <c r="E1184" s="247">
        <v>1</v>
      </c>
      <c r="F1184" s="232">
        <v>7279144</v>
      </c>
      <c r="G1184" s="232">
        <v>2613026</v>
      </c>
      <c r="H1184" s="138">
        <f t="shared" si="131"/>
        <v>9892170</v>
      </c>
      <c r="I1184" s="138">
        <f t="shared" si="132"/>
        <v>9892170</v>
      </c>
      <c r="J1184" s="50"/>
      <c r="K1184" s="15"/>
    </row>
    <row r="1185" spans="1:14" s="16" customFormat="1" ht="25.5" outlineLevel="3">
      <c r="A1185" s="14"/>
      <c r="B1185" s="51">
        <f>MAX($B$9:B1184)+1</f>
        <v>378</v>
      </c>
      <c r="C1185" s="256" t="s">
        <v>595</v>
      </c>
      <c r="D1185" s="230" t="s">
        <v>38</v>
      </c>
      <c r="E1185" s="247">
        <v>1</v>
      </c>
      <c r="F1185" s="232">
        <v>4852763</v>
      </c>
      <c r="G1185" s="232">
        <v>1742017</v>
      </c>
      <c r="H1185" s="138">
        <f t="shared" si="131"/>
        <v>6594780</v>
      </c>
      <c r="I1185" s="138">
        <f t="shared" si="132"/>
        <v>6594780</v>
      </c>
      <c r="J1185" s="50"/>
      <c r="K1185" s="15"/>
    </row>
    <row r="1186" spans="1:14" s="33" customFormat="1" ht="26.25" outlineLevel="3">
      <c r="A1186" s="34"/>
      <c r="B1186" s="49" t="s">
        <v>61</v>
      </c>
      <c r="C1186" s="277" t="s">
        <v>620</v>
      </c>
      <c r="D1186" s="278"/>
      <c r="E1186" s="213"/>
      <c r="F1186" s="232">
        <v>0</v>
      </c>
      <c r="G1186" s="232">
        <v>0</v>
      </c>
      <c r="H1186" s="279"/>
      <c r="I1186" s="180">
        <f>SUBTOTAL(9,I1187:I1195)</f>
        <v>14424642</v>
      </c>
      <c r="J1186" s="50"/>
      <c r="K1186" s="32"/>
    </row>
    <row r="1187" spans="1:14" s="16" customFormat="1" ht="25.5" outlineLevel="3">
      <c r="A1187" s="14"/>
      <c r="B1187" s="51">
        <f>MAX($B$9:B1185)+1</f>
        <v>379</v>
      </c>
      <c r="C1187" s="281" t="s">
        <v>621</v>
      </c>
      <c r="D1187" s="230" t="s">
        <v>28</v>
      </c>
      <c r="E1187" s="247">
        <v>2</v>
      </c>
      <c r="F1187" s="232">
        <v>5248737</v>
      </c>
      <c r="G1187" s="232">
        <v>312638</v>
      </c>
      <c r="H1187" s="138">
        <f>G1187+F1187</f>
        <v>5561375</v>
      </c>
      <c r="I1187" s="138">
        <f>H1187*E1187</f>
        <v>11122750</v>
      </c>
      <c r="J1187" s="52"/>
      <c r="K1187" s="15"/>
    </row>
    <row r="1188" spans="1:14" s="16" customFormat="1" ht="25.5" outlineLevel="3">
      <c r="A1188" s="14"/>
      <c r="B1188" s="51">
        <f>MAX($B$9:B1187)+1</f>
        <v>380</v>
      </c>
      <c r="C1188" s="281" t="s">
        <v>622</v>
      </c>
      <c r="D1188" s="230" t="s">
        <v>25</v>
      </c>
      <c r="E1188" s="247">
        <v>20</v>
      </c>
      <c r="F1188" s="232">
        <v>42306</v>
      </c>
      <c r="G1188" s="232">
        <v>41685</v>
      </c>
      <c r="H1188" s="138">
        <f>G1188+F1188</f>
        <v>83991</v>
      </c>
      <c r="I1188" s="138">
        <f>H1188*E1188</f>
        <v>1679820</v>
      </c>
      <c r="J1188" s="50"/>
      <c r="K1188" s="15"/>
    </row>
    <row r="1189" spans="1:14" s="16" customFormat="1" ht="25.5" outlineLevel="3">
      <c r="A1189" s="14"/>
      <c r="B1189" s="51">
        <f>MAX($B$9:B1188)+1</f>
        <v>381</v>
      </c>
      <c r="C1189" s="281" t="s">
        <v>623</v>
      </c>
      <c r="D1189" s="230" t="s">
        <v>38</v>
      </c>
      <c r="E1189" s="247">
        <v>1</v>
      </c>
      <c r="F1189" s="232">
        <v>338446</v>
      </c>
      <c r="G1189" s="232">
        <v>121494</v>
      </c>
      <c r="H1189" s="138">
        <f>G1189+F1189</f>
        <v>459940</v>
      </c>
      <c r="I1189" s="138">
        <f>H1189*E1189</f>
        <v>459940</v>
      </c>
      <c r="J1189" s="50"/>
      <c r="K1189" s="15"/>
    </row>
    <row r="1190" spans="1:14" s="16" customFormat="1" ht="25.5" outlineLevel="3">
      <c r="A1190" s="14"/>
      <c r="B1190" s="51">
        <f>MAX($B$9:B1189)+1</f>
        <v>382</v>
      </c>
      <c r="C1190" s="281" t="s">
        <v>624</v>
      </c>
      <c r="D1190" s="230" t="s">
        <v>28</v>
      </c>
      <c r="E1190" s="247">
        <v>2</v>
      </c>
      <c r="F1190" s="232">
        <v>281016</v>
      </c>
      <c r="G1190" s="232">
        <v>156319</v>
      </c>
      <c r="H1190" s="138">
        <f>G1190+F1190</f>
        <v>437335</v>
      </c>
      <c r="I1190" s="138">
        <f>H1190*E1190</f>
        <v>874670</v>
      </c>
      <c r="J1190" s="50"/>
      <c r="K1190" s="15"/>
    </row>
    <row r="1191" spans="1:14" s="16" customFormat="1" ht="25.5" outlineLevel="3">
      <c r="A1191" s="14"/>
      <c r="B1191" s="51">
        <f>MAX($B$9:B1190)+1</f>
        <v>383</v>
      </c>
      <c r="C1191" s="238" t="s">
        <v>320</v>
      </c>
      <c r="D1191" s="230" t="s">
        <v>38</v>
      </c>
      <c r="E1191" s="247">
        <v>1</v>
      </c>
      <c r="F1191" s="232">
        <v>211529</v>
      </c>
      <c r="G1191" s="232">
        <v>75933</v>
      </c>
      <c r="H1191" s="138">
        <f>G1191+F1191</f>
        <v>287462</v>
      </c>
      <c r="I1191" s="138">
        <f>H1191*E1191</f>
        <v>287462</v>
      </c>
      <c r="J1191" s="50"/>
      <c r="K1191" s="15"/>
    </row>
    <row r="1192" spans="1:14" s="16" customFormat="1" ht="38.25" outlineLevel="3">
      <c r="A1192" s="14"/>
      <c r="B1192" s="51">
        <f>MAX($B$9:B1191)+1</f>
        <v>384</v>
      </c>
      <c r="C1192" s="280" t="s">
        <v>625</v>
      </c>
      <c r="D1192" s="233"/>
      <c r="E1192" s="247"/>
      <c r="F1192" s="232">
        <v>0</v>
      </c>
      <c r="G1192" s="232">
        <v>0</v>
      </c>
      <c r="H1192" s="53"/>
      <c r="I1192" s="53"/>
      <c r="J1192" s="54" t="s">
        <v>626</v>
      </c>
      <c r="K1192" s="15"/>
    </row>
    <row r="1193" spans="1:14" s="16" customFormat="1" ht="38.25" outlineLevel="3">
      <c r="A1193" s="14"/>
      <c r="B1193" s="51">
        <f>MAX($B$9:B1192)+1</f>
        <v>385</v>
      </c>
      <c r="C1193" s="280" t="s">
        <v>627</v>
      </c>
      <c r="D1193" s="233"/>
      <c r="E1193" s="247"/>
      <c r="F1193" s="232">
        <v>0</v>
      </c>
      <c r="G1193" s="232">
        <v>0</v>
      </c>
      <c r="H1193" s="53"/>
      <c r="I1193" s="53"/>
      <c r="J1193" s="54" t="s">
        <v>626</v>
      </c>
      <c r="K1193" s="15"/>
    </row>
    <row r="1194" spans="1:14" s="16" customFormat="1" ht="38.25" outlineLevel="3">
      <c r="A1194" s="14"/>
      <c r="B1194" s="51">
        <f>MAX($B$9:B1193)+1</f>
        <v>386</v>
      </c>
      <c r="C1194" s="280" t="s">
        <v>628</v>
      </c>
      <c r="D1194" s="244"/>
      <c r="E1194" s="247"/>
      <c r="F1194" s="232">
        <v>0</v>
      </c>
      <c r="G1194" s="232">
        <v>0</v>
      </c>
      <c r="H1194" s="53"/>
      <c r="I1194" s="53"/>
      <c r="J1194" s="54" t="s">
        <v>626</v>
      </c>
      <c r="K1194" s="15"/>
    </row>
    <row r="1195" spans="1:14" s="16" customFormat="1" ht="38.25" outlineLevel="3">
      <c r="A1195" s="14"/>
      <c r="B1195" s="51">
        <f>MAX($B$9:B1194)+1</f>
        <v>387</v>
      </c>
      <c r="C1195" s="280" t="s">
        <v>629</v>
      </c>
      <c r="D1195" s="244"/>
      <c r="E1195" s="247"/>
      <c r="F1195" s="232">
        <v>0</v>
      </c>
      <c r="G1195" s="232">
        <v>0</v>
      </c>
      <c r="H1195" s="53"/>
      <c r="I1195" s="53"/>
      <c r="J1195" s="54" t="s">
        <v>630</v>
      </c>
      <c r="K1195" s="15"/>
    </row>
    <row r="1196" spans="1:14" s="33" customFormat="1" ht="26.25" outlineLevel="2">
      <c r="A1196" s="14"/>
      <c r="B1196" s="30" t="s">
        <v>83</v>
      </c>
      <c r="C1196" s="225" t="s">
        <v>631</v>
      </c>
      <c r="D1196" s="212"/>
      <c r="E1196" s="228"/>
      <c r="F1196" s="232">
        <v>0</v>
      </c>
      <c r="G1196" s="232">
        <v>0</v>
      </c>
      <c r="H1196" s="276"/>
      <c r="I1196" s="180">
        <f>SUBTOTAL(9,I1197:I1341)</f>
        <v>1445939794</v>
      </c>
      <c r="J1196" s="48"/>
      <c r="K1196" s="32"/>
      <c r="M1196" s="16" t="s">
        <v>83</v>
      </c>
      <c r="N1196" s="33" t="s">
        <v>83</v>
      </c>
    </row>
    <row r="1197" spans="1:14" s="33" customFormat="1" ht="27" outlineLevel="3">
      <c r="A1197" s="34"/>
      <c r="B1197" s="55" t="s">
        <v>85</v>
      </c>
      <c r="C1197" s="277" t="s">
        <v>632</v>
      </c>
      <c r="D1197" s="285"/>
      <c r="E1197" s="286"/>
      <c r="F1197" s="232">
        <v>0</v>
      </c>
      <c r="G1197" s="232">
        <v>0</v>
      </c>
      <c r="H1197" s="287"/>
      <c r="I1197" s="180">
        <f>SUBTOTAL(9,I1198:I1286)</f>
        <v>794799279</v>
      </c>
      <c r="J1197" s="56"/>
      <c r="K1197" s="32"/>
    </row>
    <row r="1198" spans="1:14" s="33" customFormat="1" ht="26.25" outlineLevel="3">
      <c r="A1198" s="14"/>
      <c r="B1198" s="51"/>
      <c r="C1198" s="277" t="s">
        <v>633</v>
      </c>
      <c r="D1198" s="278"/>
      <c r="E1198" s="213"/>
      <c r="F1198" s="232">
        <v>0</v>
      </c>
      <c r="G1198" s="232">
        <v>0</v>
      </c>
      <c r="H1198" s="282"/>
      <c r="I1198" s="283"/>
      <c r="J1198" s="50"/>
      <c r="K1198" s="32"/>
    </row>
    <row r="1199" spans="1:14" s="16" customFormat="1" ht="42" customHeight="1" outlineLevel="3">
      <c r="A1199" s="14"/>
      <c r="B1199" s="51">
        <f>MAX($B$9:B1198)+1</f>
        <v>388</v>
      </c>
      <c r="C1199" s="288" t="s">
        <v>634</v>
      </c>
      <c r="D1199" s="233" t="s">
        <v>44</v>
      </c>
      <c r="E1199" s="247">
        <v>2</v>
      </c>
      <c r="F1199" s="232">
        <v>76176360</v>
      </c>
      <c r="G1199" s="232">
        <v>4168500</v>
      </c>
      <c r="H1199" s="138">
        <f>G1199+F1199</f>
        <v>80344860</v>
      </c>
      <c r="I1199" s="138">
        <f>H1199*E1199</f>
        <v>160689720</v>
      </c>
      <c r="J1199" s="50"/>
      <c r="K1199" s="15"/>
    </row>
    <row r="1200" spans="1:14" s="16" customFormat="1" ht="41.1" customHeight="1" outlineLevel="3">
      <c r="A1200" s="14"/>
      <c r="B1200" s="51">
        <f>MAX($B$9:B1199)+1</f>
        <v>389</v>
      </c>
      <c r="C1200" s="280" t="s">
        <v>635</v>
      </c>
      <c r="D1200" s="233" t="s">
        <v>44</v>
      </c>
      <c r="E1200" s="247">
        <v>2</v>
      </c>
      <c r="F1200" s="232">
        <v>32165933</v>
      </c>
      <c r="G1200" s="232">
        <v>3126375</v>
      </c>
      <c r="H1200" s="138">
        <f>G1200+F1200</f>
        <v>35292308</v>
      </c>
      <c r="I1200" s="138">
        <f>H1200*E1200</f>
        <v>70584616</v>
      </c>
      <c r="J1200" s="50"/>
      <c r="K1200" s="15"/>
    </row>
    <row r="1201" spans="1:12" s="16" customFormat="1" ht="41.1" customHeight="1" outlineLevel="3">
      <c r="A1201" s="14" t="s">
        <v>154</v>
      </c>
      <c r="B1201" s="51">
        <f>MAX($B$9:B1200)+1</f>
        <v>390</v>
      </c>
      <c r="C1201" s="280" t="s">
        <v>636</v>
      </c>
      <c r="D1201" s="233" t="s">
        <v>44</v>
      </c>
      <c r="E1201" s="247">
        <v>4</v>
      </c>
      <c r="F1201" s="232">
        <v>9528000</v>
      </c>
      <c r="G1201" s="232">
        <v>322563</v>
      </c>
      <c r="H1201" s="138">
        <f>G1201+F1201</f>
        <v>9850563</v>
      </c>
      <c r="I1201" s="138">
        <f>H1201*E1201</f>
        <v>39402252</v>
      </c>
      <c r="J1201" s="50"/>
      <c r="K1201" s="15" t="s">
        <v>280</v>
      </c>
      <c r="L1201" s="16" t="s">
        <v>157</v>
      </c>
    </row>
    <row r="1202" spans="1:12" s="16" customFormat="1" ht="25.5" outlineLevel="3">
      <c r="A1202" s="14" t="s">
        <v>154</v>
      </c>
      <c r="B1202" s="51">
        <f>MAX($B$9:B1201)+1</f>
        <v>391</v>
      </c>
      <c r="C1202" s="280" t="s">
        <v>637</v>
      </c>
      <c r="D1202" s="233" t="s">
        <v>44</v>
      </c>
      <c r="E1202" s="247">
        <v>4</v>
      </c>
      <c r="F1202" s="232">
        <v>3135308</v>
      </c>
      <c r="G1202" s="232">
        <v>156319</v>
      </c>
      <c r="H1202" s="138">
        <f>G1202+F1202</f>
        <v>3291627</v>
      </c>
      <c r="I1202" s="138">
        <f>H1202*E1202</f>
        <v>13166508</v>
      </c>
      <c r="J1202" s="50"/>
      <c r="K1202" s="15" t="s">
        <v>156</v>
      </c>
      <c r="L1202" s="16" t="s">
        <v>157</v>
      </c>
    </row>
    <row r="1203" spans="1:12" s="16" customFormat="1" ht="25.5" outlineLevel="3">
      <c r="A1203" s="14"/>
      <c r="B1203" s="51">
        <f>MAX($B$9:B1202)+1</f>
        <v>392</v>
      </c>
      <c r="C1203" s="280" t="s">
        <v>638</v>
      </c>
      <c r="D1203" s="230" t="s">
        <v>38</v>
      </c>
      <c r="E1203" s="247">
        <v>1</v>
      </c>
      <c r="F1203" s="232">
        <v>31096444</v>
      </c>
      <c r="G1203" s="232">
        <v>1563188</v>
      </c>
      <c r="H1203" s="138">
        <f>G1203+F1203</f>
        <v>32659632</v>
      </c>
      <c r="I1203" s="138">
        <f>H1203*E1203</f>
        <v>32659632</v>
      </c>
      <c r="J1203" s="50"/>
      <c r="K1203" s="15"/>
    </row>
    <row r="1204" spans="1:12" s="16" customFormat="1" ht="25.5" outlineLevel="3">
      <c r="A1204" s="14"/>
      <c r="B1204" s="51"/>
      <c r="C1204" s="241" t="s">
        <v>141</v>
      </c>
      <c r="D1204" s="233"/>
      <c r="E1204" s="247"/>
      <c r="F1204" s="232">
        <v>0</v>
      </c>
      <c r="G1204" s="232">
        <v>0</v>
      </c>
      <c r="H1204" s="138"/>
      <c r="I1204" s="283"/>
      <c r="J1204" s="50"/>
      <c r="K1204" s="15"/>
    </row>
    <row r="1205" spans="1:12" s="16" customFormat="1" ht="25.5" outlineLevel="3">
      <c r="A1205" s="14"/>
      <c r="B1205" s="51"/>
      <c r="C1205" s="289" t="s">
        <v>159</v>
      </c>
      <c r="D1205" s="230" t="s">
        <v>28</v>
      </c>
      <c r="E1205" s="247">
        <v>1</v>
      </c>
      <c r="F1205" s="232">
        <v>0</v>
      </c>
      <c r="G1205" s="232">
        <v>0</v>
      </c>
      <c r="H1205" s="138"/>
      <c r="I1205" s="283"/>
      <c r="J1205" s="50"/>
      <c r="K1205" s="15"/>
    </row>
    <row r="1206" spans="1:12" s="16" customFormat="1" ht="25.5" outlineLevel="3">
      <c r="A1206" s="14"/>
      <c r="B1206" s="51"/>
      <c r="C1206" s="281" t="s">
        <v>573</v>
      </c>
      <c r="D1206" s="230" t="s">
        <v>28</v>
      </c>
      <c r="E1206" s="247">
        <v>3</v>
      </c>
      <c r="F1206" s="232">
        <v>0</v>
      </c>
      <c r="G1206" s="232">
        <v>0</v>
      </c>
      <c r="H1206" s="138"/>
      <c r="I1206" s="283"/>
      <c r="J1206" s="50"/>
      <c r="K1206" s="15"/>
    </row>
    <row r="1207" spans="1:12" s="16" customFormat="1" ht="25.5" outlineLevel="3">
      <c r="A1207" s="14"/>
      <c r="B1207" s="51"/>
      <c r="C1207" s="281" t="s">
        <v>574</v>
      </c>
      <c r="D1207" s="230" t="s">
        <v>28</v>
      </c>
      <c r="E1207" s="247">
        <v>3</v>
      </c>
      <c r="F1207" s="232">
        <v>0</v>
      </c>
      <c r="G1207" s="232">
        <v>0</v>
      </c>
      <c r="H1207" s="138"/>
      <c r="I1207" s="283"/>
      <c r="J1207" s="50"/>
      <c r="K1207" s="15"/>
    </row>
    <row r="1208" spans="1:12" s="16" customFormat="1" ht="25.5" outlineLevel="3">
      <c r="A1208" s="14"/>
      <c r="B1208" s="51"/>
      <c r="C1208" s="241" t="s">
        <v>148</v>
      </c>
      <c r="D1208" s="233"/>
      <c r="E1208" s="247"/>
      <c r="F1208" s="232">
        <v>0</v>
      </c>
      <c r="G1208" s="232">
        <v>0</v>
      </c>
      <c r="H1208" s="138"/>
      <c r="I1208" s="283"/>
      <c r="J1208" s="50"/>
      <c r="K1208" s="15"/>
    </row>
    <row r="1209" spans="1:12" s="16" customFormat="1" ht="25.5" outlineLevel="3">
      <c r="A1209" s="14"/>
      <c r="B1209" s="51"/>
      <c r="C1209" s="289" t="s">
        <v>155</v>
      </c>
      <c r="D1209" s="230" t="s">
        <v>28</v>
      </c>
      <c r="E1209" s="247">
        <v>2</v>
      </c>
      <c r="F1209" s="232">
        <v>0</v>
      </c>
      <c r="G1209" s="232">
        <v>0</v>
      </c>
      <c r="H1209" s="138"/>
      <c r="I1209" s="283"/>
      <c r="J1209" s="50"/>
      <c r="K1209" s="15"/>
    </row>
    <row r="1210" spans="1:12" s="16" customFormat="1" ht="25.5" outlineLevel="3">
      <c r="A1210" s="14"/>
      <c r="B1210" s="51"/>
      <c r="C1210" s="289" t="s">
        <v>639</v>
      </c>
      <c r="D1210" s="230" t="s">
        <v>28</v>
      </c>
      <c r="E1210" s="247">
        <v>1</v>
      </c>
      <c r="F1210" s="232">
        <v>0</v>
      </c>
      <c r="G1210" s="232">
        <v>0</v>
      </c>
      <c r="H1210" s="138"/>
      <c r="I1210" s="283"/>
      <c r="J1210" s="50"/>
      <c r="K1210" s="15"/>
    </row>
    <row r="1211" spans="1:12" s="16" customFormat="1" ht="25.5" outlineLevel="3">
      <c r="A1211" s="14"/>
      <c r="B1211" s="51"/>
      <c r="C1211" s="284" t="s">
        <v>640</v>
      </c>
      <c r="D1211" s="136"/>
      <c r="E1211" s="247"/>
      <c r="F1211" s="232">
        <v>0</v>
      </c>
      <c r="G1211" s="232">
        <v>0</v>
      </c>
      <c r="H1211" s="138"/>
      <c r="I1211" s="283"/>
      <c r="J1211" s="50"/>
      <c r="K1211" s="15"/>
    </row>
    <row r="1212" spans="1:12" s="16" customFormat="1" ht="25.5" outlineLevel="3">
      <c r="A1212" s="14"/>
      <c r="B1212" s="51"/>
      <c r="C1212" s="290" t="s">
        <v>641</v>
      </c>
      <c r="D1212" s="230" t="s">
        <v>28</v>
      </c>
      <c r="E1212" s="247">
        <v>2</v>
      </c>
      <c r="F1212" s="232">
        <v>0</v>
      </c>
      <c r="G1212" s="232">
        <v>0</v>
      </c>
      <c r="H1212" s="138"/>
      <c r="I1212" s="283"/>
      <c r="J1212" s="50"/>
      <c r="K1212" s="15"/>
    </row>
    <row r="1213" spans="1:12" s="16" customFormat="1" ht="25.5" outlineLevel="3">
      <c r="A1213" s="14"/>
      <c r="B1213" s="51"/>
      <c r="C1213" s="290" t="s">
        <v>642</v>
      </c>
      <c r="D1213" s="230" t="s">
        <v>28</v>
      </c>
      <c r="E1213" s="247">
        <v>2</v>
      </c>
      <c r="F1213" s="232">
        <v>0</v>
      </c>
      <c r="G1213" s="232">
        <v>0</v>
      </c>
      <c r="H1213" s="138"/>
      <c r="I1213" s="283"/>
      <c r="J1213" s="50"/>
      <c r="K1213" s="15"/>
    </row>
    <row r="1214" spans="1:12" s="16" customFormat="1" ht="25.5" outlineLevel="3">
      <c r="A1214" s="14"/>
      <c r="B1214" s="51"/>
      <c r="C1214" s="290" t="s">
        <v>643</v>
      </c>
      <c r="D1214" s="230" t="s">
        <v>38</v>
      </c>
      <c r="E1214" s="247">
        <v>1</v>
      </c>
      <c r="F1214" s="232">
        <v>0</v>
      </c>
      <c r="G1214" s="232">
        <v>0</v>
      </c>
      <c r="H1214" s="138"/>
      <c r="I1214" s="283"/>
      <c r="J1214" s="50"/>
      <c r="K1214" s="15"/>
    </row>
    <row r="1215" spans="1:12" s="16" customFormat="1" ht="25.5" outlineLevel="3">
      <c r="A1215" s="14"/>
      <c r="B1215" s="51"/>
      <c r="C1215" s="229" t="s">
        <v>139</v>
      </c>
      <c r="D1215" s="230" t="s">
        <v>38</v>
      </c>
      <c r="E1215" s="247">
        <v>1</v>
      </c>
      <c r="F1215" s="232">
        <v>0</v>
      </c>
      <c r="G1215" s="232">
        <v>0</v>
      </c>
      <c r="H1215" s="138"/>
      <c r="I1215" s="283"/>
      <c r="J1215" s="50"/>
      <c r="K1215" s="15"/>
    </row>
    <row r="1216" spans="1:12" s="16" customFormat="1" ht="25.5" outlineLevel="3">
      <c r="A1216" s="14"/>
      <c r="B1216" s="51">
        <f>MAX($B$9:B1215)+1</f>
        <v>393</v>
      </c>
      <c r="C1216" s="280" t="s">
        <v>644</v>
      </c>
      <c r="D1216" s="230" t="s">
        <v>38</v>
      </c>
      <c r="E1216" s="247">
        <v>1</v>
      </c>
      <c r="F1216" s="232">
        <v>29822580</v>
      </c>
      <c r="G1216" s="232">
        <v>1563188</v>
      </c>
      <c r="H1216" s="138">
        <f>G1216+F1216</f>
        <v>31385768</v>
      </c>
      <c r="I1216" s="138">
        <f>H1216*E1216</f>
        <v>31385768</v>
      </c>
      <c r="J1216" s="50"/>
      <c r="K1216" s="15"/>
    </row>
    <row r="1217" spans="1:12" s="16" customFormat="1" ht="25.5" outlineLevel="3">
      <c r="A1217" s="14"/>
      <c r="B1217" s="51"/>
      <c r="C1217" s="241" t="s">
        <v>141</v>
      </c>
      <c r="D1217" s="233"/>
      <c r="E1217" s="247"/>
      <c r="F1217" s="232">
        <v>0</v>
      </c>
      <c r="G1217" s="232">
        <v>0</v>
      </c>
      <c r="H1217" s="138"/>
      <c r="I1217" s="283"/>
      <c r="J1217" s="50"/>
      <c r="K1217" s="15"/>
    </row>
    <row r="1218" spans="1:12" s="16" customFormat="1" ht="25.5" outlineLevel="3">
      <c r="A1218" s="14"/>
      <c r="B1218" s="51"/>
      <c r="C1218" s="289" t="s">
        <v>155</v>
      </c>
      <c r="D1218" s="230" t="s">
        <v>28</v>
      </c>
      <c r="E1218" s="247">
        <v>1</v>
      </c>
      <c r="F1218" s="232">
        <v>0</v>
      </c>
      <c r="G1218" s="232">
        <v>0</v>
      </c>
      <c r="H1218" s="138"/>
      <c r="I1218" s="283"/>
      <c r="J1218" s="50"/>
      <c r="K1218" s="15"/>
    </row>
    <row r="1219" spans="1:12" s="16" customFormat="1" ht="25.5" outlineLevel="3">
      <c r="A1219" s="14"/>
      <c r="B1219" s="51"/>
      <c r="C1219" s="281" t="s">
        <v>573</v>
      </c>
      <c r="D1219" s="230" t="s">
        <v>28</v>
      </c>
      <c r="E1219" s="247">
        <v>3</v>
      </c>
      <c r="F1219" s="232">
        <v>0</v>
      </c>
      <c r="G1219" s="232">
        <v>0</v>
      </c>
      <c r="H1219" s="138"/>
      <c r="I1219" s="283"/>
      <c r="J1219" s="50"/>
      <c r="K1219" s="15"/>
    </row>
    <row r="1220" spans="1:12" s="16" customFormat="1" ht="25.5" outlineLevel="3">
      <c r="A1220" s="14"/>
      <c r="B1220" s="51"/>
      <c r="C1220" s="281" t="s">
        <v>574</v>
      </c>
      <c r="D1220" s="230" t="s">
        <v>28</v>
      </c>
      <c r="E1220" s="247">
        <v>3</v>
      </c>
      <c r="F1220" s="232">
        <v>0</v>
      </c>
      <c r="G1220" s="232">
        <v>0</v>
      </c>
      <c r="H1220" s="138"/>
      <c r="I1220" s="283"/>
      <c r="J1220" s="50"/>
      <c r="K1220" s="15"/>
    </row>
    <row r="1221" spans="1:12" s="16" customFormat="1" ht="25.5" outlineLevel="3">
      <c r="A1221" s="14"/>
      <c r="B1221" s="51"/>
      <c r="C1221" s="241" t="s">
        <v>148</v>
      </c>
      <c r="D1221" s="233"/>
      <c r="E1221" s="247"/>
      <c r="F1221" s="232">
        <v>0</v>
      </c>
      <c r="G1221" s="232">
        <v>0</v>
      </c>
      <c r="H1221" s="138"/>
      <c r="I1221" s="283"/>
      <c r="J1221" s="50"/>
      <c r="K1221" s="15"/>
    </row>
    <row r="1222" spans="1:12" s="16" customFormat="1" ht="25.5" outlineLevel="3">
      <c r="A1222" s="14"/>
      <c r="B1222" s="51"/>
      <c r="C1222" s="289" t="s">
        <v>645</v>
      </c>
      <c r="D1222" s="230" t="s">
        <v>28</v>
      </c>
      <c r="E1222" s="247">
        <v>2</v>
      </c>
      <c r="F1222" s="232">
        <v>0</v>
      </c>
      <c r="G1222" s="232">
        <v>0</v>
      </c>
      <c r="H1222" s="138"/>
      <c r="I1222" s="283"/>
      <c r="J1222" s="50"/>
      <c r="K1222" s="15"/>
    </row>
    <row r="1223" spans="1:12" s="16" customFormat="1" ht="25.5" outlineLevel="3">
      <c r="A1223" s="14"/>
      <c r="B1223" s="51"/>
      <c r="C1223" s="289" t="s">
        <v>639</v>
      </c>
      <c r="D1223" s="230" t="s">
        <v>28</v>
      </c>
      <c r="E1223" s="247">
        <v>1</v>
      </c>
      <c r="F1223" s="232">
        <v>0</v>
      </c>
      <c r="G1223" s="232">
        <v>0</v>
      </c>
      <c r="H1223" s="138"/>
      <c r="I1223" s="283"/>
      <c r="J1223" s="50"/>
      <c r="K1223" s="15"/>
    </row>
    <row r="1224" spans="1:12" s="16" customFormat="1" ht="25.5" outlineLevel="3">
      <c r="A1224" s="14"/>
      <c r="B1224" s="51"/>
      <c r="C1224" s="284" t="s">
        <v>646</v>
      </c>
      <c r="D1224" s="136"/>
      <c r="E1224" s="247"/>
      <c r="F1224" s="232">
        <v>0</v>
      </c>
      <c r="G1224" s="232">
        <v>0</v>
      </c>
      <c r="H1224" s="138"/>
      <c r="I1224" s="283"/>
      <c r="J1224" s="50"/>
      <c r="K1224" s="15"/>
    </row>
    <row r="1225" spans="1:12" s="16" customFormat="1" ht="25.5" outlineLevel="3">
      <c r="A1225" s="14"/>
      <c r="B1225" s="51"/>
      <c r="C1225" s="290" t="s">
        <v>647</v>
      </c>
      <c r="D1225" s="230" t="s">
        <v>28</v>
      </c>
      <c r="E1225" s="247">
        <v>2</v>
      </c>
      <c r="F1225" s="232">
        <v>0</v>
      </c>
      <c r="G1225" s="232">
        <v>0</v>
      </c>
      <c r="H1225" s="138"/>
      <c r="I1225" s="283"/>
      <c r="J1225" s="50"/>
      <c r="K1225" s="15"/>
    </row>
    <row r="1226" spans="1:12" s="16" customFormat="1" ht="25.5" outlineLevel="3">
      <c r="A1226" s="14"/>
      <c r="B1226" s="51"/>
      <c r="C1226" s="290" t="s">
        <v>648</v>
      </c>
      <c r="D1226" s="230" t="s">
        <v>28</v>
      </c>
      <c r="E1226" s="247">
        <v>2</v>
      </c>
      <c r="F1226" s="232">
        <v>0</v>
      </c>
      <c r="G1226" s="232">
        <v>0</v>
      </c>
      <c r="H1226" s="138"/>
      <c r="I1226" s="283"/>
      <c r="J1226" s="50"/>
      <c r="K1226" s="15"/>
    </row>
    <row r="1227" spans="1:12" s="16" customFormat="1" ht="25.5" outlineLevel="3">
      <c r="A1227" s="14"/>
      <c r="B1227" s="51"/>
      <c r="C1227" s="290" t="s">
        <v>643</v>
      </c>
      <c r="D1227" s="230" t="s">
        <v>38</v>
      </c>
      <c r="E1227" s="247">
        <v>1</v>
      </c>
      <c r="F1227" s="232">
        <v>0</v>
      </c>
      <c r="G1227" s="232">
        <v>0</v>
      </c>
      <c r="H1227" s="138"/>
      <c r="I1227" s="283"/>
      <c r="J1227" s="50"/>
      <c r="K1227" s="15"/>
    </row>
    <row r="1228" spans="1:12" s="16" customFormat="1" ht="25.5" outlineLevel="3">
      <c r="A1228" s="14"/>
      <c r="B1228" s="51"/>
      <c r="C1228" s="229" t="s">
        <v>139</v>
      </c>
      <c r="D1228" s="230" t="s">
        <v>38</v>
      </c>
      <c r="E1228" s="247">
        <v>1</v>
      </c>
      <c r="F1228" s="232">
        <v>0</v>
      </c>
      <c r="G1228" s="232">
        <v>0</v>
      </c>
      <c r="H1228" s="138"/>
      <c r="I1228" s="283"/>
      <c r="J1228" s="50"/>
      <c r="K1228" s="15"/>
    </row>
    <row r="1229" spans="1:12" s="16" customFormat="1" ht="25.5" outlineLevel="3">
      <c r="A1229" s="14" t="s">
        <v>154</v>
      </c>
      <c r="B1229" s="51">
        <f>MAX($B$9:B1228)+1</f>
        <v>394</v>
      </c>
      <c r="C1229" s="280" t="s">
        <v>649</v>
      </c>
      <c r="D1229" s="230" t="s">
        <v>38</v>
      </c>
      <c r="E1229" s="247">
        <v>1</v>
      </c>
      <c r="F1229" s="232">
        <v>13261884</v>
      </c>
      <c r="G1229" s="232">
        <v>1548300</v>
      </c>
      <c r="H1229" s="138">
        <f>G1229+F1229</f>
        <v>14810184</v>
      </c>
      <c r="I1229" s="138">
        <f>H1229*E1229</f>
        <v>14810184</v>
      </c>
      <c r="J1229" s="50"/>
      <c r="K1229" s="15" t="s">
        <v>156</v>
      </c>
      <c r="L1229" s="16" t="s">
        <v>157</v>
      </c>
    </row>
    <row r="1230" spans="1:12" s="16" customFormat="1" ht="25.5" outlineLevel="3">
      <c r="A1230" s="14"/>
      <c r="B1230" s="51"/>
      <c r="C1230" s="241" t="s">
        <v>141</v>
      </c>
      <c r="D1230" s="233"/>
      <c r="E1230" s="247"/>
      <c r="F1230" s="232">
        <v>0</v>
      </c>
      <c r="G1230" s="232">
        <v>0</v>
      </c>
      <c r="H1230" s="138"/>
      <c r="I1230" s="283"/>
      <c r="J1230" s="50"/>
      <c r="K1230" s="15"/>
    </row>
    <row r="1231" spans="1:12" s="16" customFormat="1" ht="25.5" outlineLevel="3">
      <c r="A1231" s="14"/>
      <c r="B1231" s="51"/>
      <c r="C1231" s="289" t="s">
        <v>159</v>
      </c>
      <c r="D1231" s="230" t="s">
        <v>28</v>
      </c>
      <c r="E1231" s="247">
        <v>1</v>
      </c>
      <c r="F1231" s="232">
        <v>0</v>
      </c>
      <c r="G1231" s="232">
        <v>0</v>
      </c>
      <c r="H1231" s="138"/>
      <c r="I1231" s="283"/>
      <c r="J1231" s="50"/>
      <c r="K1231" s="15"/>
    </row>
    <row r="1232" spans="1:12" s="16" customFormat="1" ht="25.5" outlineLevel="3">
      <c r="A1232" s="14"/>
      <c r="B1232" s="51"/>
      <c r="C1232" s="281" t="s">
        <v>573</v>
      </c>
      <c r="D1232" s="230" t="s">
        <v>28</v>
      </c>
      <c r="E1232" s="247">
        <v>3</v>
      </c>
      <c r="F1232" s="232">
        <v>0</v>
      </c>
      <c r="G1232" s="232">
        <v>0</v>
      </c>
      <c r="H1232" s="138"/>
      <c r="I1232" s="283"/>
      <c r="J1232" s="50"/>
      <c r="K1232" s="15"/>
    </row>
    <row r="1233" spans="1:12" s="16" customFormat="1" ht="25.5" outlineLevel="3">
      <c r="A1233" s="14"/>
      <c r="B1233" s="51"/>
      <c r="C1233" s="281" t="s">
        <v>574</v>
      </c>
      <c r="D1233" s="230" t="s">
        <v>28</v>
      </c>
      <c r="E1233" s="247">
        <v>3</v>
      </c>
      <c r="F1233" s="232">
        <v>0</v>
      </c>
      <c r="G1233" s="232">
        <v>0</v>
      </c>
      <c r="H1233" s="138"/>
      <c r="I1233" s="283"/>
      <c r="J1233" s="50"/>
      <c r="K1233" s="15"/>
    </row>
    <row r="1234" spans="1:12" s="16" customFormat="1" ht="25.5" outlineLevel="3">
      <c r="A1234" s="14"/>
      <c r="B1234" s="51"/>
      <c r="C1234" s="241" t="s">
        <v>148</v>
      </c>
      <c r="D1234" s="233"/>
      <c r="E1234" s="247"/>
      <c r="F1234" s="232">
        <v>0</v>
      </c>
      <c r="G1234" s="232">
        <v>0</v>
      </c>
      <c r="H1234" s="138"/>
      <c r="I1234" s="283"/>
      <c r="J1234" s="50"/>
      <c r="K1234" s="15"/>
    </row>
    <row r="1235" spans="1:12" s="16" customFormat="1" ht="25.5" outlineLevel="3">
      <c r="A1235" s="14"/>
      <c r="B1235" s="51"/>
      <c r="C1235" s="289" t="s">
        <v>645</v>
      </c>
      <c r="D1235" s="230" t="s">
        <v>28</v>
      </c>
      <c r="E1235" s="247">
        <v>4</v>
      </c>
      <c r="F1235" s="232">
        <v>0</v>
      </c>
      <c r="G1235" s="232">
        <v>0</v>
      </c>
      <c r="H1235" s="138"/>
      <c r="I1235" s="283"/>
      <c r="J1235" s="50"/>
      <c r="K1235" s="15"/>
    </row>
    <row r="1236" spans="1:12" s="16" customFormat="1" ht="25.5" outlineLevel="3">
      <c r="A1236" s="14"/>
      <c r="B1236" s="51"/>
      <c r="C1236" s="289" t="s">
        <v>639</v>
      </c>
      <c r="D1236" s="230" t="s">
        <v>28</v>
      </c>
      <c r="E1236" s="247">
        <v>1</v>
      </c>
      <c r="F1236" s="232">
        <v>0</v>
      </c>
      <c r="G1236" s="232">
        <v>0</v>
      </c>
      <c r="H1236" s="138"/>
      <c r="I1236" s="283"/>
      <c r="J1236" s="50"/>
      <c r="K1236" s="15"/>
    </row>
    <row r="1237" spans="1:12" s="16" customFormat="1" ht="25.5" outlineLevel="3">
      <c r="A1237" s="14"/>
      <c r="B1237" s="51"/>
      <c r="C1237" s="284" t="s">
        <v>646</v>
      </c>
      <c r="D1237" s="136"/>
      <c r="E1237" s="247"/>
      <c r="F1237" s="232">
        <v>0</v>
      </c>
      <c r="G1237" s="232">
        <v>0</v>
      </c>
      <c r="H1237" s="138"/>
      <c r="I1237" s="283"/>
      <c r="J1237" s="50"/>
      <c r="K1237" s="15"/>
    </row>
    <row r="1238" spans="1:12" s="16" customFormat="1" ht="25.5" outlineLevel="3">
      <c r="A1238" s="14"/>
      <c r="B1238" s="51"/>
      <c r="C1238" s="290" t="s">
        <v>647</v>
      </c>
      <c r="D1238" s="230" t="s">
        <v>28</v>
      </c>
      <c r="E1238" s="247">
        <v>2</v>
      </c>
      <c r="F1238" s="232">
        <v>0</v>
      </c>
      <c r="G1238" s="232">
        <v>0</v>
      </c>
      <c r="H1238" s="138"/>
      <c r="I1238" s="283"/>
      <c r="J1238" s="50"/>
      <c r="K1238" s="15"/>
    </row>
    <row r="1239" spans="1:12" s="16" customFormat="1" ht="25.5" outlineLevel="3">
      <c r="A1239" s="14"/>
      <c r="B1239" s="51"/>
      <c r="C1239" s="290" t="s">
        <v>648</v>
      </c>
      <c r="D1239" s="230" t="s">
        <v>28</v>
      </c>
      <c r="E1239" s="247">
        <v>2</v>
      </c>
      <c r="F1239" s="232">
        <v>0</v>
      </c>
      <c r="G1239" s="232">
        <v>0</v>
      </c>
      <c r="H1239" s="138"/>
      <c r="I1239" s="283"/>
      <c r="J1239" s="50"/>
      <c r="K1239" s="15"/>
    </row>
    <row r="1240" spans="1:12" s="16" customFormat="1" ht="25.5" outlineLevel="3">
      <c r="A1240" s="14"/>
      <c r="B1240" s="51"/>
      <c r="C1240" s="290" t="s">
        <v>643</v>
      </c>
      <c r="D1240" s="230" t="s">
        <v>38</v>
      </c>
      <c r="E1240" s="247">
        <v>1</v>
      </c>
      <c r="F1240" s="232">
        <v>0</v>
      </c>
      <c r="G1240" s="232">
        <v>0</v>
      </c>
      <c r="H1240" s="138"/>
      <c r="I1240" s="283"/>
      <c r="J1240" s="50"/>
      <c r="K1240" s="15"/>
    </row>
    <row r="1241" spans="1:12" s="16" customFormat="1" ht="25.5" outlineLevel="3">
      <c r="A1241" s="14"/>
      <c r="B1241" s="51"/>
      <c r="C1241" s="229" t="s">
        <v>139</v>
      </c>
      <c r="D1241" s="230" t="s">
        <v>38</v>
      </c>
      <c r="E1241" s="247">
        <v>1</v>
      </c>
      <c r="F1241" s="232">
        <v>0</v>
      </c>
      <c r="G1241" s="232">
        <v>0</v>
      </c>
      <c r="H1241" s="138"/>
      <c r="I1241" s="283"/>
      <c r="J1241" s="50"/>
      <c r="K1241" s="15"/>
    </row>
    <row r="1242" spans="1:12" s="16" customFormat="1" ht="25.5" outlineLevel="3">
      <c r="A1242" s="14" t="s">
        <v>154</v>
      </c>
      <c r="B1242" s="51">
        <f>MAX($B$9:B1241)+1</f>
        <v>395</v>
      </c>
      <c r="C1242" s="280" t="s">
        <v>650</v>
      </c>
      <c r="D1242" s="230" t="s">
        <v>38</v>
      </c>
      <c r="E1242" s="247">
        <v>1</v>
      </c>
      <c r="F1242" s="232">
        <v>13261884</v>
      </c>
      <c r="G1242" s="232">
        <v>1548300</v>
      </c>
      <c r="H1242" s="138">
        <f>G1242+F1242</f>
        <v>14810184</v>
      </c>
      <c r="I1242" s="138">
        <f>H1242*E1242</f>
        <v>14810184</v>
      </c>
      <c r="J1242" s="50"/>
      <c r="K1242" s="15" t="s">
        <v>156</v>
      </c>
      <c r="L1242" s="16" t="s">
        <v>651</v>
      </c>
    </row>
    <row r="1243" spans="1:12" s="16" customFormat="1" ht="25.5" outlineLevel="3">
      <c r="A1243" s="14"/>
      <c r="B1243" s="51"/>
      <c r="C1243" s="241" t="s">
        <v>141</v>
      </c>
      <c r="D1243" s="233"/>
      <c r="E1243" s="247"/>
      <c r="F1243" s="232">
        <v>0</v>
      </c>
      <c r="G1243" s="232">
        <v>0</v>
      </c>
      <c r="H1243" s="138"/>
      <c r="I1243" s="283"/>
      <c r="J1243" s="50"/>
      <c r="K1243" s="15"/>
    </row>
    <row r="1244" spans="1:12" s="16" customFormat="1" ht="25.5" outlineLevel="3">
      <c r="A1244" s="14"/>
      <c r="B1244" s="51"/>
      <c r="C1244" s="289" t="s">
        <v>155</v>
      </c>
      <c r="D1244" s="230" t="s">
        <v>28</v>
      </c>
      <c r="E1244" s="247">
        <v>1</v>
      </c>
      <c r="F1244" s="232">
        <v>0</v>
      </c>
      <c r="G1244" s="232">
        <v>0</v>
      </c>
      <c r="H1244" s="138"/>
      <c r="I1244" s="283"/>
      <c r="J1244" s="50"/>
      <c r="K1244" s="15"/>
    </row>
    <row r="1245" spans="1:12" s="16" customFormat="1" ht="25.5" outlineLevel="3">
      <c r="A1245" s="14"/>
      <c r="B1245" s="51"/>
      <c r="C1245" s="281" t="s">
        <v>573</v>
      </c>
      <c r="D1245" s="230" t="s">
        <v>28</v>
      </c>
      <c r="E1245" s="247">
        <v>3</v>
      </c>
      <c r="F1245" s="232">
        <v>0</v>
      </c>
      <c r="G1245" s="232">
        <v>0</v>
      </c>
      <c r="H1245" s="138"/>
      <c r="I1245" s="283"/>
      <c r="J1245" s="50"/>
      <c r="K1245" s="15"/>
    </row>
    <row r="1246" spans="1:12" s="16" customFormat="1" ht="25.5" outlineLevel="3">
      <c r="A1246" s="14"/>
      <c r="B1246" s="51"/>
      <c r="C1246" s="281" t="s">
        <v>574</v>
      </c>
      <c r="D1246" s="230" t="s">
        <v>28</v>
      </c>
      <c r="E1246" s="247">
        <v>3</v>
      </c>
      <c r="F1246" s="232">
        <v>0</v>
      </c>
      <c r="G1246" s="232">
        <v>0</v>
      </c>
      <c r="H1246" s="138"/>
      <c r="I1246" s="283"/>
      <c r="J1246" s="50"/>
      <c r="K1246" s="15"/>
    </row>
    <row r="1247" spans="1:12" s="16" customFormat="1" ht="25.5" outlineLevel="3">
      <c r="A1247" s="14"/>
      <c r="B1247" s="51"/>
      <c r="C1247" s="241" t="s">
        <v>148</v>
      </c>
      <c r="D1247" s="233"/>
      <c r="E1247" s="247"/>
      <c r="F1247" s="232">
        <v>0</v>
      </c>
      <c r="G1247" s="232">
        <v>0</v>
      </c>
      <c r="H1247" s="138"/>
      <c r="I1247" s="283"/>
      <c r="J1247" s="50"/>
      <c r="K1247" s="15"/>
    </row>
    <row r="1248" spans="1:12" s="16" customFormat="1" ht="25.5" outlineLevel="3">
      <c r="A1248" s="14"/>
      <c r="B1248" s="51"/>
      <c r="C1248" s="289" t="s">
        <v>645</v>
      </c>
      <c r="D1248" s="230" t="s">
        <v>28</v>
      </c>
      <c r="E1248" s="247">
        <v>2</v>
      </c>
      <c r="F1248" s="232">
        <v>0</v>
      </c>
      <c r="G1248" s="232">
        <v>0</v>
      </c>
      <c r="H1248" s="138"/>
      <c r="I1248" s="283"/>
      <c r="J1248" s="50"/>
      <c r="K1248" s="15"/>
    </row>
    <row r="1249" spans="1:12" s="16" customFormat="1" ht="25.5" outlineLevel="3">
      <c r="A1249" s="14"/>
      <c r="B1249" s="51"/>
      <c r="C1249" s="289" t="s">
        <v>639</v>
      </c>
      <c r="D1249" s="230" t="s">
        <v>28</v>
      </c>
      <c r="E1249" s="247">
        <v>1</v>
      </c>
      <c r="F1249" s="232">
        <v>0</v>
      </c>
      <c r="G1249" s="232">
        <v>0</v>
      </c>
      <c r="H1249" s="138"/>
      <c r="I1249" s="283"/>
      <c r="J1249" s="50"/>
      <c r="K1249" s="15"/>
    </row>
    <row r="1250" spans="1:12" s="16" customFormat="1" ht="25.5" outlineLevel="3">
      <c r="A1250" s="14"/>
      <c r="B1250" s="51"/>
      <c r="C1250" s="284" t="s">
        <v>652</v>
      </c>
      <c r="D1250" s="136"/>
      <c r="E1250" s="247"/>
      <c r="F1250" s="232">
        <v>0</v>
      </c>
      <c r="G1250" s="232">
        <v>0</v>
      </c>
      <c r="H1250" s="138"/>
      <c r="I1250" s="283"/>
      <c r="J1250" s="50"/>
      <c r="K1250" s="15"/>
    </row>
    <row r="1251" spans="1:12" s="16" customFormat="1" ht="25.5" outlineLevel="3">
      <c r="A1251" s="14"/>
      <c r="B1251" s="51"/>
      <c r="C1251" s="290" t="s">
        <v>647</v>
      </c>
      <c r="D1251" s="230" t="s">
        <v>28</v>
      </c>
      <c r="E1251" s="247">
        <v>2</v>
      </c>
      <c r="F1251" s="232">
        <v>0</v>
      </c>
      <c r="G1251" s="232">
        <v>0</v>
      </c>
      <c r="H1251" s="138"/>
      <c r="I1251" s="283"/>
      <c r="J1251" s="50"/>
      <c r="K1251" s="15"/>
    </row>
    <row r="1252" spans="1:12" s="16" customFormat="1" ht="25.5" outlineLevel="3">
      <c r="A1252" s="14"/>
      <c r="B1252" s="51"/>
      <c r="C1252" s="290" t="s">
        <v>648</v>
      </c>
      <c r="D1252" s="230" t="s">
        <v>28</v>
      </c>
      <c r="E1252" s="247">
        <v>2</v>
      </c>
      <c r="F1252" s="232">
        <v>0</v>
      </c>
      <c r="G1252" s="232">
        <v>0</v>
      </c>
      <c r="H1252" s="138"/>
      <c r="I1252" s="283"/>
      <c r="J1252" s="50"/>
      <c r="K1252" s="15"/>
    </row>
    <row r="1253" spans="1:12" s="16" customFormat="1" ht="25.5" outlineLevel="3">
      <c r="A1253" s="14"/>
      <c r="B1253" s="51"/>
      <c r="C1253" s="290" t="s">
        <v>643</v>
      </c>
      <c r="D1253" s="230" t="s">
        <v>38</v>
      </c>
      <c r="E1253" s="247">
        <v>1</v>
      </c>
      <c r="F1253" s="232">
        <v>0</v>
      </c>
      <c r="G1253" s="232">
        <v>0</v>
      </c>
      <c r="H1253" s="138"/>
      <c r="I1253" s="283"/>
      <c r="J1253" s="50"/>
      <c r="K1253" s="15"/>
    </row>
    <row r="1254" spans="1:12" s="16" customFormat="1" ht="25.5" outlineLevel="3">
      <c r="A1254" s="14"/>
      <c r="B1254" s="51"/>
      <c r="C1254" s="229" t="s">
        <v>139</v>
      </c>
      <c r="D1254" s="230" t="s">
        <v>38</v>
      </c>
      <c r="E1254" s="247">
        <v>1</v>
      </c>
      <c r="F1254" s="232">
        <v>0</v>
      </c>
      <c r="G1254" s="232">
        <v>0</v>
      </c>
      <c r="H1254" s="138"/>
      <c r="I1254" s="283"/>
      <c r="J1254" s="50"/>
      <c r="K1254" s="15"/>
    </row>
    <row r="1255" spans="1:12" s="16" customFormat="1" ht="25.5" outlineLevel="3">
      <c r="A1255" s="14"/>
      <c r="B1255" s="51">
        <f>MAX($B$9:B1254)+1</f>
        <v>396</v>
      </c>
      <c r="C1255" s="281" t="s">
        <v>579</v>
      </c>
      <c r="D1255" s="230" t="s">
        <v>38</v>
      </c>
      <c r="E1255" s="247">
        <v>1</v>
      </c>
      <c r="F1255" s="232">
        <v>17418375</v>
      </c>
      <c r="G1255" s="232">
        <v>6252750</v>
      </c>
      <c r="H1255" s="138">
        <f>G1255+F1255</f>
        <v>23671125</v>
      </c>
      <c r="I1255" s="138">
        <f>H1255*E1255</f>
        <v>23671125</v>
      </c>
      <c r="J1255" s="50"/>
      <c r="K1255" s="15"/>
    </row>
    <row r="1256" spans="1:12" s="16" customFormat="1" ht="25.5" outlineLevel="3">
      <c r="A1256" s="14"/>
      <c r="B1256" s="51">
        <f>MAX($B$9:B1255)+1</f>
        <v>397</v>
      </c>
      <c r="C1256" s="256" t="s">
        <v>595</v>
      </c>
      <c r="D1256" s="230" t="s">
        <v>38</v>
      </c>
      <c r="E1256" s="247">
        <v>1</v>
      </c>
      <c r="F1256" s="232">
        <v>4644900</v>
      </c>
      <c r="G1256" s="232">
        <v>1667400</v>
      </c>
      <c r="H1256" s="138">
        <f>G1256+F1256</f>
        <v>6312300</v>
      </c>
      <c r="I1256" s="138">
        <f>H1256*E1256</f>
        <v>6312300</v>
      </c>
      <c r="J1256" s="50"/>
      <c r="K1256" s="15"/>
    </row>
    <row r="1257" spans="1:12" s="33" customFormat="1" ht="26.25" outlineLevel="3">
      <c r="A1257" s="14"/>
      <c r="B1257" s="51"/>
      <c r="C1257" s="277" t="s">
        <v>596</v>
      </c>
      <c r="D1257" s="278"/>
      <c r="E1257" s="213"/>
      <c r="F1257" s="232">
        <v>0</v>
      </c>
      <c r="G1257" s="232">
        <v>0</v>
      </c>
      <c r="H1257" s="282"/>
      <c r="I1257" s="283"/>
      <c r="J1257" s="50"/>
      <c r="K1257" s="32"/>
    </row>
    <row r="1258" spans="1:12" s="16" customFormat="1" ht="25.5" outlineLevel="3">
      <c r="A1258" s="14"/>
      <c r="B1258" s="51">
        <f>MAX($B$9:B1257)+1</f>
        <v>398</v>
      </c>
      <c r="C1258" s="274" t="s">
        <v>583</v>
      </c>
      <c r="D1258" s="230" t="s">
        <v>28</v>
      </c>
      <c r="E1258" s="247">
        <v>2</v>
      </c>
      <c r="F1258" s="232">
        <v>3070279</v>
      </c>
      <c r="G1258" s="232">
        <v>521063</v>
      </c>
      <c r="H1258" s="138">
        <f t="shared" ref="H1258:H1270" si="133">G1258+F1258</f>
        <v>3591342</v>
      </c>
      <c r="I1258" s="138">
        <f t="shared" ref="I1258:I1270" si="134">H1258*E1258</f>
        <v>7182684</v>
      </c>
      <c r="J1258" s="50"/>
      <c r="K1258" s="15"/>
    </row>
    <row r="1259" spans="1:12" s="16" customFormat="1" ht="25.5" outlineLevel="3">
      <c r="A1259" s="14"/>
      <c r="B1259" s="51">
        <f>MAX($B$9:B1258)+1</f>
        <v>399</v>
      </c>
      <c r="C1259" s="274" t="s">
        <v>582</v>
      </c>
      <c r="D1259" s="230" t="s">
        <v>28</v>
      </c>
      <c r="E1259" s="247">
        <v>2</v>
      </c>
      <c r="F1259" s="232">
        <v>2403736</v>
      </c>
      <c r="G1259" s="232">
        <v>416850</v>
      </c>
      <c r="H1259" s="138">
        <f t="shared" si="133"/>
        <v>2820586</v>
      </c>
      <c r="I1259" s="138">
        <f t="shared" si="134"/>
        <v>5641172</v>
      </c>
      <c r="J1259" s="50"/>
      <c r="K1259" s="15"/>
    </row>
    <row r="1260" spans="1:12" s="16" customFormat="1" ht="25.5" outlineLevel="3">
      <c r="A1260" s="14" t="s">
        <v>154</v>
      </c>
      <c r="B1260" s="51">
        <f>MAX($B$9:B1259)+1</f>
        <v>400</v>
      </c>
      <c r="C1260" s="274" t="s">
        <v>581</v>
      </c>
      <c r="D1260" s="230" t="s">
        <v>28</v>
      </c>
      <c r="E1260" s="247">
        <v>4</v>
      </c>
      <c r="F1260" s="232">
        <v>2275763</v>
      </c>
      <c r="G1260" s="232">
        <v>251599</v>
      </c>
      <c r="H1260" s="138">
        <f t="shared" si="133"/>
        <v>2527362</v>
      </c>
      <c r="I1260" s="138">
        <f t="shared" si="134"/>
        <v>10109448</v>
      </c>
      <c r="J1260" s="50"/>
      <c r="K1260" s="15" t="s">
        <v>156</v>
      </c>
      <c r="L1260" s="16" t="s">
        <v>157</v>
      </c>
    </row>
    <row r="1261" spans="1:12" s="16" customFormat="1" ht="25.5" outlineLevel="3">
      <c r="A1261" s="14"/>
      <c r="B1261" s="51">
        <f>MAX($B$9:B1260)+1</f>
        <v>401</v>
      </c>
      <c r="C1261" s="280" t="s">
        <v>653</v>
      </c>
      <c r="D1261" s="230" t="s">
        <v>28</v>
      </c>
      <c r="E1261" s="247">
        <v>2</v>
      </c>
      <c r="F1261" s="232">
        <v>3834365</v>
      </c>
      <c r="G1261" s="232">
        <v>521063</v>
      </c>
      <c r="H1261" s="138">
        <f t="shared" si="133"/>
        <v>4355428</v>
      </c>
      <c r="I1261" s="138">
        <f t="shared" si="134"/>
        <v>8710856</v>
      </c>
      <c r="J1261" s="50"/>
      <c r="K1261" s="15"/>
    </row>
    <row r="1262" spans="1:12" s="16" customFormat="1" ht="25.5" outlineLevel="3">
      <c r="A1262" s="14"/>
      <c r="B1262" s="51">
        <f>MAX($B$9:B1261)+1</f>
        <v>402</v>
      </c>
      <c r="C1262" s="280" t="s">
        <v>654</v>
      </c>
      <c r="D1262" s="230" t="s">
        <v>28</v>
      </c>
      <c r="E1262" s="247">
        <v>2</v>
      </c>
      <c r="F1262" s="232">
        <v>2848485</v>
      </c>
      <c r="G1262" s="232">
        <v>416850</v>
      </c>
      <c r="H1262" s="138">
        <f t="shared" si="133"/>
        <v>3265335</v>
      </c>
      <c r="I1262" s="138">
        <f t="shared" si="134"/>
        <v>6530670</v>
      </c>
      <c r="J1262" s="50"/>
      <c r="K1262" s="15"/>
    </row>
    <row r="1263" spans="1:12" s="16" customFormat="1" ht="25.5" outlineLevel="3">
      <c r="A1263" s="14" t="s">
        <v>154</v>
      </c>
      <c r="B1263" s="51">
        <f>MAX($B$9:B1262)+1</f>
        <v>403</v>
      </c>
      <c r="C1263" s="280" t="s">
        <v>655</v>
      </c>
      <c r="D1263" s="230" t="s">
        <v>28</v>
      </c>
      <c r="E1263" s="247">
        <v>4</v>
      </c>
      <c r="F1263" s="232">
        <v>2503339</v>
      </c>
      <c r="G1263" s="232">
        <v>251599</v>
      </c>
      <c r="H1263" s="138">
        <f t="shared" si="133"/>
        <v>2754938</v>
      </c>
      <c r="I1263" s="138">
        <f t="shared" si="134"/>
        <v>11019752</v>
      </c>
      <c r="J1263" s="50"/>
      <c r="K1263" s="15" t="s">
        <v>156</v>
      </c>
      <c r="L1263" s="16" t="s">
        <v>157</v>
      </c>
    </row>
    <row r="1264" spans="1:12" s="16" customFormat="1" ht="25.5" outlineLevel="3">
      <c r="A1264" s="14"/>
      <c r="B1264" s="51">
        <f>MAX($B$9:B1263)+1</f>
        <v>404</v>
      </c>
      <c r="C1264" s="280" t="s">
        <v>656</v>
      </c>
      <c r="D1264" s="230" t="s">
        <v>28</v>
      </c>
      <c r="E1264" s="247">
        <v>2</v>
      </c>
      <c r="F1264" s="232">
        <v>1429468</v>
      </c>
      <c r="G1264" s="232">
        <v>521063</v>
      </c>
      <c r="H1264" s="138">
        <f t="shared" si="133"/>
        <v>1950531</v>
      </c>
      <c r="I1264" s="138">
        <f t="shared" si="134"/>
        <v>3901062</v>
      </c>
      <c r="J1264" s="50"/>
      <c r="K1264" s="15"/>
    </row>
    <row r="1265" spans="1:12" s="16" customFormat="1" ht="25.5" outlineLevel="3">
      <c r="A1265" s="14"/>
      <c r="B1265" s="51">
        <f>MAX($B$9:B1264)+1</f>
        <v>405</v>
      </c>
      <c r="C1265" s="280" t="s">
        <v>657</v>
      </c>
      <c r="D1265" s="230" t="s">
        <v>28</v>
      </c>
      <c r="E1265" s="247">
        <v>2</v>
      </c>
      <c r="F1265" s="232">
        <v>1153096</v>
      </c>
      <c r="G1265" s="232">
        <v>416850</v>
      </c>
      <c r="H1265" s="138">
        <f t="shared" si="133"/>
        <v>1569946</v>
      </c>
      <c r="I1265" s="138">
        <f t="shared" si="134"/>
        <v>3139892</v>
      </c>
      <c r="J1265" s="50"/>
      <c r="K1265" s="15"/>
    </row>
    <row r="1266" spans="1:12" s="16" customFormat="1" ht="25.5" outlineLevel="3">
      <c r="A1266" s="14" t="s">
        <v>154</v>
      </c>
      <c r="B1266" s="51">
        <f>MAX($B$9:B1265)+1</f>
        <v>406</v>
      </c>
      <c r="C1266" s="280" t="s">
        <v>658</v>
      </c>
      <c r="D1266" s="230" t="s">
        <v>28</v>
      </c>
      <c r="E1266" s="247">
        <v>4</v>
      </c>
      <c r="F1266" s="232">
        <v>2002671</v>
      </c>
      <c r="G1266" s="232">
        <v>251599</v>
      </c>
      <c r="H1266" s="138">
        <f t="shared" si="133"/>
        <v>2254270</v>
      </c>
      <c r="I1266" s="138">
        <f t="shared" si="134"/>
        <v>9017080</v>
      </c>
      <c r="J1266" s="50"/>
      <c r="K1266" s="15" t="s">
        <v>156</v>
      </c>
      <c r="L1266" s="16" t="s">
        <v>157</v>
      </c>
    </row>
    <row r="1267" spans="1:12" s="16" customFormat="1" ht="25.5" outlineLevel="3">
      <c r="A1267" s="14"/>
      <c r="B1267" s="51">
        <f>MAX($B$9:B1266)+1</f>
        <v>407</v>
      </c>
      <c r="C1267" s="280" t="s">
        <v>659</v>
      </c>
      <c r="D1267" s="230" t="s">
        <v>28</v>
      </c>
      <c r="E1267" s="247">
        <v>6</v>
      </c>
      <c r="F1267" s="232">
        <v>1138001</v>
      </c>
      <c r="G1267" s="232">
        <v>260531</v>
      </c>
      <c r="H1267" s="138">
        <f t="shared" si="133"/>
        <v>1398532</v>
      </c>
      <c r="I1267" s="138">
        <f t="shared" si="134"/>
        <v>8391192</v>
      </c>
      <c r="J1267" s="50"/>
      <c r="K1267" s="15"/>
    </row>
    <row r="1268" spans="1:12" s="16" customFormat="1" ht="25.5" outlineLevel="3">
      <c r="A1268" s="14" t="s">
        <v>154</v>
      </c>
      <c r="B1268" s="51">
        <f>MAX($B$9:B1267)+1</f>
        <v>408</v>
      </c>
      <c r="C1268" s="280" t="s">
        <v>660</v>
      </c>
      <c r="D1268" s="230" t="s">
        <v>28</v>
      </c>
      <c r="E1268" s="247">
        <f>14+1+3</f>
        <v>18</v>
      </c>
      <c r="F1268" s="232">
        <v>150959</v>
      </c>
      <c r="G1268" s="232">
        <v>125055</v>
      </c>
      <c r="H1268" s="138">
        <f t="shared" si="133"/>
        <v>276014</v>
      </c>
      <c r="I1268" s="138">
        <f t="shared" si="134"/>
        <v>4968252</v>
      </c>
      <c r="J1268" s="50"/>
      <c r="K1268" s="15" t="s">
        <v>156</v>
      </c>
      <c r="L1268" s="16" t="s">
        <v>157</v>
      </c>
    </row>
    <row r="1269" spans="1:12" s="16" customFormat="1" ht="25.5" outlineLevel="3">
      <c r="A1269" s="14" t="s">
        <v>154</v>
      </c>
      <c r="B1269" s="51">
        <f>MAX($B$9:B1268)+1</f>
        <v>409</v>
      </c>
      <c r="C1269" s="280" t="s">
        <v>661</v>
      </c>
      <c r="D1269" s="230" t="s">
        <v>28</v>
      </c>
      <c r="E1269" s="247">
        <f>13+11</f>
        <v>24</v>
      </c>
      <c r="F1269" s="232">
        <v>232245</v>
      </c>
      <c r="G1269" s="232">
        <v>156319</v>
      </c>
      <c r="H1269" s="138">
        <f t="shared" si="133"/>
        <v>388564</v>
      </c>
      <c r="I1269" s="138">
        <f t="shared" si="134"/>
        <v>9325536</v>
      </c>
      <c r="J1269" s="50"/>
      <c r="K1269" s="15" t="s">
        <v>156</v>
      </c>
      <c r="L1269" s="16" t="s">
        <v>157</v>
      </c>
    </row>
    <row r="1270" spans="1:12" s="16" customFormat="1" ht="25.5" outlineLevel="3">
      <c r="A1270" s="14"/>
      <c r="B1270" s="51">
        <f>MAX($B$9:B1269)+1</f>
        <v>410</v>
      </c>
      <c r="C1270" s="256" t="s">
        <v>595</v>
      </c>
      <c r="D1270" s="230" t="s">
        <v>38</v>
      </c>
      <c r="E1270" s="247">
        <v>1</v>
      </c>
      <c r="F1270" s="232">
        <v>11612250</v>
      </c>
      <c r="G1270" s="232">
        <v>4168500</v>
      </c>
      <c r="H1270" s="138">
        <f t="shared" si="133"/>
        <v>15780750</v>
      </c>
      <c r="I1270" s="138">
        <f t="shared" si="134"/>
        <v>15780750</v>
      </c>
      <c r="J1270" s="50"/>
      <c r="K1270" s="15"/>
    </row>
    <row r="1271" spans="1:12" s="16" customFormat="1" ht="25.5" outlineLevel="3">
      <c r="A1271" s="14"/>
      <c r="B1271" s="51"/>
      <c r="C1271" s="280" t="s">
        <v>662</v>
      </c>
      <c r="D1271" s="244"/>
      <c r="E1271" s="247"/>
      <c r="F1271" s="232">
        <v>0</v>
      </c>
      <c r="G1271" s="232">
        <v>0</v>
      </c>
      <c r="H1271" s="282"/>
      <c r="I1271" s="283"/>
      <c r="J1271" s="50"/>
      <c r="K1271" s="15"/>
    </row>
    <row r="1272" spans="1:12" s="16" customFormat="1" ht="25.5" outlineLevel="3">
      <c r="A1272" s="14" t="s">
        <v>154</v>
      </c>
      <c r="B1272" s="51">
        <f>MAX($B$9:B1271)+1</f>
        <v>411</v>
      </c>
      <c r="C1272" s="280" t="s">
        <v>663</v>
      </c>
      <c r="D1272" s="230" t="s">
        <v>25</v>
      </c>
      <c r="E1272" s="247">
        <f>80+18</f>
        <v>98</v>
      </c>
      <c r="F1272" s="232">
        <v>32075</v>
      </c>
      <c r="G1272" s="232">
        <v>36474</v>
      </c>
      <c r="H1272" s="138">
        <f t="shared" ref="H1272:H1286" si="135">G1272+F1272</f>
        <v>68549</v>
      </c>
      <c r="I1272" s="138">
        <f t="shared" ref="I1272:I1286" si="136">H1272*E1272</f>
        <v>6717802</v>
      </c>
      <c r="J1272" s="50"/>
      <c r="K1272" s="15" t="s">
        <v>156</v>
      </c>
      <c r="L1272" s="16" t="s">
        <v>157</v>
      </c>
    </row>
    <row r="1273" spans="1:12" s="16" customFormat="1" ht="25.5" outlineLevel="3">
      <c r="A1273" s="14"/>
      <c r="B1273" s="51">
        <f>MAX($B$9:B1272)+1</f>
        <v>412</v>
      </c>
      <c r="C1273" s="280" t="s">
        <v>664</v>
      </c>
      <c r="D1273" s="230" t="s">
        <v>25</v>
      </c>
      <c r="E1273" s="247">
        <v>116</v>
      </c>
      <c r="F1273" s="232">
        <v>58297</v>
      </c>
      <c r="G1273" s="232">
        <v>46896</v>
      </c>
      <c r="H1273" s="138">
        <f t="shared" si="135"/>
        <v>105193</v>
      </c>
      <c r="I1273" s="138">
        <f t="shared" si="136"/>
        <v>12202388</v>
      </c>
      <c r="J1273" s="50"/>
      <c r="K1273" s="15"/>
    </row>
    <row r="1274" spans="1:12" s="16" customFormat="1" ht="25.5" outlineLevel="3">
      <c r="A1274" s="14"/>
      <c r="B1274" s="51">
        <f>MAX($B$9:B1273)+1</f>
        <v>413</v>
      </c>
      <c r="C1274" s="280" t="s">
        <v>665</v>
      </c>
      <c r="D1274" s="230" t="s">
        <v>25</v>
      </c>
      <c r="E1274" s="247">
        <f>200-16</f>
        <v>184</v>
      </c>
      <c r="F1274" s="232">
        <v>290957</v>
      </c>
      <c r="G1274" s="232">
        <v>156319</v>
      </c>
      <c r="H1274" s="138">
        <f t="shared" si="135"/>
        <v>447276</v>
      </c>
      <c r="I1274" s="138">
        <f t="shared" si="136"/>
        <v>82298784</v>
      </c>
      <c r="J1274" s="50"/>
      <c r="K1274" s="15"/>
    </row>
    <row r="1275" spans="1:12" s="16" customFormat="1" ht="25.5" outlineLevel="3">
      <c r="A1275" s="14"/>
      <c r="B1275" s="51">
        <f>MAX($B$9:B1274)+1</f>
        <v>414</v>
      </c>
      <c r="C1275" s="280" t="s">
        <v>666</v>
      </c>
      <c r="D1275" s="230" t="s">
        <v>25</v>
      </c>
      <c r="E1275" s="247">
        <v>16</v>
      </c>
      <c r="F1275" s="232">
        <v>536260</v>
      </c>
      <c r="G1275" s="232">
        <v>314486</v>
      </c>
      <c r="H1275" s="138">
        <f t="shared" si="135"/>
        <v>850746</v>
      </c>
      <c r="I1275" s="138">
        <f t="shared" si="136"/>
        <v>13611936</v>
      </c>
      <c r="J1275" s="50"/>
      <c r="K1275" s="15"/>
    </row>
    <row r="1276" spans="1:12" s="16" customFormat="1" ht="25.5" outlineLevel="3">
      <c r="A1276" s="14"/>
      <c r="B1276" s="51">
        <f>MAX($B$9:B1275)+1</f>
        <v>415</v>
      </c>
      <c r="C1276" s="280" t="s">
        <v>667</v>
      </c>
      <c r="D1276" s="230" t="s">
        <v>38</v>
      </c>
      <c r="E1276" s="247">
        <v>1</v>
      </c>
      <c r="F1276" s="232">
        <v>30383903</v>
      </c>
      <c r="G1276" s="232">
        <v>10907042</v>
      </c>
      <c r="H1276" s="138">
        <f t="shared" si="135"/>
        <v>41290945</v>
      </c>
      <c r="I1276" s="138">
        <f t="shared" si="136"/>
        <v>41290945</v>
      </c>
      <c r="J1276" s="50"/>
      <c r="K1276" s="15"/>
    </row>
    <row r="1277" spans="1:12" s="16" customFormat="1" ht="25.5" outlineLevel="3">
      <c r="A1277" s="14" t="s">
        <v>154</v>
      </c>
      <c r="B1277" s="51">
        <f>MAX($B$9:B1275)+1</f>
        <v>415</v>
      </c>
      <c r="C1277" s="280" t="s">
        <v>668</v>
      </c>
      <c r="D1277" s="230" t="s">
        <v>25</v>
      </c>
      <c r="E1277" s="247">
        <v>6</v>
      </c>
      <c r="F1277" s="232">
        <v>42940</v>
      </c>
      <c r="G1277" s="232">
        <v>43448</v>
      </c>
      <c r="H1277" s="138">
        <f t="shared" si="135"/>
        <v>86388</v>
      </c>
      <c r="I1277" s="138">
        <f t="shared" si="136"/>
        <v>518328</v>
      </c>
      <c r="J1277" s="50"/>
      <c r="K1277" s="15" t="s">
        <v>156</v>
      </c>
      <c r="L1277" s="16" t="s">
        <v>157</v>
      </c>
    </row>
    <row r="1278" spans="1:12" s="16" customFormat="1" ht="25.5" outlineLevel="3">
      <c r="A1278" s="14" t="s">
        <v>154</v>
      </c>
      <c r="B1278" s="51">
        <f>MAX($B$9:B1276)+1</f>
        <v>416</v>
      </c>
      <c r="C1278" s="280" t="s">
        <v>669</v>
      </c>
      <c r="D1278" s="230" t="s">
        <v>25</v>
      </c>
      <c r="E1278" s="247">
        <v>46</v>
      </c>
      <c r="F1278" s="232">
        <v>69093</v>
      </c>
      <c r="G1278" s="232">
        <v>39498</v>
      </c>
      <c r="H1278" s="138">
        <f t="shared" si="135"/>
        <v>108591</v>
      </c>
      <c r="I1278" s="138">
        <f t="shared" si="136"/>
        <v>4995186</v>
      </c>
      <c r="J1278" s="50"/>
      <c r="K1278" s="15" t="s">
        <v>156</v>
      </c>
      <c r="L1278" s="16" t="s">
        <v>157</v>
      </c>
    </row>
    <row r="1279" spans="1:12" s="16" customFormat="1" ht="25.5" outlineLevel="3">
      <c r="A1279" s="14" t="s">
        <v>154</v>
      </c>
      <c r="B1279" s="51">
        <f>MAX($B$9:B1278)+1</f>
        <v>417</v>
      </c>
      <c r="C1279" s="280" t="s">
        <v>670</v>
      </c>
      <c r="D1279" s="230" t="s">
        <v>25</v>
      </c>
      <c r="E1279" s="247">
        <f>24+18</f>
        <v>42</v>
      </c>
      <c r="F1279" s="232">
        <v>76921</v>
      </c>
      <c r="G1279" s="232">
        <v>78159</v>
      </c>
      <c r="H1279" s="138">
        <f t="shared" si="135"/>
        <v>155080</v>
      </c>
      <c r="I1279" s="138">
        <f t="shared" si="136"/>
        <v>6513360</v>
      </c>
      <c r="J1279" s="50"/>
      <c r="K1279" s="15" t="s">
        <v>156</v>
      </c>
      <c r="L1279" s="16" t="s">
        <v>157</v>
      </c>
    </row>
    <row r="1280" spans="1:12" s="16" customFormat="1" ht="25.5" outlineLevel="3">
      <c r="A1280" s="14" t="s">
        <v>154</v>
      </c>
      <c r="B1280" s="51">
        <f>MAX($B$9:B1279)+1</f>
        <v>418</v>
      </c>
      <c r="C1280" s="280" t="s">
        <v>671</v>
      </c>
      <c r="D1280" s="230" t="s">
        <v>25</v>
      </c>
      <c r="E1280" s="247">
        <v>11</v>
      </c>
      <c r="F1280" s="232">
        <v>128148</v>
      </c>
      <c r="G1280" s="232">
        <v>81869</v>
      </c>
      <c r="H1280" s="138">
        <f t="shared" si="135"/>
        <v>210017</v>
      </c>
      <c r="I1280" s="138">
        <f t="shared" si="136"/>
        <v>2310187</v>
      </c>
      <c r="J1280" s="50"/>
      <c r="K1280" s="15" t="s">
        <v>156</v>
      </c>
      <c r="L1280" s="16" t="s">
        <v>157</v>
      </c>
    </row>
    <row r="1281" spans="1:12" s="16" customFormat="1" ht="25.5" outlineLevel="3">
      <c r="A1281" s="14"/>
      <c r="B1281" s="51">
        <f>MAX($B$9:B1280)+1</f>
        <v>419</v>
      </c>
      <c r="C1281" s="280" t="s">
        <v>672</v>
      </c>
      <c r="D1281" s="230" t="s">
        <v>25</v>
      </c>
      <c r="E1281" s="247">
        <v>6</v>
      </c>
      <c r="F1281" s="232">
        <v>233781</v>
      </c>
      <c r="G1281" s="232">
        <v>208425</v>
      </c>
      <c r="H1281" s="138">
        <f t="shared" si="135"/>
        <v>442206</v>
      </c>
      <c r="I1281" s="138">
        <f t="shared" si="136"/>
        <v>2653236</v>
      </c>
      <c r="J1281" s="50"/>
      <c r="K1281" s="15"/>
    </row>
    <row r="1282" spans="1:12" s="16" customFormat="1" ht="25.5" outlineLevel="3">
      <c r="A1282" s="14"/>
      <c r="B1282" s="51">
        <f>MAX($B$9:B1281)+1</f>
        <v>420</v>
      </c>
      <c r="C1282" s="280" t="s">
        <v>609</v>
      </c>
      <c r="D1282" s="230" t="s">
        <v>38</v>
      </c>
      <c r="E1282" s="247">
        <v>1</v>
      </c>
      <c r="F1282" s="232">
        <v>1461953</v>
      </c>
      <c r="G1282" s="232">
        <v>524804</v>
      </c>
      <c r="H1282" s="138">
        <f t="shared" si="135"/>
        <v>1986757</v>
      </c>
      <c r="I1282" s="138">
        <f t="shared" si="136"/>
        <v>1986757</v>
      </c>
      <c r="J1282" s="50"/>
      <c r="K1282" s="15"/>
    </row>
    <row r="1283" spans="1:12" s="16" customFormat="1" ht="25.5" outlineLevel="3">
      <c r="A1283" s="14"/>
      <c r="B1283" s="51">
        <f>MAX($B$9:B1282)+1</f>
        <v>421</v>
      </c>
      <c r="C1283" s="280" t="s">
        <v>673</v>
      </c>
      <c r="D1283" s="230" t="s">
        <v>38</v>
      </c>
      <c r="E1283" s="247">
        <v>1</v>
      </c>
      <c r="F1283" s="232">
        <v>34836750</v>
      </c>
      <c r="G1283" s="232">
        <v>12505500</v>
      </c>
      <c r="H1283" s="138">
        <f t="shared" si="135"/>
        <v>47342250</v>
      </c>
      <c r="I1283" s="138">
        <f t="shared" si="136"/>
        <v>47342250</v>
      </c>
      <c r="J1283" s="50"/>
      <c r="K1283" s="15"/>
    </row>
    <row r="1284" spans="1:12" s="16" customFormat="1" ht="25.5" outlineLevel="3">
      <c r="A1284" s="14"/>
      <c r="B1284" s="51">
        <f>MAX($B$9:B1283)+1</f>
        <v>422</v>
      </c>
      <c r="C1284" s="280" t="s">
        <v>674</v>
      </c>
      <c r="D1284" s="230" t="s">
        <v>38</v>
      </c>
      <c r="E1284" s="247">
        <v>1</v>
      </c>
      <c r="F1284" s="232">
        <v>0</v>
      </c>
      <c r="G1284" s="232">
        <v>40048864</v>
      </c>
      <c r="H1284" s="138">
        <f t="shared" si="135"/>
        <v>40048864</v>
      </c>
      <c r="I1284" s="138">
        <f t="shared" si="136"/>
        <v>40048864</v>
      </c>
      <c r="J1284" s="50"/>
      <c r="K1284" s="15"/>
    </row>
    <row r="1285" spans="1:12" s="16" customFormat="1" ht="25.5" outlineLevel="3">
      <c r="A1285" s="14"/>
      <c r="B1285" s="51">
        <f>MAX($B$9:B1284)+1</f>
        <v>423</v>
      </c>
      <c r="C1285" s="280" t="s">
        <v>619</v>
      </c>
      <c r="D1285" s="230" t="s">
        <v>38</v>
      </c>
      <c r="E1285" s="247">
        <v>1</v>
      </c>
      <c r="F1285" s="232">
        <v>10615286</v>
      </c>
      <c r="G1285" s="232">
        <v>3810615</v>
      </c>
      <c r="H1285" s="138">
        <f t="shared" si="135"/>
        <v>14425901</v>
      </c>
      <c r="I1285" s="138">
        <f t="shared" si="136"/>
        <v>14425901</v>
      </c>
      <c r="J1285" s="50"/>
      <c r="K1285" s="15"/>
    </row>
    <row r="1286" spans="1:12" s="16" customFormat="1" ht="25.5" outlineLevel="3">
      <c r="A1286" s="14"/>
      <c r="B1286" s="51">
        <f>MAX($B$9:B1285)+1</f>
        <v>424</v>
      </c>
      <c r="C1286" s="256" t="s">
        <v>675</v>
      </c>
      <c r="D1286" s="230" t="s">
        <v>38</v>
      </c>
      <c r="E1286" s="247">
        <v>1</v>
      </c>
      <c r="F1286" s="232">
        <v>4910115</v>
      </c>
      <c r="G1286" s="232">
        <v>1762605</v>
      </c>
      <c r="H1286" s="138">
        <f t="shared" si="135"/>
        <v>6672720</v>
      </c>
      <c r="I1286" s="138">
        <f t="shared" si="136"/>
        <v>6672720</v>
      </c>
      <c r="J1286" s="50"/>
      <c r="K1286" s="15"/>
    </row>
    <row r="1287" spans="1:12" s="33" customFormat="1" ht="27" outlineLevel="3">
      <c r="A1287" s="34"/>
      <c r="B1287" s="55" t="s">
        <v>275</v>
      </c>
      <c r="C1287" s="277" t="s">
        <v>676</v>
      </c>
      <c r="D1287" s="278"/>
      <c r="E1287" s="213"/>
      <c r="F1287" s="232">
        <v>0</v>
      </c>
      <c r="G1287" s="232">
        <v>0</v>
      </c>
      <c r="H1287" s="279"/>
      <c r="I1287" s="180">
        <f>SUBTOTAL(9,I1288:I1339)</f>
        <v>591590515</v>
      </c>
      <c r="J1287" s="50"/>
      <c r="K1287" s="32"/>
    </row>
    <row r="1288" spans="1:12" s="16" customFormat="1" ht="38.25" outlineLevel="3">
      <c r="A1288" s="14"/>
      <c r="B1288" s="51">
        <f>MAX($B$9:B1287)+1</f>
        <v>425</v>
      </c>
      <c r="C1288" s="280" t="s">
        <v>677</v>
      </c>
      <c r="D1288" s="230" t="s">
        <v>44</v>
      </c>
      <c r="E1288" s="247">
        <v>2</v>
      </c>
      <c r="F1288" s="232">
        <v>26475930</v>
      </c>
      <c r="G1288" s="232">
        <v>3126375</v>
      </c>
      <c r="H1288" s="138">
        <f>G1288+F1288</f>
        <v>29602305</v>
      </c>
      <c r="I1288" s="138">
        <f>H1288*E1288</f>
        <v>59204610</v>
      </c>
      <c r="J1288" s="50"/>
      <c r="K1288" s="15"/>
    </row>
    <row r="1289" spans="1:12" s="16" customFormat="1" ht="38.25" outlineLevel="3">
      <c r="A1289" s="14"/>
      <c r="B1289" s="51">
        <f>MAX($B$9:B1288)+1</f>
        <v>426</v>
      </c>
      <c r="C1289" s="280" t="s">
        <v>678</v>
      </c>
      <c r="D1289" s="230" t="s">
        <v>44</v>
      </c>
      <c r="E1289" s="247">
        <v>2</v>
      </c>
      <c r="F1289" s="232">
        <v>26475930</v>
      </c>
      <c r="G1289" s="232">
        <v>3126375</v>
      </c>
      <c r="H1289" s="138">
        <f>G1289+F1289</f>
        <v>29602305</v>
      </c>
      <c r="I1289" s="138">
        <f>H1289*E1289</f>
        <v>59204610</v>
      </c>
      <c r="J1289" s="50"/>
      <c r="K1289" s="15"/>
    </row>
    <row r="1290" spans="1:12" s="16" customFormat="1" ht="25.5" outlineLevel="3">
      <c r="A1290" s="14"/>
      <c r="B1290" s="51">
        <f>MAX($B$9:B1289)+1</f>
        <v>427</v>
      </c>
      <c r="C1290" s="280" t="s">
        <v>637</v>
      </c>
      <c r="D1290" s="230" t="s">
        <v>44</v>
      </c>
      <c r="E1290" s="247">
        <v>2</v>
      </c>
      <c r="F1290" s="232">
        <v>4296533</v>
      </c>
      <c r="G1290" s="232">
        <v>208425</v>
      </c>
      <c r="H1290" s="138">
        <f>G1290+F1290</f>
        <v>4504958</v>
      </c>
      <c r="I1290" s="138">
        <f>H1290*E1290</f>
        <v>9009916</v>
      </c>
      <c r="J1290" s="50"/>
      <c r="K1290" s="15"/>
    </row>
    <row r="1291" spans="1:12" s="16" customFormat="1" ht="25.5" outlineLevel="3">
      <c r="A1291" s="14" t="s">
        <v>154</v>
      </c>
      <c r="B1291" s="51">
        <f>MAX($B$9:B1290)+1</f>
        <v>428</v>
      </c>
      <c r="C1291" s="280" t="s">
        <v>679</v>
      </c>
      <c r="D1291" s="230" t="s">
        <v>38</v>
      </c>
      <c r="E1291" s="247">
        <v>1</v>
      </c>
      <c r="F1291" s="232">
        <v>39919045</v>
      </c>
      <c r="G1291" s="232">
        <v>1548300</v>
      </c>
      <c r="H1291" s="138">
        <f>G1291+F1291</f>
        <v>41467345</v>
      </c>
      <c r="I1291" s="138">
        <f>H1291*E1291</f>
        <v>41467345</v>
      </c>
      <c r="J1291" s="50"/>
      <c r="K1291" s="15" t="s">
        <v>482</v>
      </c>
      <c r="L1291" s="16" t="s">
        <v>651</v>
      </c>
    </row>
    <row r="1292" spans="1:12" s="16" customFormat="1" ht="25.5" outlineLevel="3">
      <c r="A1292" s="14"/>
      <c r="B1292" s="51"/>
      <c r="C1292" s="241" t="s">
        <v>141</v>
      </c>
      <c r="D1292" s="230"/>
      <c r="E1292" s="247"/>
      <c r="F1292" s="232">
        <v>0</v>
      </c>
      <c r="G1292" s="232">
        <v>0</v>
      </c>
      <c r="H1292" s="282"/>
      <c r="I1292" s="283"/>
      <c r="J1292" s="50"/>
      <c r="K1292" s="15"/>
    </row>
    <row r="1293" spans="1:12" s="16" customFormat="1" ht="25.5" outlineLevel="3">
      <c r="A1293" s="14"/>
      <c r="B1293" s="51"/>
      <c r="C1293" s="280" t="s">
        <v>155</v>
      </c>
      <c r="D1293" s="230" t="s">
        <v>28</v>
      </c>
      <c r="E1293" s="247">
        <v>1</v>
      </c>
      <c r="F1293" s="232">
        <v>0</v>
      </c>
      <c r="G1293" s="232">
        <v>0</v>
      </c>
      <c r="H1293" s="282"/>
      <c r="I1293" s="283"/>
      <c r="J1293" s="50"/>
      <c r="K1293" s="15"/>
    </row>
    <row r="1294" spans="1:12" s="16" customFormat="1" ht="25.5" outlineLevel="3">
      <c r="A1294" s="14"/>
      <c r="B1294" s="51"/>
      <c r="C1294" s="281" t="s">
        <v>573</v>
      </c>
      <c r="D1294" s="230" t="s">
        <v>28</v>
      </c>
      <c r="E1294" s="247">
        <v>3</v>
      </c>
      <c r="F1294" s="232">
        <v>0</v>
      </c>
      <c r="G1294" s="232">
        <v>0</v>
      </c>
      <c r="H1294" s="282"/>
      <c r="I1294" s="283"/>
      <c r="J1294" s="50"/>
      <c r="K1294" s="15"/>
    </row>
    <row r="1295" spans="1:12" s="16" customFormat="1" ht="25.5" outlineLevel="3">
      <c r="A1295" s="14"/>
      <c r="B1295" s="51"/>
      <c r="C1295" s="281" t="s">
        <v>574</v>
      </c>
      <c r="D1295" s="230" t="s">
        <v>28</v>
      </c>
      <c r="E1295" s="247">
        <v>3</v>
      </c>
      <c r="F1295" s="232">
        <v>0</v>
      </c>
      <c r="G1295" s="232">
        <v>0</v>
      </c>
      <c r="H1295" s="282"/>
      <c r="I1295" s="283"/>
      <c r="J1295" s="50"/>
      <c r="K1295" s="15"/>
    </row>
    <row r="1296" spans="1:12" s="16" customFormat="1" ht="25.5" outlineLevel="3">
      <c r="A1296" s="14"/>
      <c r="B1296" s="51"/>
      <c r="C1296" s="241" t="s">
        <v>148</v>
      </c>
      <c r="D1296" s="230"/>
      <c r="E1296" s="247"/>
      <c r="F1296" s="232">
        <v>0</v>
      </c>
      <c r="G1296" s="232">
        <v>0</v>
      </c>
      <c r="H1296" s="282"/>
      <c r="I1296" s="283"/>
      <c r="J1296" s="50"/>
      <c r="K1296" s="15"/>
    </row>
    <row r="1297" spans="1:11" s="16" customFormat="1" ht="25.5" outlineLevel="3">
      <c r="A1297" s="14"/>
      <c r="B1297" s="51"/>
      <c r="C1297" s="280" t="s">
        <v>645</v>
      </c>
      <c r="D1297" s="230" t="s">
        <v>28</v>
      </c>
      <c r="E1297" s="247">
        <v>2</v>
      </c>
      <c r="F1297" s="232">
        <v>0</v>
      </c>
      <c r="G1297" s="232">
        <v>0</v>
      </c>
      <c r="H1297" s="282"/>
      <c r="I1297" s="283"/>
      <c r="J1297" s="50"/>
      <c r="K1297" s="15"/>
    </row>
    <row r="1298" spans="1:11" s="16" customFormat="1" ht="25.5" outlineLevel="3">
      <c r="A1298" s="14"/>
      <c r="B1298" s="51"/>
      <c r="C1298" s="280" t="s">
        <v>639</v>
      </c>
      <c r="D1298" s="230" t="s">
        <v>28</v>
      </c>
      <c r="E1298" s="247">
        <v>1</v>
      </c>
      <c r="F1298" s="232">
        <v>0</v>
      </c>
      <c r="G1298" s="232">
        <v>0</v>
      </c>
      <c r="H1298" s="282"/>
      <c r="I1298" s="283"/>
      <c r="J1298" s="50"/>
      <c r="K1298" s="15"/>
    </row>
    <row r="1299" spans="1:11" s="16" customFormat="1" ht="25.5" outlineLevel="3">
      <c r="A1299" s="14"/>
      <c r="B1299" s="51"/>
      <c r="C1299" s="291" t="s">
        <v>646</v>
      </c>
      <c r="D1299" s="230"/>
      <c r="E1299" s="247"/>
      <c r="F1299" s="232">
        <v>0</v>
      </c>
      <c r="G1299" s="232">
        <v>0</v>
      </c>
      <c r="H1299" s="282"/>
      <c r="I1299" s="283"/>
      <c r="J1299" s="50"/>
      <c r="K1299" s="15"/>
    </row>
    <row r="1300" spans="1:11" s="16" customFormat="1" ht="25.5" outlineLevel="3">
      <c r="A1300" s="14"/>
      <c r="B1300" s="51"/>
      <c r="C1300" s="280" t="s">
        <v>647</v>
      </c>
      <c r="D1300" s="230" t="s">
        <v>28</v>
      </c>
      <c r="E1300" s="247">
        <v>4</v>
      </c>
      <c r="F1300" s="232">
        <v>0</v>
      </c>
      <c r="G1300" s="232">
        <v>0</v>
      </c>
      <c r="H1300" s="282"/>
      <c r="I1300" s="283"/>
      <c r="J1300" s="50"/>
      <c r="K1300" s="15"/>
    </row>
    <row r="1301" spans="1:11" s="16" customFormat="1" ht="25.5" outlineLevel="3">
      <c r="A1301" s="14"/>
      <c r="B1301" s="51"/>
      <c r="C1301" s="280" t="s">
        <v>648</v>
      </c>
      <c r="D1301" s="230" t="s">
        <v>28</v>
      </c>
      <c r="E1301" s="247">
        <v>4</v>
      </c>
      <c r="F1301" s="232">
        <v>0</v>
      </c>
      <c r="G1301" s="232">
        <v>0</v>
      </c>
      <c r="H1301" s="282"/>
      <c r="I1301" s="283"/>
      <c r="J1301" s="50"/>
      <c r="K1301" s="15"/>
    </row>
    <row r="1302" spans="1:11" s="16" customFormat="1" ht="25.5" outlineLevel="3">
      <c r="A1302" s="14"/>
      <c r="B1302" s="51"/>
      <c r="C1302" s="280" t="s">
        <v>643</v>
      </c>
      <c r="D1302" s="230" t="s">
        <v>38</v>
      </c>
      <c r="E1302" s="247">
        <v>1</v>
      </c>
      <c r="F1302" s="232">
        <v>0</v>
      </c>
      <c r="G1302" s="232">
        <v>0</v>
      </c>
      <c r="H1302" s="282"/>
      <c r="I1302" s="283"/>
      <c r="J1302" s="50"/>
      <c r="K1302" s="15"/>
    </row>
    <row r="1303" spans="1:11" s="16" customFormat="1" ht="25.5" outlineLevel="3">
      <c r="A1303" s="14"/>
      <c r="B1303" s="51"/>
      <c r="C1303" s="229" t="s">
        <v>139</v>
      </c>
      <c r="D1303" s="230" t="s">
        <v>38</v>
      </c>
      <c r="E1303" s="247">
        <v>1</v>
      </c>
      <c r="F1303" s="232">
        <v>0</v>
      </c>
      <c r="G1303" s="232">
        <v>0</v>
      </c>
      <c r="H1303" s="282"/>
      <c r="I1303" s="283"/>
      <c r="J1303" s="50"/>
      <c r="K1303" s="15"/>
    </row>
    <row r="1304" spans="1:11" s="16" customFormat="1" ht="25.5" outlineLevel="3">
      <c r="A1304" s="14"/>
      <c r="B1304" s="51">
        <f>MAX($B$9:B1303)+1</f>
        <v>429</v>
      </c>
      <c r="C1304" s="281" t="s">
        <v>579</v>
      </c>
      <c r="D1304" s="230" t="s">
        <v>38</v>
      </c>
      <c r="E1304" s="247">
        <v>1</v>
      </c>
      <c r="F1304" s="232">
        <v>17418375</v>
      </c>
      <c r="G1304" s="232">
        <v>3334800</v>
      </c>
      <c r="H1304" s="138">
        <f>G1304+F1304</f>
        <v>20753175</v>
      </c>
      <c r="I1304" s="138">
        <f>H1304*E1304</f>
        <v>20753175</v>
      </c>
      <c r="J1304" s="50"/>
      <c r="K1304" s="15"/>
    </row>
    <row r="1305" spans="1:11" s="16" customFormat="1" ht="25.5" outlineLevel="3">
      <c r="A1305" s="14"/>
      <c r="B1305" s="51">
        <f>MAX($B$9:B1304)+1</f>
        <v>430</v>
      </c>
      <c r="C1305" s="256" t="s">
        <v>680</v>
      </c>
      <c r="D1305" s="230" t="s">
        <v>38</v>
      </c>
      <c r="E1305" s="247">
        <v>1</v>
      </c>
      <c r="F1305" s="232">
        <v>11612250</v>
      </c>
      <c r="G1305" s="232">
        <v>1667400</v>
      </c>
      <c r="H1305" s="138">
        <f>G1305+F1305</f>
        <v>13279650</v>
      </c>
      <c r="I1305" s="138">
        <f>H1305*E1305</f>
        <v>13279650</v>
      </c>
      <c r="J1305" s="50"/>
      <c r="K1305" s="15"/>
    </row>
    <row r="1306" spans="1:11" s="33" customFormat="1" ht="26.25" outlineLevel="3">
      <c r="A1306" s="14"/>
      <c r="B1306" s="51"/>
      <c r="C1306" s="277" t="s">
        <v>596</v>
      </c>
      <c r="D1306" s="278"/>
      <c r="E1306" s="213"/>
      <c r="F1306" s="232">
        <v>0</v>
      </c>
      <c r="G1306" s="232">
        <v>0</v>
      </c>
      <c r="H1306" s="282"/>
      <c r="I1306" s="283"/>
      <c r="J1306" s="50"/>
      <c r="K1306" s="32"/>
    </row>
    <row r="1307" spans="1:11" s="16" customFormat="1" ht="25.5" outlineLevel="3">
      <c r="A1307" s="14"/>
      <c r="B1307" s="51">
        <f>MAX($B$9:B1306)+1</f>
        <v>431</v>
      </c>
      <c r="C1307" s="274" t="s">
        <v>582</v>
      </c>
      <c r="D1307" s="230" t="s">
        <v>28</v>
      </c>
      <c r="E1307" s="247">
        <v>2</v>
      </c>
      <c r="F1307" s="232">
        <v>2403736</v>
      </c>
      <c r="G1307" s="232">
        <v>416850</v>
      </c>
      <c r="H1307" s="138">
        <f t="shared" ref="H1307:H1317" si="137">G1307+F1307</f>
        <v>2820586</v>
      </c>
      <c r="I1307" s="138">
        <f t="shared" ref="I1307:I1317" si="138">H1307*E1307</f>
        <v>5641172</v>
      </c>
      <c r="J1307" s="50"/>
      <c r="K1307" s="15"/>
    </row>
    <row r="1308" spans="1:11" s="16" customFormat="1" ht="25.5" outlineLevel="3">
      <c r="A1308" s="14"/>
      <c r="B1308" s="51">
        <f>MAX($B$9:B1307)+1</f>
        <v>432</v>
      </c>
      <c r="C1308" s="281" t="s">
        <v>581</v>
      </c>
      <c r="D1308" s="230" t="s">
        <v>28</v>
      </c>
      <c r="E1308" s="247">
        <v>2</v>
      </c>
      <c r="F1308" s="232">
        <v>2140138</v>
      </c>
      <c r="G1308" s="232">
        <v>364744</v>
      </c>
      <c r="H1308" s="138">
        <f t="shared" si="137"/>
        <v>2504882</v>
      </c>
      <c r="I1308" s="138">
        <f t="shared" si="138"/>
        <v>5009764</v>
      </c>
      <c r="J1308" s="50"/>
      <c r="K1308" s="15"/>
    </row>
    <row r="1309" spans="1:11" s="16" customFormat="1" ht="25.5" outlineLevel="3">
      <c r="A1309" s="14"/>
      <c r="B1309" s="51">
        <f>MAX($B$9:B1308)+1</f>
        <v>433</v>
      </c>
      <c r="C1309" s="280" t="s">
        <v>654</v>
      </c>
      <c r="D1309" s="230" t="s">
        <v>28</v>
      </c>
      <c r="E1309" s="247">
        <v>3</v>
      </c>
      <c r="F1309" s="232">
        <v>2848485</v>
      </c>
      <c r="G1309" s="232">
        <v>416850</v>
      </c>
      <c r="H1309" s="138">
        <f t="shared" si="137"/>
        <v>3265335</v>
      </c>
      <c r="I1309" s="138">
        <f t="shared" si="138"/>
        <v>9796005</v>
      </c>
      <c r="J1309" s="50"/>
      <c r="K1309" s="15"/>
    </row>
    <row r="1310" spans="1:11" s="16" customFormat="1" ht="25.5" outlineLevel="3">
      <c r="A1310" s="14"/>
      <c r="B1310" s="51">
        <f>MAX($B$9:B1309)+1</f>
        <v>434</v>
      </c>
      <c r="C1310" s="280" t="s">
        <v>584</v>
      </c>
      <c r="D1310" s="230" t="s">
        <v>28</v>
      </c>
      <c r="E1310" s="247">
        <v>3</v>
      </c>
      <c r="F1310" s="232">
        <v>2284130</v>
      </c>
      <c r="G1310" s="232">
        <v>364744</v>
      </c>
      <c r="H1310" s="138">
        <f t="shared" si="137"/>
        <v>2648874</v>
      </c>
      <c r="I1310" s="138">
        <f t="shared" si="138"/>
        <v>7946622</v>
      </c>
      <c r="J1310" s="50"/>
      <c r="K1310" s="15"/>
    </row>
    <row r="1311" spans="1:11" s="16" customFormat="1" ht="25.5" outlineLevel="3">
      <c r="A1311" s="14"/>
      <c r="B1311" s="51">
        <f>MAX($B$9:B1310)+1</f>
        <v>435</v>
      </c>
      <c r="C1311" s="280" t="s">
        <v>657</v>
      </c>
      <c r="D1311" s="230" t="s">
        <v>28</v>
      </c>
      <c r="E1311" s="247">
        <v>2</v>
      </c>
      <c r="F1311" s="232">
        <v>1153096</v>
      </c>
      <c r="G1311" s="232">
        <v>416850</v>
      </c>
      <c r="H1311" s="138">
        <f t="shared" si="137"/>
        <v>1569946</v>
      </c>
      <c r="I1311" s="138">
        <f t="shared" si="138"/>
        <v>3139892</v>
      </c>
      <c r="J1311" s="50"/>
      <c r="K1311" s="15"/>
    </row>
    <row r="1312" spans="1:11" s="16" customFormat="1" ht="25.5" outlineLevel="3">
      <c r="A1312" s="14"/>
      <c r="B1312" s="51">
        <f>MAX($B$9:B1311)+1</f>
        <v>436</v>
      </c>
      <c r="C1312" s="280" t="s">
        <v>658</v>
      </c>
      <c r="D1312" s="230" t="s">
        <v>28</v>
      </c>
      <c r="E1312" s="247">
        <v>2</v>
      </c>
      <c r="F1312" s="232">
        <v>948721</v>
      </c>
      <c r="G1312" s="232">
        <v>364744</v>
      </c>
      <c r="H1312" s="138">
        <f t="shared" si="137"/>
        <v>1313465</v>
      </c>
      <c r="I1312" s="138">
        <f t="shared" si="138"/>
        <v>2626930</v>
      </c>
      <c r="J1312" s="50"/>
      <c r="K1312" s="15"/>
    </row>
    <row r="1313" spans="1:12" s="16" customFormat="1" ht="25.5" outlineLevel="3">
      <c r="A1313" s="14"/>
      <c r="B1313" s="51">
        <f>MAX($B$9:B1312)+1</f>
        <v>437</v>
      </c>
      <c r="C1313" s="280" t="s">
        <v>681</v>
      </c>
      <c r="D1313" s="230" t="s">
        <v>28</v>
      </c>
      <c r="E1313" s="247">
        <v>6</v>
      </c>
      <c r="F1313" s="232">
        <v>150959</v>
      </c>
      <c r="G1313" s="232">
        <v>125055</v>
      </c>
      <c r="H1313" s="138">
        <f t="shared" si="137"/>
        <v>276014</v>
      </c>
      <c r="I1313" s="138">
        <f t="shared" si="138"/>
        <v>1656084</v>
      </c>
      <c r="J1313" s="50"/>
      <c r="K1313" s="15"/>
    </row>
    <row r="1314" spans="1:12" s="16" customFormat="1" ht="25.5" outlineLevel="3">
      <c r="A1314" s="14"/>
      <c r="B1314" s="51">
        <f>MAX($B$9:B1313)+1</f>
        <v>438</v>
      </c>
      <c r="C1314" s="280" t="s">
        <v>682</v>
      </c>
      <c r="D1314" s="230" t="s">
        <v>28</v>
      </c>
      <c r="E1314" s="247">
        <v>2</v>
      </c>
      <c r="F1314" s="232">
        <v>150959</v>
      </c>
      <c r="G1314" s="232">
        <v>125055</v>
      </c>
      <c r="H1314" s="138">
        <f t="shared" si="137"/>
        <v>276014</v>
      </c>
      <c r="I1314" s="138">
        <f t="shared" si="138"/>
        <v>552028</v>
      </c>
      <c r="J1314" s="50"/>
      <c r="K1314" s="15"/>
    </row>
    <row r="1315" spans="1:12" s="16" customFormat="1" ht="25.5" outlineLevel="3">
      <c r="A1315" s="14"/>
      <c r="B1315" s="51">
        <f>MAX($B$9:B1314)+1</f>
        <v>439</v>
      </c>
      <c r="C1315" s="280" t="s">
        <v>683</v>
      </c>
      <c r="D1315" s="230" t="s">
        <v>28</v>
      </c>
      <c r="E1315" s="247">
        <v>12</v>
      </c>
      <c r="F1315" s="232">
        <v>232245</v>
      </c>
      <c r="G1315" s="232">
        <v>156319</v>
      </c>
      <c r="H1315" s="138">
        <f t="shared" si="137"/>
        <v>388564</v>
      </c>
      <c r="I1315" s="138">
        <f t="shared" si="138"/>
        <v>4662768</v>
      </c>
      <c r="J1315" s="50"/>
      <c r="K1315" s="15"/>
    </row>
    <row r="1316" spans="1:12" s="16" customFormat="1" ht="25.5" outlineLevel="3">
      <c r="A1316" s="14"/>
      <c r="B1316" s="51">
        <f>MAX($B$9:B1315)+1</f>
        <v>440</v>
      </c>
      <c r="C1316" s="280" t="s">
        <v>684</v>
      </c>
      <c r="D1316" s="230" t="s">
        <v>28</v>
      </c>
      <c r="E1316" s="247">
        <v>13</v>
      </c>
      <c r="F1316" s="232">
        <v>232245</v>
      </c>
      <c r="G1316" s="232">
        <v>156319</v>
      </c>
      <c r="H1316" s="138">
        <f t="shared" si="137"/>
        <v>388564</v>
      </c>
      <c r="I1316" s="138">
        <f t="shared" si="138"/>
        <v>5051332</v>
      </c>
      <c r="J1316" s="50"/>
      <c r="K1316" s="15"/>
    </row>
    <row r="1317" spans="1:12" s="16" customFormat="1" ht="25.5" outlineLevel="3">
      <c r="A1317" s="14"/>
      <c r="B1317" s="51">
        <f>MAX($B$9:B1316)+1</f>
        <v>441</v>
      </c>
      <c r="C1317" s="256" t="s">
        <v>680</v>
      </c>
      <c r="D1317" s="230" t="s">
        <v>38</v>
      </c>
      <c r="E1317" s="247">
        <v>1</v>
      </c>
      <c r="F1317" s="232">
        <v>11612250</v>
      </c>
      <c r="G1317" s="232">
        <v>4168500</v>
      </c>
      <c r="H1317" s="138">
        <f t="shared" si="137"/>
        <v>15780750</v>
      </c>
      <c r="I1317" s="138">
        <f t="shared" si="138"/>
        <v>15780750</v>
      </c>
      <c r="J1317" s="50"/>
      <c r="K1317" s="15"/>
    </row>
    <row r="1318" spans="1:12" s="33" customFormat="1" ht="26.25" outlineLevel="3">
      <c r="A1318" s="14"/>
      <c r="B1318" s="51"/>
      <c r="C1318" s="277" t="s">
        <v>685</v>
      </c>
      <c r="D1318" s="278"/>
      <c r="E1318" s="213"/>
      <c r="F1318" s="232">
        <v>0</v>
      </c>
      <c r="G1318" s="232">
        <v>0</v>
      </c>
      <c r="H1318" s="282"/>
      <c r="I1318" s="283"/>
      <c r="J1318" s="50"/>
      <c r="K1318" s="32"/>
    </row>
    <row r="1319" spans="1:12" s="16" customFormat="1" ht="25.5" outlineLevel="3">
      <c r="A1319" s="14"/>
      <c r="B1319" s="51">
        <f>MAX($B$9:B1318)+1</f>
        <v>442</v>
      </c>
      <c r="C1319" s="280" t="s">
        <v>686</v>
      </c>
      <c r="D1319" s="230" t="s">
        <v>25</v>
      </c>
      <c r="E1319" s="247">
        <v>44</v>
      </c>
      <c r="F1319" s="232">
        <v>11401</v>
      </c>
      <c r="G1319" s="232">
        <v>31264</v>
      </c>
      <c r="H1319" s="138">
        <f t="shared" ref="H1319:H1327" si="139">G1319+F1319</f>
        <v>42665</v>
      </c>
      <c r="I1319" s="138">
        <f t="shared" ref="I1319:I1327" si="140">H1319*E1319</f>
        <v>1877260</v>
      </c>
      <c r="J1319" s="50"/>
      <c r="K1319" s="15"/>
    </row>
    <row r="1320" spans="1:12" s="16" customFormat="1" ht="25.5" outlineLevel="3">
      <c r="A1320" s="14"/>
      <c r="B1320" s="51">
        <f>MAX($B$9:B1319)+1</f>
        <v>443</v>
      </c>
      <c r="C1320" s="280" t="s">
        <v>663</v>
      </c>
      <c r="D1320" s="230" t="s">
        <v>25</v>
      </c>
      <c r="E1320" s="247">
        <f>760-4</f>
        <v>756</v>
      </c>
      <c r="F1320" s="232">
        <v>32075</v>
      </c>
      <c r="G1320" s="232">
        <v>36474</v>
      </c>
      <c r="H1320" s="138">
        <f t="shared" si="139"/>
        <v>68549</v>
      </c>
      <c r="I1320" s="138">
        <f t="shared" si="140"/>
        <v>51823044</v>
      </c>
      <c r="J1320" s="50"/>
      <c r="K1320" s="15"/>
    </row>
    <row r="1321" spans="1:12" s="16" customFormat="1" ht="25.5" outlineLevel="3">
      <c r="A1321" s="14"/>
      <c r="B1321" s="51">
        <f>MAX($B$9:B1320)+1</f>
        <v>444</v>
      </c>
      <c r="C1321" s="280" t="s">
        <v>687</v>
      </c>
      <c r="D1321" s="230" t="s">
        <v>25</v>
      </c>
      <c r="E1321" s="247">
        <f>176-8</f>
        <v>168</v>
      </c>
      <c r="F1321" s="232">
        <v>40739</v>
      </c>
      <c r="G1321" s="232">
        <v>41685</v>
      </c>
      <c r="H1321" s="138">
        <f t="shared" si="139"/>
        <v>82424</v>
      </c>
      <c r="I1321" s="138">
        <f t="shared" si="140"/>
        <v>13847232</v>
      </c>
      <c r="J1321" s="50"/>
      <c r="K1321" s="15"/>
    </row>
    <row r="1322" spans="1:12" s="16" customFormat="1" ht="25.5" outlineLevel="3">
      <c r="A1322" s="14" t="s">
        <v>154</v>
      </c>
      <c r="B1322" s="51">
        <f>MAX($B$9:B1321)+1</f>
        <v>445</v>
      </c>
      <c r="C1322" s="280" t="s">
        <v>664</v>
      </c>
      <c r="D1322" s="230" t="s">
        <v>25</v>
      </c>
      <c r="E1322" s="247">
        <f>436-40+18</f>
        <v>414</v>
      </c>
      <c r="F1322" s="232">
        <v>58297</v>
      </c>
      <c r="G1322" s="232">
        <v>46896</v>
      </c>
      <c r="H1322" s="138">
        <f t="shared" si="139"/>
        <v>105193</v>
      </c>
      <c r="I1322" s="138">
        <f t="shared" si="140"/>
        <v>43549902</v>
      </c>
      <c r="J1322" s="50"/>
      <c r="K1322" s="15" t="s">
        <v>156</v>
      </c>
      <c r="L1322" s="16" t="s">
        <v>157</v>
      </c>
    </row>
    <row r="1323" spans="1:12" s="16" customFormat="1" ht="25.5" outlineLevel="3">
      <c r="A1323" s="14"/>
      <c r="B1323" s="51">
        <f>MAX($B$9:B1322)+1</f>
        <v>446</v>
      </c>
      <c r="C1323" s="280" t="s">
        <v>688</v>
      </c>
      <c r="D1323" s="230" t="s">
        <v>25</v>
      </c>
      <c r="E1323" s="247">
        <v>232</v>
      </c>
      <c r="F1323" s="232">
        <v>75019</v>
      </c>
      <c r="G1323" s="232">
        <v>62528</v>
      </c>
      <c r="H1323" s="138">
        <f t="shared" si="139"/>
        <v>137547</v>
      </c>
      <c r="I1323" s="138">
        <f t="shared" si="140"/>
        <v>31910904</v>
      </c>
      <c r="J1323" s="50"/>
      <c r="K1323" s="15"/>
    </row>
    <row r="1324" spans="1:12" s="16" customFormat="1" ht="25.5" outlineLevel="3">
      <c r="A1324" s="14"/>
      <c r="B1324" s="51">
        <f>MAX($B$9:B1323)+1</f>
        <v>447</v>
      </c>
      <c r="C1324" s="280" t="s">
        <v>689</v>
      </c>
      <c r="D1324" s="230" t="s">
        <v>25</v>
      </c>
      <c r="E1324" s="247">
        <v>20</v>
      </c>
      <c r="F1324" s="232">
        <v>153232</v>
      </c>
      <c r="G1324" s="232">
        <v>125055</v>
      </c>
      <c r="H1324" s="138">
        <f t="shared" si="139"/>
        <v>278287</v>
      </c>
      <c r="I1324" s="138">
        <f t="shared" si="140"/>
        <v>5565740</v>
      </c>
      <c r="J1324" s="50"/>
      <c r="K1324" s="15"/>
    </row>
    <row r="1325" spans="1:12" s="16" customFormat="1" ht="25.5" outlineLevel="3">
      <c r="A1325" s="14"/>
      <c r="B1325" s="51">
        <f>MAX($B$9:B1324)+1</f>
        <v>448</v>
      </c>
      <c r="C1325" s="280" t="s">
        <v>690</v>
      </c>
      <c r="D1325" s="230" t="s">
        <v>25</v>
      </c>
      <c r="E1325" s="247">
        <v>4</v>
      </c>
      <c r="F1325" s="232">
        <v>74390</v>
      </c>
      <c r="G1325" s="232">
        <v>65172</v>
      </c>
      <c r="H1325" s="138">
        <f t="shared" si="139"/>
        <v>139562</v>
      </c>
      <c r="I1325" s="138">
        <f t="shared" si="140"/>
        <v>558248</v>
      </c>
      <c r="J1325" s="50"/>
      <c r="K1325" s="15"/>
    </row>
    <row r="1326" spans="1:12" s="16" customFormat="1" ht="25.5" outlineLevel="3">
      <c r="A1326" s="14"/>
      <c r="B1326" s="51">
        <f>MAX($B$9:B1325)+1</f>
        <v>449</v>
      </c>
      <c r="C1326" s="280" t="s">
        <v>691</v>
      </c>
      <c r="D1326" s="230" t="s">
        <v>25</v>
      </c>
      <c r="E1326" s="247">
        <v>8</v>
      </c>
      <c r="F1326" s="232">
        <v>112681</v>
      </c>
      <c r="G1326" s="232">
        <v>65172</v>
      </c>
      <c r="H1326" s="138">
        <f t="shared" si="139"/>
        <v>177853</v>
      </c>
      <c r="I1326" s="138">
        <f t="shared" si="140"/>
        <v>1422824</v>
      </c>
      <c r="J1326" s="50"/>
      <c r="K1326" s="15"/>
    </row>
    <row r="1327" spans="1:12" s="16" customFormat="1" ht="25.5" outlineLevel="3">
      <c r="A1327" s="14"/>
      <c r="B1327" s="51">
        <f>MAX($B$9:B1326)+1</f>
        <v>450</v>
      </c>
      <c r="C1327" s="280" t="s">
        <v>692</v>
      </c>
      <c r="D1327" s="230" t="s">
        <v>25</v>
      </c>
      <c r="E1327" s="247">
        <v>40</v>
      </c>
      <c r="F1327" s="232">
        <v>120898</v>
      </c>
      <c r="G1327" s="232">
        <v>89771</v>
      </c>
      <c r="H1327" s="138">
        <f t="shared" si="139"/>
        <v>210669</v>
      </c>
      <c r="I1327" s="138">
        <f t="shared" si="140"/>
        <v>8426760</v>
      </c>
      <c r="J1327" s="50"/>
      <c r="K1327" s="15"/>
    </row>
    <row r="1328" spans="1:12" s="33" customFormat="1" ht="26.25" outlineLevel="3">
      <c r="A1328" s="14"/>
      <c r="B1328" s="51"/>
      <c r="C1328" s="277" t="s">
        <v>693</v>
      </c>
      <c r="D1328" s="278"/>
      <c r="E1328" s="213"/>
      <c r="F1328" s="232">
        <v>0</v>
      </c>
      <c r="G1328" s="232">
        <v>0</v>
      </c>
      <c r="H1328" s="282"/>
      <c r="I1328" s="283"/>
      <c r="J1328" s="50"/>
      <c r="K1328" s="32"/>
    </row>
    <row r="1329" spans="1:15" s="16" customFormat="1" ht="25.5" outlineLevel="3">
      <c r="A1329" s="14"/>
      <c r="B1329" s="51">
        <f>MAX($B$9:B1328)+1</f>
        <v>451</v>
      </c>
      <c r="C1329" s="280" t="s">
        <v>694</v>
      </c>
      <c r="D1329" s="230" t="s">
        <v>25</v>
      </c>
      <c r="E1329" s="247">
        <v>96</v>
      </c>
      <c r="F1329" s="232">
        <v>45148</v>
      </c>
      <c r="G1329" s="232">
        <v>36474</v>
      </c>
      <c r="H1329" s="138">
        <f t="shared" ref="H1329:H1339" si="141">G1329+F1329</f>
        <v>81622</v>
      </c>
      <c r="I1329" s="138">
        <f t="shared" ref="I1329:I1339" si="142">H1329*E1329</f>
        <v>7835712</v>
      </c>
      <c r="J1329" s="50"/>
      <c r="K1329" s="15"/>
    </row>
    <row r="1330" spans="1:15" s="16" customFormat="1" ht="25.5" outlineLevel="3">
      <c r="A1330" s="14"/>
      <c r="B1330" s="51">
        <f>MAX($B$9:B1329)+1</f>
        <v>452</v>
      </c>
      <c r="C1330" s="280" t="s">
        <v>695</v>
      </c>
      <c r="D1330" s="230" t="s">
        <v>25</v>
      </c>
      <c r="E1330" s="247">
        <v>28</v>
      </c>
      <c r="F1330" s="232">
        <v>94782</v>
      </c>
      <c r="G1330" s="232">
        <v>46896</v>
      </c>
      <c r="H1330" s="138">
        <f t="shared" si="141"/>
        <v>141678</v>
      </c>
      <c r="I1330" s="138">
        <f t="shared" si="142"/>
        <v>3966984</v>
      </c>
      <c r="J1330" s="50"/>
      <c r="K1330" s="15"/>
    </row>
    <row r="1331" spans="1:15" s="16" customFormat="1" ht="25.5" outlineLevel="3">
      <c r="A1331" s="14"/>
      <c r="B1331" s="51">
        <f>MAX($B$9:B1330)+1</f>
        <v>453</v>
      </c>
      <c r="C1331" s="280" t="s">
        <v>696</v>
      </c>
      <c r="D1331" s="230" t="s">
        <v>25</v>
      </c>
      <c r="E1331" s="247">
        <v>36</v>
      </c>
      <c r="F1331" s="232">
        <v>119560</v>
      </c>
      <c r="G1331" s="232">
        <v>62528</v>
      </c>
      <c r="H1331" s="138">
        <f t="shared" si="141"/>
        <v>182088</v>
      </c>
      <c r="I1331" s="138">
        <f t="shared" si="142"/>
        <v>6555168</v>
      </c>
      <c r="J1331" s="50"/>
      <c r="K1331" s="15"/>
    </row>
    <row r="1332" spans="1:15" s="16" customFormat="1" ht="25.5" outlineLevel="3">
      <c r="A1332" s="14"/>
      <c r="B1332" s="51">
        <f>MAX($B$9:B1331)+1</f>
        <v>454</v>
      </c>
      <c r="C1332" s="280" t="s">
        <v>697</v>
      </c>
      <c r="D1332" s="230" t="s">
        <v>38</v>
      </c>
      <c r="E1332" s="247">
        <v>1</v>
      </c>
      <c r="F1332" s="232">
        <v>36151017</v>
      </c>
      <c r="G1332" s="232">
        <v>12977288</v>
      </c>
      <c r="H1332" s="138">
        <f t="shared" si="141"/>
        <v>49128305</v>
      </c>
      <c r="I1332" s="138">
        <f t="shared" si="142"/>
        <v>49128305</v>
      </c>
      <c r="J1332" s="50"/>
      <c r="K1332" s="15"/>
    </row>
    <row r="1333" spans="1:15" s="16" customFormat="1" ht="25.5" outlineLevel="3">
      <c r="A1333" s="14"/>
      <c r="B1333" s="51">
        <f>MAX($B$9:B1332)+1</f>
        <v>455</v>
      </c>
      <c r="C1333" s="280" t="s">
        <v>669</v>
      </c>
      <c r="D1333" s="230" t="s">
        <v>25</v>
      </c>
      <c r="E1333" s="247">
        <v>18</v>
      </c>
      <c r="F1333" s="232">
        <v>53111</v>
      </c>
      <c r="G1333" s="232">
        <v>62528</v>
      </c>
      <c r="H1333" s="138">
        <f t="shared" si="141"/>
        <v>115639</v>
      </c>
      <c r="I1333" s="138">
        <f t="shared" si="142"/>
        <v>2081502</v>
      </c>
      <c r="J1333" s="50"/>
      <c r="K1333" s="15"/>
    </row>
    <row r="1334" spans="1:15" s="16" customFormat="1" ht="25.5" outlineLevel="3">
      <c r="A1334" s="14"/>
      <c r="B1334" s="51">
        <f>MAX($B$9:B1333)+1</f>
        <v>456</v>
      </c>
      <c r="C1334" s="280" t="s">
        <v>670</v>
      </c>
      <c r="D1334" s="230" t="s">
        <v>25</v>
      </c>
      <c r="E1334" s="247">
        <v>96</v>
      </c>
      <c r="F1334" s="232">
        <v>76921</v>
      </c>
      <c r="G1334" s="232">
        <v>78159</v>
      </c>
      <c r="H1334" s="138">
        <f t="shared" si="141"/>
        <v>155080</v>
      </c>
      <c r="I1334" s="138">
        <f t="shared" si="142"/>
        <v>14887680</v>
      </c>
      <c r="J1334" s="50"/>
      <c r="K1334" s="15"/>
    </row>
    <row r="1335" spans="1:15" s="16" customFormat="1" ht="25.5" outlineLevel="3">
      <c r="A1335" s="14"/>
      <c r="B1335" s="51">
        <f>MAX($B$9:B1334)+1</f>
        <v>457</v>
      </c>
      <c r="C1335" s="280" t="s">
        <v>609</v>
      </c>
      <c r="D1335" s="230" t="s">
        <v>38</v>
      </c>
      <c r="E1335" s="247">
        <v>1</v>
      </c>
      <c r="F1335" s="232">
        <v>3753173</v>
      </c>
      <c r="G1335" s="232">
        <v>1347293</v>
      </c>
      <c r="H1335" s="138">
        <f t="shared" si="141"/>
        <v>5100466</v>
      </c>
      <c r="I1335" s="138">
        <f t="shared" si="142"/>
        <v>5100466</v>
      </c>
      <c r="J1335" s="50"/>
      <c r="K1335" s="15"/>
    </row>
    <row r="1336" spans="1:15" s="16" customFormat="1" ht="25.5" outlineLevel="3">
      <c r="A1336" s="14"/>
      <c r="B1336" s="51">
        <f>MAX($B$9:B1335)+1</f>
        <v>458</v>
      </c>
      <c r="C1336" s="280" t="s">
        <v>698</v>
      </c>
      <c r="D1336" s="230" t="s">
        <v>38</v>
      </c>
      <c r="E1336" s="247">
        <v>1</v>
      </c>
      <c r="F1336" s="232">
        <v>17418375</v>
      </c>
      <c r="G1336" s="232">
        <v>6252750</v>
      </c>
      <c r="H1336" s="138">
        <f t="shared" si="141"/>
        <v>23671125</v>
      </c>
      <c r="I1336" s="138">
        <f t="shared" si="142"/>
        <v>23671125</v>
      </c>
      <c r="J1336" s="50"/>
      <c r="K1336" s="15"/>
    </row>
    <row r="1337" spans="1:15" s="16" customFormat="1" ht="25.5" outlineLevel="3">
      <c r="A1337" s="14"/>
      <c r="B1337" s="51">
        <f>MAX($B$9:B1336)+1</f>
        <v>459</v>
      </c>
      <c r="C1337" s="280" t="s">
        <v>674</v>
      </c>
      <c r="D1337" s="230" t="s">
        <v>38</v>
      </c>
      <c r="E1337" s="247">
        <v>1</v>
      </c>
      <c r="F1337" s="232">
        <v>0</v>
      </c>
      <c r="G1337" s="232">
        <v>25792594</v>
      </c>
      <c r="H1337" s="138">
        <f t="shared" si="141"/>
        <v>25792594</v>
      </c>
      <c r="I1337" s="138">
        <f t="shared" si="142"/>
        <v>25792594</v>
      </c>
      <c r="J1337" s="50"/>
      <c r="K1337" s="15"/>
    </row>
    <row r="1338" spans="1:15" s="16" customFormat="1" ht="25.5" outlineLevel="3">
      <c r="A1338" s="14"/>
      <c r="B1338" s="51">
        <f>MAX($B$9:B1337)+1</f>
        <v>460</v>
      </c>
      <c r="C1338" s="280" t="s">
        <v>619</v>
      </c>
      <c r="D1338" s="230" t="s">
        <v>38</v>
      </c>
      <c r="E1338" s="247">
        <v>1</v>
      </c>
      <c r="F1338" s="232">
        <v>15391046</v>
      </c>
      <c r="G1338" s="232">
        <v>5524991</v>
      </c>
      <c r="H1338" s="138">
        <f t="shared" si="141"/>
        <v>20916037</v>
      </c>
      <c r="I1338" s="138">
        <f t="shared" si="142"/>
        <v>20916037</v>
      </c>
      <c r="J1338" s="50"/>
      <c r="K1338" s="15"/>
    </row>
    <row r="1339" spans="1:15" s="16" customFormat="1" ht="25.5" outlineLevel="3">
      <c r="A1339" s="14"/>
      <c r="B1339" s="51">
        <f>MAX($B$9:B1338)+1</f>
        <v>461</v>
      </c>
      <c r="C1339" s="256" t="s">
        <v>699</v>
      </c>
      <c r="D1339" s="230" t="s">
        <v>38</v>
      </c>
      <c r="E1339" s="247">
        <v>1</v>
      </c>
      <c r="F1339" s="232">
        <v>5806125</v>
      </c>
      <c r="G1339" s="232">
        <v>2084250</v>
      </c>
      <c r="H1339" s="138">
        <f t="shared" si="141"/>
        <v>7890375</v>
      </c>
      <c r="I1339" s="138">
        <f t="shared" si="142"/>
        <v>7890375</v>
      </c>
      <c r="J1339" s="50"/>
      <c r="K1339" s="15"/>
    </row>
    <row r="1340" spans="1:15" s="33" customFormat="1" ht="27" outlineLevel="3">
      <c r="A1340" s="34"/>
      <c r="B1340" s="55" t="s">
        <v>321</v>
      </c>
      <c r="C1340" s="277" t="s">
        <v>700</v>
      </c>
      <c r="D1340" s="285"/>
      <c r="E1340" s="286"/>
      <c r="F1340" s="232">
        <v>0</v>
      </c>
      <c r="G1340" s="232">
        <v>0</v>
      </c>
      <c r="H1340" s="287"/>
      <c r="I1340" s="180">
        <f>SUBTOTAL(9,I1341:I1341)</f>
        <v>59550000</v>
      </c>
      <c r="J1340" s="56"/>
      <c r="K1340" s="32"/>
    </row>
    <row r="1341" spans="1:15" s="16" customFormat="1" ht="25.5" outlineLevel="3">
      <c r="A1341" s="14"/>
      <c r="B1341" s="51">
        <f>MAX($B$9:B1340)+1</f>
        <v>462</v>
      </c>
      <c r="C1341" s="280" t="s">
        <v>701</v>
      </c>
      <c r="D1341" s="230" t="s">
        <v>38</v>
      </c>
      <c r="E1341" s="247">
        <v>1</v>
      </c>
      <c r="F1341" s="232">
        <v>49625000</v>
      </c>
      <c r="G1341" s="232">
        <v>9925000</v>
      </c>
      <c r="H1341" s="138">
        <f>G1341+F1341</f>
        <v>59550000</v>
      </c>
      <c r="I1341" s="138">
        <f>H1341*E1341</f>
        <v>59550000</v>
      </c>
      <c r="J1341" s="50"/>
      <c r="K1341" s="15"/>
    </row>
    <row r="1342" spans="1:15" s="16" customFormat="1" ht="26.25" outlineLevel="2">
      <c r="A1342" s="14"/>
      <c r="B1342" s="30" t="s">
        <v>430</v>
      </c>
      <c r="C1342" s="225" t="s">
        <v>564</v>
      </c>
      <c r="D1342" s="212"/>
      <c r="E1342" s="228"/>
      <c r="F1342" s="232">
        <v>0</v>
      </c>
      <c r="G1342" s="232">
        <v>0</v>
      </c>
      <c r="H1342" s="276"/>
      <c r="I1342" s="180">
        <f>SUBTOTAL(9,I1343:I1343)</f>
        <v>37665375</v>
      </c>
      <c r="J1342" s="48"/>
      <c r="K1342" s="15"/>
      <c r="M1342" s="16" t="s">
        <v>430</v>
      </c>
      <c r="N1342" s="16" t="s">
        <v>430</v>
      </c>
    </row>
    <row r="1343" spans="1:15" s="16" customFormat="1" ht="25.5" outlineLevel="3">
      <c r="A1343" s="14"/>
      <c r="B1343" s="51">
        <f>MAX($B$9:B1342)+1</f>
        <v>463</v>
      </c>
      <c r="C1343" s="292" t="s">
        <v>702</v>
      </c>
      <c r="D1343" s="230" t="s">
        <v>38</v>
      </c>
      <c r="E1343" s="231">
        <v>1</v>
      </c>
      <c r="F1343" s="232">
        <v>11612250</v>
      </c>
      <c r="G1343" s="232">
        <v>26053125</v>
      </c>
      <c r="H1343" s="138">
        <f>G1343+F1343</f>
        <v>37665375</v>
      </c>
      <c r="I1343" s="138">
        <f>H1343*E1343</f>
        <v>37665375</v>
      </c>
      <c r="J1343" s="47"/>
      <c r="K1343" s="15"/>
    </row>
    <row r="1344" spans="1:15" s="16" customFormat="1" ht="26.25" outlineLevel="1">
      <c r="A1344" s="14"/>
      <c r="B1344" s="28" t="s">
        <v>703</v>
      </c>
      <c r="C1344" s="220" t="s">
        <v>704</v>
      </c>
      <c r="D1344" s="221"/>
      <c r="E1344" s="222"/>
      <c r="F1344" s="232">
        <v>0</v>
      </c>
      <c r="G1344" s="232">
        <v>0</v>
      </c>
      <c r="H1344" s="223"/>
      <c r="I1344" s="224">
        <f>SUBTOTAL(9,I1345:I2337)</f>
        <v>26649083303.726883</v>
      </c>
      <c r="J1344" s="29"/>
      <c r="K1344" s="15"/>
      <c r="M1344" s="16" t="s">
        <v>703</v>
      </c>
      <c r="O1344" s="16" t="s">
        <v>703</v>
      </c>
    </row>
    <row r="1345" spans="1:14" s="16" customFormat="1" ht="27" outlineLevel="2">
      <c r="A1345" s="14"/>
      <c r="B1345" s="57" t="s">
        <v>20</v>
      </c>
      <c r="C1345" s="293" t="s">
        <v>705</v>
      </c>
      <c r="D1345" s="294"/>
      <c r="E1345" s="247"/>
      <c r="F1345" s="232">
        <v>0</v>
      </c>
      <c r="G1345" s="232">
        <v>0</v>
      </c>
      <c r="H1345" s="295"/>
      <c r="I1345" s="180">
        <f>SUBTOTAL(9,I1346:I1469)</f>
        <v>3422878557</v>
      </c>
      <c r="J1345" s="47"/>
      <c r="K1345" s="15"/>
      <c r="M1345" s="16" t="s">
        <v>20</v>
      </c>
      <c r="N1345" s="16" t="s">
        <v>20</v>
      </c>
    </row>
    <row r="1346" spans="1:14" s="16" customFormat="1" ht="27" outlineLevel="3">
      <c r="A1346" s="14"/>
      <c r="B1346" s="58" t="s">
        <v>22</v>
      </c>
      <c r="C1346" s="296" t="s">
        <v>706</v>
      </c>
      <c r="D1346" s="294"/>
      <c r="E1346" s="247"/>
      <c r="F1346" s="232">
        <v>0</v>
      </c>
      <c r="G1346" s="232">
        <v>0</v>
      </c>
      <c r="H1346" s="295"/>
      <c r="I1346" s="180"/>
      <c r="J1346" s="47"/>
      <c r="K1346" s="15"/>
    </row>
    <row r="1347" spans="1:14" s="16" customFormat="1" ht="25.5" outlineLevel="3">
      <c r="A1347" s="14"/>
      <c r="B1347" s="35">
        <f>MAXA($B$10:B1346)+1</f>
        <v>464</v>
      </c>
      <c r="C1347" s="245" t="s">
        <v>707</v>
      </c>
      <c r="D1347" s="230" t="s">
        <v>28</v>
      </c>
      <c r="E1347" s="247">
        <v>1</v>
      </c>
      <c r="F1347" s="232">
        <v>25906214</v>
      </c>
      <c r="G1347" s="232">
        <v>1875825</v>
      </c>
      <c r="H1347" s="138">
        <f t="shared" ref="H1347:H1382" si="143">G1347+F1347</f>
        <v>27782039</v>
      </c>
      <c r="I1347" s="138">
        <f t="shared" ref="I1347:I1382" si="144">H1347*E1347</f>
        <v>27782039</v>
      </c>
      <c r="J1347" s="47"/>
      <c r="K1347" s="15"/>
    </row>
    <row r="1348" spans="1:14" s="16" customFormat="1" ht="25.5" outlineLevel="3">
      <c r="A1348" s="14"/>
      <c r="B1348" s="35">
        <f>MAXA($B$10:B1347)+1</f>
        <v>465</v>
      </c>
      <c r="C1348" s="245" t="s">
        <v>708</v>
      </c>
      <c r="D1348" s="230" t="s">
        <v>28</v>
      </c>
      <c r="E1348" s="247">
        <v>1</v>
      </c>
      <c r="F1348" s="232">
        <v>25906214</v>
      </c>
      <c r="G1348" s="232">
        <v>1875825</v>
      </c>
      <c r="H1348" s="138">
        <f t="shared" si="143"/>
        <v>27782039</v>
      </c>
      <c r="I1348" s="138">
        <f t="shared" si="144"/>
        <v>27782039</v>
      </c>
      <c r="J1348" s="47"/>
      <c r="K1348" s="15"/>
    </row>
    <row r="1349" spans="1:14" s="16" customFormat="1" ht="25.5" outlineLevel="3">
      <c r="A1349" s="14"/>
      <c r="B1349" s="35">
        <f>MAXA($B$10:B1348)+1</f>
        <v>466</v>
      </c>
      <c r="C1349" s="245" t="s">
        <v>709</v>
      </c>
      <c r="D1349" s="230" t="s">
        <v>28</v>
      </c>
      <c r="E1349" s="247">
        <v>1</v>
      </c>
      <c r="F1349" s="232">
        <v>10032859</v>
      </c>
      <c r="G1349" s="232">
        <v>750330</v>
      </c>
      <c r="H1349" s="138">
        <f t="shared" si="143"/>
        <v>10783189</v>
      </c>
      <c r="I1349" s="138">
        <f t="shared" si="144"/>
        <v>10783189</v>
      </c>
      <c r="J1349" s="47"/>
      <c r="K1349" s="15"/>
    </row>
    <row r="1350" spans="1:14" s="16" customFormat="1" ht="25.5" outlineLevel="3">
      <c r="A1350" s="14"/>
      <c r="B1350" s="35">
        <f>MAXA($B$10:B1349)+1</f>
        <v>467</v>
      </c>
      <c r="C1350" s="245" t="s">
        <v>710</v>
      </c>
      <c r="D1350" s="230" t="s">
        <v>28</v>
      </c>
      <c r="E1350" s="247">
        <v>1</v>
      </c>
      <c r="F1350" s="232">
        <v>14705655</v>
      </c>
      <c r="G1350" s="232">
        <v>1000440</v>
      </c>
      <c r="H1350" s="138">
        <f t="shared" si="143"/>
        <v>15706095</v>
      </c>
      <c r="I1350" s="138">
        <f t="shared" si="144"/>
        <v>15706095</v>
      </c>
      <c r="J1350" s="47"/>
      <c r="K1350" s="15"/>
    </row>
    <row r="1351" spans="1:14" s="16" customFormat="1" ht="25.5" outlineLevel="3">
      <c r="A1351" s="14"/>
      <c r="B1351" s="35">
        <f>MAXA($B$10:B1350)+1</f>
        <v>468</v>
      </c>
      <c r="C1351" s="245" t="s">
        <v>711</v>
      </c>
      <c r="D1351" s="230" t="s">
        <v>28</v>
      </c>
      <c r="E1351" s="247">
        <v>1</v>
      </c>
      <c r="F1351" s="232">
        <v>18612966</v>
      </c>
      <c r="G1351" s="232">
        <v>1500660</v>
      </c>
      <c r="H1351" s="138">
        <f t="shared" si="143"/>
        <v>20113626</v>
      </c>
      <c r="I1351" s="138">
        <f t="shared" si="144"/>
        <v>20113626</v>
      </c>
      <c r="J1351" s="47"/>
      <c r="K1351" s="15"/>
    </row>
    <row r="1352" spans="1:14" s="16" customFormat="1" ht="25.5" outlineLevel="3">
      <c r="A1352" s="14"/>
      <c r="B1352" s="35">
        <f>MAXA($B$10:B1351)+1</f>
        <v>469</v>
      </c>
      <c r="C1352" s="245" t="s">
        <v>712</v>
      </c>
      <c r="D1352" s="230" t="s">
        <v>28</v>
      </c>
      <c r="E1352" s="247">
        <v>1</v>
      </c>
      <c r="F1352" s="232">
        <v>10032859</v>
      </c>
      <c r="G1352" s="232">
        <v>750330</v>
      </c>
      <c r="H1352" s="138">
        <f t="shared" si="143"/>
        <v>10783189</v>
      </c>
      <c r="I1352" s="138">
        <f t="shared" si="144"/>
        <v>10783189</v>
      </c>
      <c r="J1352" s="47"/>
      <c r="K1352" s="15"/>
    </row>
    <row r="1353" spans="1:14" s="16" customFormat="1" ht="25.5" outlineLevel="3">
      <c r="A1353" s="14"/>
      <c r="B1353" s="35">
        <f>MAXA($B$10:B1352)+1</f>
        <v>470</v>
      </c>
      <c r="C1353" s="245" t="s">
        <v>713</v>
      </c>
      <c r="D1353" s="230" t="s">
        <v>28</v>
      </c>
      <c r="E1353" s="247">
        <v>1</v>
      </c>
      <c r="F1353" s="232">
        <v>10032859</v>
      </c>
      <c r="G1353" s="232">
        <v>750330</v>
      </c>
      <c r="H1353" s="138">
        <f t="shared" si="143"/>
        <v>10783189</v>
      </c>
      <c r="I1353" s="138">
        <f t="shared" si="144"/>
        <v>10783189</v>
      </c>
      <c r="J1353" s="47"/>
      <c r="K1353" s="15"/>
    </row>
    <row r="1354" spans="1:14" s="16" customFormat="1" ht="25.5" outlineLevel="3">
      <c r="A1354" s="14"/>
      <c r="B1354" s="35">
        <f>MAXA($B$10:B1353)+1</f>
        <v>471</v>
      </c>
      <c r="C1354" s="245" t="s">
        <v>714</v>
      </c>
      <c r="D1354" s="230" t="s">
        <v>28</v>
      </c>
      <c r="E1354" s="247">
        <v>1</v>
      </c>
      <c r="F1354" s="232">
        <v>9022355</v>
      </c>
      <c r="G1354" s="232">
        <v>625275</v>
      </c>
      <c r="H1354" s="138">
        <f t="shared" si="143"/>
        <v>9647630</v>
      </c>
      <c r="I1354" s="138">
        <f t="shared" si="144"/>
        <v>9647630</v>
      </c>
      <c r="J1354" s="47"/>
      <c r="K1354" s="15"/>
    </row>
    <row r="1355" spans="1:14" s="16" customFormat="1" ht="25.5" outlineLevel="3">
      <c r="A1355" s="14"/>
      <c r="B1355" s="35">
        <f>MAXA($B$10:B1354)+1</f>
        <v>472</v>
      </c>
      <c r="C1355" s="245" t="s">
        <v>715</v>
      </c>
      <c r="D1355" s="230" t="s">
        <v>28</v>
      </c>
      <c r="E1355" s="247">
        <v>1</v>
      </c>
      <c r="F1355" s="232">
        <v>10032859</v>
      </c>
      <c r="G1355" s="232">
        <v>750330</v>
      </c>
      <c r="H1355" s="138">
        <f t="shared" si="143"/>
        <v>10783189</v>
      </c>
      <c r="I1355" s="138">
        <f t="shared" si="144"/>
        <v>10783189</v>
      </c>
      <c r="J1355" s="47"/>
      <c r="K1355" s="15"/>
    </row>
    <row r="1356" spans="1:14" s="16" customFormat="1" ht="25.5" outlineLevel="3">
      <c r="A1356" s="14"/>
      <c r="B1356" s="35">
        <f>MAXA($B$10:B1355)+1</f>
        <v>473</v>
      </c>
      <c r="C1356" s="245" t="s">
        <v>716</v>
      </c>
      <c r="D1356" s="230" t="s">
        <v>28</v>
      </c>
      <c r="E1356" s="247">
        <v>1</v>
      </c>
      <c r="F1356" s="232">
        <v>14705655</v>
      </c>
      <c r="G1356" s="232">
        <v>1250550</v>
      </c>
      <c r="H1356" s="138">
        <f t="shared" si="143"/>
        <v>15956205</v>
      </c>
      <c r="I1356" s="138">
        <f t="shared" si="144"/>
        <v>15956205</v>
      </c>
      <c r="J1356" s="47"/>
      <c r="K1356" s="15"/>
    </row>
    <row r="1357" spans="1:14" s="16" customFormat="1" ht="25.5" outlineLevel="3">
      <c r="A1357" s="14"/>
      <c r="B1357" s="35">
        <f>MAXA($B$10:B1356)+1</f>
        <v>474</v>
      </c>
      <c r="C1357" s="245" t="s">
        <v>717</v>
      </c>
      <c r="D1357" s="230" t="s">
        <v>28</v>
      </c>
      <c r="E1357" s="247">
        <v>1</v>
      </c>
      <c r="F1357" s="232">
        <v>17001181</v>
      </c>
      <c r="G1357" s="232">
        <v>1500660</v>
      </c>
      <c r="H1357" s="138">
        <f t="shared" si="143"/>
        <v>18501841</v>
      </c>
      <c r="I1357" s="138">
        <f t="shared" si="144"/>
        <v>18501841</v>
      </c>
      <c r="J1357" s="47"/>
      <c r="K1357" s="15"/>
    </row>
    <row r="1358" spans="1:14" s="16" customFormat="1" ht="25.5" outlineLevel="3">
      <c r="A1358" s="14"/>
      <c r="B1358" s="35">
        <f>MAXA($B$10:B1357)+1</f>
        <v>475</v>
      </c>
      <c r="C1358" s="245" t="s">
        <v>718</v>
      </c>
      <c r="D1358" s="230" t="s">
        <v>28</v>
      </c>
      <c r="E1358" s="247">
        <v>1</v>
      </c>
      <c r="F1358" s="232">
        <v>10032859</v>
      </c>
      <c r="G1358" s="232">
        <v>750330</v>
      </c>
      <c r="H1358" s="138">
        <f t="shared" si="143"/>
        <v>10783189</v>
      </c>
      <c r="I1358" s="138">
        <f t="shared" si="144"/>
        <v>10783189</v>
      </c>
      <c r="J1358" s="47"/>
      <c r="K1358" s="15"/>
    </row>
    <row r="1359" spans="1:14" s="16" customFormat="1" ht="25.5" outlineLevel="3">
      <c r="A1359" s="14"/>
      <c r="B1359" s="35">
        <f>MAXA($B$10:B1358)+1</f>
        <v>476</v>
      </c>
      <c r="C1359" s="245" t="s">
        <v>719</v>
      </c>
      <c r="D1359" s="230" t="s">
        <v>28</v>
      </c>
      <c r="E1359" s="247">
        <v>1</v>
      </c>
      <c r="F1359" s="232">
        <v>10032859</v>
      </c>
      <c r="G1359" s="232">
        <v>750330</v>
      </c>
      <c r="H1359" s="138">
        <f t="shared" si="143"/>
        <v>10783189</v>
      </c>
      <c r="I1359" s="138">
        <f t="shared" si="144"/>
        <v>10783189</v>
      </c>
      <c r="J1359" s="47"/>
      <c r="K1359" s="15"/>
    </row>
    <row r="1360" spans="1:14" s="16" customFormat="1" ht="25.5" outlineLevel="3">
      <c r="A1360" s="14"/>
      <c r="B1360" s="35">
        <f>MAXA($B$10:B1359)+1</f>
        <v>477</v>
      </c>
      <c r="C1360" s="245" t="s">
        <v>720</v>
      </c>
      <c r="D1360" s="230" t="s">
        <v>28</v>
      </c>
      <c r="E1360" s="247">
        <v>1</v>
      </c>
      <c r="F1360" s="232">
        <v>7145705</v>
      </c>
      <c r="G1360" s="232">
        <v>625275</v>
      </c>
      <c r="H1360" s="138">
        <f t="shared" si="143"/>
        <v>7770980</v>
      </c>
      <c r="I1360" s="138">
        <f t="shared" si="144"/>
        <v>7770980</v>
      </c>
      <c r="J1360" s="47"/>
      <c r="K1360" s="15"/>
    </row>
    <row r="1361" spans="1:11" s="16" customFormat="1" ht="25.5" outlineLevel="3">
      <c r="A1361" s="14"/>
      <c r="B1361" s="35">
        <f>MAXA($B$10:B1360)+1</f>
        <v>478</v>
      </c>
      <c r="C1361" s="245" t="s">
        <v>721</v>
      </c>
      <c r="D1361" s="230" t="s">
        <v>28</v>
      </c>
      <c r="E1361" s="247">
        <v>1</v>
      </c>
      <c r="F1361" s="232">
        <v>10790737</v>
      </c>
      <c r="G1361" s="232">
        <v>750330</v>
      </c>
      <c r="H1361" s="138">
        <f t="shared" si="143"/>
        <v>11541067</v>
      </c>
      <c r="I1361" s="138">
        <f t="shared" si="144"/>
        <v>11541067</v>
      </c>
      <c r="J1361" s="47"/>
      <c r="K1361" s="15"/>
    </row>
    <row r="1362" spans="1:11" s="16" customFormat="1" ht="25.5" outlineLevel="3">
      <c r="A1362" s="14"/>
      <c r="B1362" s="35">
        <f>MAXA($B$10:B1361)+1</f>
        <v>479</v>
      </c>
      <c r="C1362" s="245" t="s">
        <v>722</v>
      </c>
      <c r="D1362" s="230" t="s">
        <v>28</v>
      </c>
      <c r="E1362" s="247">
        <v>1</v>
      </c>
      <c r="F1362" s="232">
        <v>9022355</v>
      </c>
      <c r="G1362" s="232">
        <v>625275</v>
      </c>
      <c r="H1362" s="138">
        <f t="shared" si="143"/>
        <v>9647630</v>
      </c>
      <c r="I1362" s="138">
        <f t="shared" si="144"/>
        <v>9647630</v>
      </c>
      <c r="J1362" s="47"/>
      <c r="K1362" s="15"/>
    </row>
    <row r="1363" spans="1:11" s="16" customFormat="1" ht="25.5" outlineLevel="3">
      <c r="A1363" s="14"/>
      <c r="B1363" s="35">
        <f>MAXA($B$10:B1362)+1</f>
        <v>480</v>
      </c>
      <c r="C1363" s="245" t="s">
        <v>723</v>
      </c>
      <c r="D1363" s="230" t="s">
        <v>28</v>
      </c>
      <c r="E1363" s="247">
        <v>6</v>
      </c>
      <c r="F1363" s="232">
        <v>10997759</v>
      </c>
      <c r="G1363" s="232">
        <v>1250550</v>
      </c>
      <c r="H1363" s="138">
        <f t="shared" si="143"/>
        <v>12248309</v>
      </c>
      <c r="I1363" s="138">
        <f t="shared" si="144"/>
        <v>73489854</v>
      </c>
      <c r="J1363" s="47"/>
      <c r="K1363" s="15"/>
    </row>
    <row r="1364" spans="1:11" s="16" customFormat="1" ht="25.5" outlineLevel="3">
      <c r="A1364" s="14"/>
      <c r="B1364" s="35">
        <f>MAXA($B$10:B1363)+1</f>
        <v>481</v>
      </c>
      <c r="C1364" s="245" t="s">
        <v>724</v>
      </c>
      <c r="D1364" s="230" t="s">
        <v>28</v>
      </c>
      <c r="E1364" s="247">
        <v>1</v>
      </c>
      <c r="F1364" s="232">
        <v>10790737</v>
      </c>
      <c r="G1364" s="232">
        <v>750330</v>
      </c>
      <c r="H1364" s="138">
        <f t="shared" si="143"/>
        <v>11541067</v>
      </c>
      <c r="I1364" s="138">
        <f t="shared" si="144"/>
        <v>11541067</v>
      </c>
      <c r="J1364" s="47"/>
      <c r="K1364" s="15"/>
    </row>
    <row r="1365" spans="1:11" s="16" customFormat="1" ht="25.5" outlineLevel="3">
      <c r="A1365" s="14"/>
      <c r="B1365" s="35">
        <f>MAXA($B$10:B1364)+1</f>
        <v>482</v>
      </c>
      <c r="C1365" s="245" t="s">
        <v>725</v>
      </c>
      <c r="D1365" s="230" t="s">
        <v>28</v>
      </c>
      <c r="E1365" s="247">
        <v>7</v>
      </c>
      <c r="F1365" s="232">
        <v>10997759</v>
      </c>
      <c r="G1365" s="232">
        <v>1250550</v>
      </c>
      <c r="H1365" s="138">
        <f t="shared" si="143"/>
        <v>12248309</v>
      </c>
      <c r="I1365" s="138">
        <f t="shared" si="144"/>
        <v>85738163</v>
      </c>
      <c r="J1365" s="47"/>
      <c r="K1365" s="15"/>
    </row>
    <row r="1366" spans="1:11" s="16" customFormat="1" ht="25.5" outlineLevel="3">
      <c r="A1366" s="14"/>
      <c r="B1366" s="35">
        <f>MAXA($B$10:B1365)+1</f>
        <v>483</v>
      </c>
      <c r="C1366" s="245" t="s">
        <v>726</v>
      </c>
      <c r="D1366" s="230" t="s">
        <v>28</v>
      </c>
      <c r="E1366" s="247">
        <v>11</v>
      </c>
      <c r="F1366" s="232">
        <v>10997759</v>
      </c>
      <c r="G1366" s="232">
        <v>1250550</v>
      </c>
      <c r="H1366" s="138">
        <f t="shared" si="143"/>
        <v>12248309</v>
      </c>
      <c r="I1366" s="138">
        <f t="shared" si="144"/>
        <v>134731399</v>
      </c>
      <c r="J1366" s="47"/>
      <c r="K1366" s="15"/>
    </row>
    <row r="1367" spans="1:11" s="16" customFormat="1" ht="25.5" outlineLevel="3">
      <c r="A1367" s="14"/>
      <c r="B1367" s="35">
        <f>MAXA($B$10:B1366)+1</f>
        <v>484</v>
      </c>
      <c r="C1367" s="245" t="s">
        <v>727</v>
      </c>
      <c r="D1367" s="230" t="s">
        <v>28</v>
      </c>
      <c r="E1367" s="247">
        <v>9</v>
      </c>
      <c r="F1367" s="232">
        <v>10997759</v>
      </c>
      <c r="G1367" s="232">
        <v>1250550</v>
      </c>
      <c r="H1367" s="138">
        <f t="shared" si="143"/>
        <v>12248309</v>
      </c>
      <c r="I1367" s="138">
        <f t="shared" si="144"/>
        <v>110234781</v>
      </c>
      <c r="J1367" s="47"/>
      <c r="K1367" s="15"/>
    </row>
    <row r="1368" spans="1:11" s="16" customFormat="1" ht="25.5" outlineLevel="3">
      <c r="A1368" s="14"/>
      <c r="B1368" s="35">
        <f>MAXA($B$10:B1367)+1</f>
        <v>485</v>
      </c>
      <c r="C1368" s="245" t="s">
        <v>728</v>
      </c>
      <c r="D1368" s="230" t="s">
        <v>28</v>
      </c>
      <c r="E1368" s="247">
        <v>1</v>
      </c>
      <c r="F1368" s="232">
        <v>32604838</v>
      </c>
      <c r="G1368" s="232">
        <v>2501100</v>
      </c>
      <c r="H1368" s="138">
        <f t="shared" si="143"/>
        <v>35105938</v>
      </c>
      <c r="I1368" s="138">
        <f t="shared" si="144"/>
        <v>35105938</v>
      </c>
      <c r="J1368" s="47"/>
      <c r="K1368" s="15"/>
    </row>
    <row r="1369" spans="1:11" s="16" customFormat="1" ht="25.5" outlineLevel="3">
      <c r="A1369" s="14"/>
      <c r="B1369" s="35">
        <f>MAXA($B$10:B1368)+1</f>
        <v>486</v>
      </c>
      <c r="C1369" s="245" t="s">
        <v>729</v>
      </c>
      <c r="D1369" s="230" t="s">
        <v>28</v>
      </c>
      <c r="E1369" s="247">
        <v>2</v>
      </c>
      <c r="F1369" s="232">
        <v>19307812</v>
      </c>
      <c r="G1369" s="232">
        <v>1500660</v>
      </c>
      <c r="H1369" s="138">
        <f t="shared" si="143"/>
        <v>20808472</v>
      </c>
      <c r="I1369" s="138">
        <f t="shared" si="144"/>
        <v>41616944</v>
      </c>
      <c r="J1369" s="47"/>
      <c r="K1369" s="15"/>
    </row>
    <row r="1370" spans="1:11" s="16" customFormat="1" ht="25.5" outlineLevel="3">
      <c r="A1370" s="14"/>
      <c r="B1370" s="35">
        <f>MAXA($B$10:B1369)+1</f>
        <v>487</v>
      </c>
      <c r="C1370" s="245" t="s">
        <v>730</v>
      </c>
      <c r="D1370" s="230" t="s">
        <v>28</v>
      </c>
      <c r="E1370" s="247">
        <v>1</v>
      </c>
      <c r="F1370" s="232">
        <v>14293063</v>
      </c>
      <c r="G1370" s="232">
        <v>1000440</v>
      </c>
      <c r="H1370" s="138">
        <f t="shared" si="143"/>
        <v>15293503</v>
      </c>
      <c r="I1370" s="138">
        <f t="shared" si="144"/>
        <v>15293503</v>
      </c>
      <c r="J1370" s="47"/>
      <c r="K1370" s="15"/>
    </row>
    <row r="1371" spans="1:11" s="16" customFormat="1" ht="25.5" outlineLevel="3">
      <c r="A1371" s="14"/>
      <c r="B1371" s="35">
        <f>MAXA($B$10:B1370)+1</f>
        <v>488</v>
      </c>
      <c r="C1371" s="245" t="s">
        <v>731</v>
      </c>
      <c r="D1371" s="230" t="s">
        <v>28</v>
      </c>
      <c r="E1371" s="247">
        <v>1</v>
      </c>
      <c r="F1371" s="232">
        <v>14293063</v>
      </c>
      <c r="G1371" s="232">
        <v>1000440</v>
      </c>
      <c r="H1371" s="138">
        <f t="shared" si="143"/>
        <v>15293503</v>
      </c>
      <c r="I1371" s="138">
        <f t="shared" si="144"/>
        <v>15293503</v>
      </c>
      <c r="J1371" s="47"/>
      <c r="K1371" s="15"/>
    </row>
    <row r="1372" spans="1:11" s="16" customFormat="1" ht="25.5" outlineLevel="3">
      <c r="A1372" s="14"/>
      <c r="B1372" s="35">
        <f>MAXA($B$10:B1371)+1</f>
        <v>489</v>
      </c>
      <c r="C1372" s="245" t="s">
        <v>732</v>
      </c>
      <c r="D1372" s="230" t="s">
        <v>28</v>
      </c>
      <c r="E1372" s="247">
        <v>1</v>
      </c>
      <c r="F1372" s="232">
        <v>12551587</v>
      </c>
      <c r="G1372" s="232">
        <v>1000440</v>
      </c>
      <c r="H1372" s="138">
        <f t="shared" si="143"/>
        <v>13552027</v>
      </c>
      <c r="I1372" s="138">
        <f t="shared" si="144"/>
        <v>13552027</v>
      </c>
      <c r="J1372" s="47"/>
      <c r="K1372" s="15"/>
    </row>
    <row r="1373" spans="1:11" s="16" customFormat="1" ht="25.5" outlineLevel="3">
      <c r="A1373" s="14"/>
      <c r="B1373" s="35">
        <f>MAXA($B$10:B1372)+1</f>
        <v>490</v>
      </c>
      <c r="C1373" s="245" t="s">
        <v>733</v>
      </c>
      <c r="D1373" s="230" t="s">
        <v>28</v>
      </c>
      <c r="E1373" s="247">
        <v>1</v>
      </c>
      <c r="F1373" s="232">
        <v>12551587</v>
      </c>
      <c r="G1373" s="232">
        <v>1000440</v>
      </c>
      <c r="H1373" s="138">
        <f t="shared" si="143"/>
        <v>13552027</v>
      </c>
      <c r="I1373" s="138">
        <f t="shared" si="144"/>
        <v>13552027</v>
      </c>
      <c r="J1373" s="47"/>
      <c r="K1373" s="15"/>
    </row>
    <row r="1374" spans="1:11" s="16" customFormat="1" ht="25.5" outlineLevel="3">
      <c r="A1374" s="14"/>
      <c r="B1374" s="35">
        <f>MAXA($B$10:B1373)+1</f>
        <v>491</v>
      </c>
      <c r="C1374" s="245" t="s">
        <v>734</v>
      </c>
      <c r="D1374" s="230" t="s">
        <v>28</v>
      </c>
      <c r="E1374" s="247">
        <v>1</v>
      </c>
      <c r="F1374" s="232">
        <v>6119511</v>
      </c>
      <c r="G1374" s="232">
        <v>437693</v>
      </c>
      <c r="H1374" s="138">
        <f t="shared" si="143"/>
        <v>6557204</v>
      </c>
      <c r="I1374" s="138">
        <f t="shared" si="144"/>
        <v>6557204</v>
      </c>
      <c r="J1374" s="47"/>
      <c r="K1374" s="15"/>
    </row>
    <row r="1375" spans="1:11" s="16" customFormat="1" ht="25.5" outlineLevel="3">
      <c r="A1375" s="14"/>
      <c r="B1375" s="35">
        <f>MAXA($B$10:B1374)+1</f>
        <v>492</v>
      </c>
      <c r="C1375" s="245" t="s">
        <v>735</v>
      </c>
      <c r="D1375" s="230" t="s">
        <v>28</v>
      </c>
      <c r="E1375" s="247">
        <v>1</v>
      </c>
      <c r="F1375" s="232">
        <v>600934</v>
      </c>
      <c r="G1375" s="232">
        <v>187583</v>
      </c>
      <c r="H1375" s="138">
        <f t="shared" si="143"/>
        <v>788517</v>
      </c>
      <c r="I1375" s="138">
        <f t="shared" si="144"/>
        <v>788517</v>
      </c>
      <c r="J1375" s="47"/>
      <c r="K1375" s="15"/>
    </row>
    <row r="1376" spans="1:11" s="16" customFormat="1" ht="25.5" outlineLevel="3">
      <c r="A1376" s="14"/>
      <c r="B1376" s="35">
        <f>MAXA($B$10:B1375)+1</f>
        <v>493</v>
      </c>
      <c r="C1376" s="245" t="s">
        <v>736</v>
      </c>
      <c r="D1376" s="230" t="s">
        <v>28</v>
      </c>
      <c r="E1376" s="247">
        <v>33</v>
      </c>
      <c r="F1376" s="232">
        <v>1097185</v>
      </c>
      <c r="G1376" s="232">
        <v>625275</v>
      </c>
      <c r="H1376" s="138">
        <f t="shared" si="143"/>
        <v>1722460</v>
      </c>
      <c r="I1376" s="138">
        <f t="shared" si="144"/>
        <v>56841180</v>
      </c>
      <c r="J1376" s="47"/>
      <c r="K1376" s="15"/>
    </row>
    <row r="1377" spans="1:11" s="16" customFormat="1" ht="25.5" outlineLevel="3">
      <c r="A1377" s="14"/>
      <c r="B1377" s="35">
        <f>MAXA($B$10:B1376)+1</f>
        <v>494</v>
      </c>
      <c r="C1377" s="245" t="s">
        <v>737</v>
      </c>
      <c r="D1377" s="230" t="s">
        <v>38</v>
      </c>
      <c r="E1377" s="247">
        <v>1</v>
      </c>
      <c r="F1377" s="232">
        <v>9851952</v>
      </c>
      <c r="G1377" s="232">
        <v>5786771</v>
      </c>
      <c r="H1377" s="138">
        <f t="shared" si="143"/>
        <v>15638723</v>
      </c>
      <c r="I1377" s="138">
        <f t="shared" si="144"/>
        <v>15638723</v>
      </c>
      <c r="J1377" s="47"/>
      <c r="K1377" s="15"/>
    </row>
    <row r="1378" spans="1:11" s="16" customFormat="1" ht="25.5" outlineLevel="3">
      <c r="A1378" s="14"/>
      <c r="B1378" s="35">
        <f>MAXA($B$10:B1377)+1</f>
        <v>495</v>
      </c>
      <c r="C1378" s="245" t="s">
        <v>738</v>
      </c>
      <c r="D1378" s="230" t="s">
        <v>38</v>
      </c>
      <c r="E1378" s="247">
        <v>1</v>
      </c>
      <c r="F1378" s="232">
        <v>59518234</v>
      </c>
      <c r="G1378" s="232">
        <v>11147228</v>
      </c>
      <c r="H1378" s="138">
        <f t="shared" si="143"/>
        <v>70665462</v>
      </c>
      <c r="I1378" s="138">
        <f t="shared" si="144"/>
        <v>70665462</v>
      </c>
      <c r="J1378" s="47"/>
      <c r="K1378" s="15"/>
    </row>
    <row r="1379" spans="1:11" s="16" customFormat="1" ht="25.5" outlineLevel="3">
      <c r="A1379" s="14"/>
      <c r="B1379" s="35">
        <f>MAXA($B$10:B1378)+1</f>
        <v>496</v>
      </c>
      <c r="C1379" s="297" t="s">
        <v>739</v>
      </c>
      <c r="D1379" s="230" t="s">
        <v>28</v>
      </c>
      <c r="E1379" s="247">
        <v>1</v>
      </c>
      <c r="F1379" s="232">
        <v>4465607</v>
      </c>
      <c r="G1379" s="232">
        <v>312638</v>
      </c>
      <c r="H1379" s="138">
        <f t="shared" si="143"/>
        <v>4778245</v>
      </c>
      <c r="I1379" s="138">
        <f t="shared" si="144"/>
        <v>4778245</v>
      </c>
      <c r="J1379" s="47"/>
      <c r="K1379" s="15"/>
    </row>
    <row r="1380" spans="1:11" s="16" customFormat="1" ht="25.5" outlineLevel="3">
      <c r="A1380" s="14"/>
      <c r="B1380" s="35">
        <f>MAXA($B$10:B1379)+1</f>
        <v>497</v>
      </c>
      <c r="C1380" s="297" t="s">
        <v>740</v>
      </c>
      <c r="D1380" s="230" t="s">
        <v>28</v>
      </c>
      <c r="E1380" s="247">
        <v>1</v>
      </c>
      <c r="F1380" s="232">
        <v>4735894</v>
      </c>
      <c r="G1380" s="232">
        <v>312638</v>
      </c>
      <c r="H1380" s="138">
        <f t="shared" si="143"/>
        <v>5048532</v>
      </c>
      <c r="I1380" s="138">
        <f t="shared" si="144"/>
        <v>5048532</v>
      </c>
      <c r="J1380" s="47"/>
      <c r="K1380" s="15"/>
    </row>
    <row r="1381" spans="1:11" s="16" customFormat="1" ht="38.25" outlineLevel="3">
      <c r="A1381" s="14"/>
      <c r="B1381" s="35">
        <f>MAXA($B$10:B1380)+1</f>
        <v>498</v>
      </c>
      <c r="C1381" s="297" t="s">
        <v>741</v>
      </c>
      <c r="D1381" s="230" t="s">
        <v>38</v>
      </c>
      <c r="E1381" s="247">
        <v>1</v>
      </c>
      <c r="F1381" s="232">
        <v>9593710</v>
      </c>
      <c r="G1381" s="232">
        <v>2501100</v>
      </c>
      <c r="H1381" s="138">
        <f t="shared" si="143"/>
        <v>12094810</v>
      </c>
      <c r="I1381" s="138">
        <f t="shared" si="144"/>
        <v>12094810</v>
      </c>
      <c r="J1381" s="47"/>
      <c r="K1381" s="15"/>
    </row>
    <row r="1382" spans="1:11" s="16" customFormat="1" ht="25.5" outlineLevel="3">
      <c r="A1382" s="14"/>
      <c r="B1382" s="35">
        <f>MAXA($B$10:B1381)+1</f>
        <v>499</v>
      </c>
      <c r="C1382" s="245" t="s">
        <v>742</v>
      </c>
      <c r="D1382" s="230" t="s">
        <v>38</v>
      </c>
      <c r="E1382" s="247">
        <v>1</v>
      </c>
      <c r="F1382" s="232">
        <v>54502197</v>
      </c>
      <c r="G1382" s="232">
        <v>9782446</v>
      </c>
      <c r="H1382" s="138">
        <f t="shared" si="143"/>
        <v>64284643</v>
      </c>
      <c r="I1382" s="138">
        <f t="shared" si="144"/>
        <v>64284643</v>
      </c>
      <c r="J1382" s="47"/>
      <c r="K1382" s="15"/>
    </row>
    <row r="1383" spans="1:11" s="16" customFormat="1" ht="27" outlineLevel="3">
      <c r="A1383" s="14"/>
      <c r="B1383" s="35" t="s">
        <v>39</v>
      </c>
      <c r="C1383" s="296" t="s">
        <v>743</v>
      </c>
      <c r="D1383" s="259"/>
      <c r="E1383" s="247"/>
      <c r="F1383" s="232">
        <v>0</v>
      </c>
      <c r="G1383" s="232">
        <v>0</v>
      </c>
      <c r="H1383" s="295"/>
      <c r="I1383" s="180"/>
      <c r="J1383" s="47"/>
      <c r="K1383" s="15"/>
    </row>
    <row r="1384" spans="1:11" s="16" customFormat="1" ht="25.5" outlineLevel="3">
      <c r="A1384" s="14"/>
      <c r="B1384" s="35">
        <f>MAXA(B$5:B1383)+1</f>
        <v>500</v>
      </c>
      <c r="C1384" s="297" t="s">
        <v>744</v>
      </c>
      <c r="D1384" s="230" t="s">
        <v>745</v>
      </c>
      <c r="E1384" s="247">
        <v>112</v>
      </c>
      <c r="F1384" s="232">
        <v>821921</v>
      </c>
      <c r="G1384" s="232">
        <v>200088</v>
      </c>
      <c r="H1384" s="138">
        <f t="shared" ref="H1384:H1400" si="145">G1384+F1384</f>
        <v>1022009</v>
      </c>
      <c r="I1384" s="138">
        <f t="shared" ref="I1384:I1400" si="146">H1384*E1384</f>
        <v>114465008</v>
      </c>
      <c r="J1384" s="47"/>
      <c r="K1384" s="15"/>
    </row>
    <row r="1385" spans="1:11" s="16" customFormat="1" ht="25.5" outlineLevel="3">
      <c r="A1385" s="14"/>
      <c r="B1385" s="35">
        <f>MAXA(B$5:B1384)+1</f>
        <v>501</v>
      </c>
      <c r="C1385" s="297" t="s">
        <v>746</v>
      </c>
      <c r="D1385" s="230" t="s">
        <v>745</v>
      </c>
      <c r="E1385" s="247">
        <v>882</v>
      </c>
      <c r="F1385" s="232">
        <v>821921</v>
      </c>
      <c r="G1385" s="232">
        <v>200088</v>
      </c>
      <c r="H1385" s="138">
        <f t="shared" si="145"/>
        <v>1022009</v>
      </c>
      <c r="I1385" s="138">
        <f t="shared" si="146"/>
        <v>901411938</v>
      </c>
      <c r="J1385" s="47"/>
      <c r="K1385" s="15"/>
    </row>
    <row r="1386" spans="1:11" s="16" customFormat="1" ht="25.5" outlineLevel="3">
      <c r="A1386" s="14"/>
      <c r="B1386" s="35">
        <f>MAXA(B$5:B1385)+1</f>
        <v>502</v>
      </c>
      <c r="C1386" s="297" t="s">
        <v>747</v>
      </c>
      <c r="D1386" s="230" t="s">
        <v>745</v>
      </c>
      <c r="E1386" s="247">
        <f>95-35</f>
        <v>60</v>
      </c>
      <c r="F1386" s="232">
        <v>1022412</v>
      </c>
      <c r="G1386" s="232">
        <v>168824</v>
      </c>
      <c r="H1386" s="138">
        <f t="shared" si="145"/>
        <v>1191236</v>
      </c>
      <c r="I1386" s="138">
        <f t="shared" si="146"/>
        <v>71474160</v>
      </c>
      <c r="J1386" s="47"/>
      <c r="K1386" s="15"/>
    </row>
    <row r="1387" spans="1:11" s="16" customFormat="1" ht="25.5" outlineLevel="3">
      <c r="A1387" s="14"/>
      <c r="B1387" s="35">
        <f>MAXA($B$10:B1386)+1</f>
        <v>503</v>
      </c>
      <c r="C1387" s="297" t="s">
        <v>748</v>
      </c>
      <c r="D1387" s="230" t="s">
        <v>745</v>
      </c>
      <c r="E1387" s="247">
        <v>79</v>
      </c>
      <c r="F1387" s="232">
        <v>969664</v>
      </c>
      <c r="G1387" s="232">
        <v>162572</v>
      </c>
      <c r="H1387" s="138">
        <f t="shared" si="145"/>
        <v>1132236</v>
      </c>
      <c r="I1387" s="138">
        <f t="shared" si="146"/>
        <v>89446644</v>
      </c>
      <c r="J1387" s="47"/>
      <c r="K1387" s="15"/>
    </row>
    <row r="1388" spans="1:11" s="16" customFormat="1" ht="25.5" outlineLevel="3">
      <c r="A1388" s="14"/>
      <c r="B1388" s="35">
        <f>MAXA($B$10:B1387)+1</f>
        <v>504</v>
      </c>
      <c r="C1388" s="297" t="s">
        <v>749</v>
      </c>
      <c r="D1388" s="230" t="s">
        <v>745</v>
      </c>
      <c r="E1388" s="247">
        <v>538</v>
      </c>
      <c r="F1388" s="232">
        <v>423800</v>
      </c>
      <c r="G1388" s="232">
        <v>150066</v>
      </c>
      <c r="H1388" s="138">
        <f t="shared" si="145"/>
        <v>573866</v>
      </c>
      <c r="I1388" s="138">
        <f t="shared" si="146"/>
        <v>308739908</v>
      </c>
      <c r="J1388" s="47"/>
      <c r="K1388" s="15"/>
    </row>
    <row r="1389" spans="1:11" s="16" customFormat="1" ht="25.5" outlineLevel="3">
      <c r="A1389" s="14"/>
      <c r="B1389" s="35">
        <f>MAXA($B$10:B1388)+1</f>
        <v>505</v>
      </c>
      <c r="C1389" s="297" t="s">
        <v>750</v>
      </c>
      <c r="D1389" s="230" t="s">
        <v>745</v>
      </c>
      <c r="E1389" s="247">
        <f>65+35</f>
        <v>100</v>
      </c>
      <c r="F1389" s="232">
        <v>296779</v>
      </c>
      <c r="G1389" s="232">
        <v>125055</v>
      </c>
      <c r="H1389" s="138">
        <f t="shared" si="145"/>
        <v>421834</v>
      </c>
      <c r="I1389" s="138">
        <f t="shared" si="146"/>
        <v>42183400</v>
      </c>
      <c r="J1389" s="47"/>
      <c r="K1389" s="15"/>
    </row>
    <row r="1390" spans="1:11" s="16" customFormat="1" ht="25.5" outlineLevel="3">
      <c r="A1390" s="14"/>
      <c r="B1390" s="35">
        <f>MAXA($B$10:B1389)+1</f>
        <v>506</v>
      </c>
      <c r="C1390" s="297" t="s">
        <v>751</v>
      </c>
      <c r="D1390" s="230" t="s">
        <v>745</v>
      </c>
      <c r="E1390" s="247">
        <v>141</v>
      </c>
      <c r="F1390" s="232">
        <v>244031</v>
      </c>
      <c r="G1390" s="232">
        <v>118802</v>
      </c>
      <c r="H1390" s="138">
        <f t="shared" si="145"/>
        <v>362833</v>
      </c>
      <c r="I1390" s="138">
        <f t="shared" si="146"/>
        <v>51159453</v>
      </c>
      <c r="J1390" s="47"/>
      <c r="K1390" s="15"/>
    </row>
    <row r="1391" spans="1:11" s="16" customFormat="1" ht="25.5" outlineLevel="3">
      <c r="A1391" s="14"/>
      <c r="B1391" s="35">
        <f>MAXA($B$10:B1390)+1</f>
        <v>507</v>
      </c>
      <c r="C1391" s="298" t="s">
        <v>752</v>
      </c>
      <c r="D1391" s="230" t="s">
        <v>745</v>
      </c>
      <c r="E1391" s="299">
        <f>+E1384</f>
        <v>112</v>
      </c>
      <c r="F1391" s="232">
        <v>278433</v>
      </c>
      <c r="G1391" s="232">
        <v>87539</v>
      </c>
      <c r="H1391" s="138">
        <f t="shared" si="145"/>
        <v>365972</v>
      </c>
      <c r="I1391" s="138">
        <f t="shared" si="146"/>
        <v>40988864</v>
      </c>
      <c r="J1391" s="47"/>
      <c r="K1391" s="15"/>
    </row>
    <row r="1392" spans="1:11" s="16" customFormat="1" ht="25.5" outlineLevel="3">
      <c r="A1392" s="14"/>
      <c r="B1392" s="35">
        <f>MAXA($B$10:B1391)+1</f>
        <v>508</v>
      </c>
      <c r="C1392" s="300" t="s">
        <v>753</v>
      </c>
      <c r="D1392" s="230" t="s">
        <v>745</v>
      </c>
      <c r="E1392" s="299">
        <f>+E1391</f>
        <v>112</v>
      </c>
      <c r="F1392" s="232">
        <v>168966</v>
      </c>
      <c r="G1392" s="232">
        <v>62528</v>
      </c>
      <c r="H1392" s="138">
        <f t="shared" si="145"/>
        <v>231494</v>
      </c>
      <c r="I1392" s="138">
        <f t="shared" si="146"/>
        <v>25927328</v>
      </c>
      <c r="J1392" s="47"/>
      <c r="K1392" s="15"/>
    </row>
    <row r="1393" spans="1:11" s="16" customFormat="1" ht="25.5" outlineLevel="3">
      <c r="A1393" s="14"/>
      <c r="B1393" s="35">
        <f>MAXA($B$10:B1392)+1</f>
        <v>509</v>
      </c>
      <c r="C1393" s="298" t="s">
        <v>754</v>
      </c>
      <c r="D1393" s="230" t="s">
        <v>745</v>
      </c>
      <c r="E1393" s="299">
        <f>+E1392</f>
        <v>112</v>
      </c>
      <c r="F1393" s="232">
        <v>24037</v>
      </c>
      <c r="G1393" s="232">
        <v>8754</v>
      </c>
      <c r="H1393" s="138">
        <f t="shared" si="145"/>
        <v>32791</v>
      </c>
      <c r="I1393" s="138">
        <f t="shared" si="146"/>
        <v>3672592</v>
      </c>
      <c r="J1393" s="47"/>
      <c r="K1393" s="15"/>
    </row>
    <row r="1394" spans="1:11" s="16" customFormat="1" ht="25.5" outlineLevel="3">
      <c r="A1394" s="14"/>
      <c r="B1394" s="35">
        <f>MAXA($B$10:B1393)+1</f>
        <v>510</v>
      </c>
      <c r="C1394" s="300" t="s">
        <v>755</v>
      </c>
      <c r="D1394" s="230" t="s">
        <v>745</v>
      </c>
      <c r="E1394" s="247">
        <v>15</v>
      </c>
      <c r="F1394" s="232">
        <v>85466</v>
      </c>
      <c r="G1394" s="232">
        <v>31264</v>
      </c>
      <c r="H1394" s="138">
        <f t="shared" si="145"/>
        <v>116730</v>
      </c>
      <c r="I1394" s="138">
        <f t="shared" si="146"/>
        <v>1750950</v>
      </c>
      <c r="J1394" s="47"/>
      <c r="K1394" s="15"/>
    </row>
    <row r="1395" spans="1:11" s="16" customFormat="1" ht="25.5" outlineLevel="3">
      <c r="A1395" s="14"/>
      <c r="B1395" s="35">
        <f>MAXA($B$10:B1394)+1</f>
        <v>511</v>
      </c>
      <c r="C1395" s="300" t="s">
        <v>756</v>
      </c>
      <c r="D1395" s="230" t="s">
        <v>745</v>
      </c>
      <c r="E1395" s="247">
        <v>4</v>
      </c>
      <c r="F1395" s="232">
        <v>154907</v>
      </c>
      <c r="G1395" s="232">
        <v>62528</v>
      </c>
      <c r="H1395" s="138">
        <f t="shared" si="145"/>
        <v>217435</v>
      </c>
      <c r="I1395" s="138">
        <f t="shared" si="146"/>
        <v>869740</v>
      </c>
      <c r="J1395" s="47"/>
      <c r="K1395" s="15"/>
    </row>
    <row r="1396" spans="1:11" s="16" customFormat="1" ht="25.5" outlineLevel="3">
      <c r="A1396" s="14"/>
      <c r="B1396" s="35">
        <f>MAXA($B$10:B1395)+1</f>
        <v>512</v>
      </c>
      <c r="C1396" s="297" t="s">
        <v>757</v>
      </c>
      <c r="D1396" s="230" t="s">
        <v>25</v>
      </c>
      <c r="E1396" s="247">
        <v>5</v>
      </c>
      <c r="F1396" s="232">
        <v>20832</v>
      </c>
      <c r="G1396" s="232">
        <v>22510</v>
      </c>
      <c r="H1396" s="138">
        <f t="shared" si="145"/>
        <v>43342</v>
      </c>
      <c r="I1396" s="138">
        <f t="shared" si="146"/>
        <v>216710</v>
      </c>
      <c r="J1396" s="47"/>
      <c r="K1396" s="15"/>
    </row>
    <row r="1397" spans="1:11" s="16" customFormat="1" ht="25.5" outlineLevel="3">
      <c r="A1397" s="14"/>
      <c r="B1397" s="35">
        <f>MAXA($B$10:B1396)+1</f>
        <v>513</v>
      </c>
      <c r="C1397" s="297" t="s">
        <v>758</v>
      </c>
      <c r="D1397" s="230" t="s">
        <v>25</v>
      </c>
      <c r="E1397" s="247">
        <v>13</v>
      </c>
      <c r="F1397" s="232">
        <v>25506</v>
      </c>
      <c r="G1397" s="232">
        <v>25011</v>
      </c>
      <c r="H1397" s="138">
        <f t="shared" si="145"/>
        <v>50517</v>
      </c>
      <c r="I1397" s="138">
        <f t="shared" si="146"/>
        <v>656721</v>
      </c>
      <c r="J1397" s="47"/>
      <c r="K1397" s="15"/>
    </row>
    <row r="1398" spans="1:11" s="16" customFormat="1" ht="25.5" outlineLevel="3">
      <c r="A1398" s="14"/>
      <c r="B1398" s="35">
        <f>MAXA($B$10:B1397)+1</f>
        <v>514</v>
      </c>
      <c r="C1398" s="297" t="s">
        <v>759</v>
      </c>
      <c r="D1398" s="230" t="s">
        <v>25</v>
      </c>
      <c r="E1398" s="247">
        <v>132</v>
      </c>
      <c r="F1398" s="232">
        <v>34721</v>
      </c>
      <c r="G1398" s="232">
        <v>27512</v>
      </c>
      <c r="H1398" s="138">
        <f t="shared" si="145"/>
        <v>62233</v>
      </c>
      <c r="I1398" s="138">
        <f t="shared" si="146"/>
        <v>8214756</v>
      </c>
      <c r="J1398" s="47"/>
      <c r="K1398" s="15"/>
    </row>
    <row r="1399" spans="1:11" s="16" customFormat="1" ht="25.5" outlineLevel="3">
      <c r="A1399" s="14"/>
      <c r="B1399" s="35">
        <f>MAXA($B$10:B1398)+1</f>
        <v>515</v>
      </c>
      <c r="C1399" s="301" t="s">
        <v>760</v>
      </c>
      <c r="D1399" s="233" t="s">
        <v>44</v>
      </c>
      <c r="E1399" s="247">
        <v>1</v>
      </c>
      <c r="F1399" s="232">
        <v>11208918</v>
      </c>
      <c r="G1399" s="232">
        <v>4434847</v>
      </c>
      <c r="H1399" s="138">
        <f t="shared" si="145"/>
        <v>15643765</v>
      </c>
      <c r="I1399" s="138">
        <f t="shared" si="146"/>
        <v>15643765</v>
      </c>
      <c r="J1399" s="47"/>
      <c r="K1399" s="15"/>
    </row>
    <row r="1400" spans="1:11" s="16" customFormat="1" ht="25.5" outlineLevel="3">
      <c r="A1400" s="14"/>
      <c r="B1400" s="35">
        <f>MAXA($B$10:B1399)+1</f>
        <v>516</v>
      </c>
      <c r="C1400" s="238" t="s">
        <v>37</v>
      </c>
      <c r="D1400" s="230" t="s">
        <v>38</v>
      </c>
      <c r="E1400" s="247">
        <v>1</v>
      </c>
      <c r="F1400" s="232">
        <v>86684696</v>
      </c>
      <c r="G1400" s="232">
        <v>15558792</v>
      </c>
      <c r="H1400" s="138">
        <f t="shared" si="145"/>
        <v>102243488</v>
      </c>
      <c r="I1400" s="138">
        <f t="shared" si="146"/>
        <v>102243488</v>
      </c>
      <c r="J1400" s="47"/>
      <c r="K1400" s="15"/>
    </row>
    <row r="1401" spans="1:11" s="16" customFormat="1" ht="26.25" outlineLevel="3">
      <c r="A1401" s="14"/>
      <c r="B1401" s="35"/>
      <c r="C1401" s="302" t="s">
        <v>761</v>
      </c>
      <c r="D1401" s="259"/>
      <c r="E1401" s="247"/>
      <c r="F1401" s="232">
        <v>0</v>
      </c>
      <c r="G1401" s="232">
        <v>0</v>
      </c>
      <c r="H1401" s="295"/>
      <c r="I1401" s="180"/>
      <c r="J1401" s="47"/>
      <c r="K1401" s="15"/>
    </row>
    <row r="1402" spans="1:11" s="16" customFormat="1" ht="25.5" outlineLevel="3">
      <c r="A1402" s="14"/>
      <c r="B1402" s="35">
        <f>MAXA($B$10:B1401)+1</f>
        <v>517</v>
      </c>
      <c r="C1402" s="242" t="s">
        <v>762</v>
      </c>
      <c r="D1402" s="230" t="s">
        <v>25</v>
      </c>
      <c r="E1402" s="247">
        <v>235</v>
      </c>
      <c r="F1402" s="232">
        <v>104367</v>
      </c>
      <c r="G1402" s="232">
        <v>15632</v>
      </c>
      <c r="H1402" s="138">
        <f t="shared" ref="H1402:H1409" si="147">G1402+F1402</f>
        <v>119999</v>
      </c>
      <c r="I1402" s="138">
        <f t="shared" ref="I1402:I1409" si="148">H1402*E1402</f>
        <v>28199765</v>
      </c>
      <c r="J1402" s="47"/>
      <c r="K1402" s="15"/>
    </row>
    <row r="1403" spans="1:11" s="16" customFormat="1" ht="25.5" outlineLevel="3">
      <c r="A1403" s="14"/>
      <c r="B1403" s="35">
        <f>MAXA($B$10:B1402)+1</f>
        <v>518</v>
      </c>
      <c r="C1403" s="242" t="s">
        <v>763</v>
      </c>
      <c r="D1403" s="230" t="s">
        <v>25</v>
      </c>
      <c r="E1403" s="247">
        <v>29</v>
      </c>
      <c r="F1403" s="232">
        <v>82099</v>
      </c>
      <c r="G1403" s="232">
        <v>15632</v>
      </c>
      <c r="H1403" s="138">
        <f t="shared" si="147"/>
        <v>97731</v>
      </c>
      <c r="I1403" s="138">
        <f t="shared" si="148"/>
        <v>2834199</v>
      </c>
      <c r="J1403" s="47"/>
      <c r="K1403" s="15"/>
    </row>
    <row r="1404" spans="1:11" s="16" customFormat="1" ht="25.5" outlineLevel="3">
      <c r="A1404" s="14"/>
      <c r="B1404" s="35">
        <f>MAXA($B$10:B1403)+1</f>
        <v>519</v>
      </c>
      <c r="C1404" s="242" t="s">
        <v>764</v>
      </c>
      <c r="D1404" s="230" t="s">
        <v>25</v>
      </c>
      <c r="E1404" s="247">
        <f>134+1</f>
        <v>135</v>
      </c>
      <c r="F1404" s="232">
        <v>65679</v>
      </c>
      <c r="G1404" s="232">
        <v>10421</v>
      </c>
      <c r="H1404" s="138">
        <f t="shared" si="147"/>
        <v>76100</v>
      </c>
      <c r="I1404" s="138">
        <f t="shared" si="148"/>
        <v>10273500</v>
      </c>
      <c r="J1404" s="47"/>
      <c r="K1404" s="15"/>
    </row>
    <row r="1405" spans="1:11" s="16" customFormat="1" ht="25.5" outlineLevel="3">
      <c r="A1405" s="14"/>
      <c r="B1405" s="35">
        <f>MAXA($B$10:B1404)+1</f>
        <v>520</v>
      </c>
      <c r="C1405" s="298" t="s">
        <v>765</v>
      </c>
      <c r="D1405" s="230" t="s">
        <v>25</v>
      </c>
      <c r="E1405" s="247">
        <v>532</v>
      </c>
      <c r="F1405" s="232">
        <v>30888</v>
      </c>
      <c r="G1405" s="232">
        <v>5211</v>
      </c>
      <c r="H1405" s="138">
        <f t="shared" si="147"/>
        <v>36099</v>
      </c>
      <c r="I1405" s="138">
        <f t="shared" si="148"/>
        <v>19204668</v>
      </c>
      <c r="J1405" s="47"/>
      <c r="K1405" s="15"/>
    </row>
    <row r="1406" spans="1:11" s="16" customFormat="1" ht="25.5" outlineLevel="3">
      <c r="A1406" s="14"/>
      <c r="B1406" s="35">
        <f>MAXA($B$10:B1405)+1</f>
        <v>521</v>
      </c>
      <c r="C1406" s="298" t="s">
        <v>766</v>
      </c>
      <c r="D1406" s="230" t="s">
        <v>25</v>
      </c>
      <c r="E1406" s="247">
        <v>57</v>
      </c>
      <c r="F1406" s="232">
        <v>25740</v>
      </c>
      <c r="G1406" s="232">
        <v>5211</v>
      </c>
      <c r="H1406" s="138">
        <f t="shared" si="147"/>
        <v>30951</v>
      </c>
      <c r="I1406" s="138">
        <f t="shared" si="148"/>
        <v>1764207</v>
      </c>
      <c r="J1406" s="47"/>
      <c r="K1406" s="15"/>
    </row>
    <row r="1407" spans="1:11" s="16" customFormat="1" ht="25.5" outlineLevel="3">
      <c r="A1407" s="14"/>
      <c r="B1407" s="35">
        <f>MAXA($B$10:B1406)+1</f>
        <v>522</v>
      </c>
      <c r="C1407" s="298" t="s">
        <v>767</v>
      </c>
      <c r="D1407" s="230" t="s">
        <v>25</v>
      </c>
      <c r="E1407" s="247">
        <f>650+8</f>
        <v>658</v>
      </c>
      <c r="F1407" s="232">
        <v>24710</v>
      </c>
      <c r="G1407" s="232">
        <v>5211</v>
      </c>
      <c r="H1407" s="138">
        <f t="shared" si="147"/>
        <v>29921</v>
      </c>
      <c r="I1407" s="138">
        <f t="shared" si="148"/>
        <v>19688018</v>
      </c>
      <c r="J1407" s="47"/>
      <c r="K1407" s="15"/>
    </row>
    <row r="1408" spans="1:11" s="16" customFormat="1" ht="25.5" outlineLevel="3">
      <c r="A1408" s="14"/>
      <c r="B1408" s="35">
        <f>MAXA($B$10:B1407)+1</f>
        <v>523</v>
      </c>
      <c r="C1408" s="298" t="s">
        <v>768</v>
      </c>
      <c r="D1408" s="230" t="s">
        <v>28</v>
      </c>
      <c r="E1408" s="247">
        <f>5892+32</f>
        <v>5924</v>
      </c>
      <c r="F1408" s="232">
        <v>46449</v>
      </c>
      <c r="G1408" s="232">
        <v>10421</v>
      </c>
      <c r="H1408" s="138">
        <f t="shared" si="147"/>
        <v>56870</v>
      </c>
      <c r="I1408" s="138">
        <f t="shared" si="148"/>
        <v>336897880</v>
      </c>
      <c r="J1408" s="47"/>
      <c r="K1408" s="15"/>
    </row>
    <row r="1409" spans="1:11" s="16" customFormat="1" ht="25.5" outlineLevel="3">
      <c r="A1409" s="14"/>
      <c r="B1409" s="35">
        <f>MAXA($B$10:B1408)+1</f>
        <v>524</v>
      </c>
      <c r="C1409" s="238" t="s">
        <v>37</v>
      </c>
      <c r="D1409" s="230" t="s">
        <v>38</v>
      </c>
      <c r="E1409" s="247">
        <v>1</v>
      </c>
      <c r="F1409" s="232">
        <v>11612250</v>
      </c>
      <c r="G1409" s="232">
        <v>2084250</v>
      </c>
      <c r="H1409" s="138">
        <f t="shared" si="147"/>
        <v>13696500</v>
      </c>
      <c r="I1409" s="138">
        <f t="shared" si="148"/>
        <v>13696500</v>
      </c>
      <c r="J1409" s="47"/>
      <c r="K1409" s="15"/>
    </row>
    <row r="1410" spans="1:11" s="16" customFormat="1" ht="26.25" outlineLevel="3">
      <c r="A1410" s="14"/>
      <c r="B1410" s="35" t="s">
        <v>61</v>
      </c>
      <c r="C1410" s="303" t="s">
        <v>769</v>
      </c>
      <c r="D1410" s="230"/>
      <c r="E1410" s="247"/>
      <c r="F1410" s="232">
        <v>0</v>
      </c>
      <c r="G1410" s="232">
        <v>0</v>
      </c>
      <c r="H1410" s="295"/>
      <c r="I1410" s="180"/>
      <c r="J1410" s="47"/>
      <c r="K1410" s="15"/>
    </row>
    <row r="1411" spans="1:11" s="16" customFormat="1" ht="26.25" outlineLevel="3">
      <c r="A1411" s="14"/>
      <c r="B1411" s="35"/>
      <c r="C1411" s="303" t="s">
        <v>770</v>
      </c>
      <c r="D1411" s="230"/>
      <c r="E1411" s="247"/>
      <c r="F1411" s="232">
        <v>0</v>
      </c>
      <c r="G1411" s="232">
        <v>0</v>
      </c>
      <c r="H1411" s="295"/>
      <c r="I1411" s="180"/>
      <c r="J1411" s="47"/>
      <c r="K1411" s="15"/>
    </row>
    <row r="1412" spans="1:11" s="16" customFormat="1" ht="25.5" outlineLevel="3">
      <c r="A1412" s="14"/>
      <c r="B1412" s="35">
        <f>MAXA($B$10:B1411)+1</f>
        <v>525</v>
      </c>
      <c r="C1412" s="245" t="s">
        <v>771</v>
      </c>
      <c r="D1412" s="233" t="s">
        <v>44</v>
      </c>
      <c r="E1412" s="247">
        <v>3</v>
      </c>
      <c r="F1412" s="232">
        <v>963497</v>
      </c>
      <c r="G1412" s="232">
        <v>200088</v>
      </c>
      <c r="H1412" s="138">
        <f t="shared" ref="H1412:H1420" si="149">G1412+F1412</f>
        <v>1163585</v>
      </c>
      <c r="I1412" s="138">
        <f t="shared" ref="I1412:I1420" si="150">H1412*E1412</f>
        <v>3490755</v>
      </c>
      <c r="J1412" s="47"/>
      <c r="K1412" s="15"/>
    </row>
    <row r="1413" spans="1:11" s="16" customFormat="1" ht="25.5" outlineLevel="3">
      <c r="A1413" s="14"/>
      <c r="B1413" s="35">
        <f>MAXA($B$10:B1412)+1</f>
        <v>526</v>
      </c>
      <c r="C1413" s="245" t="s">
        <v>772</v>
      </c>
      <c r="D1413" s="233" t="s">
        <v>44</v>
      </c>
      <c r="E1413" s="247">
        <v>1</v>
      </c>
      <c r="F1413" s="232">
        <v>985131</v>
      </c>
      <c r="G1413" s="232">
        <v>200088</v>
      </c>
      <c r="H1413" s="138">
        <f t="shared" si="149"/>
        <v>1185219</v>
      </c>
      <c r="I1413" s="138">
        <f t="shared" si="150"/>
        <v>1185219</v>
      </c>
      <c r="J1413" s="47"/>
      <c r="K1413" s="15"/>
    </row>
    <row r="1414" spans="1:11" s="16" customFormat="1" ht="25.5" outlineLevel="3">
      <c r="A1414" s="14"/>
      <c r="B1414" s="35">
        <f>MAXA($B$10:B1413)+1</f>
        <v>527</v>
      </c>
      <c r="C1414" s="245" t="s">
        <v>773</v>
      </c>
      <c r="D1414" s="233" t="s">
        <v>44</v>
      </c>
      <c r="E1414" s="247">
        <v>2</v>
      </c>
      <c r="F1414" s="232">
        <v>623369</v>
      </c>
      <c r="G1414" s="232">
        <v>162572</v>
      </c>
      <c r="H1414" s="138">
        <f t="shared" si="149"/>
        <v>785941</v>
      </c>
      <c r="I1414" s="138">
        <f t="shared" si="150"/>
        <v>1571882</v>
      </c>
      <c r="J1414" s="47"/>
      <c r="K1414" s="15"/>
    </row>
    <row r="1415" spans="1:11" s="16" customFormat="1" ht="25.5" outlineLevel="3">
      <c r="A1415" s="14"/>
      <c r="B1415" s="35">
        <f>MAXA($B$10:B1414)+1</f>
        <v>528</v>
      </c>
      <c r="C1415" s="245" t="s">
        <v>774</v>
      </c>
      <c r="D1415" s="233" t="s">
        <v>44</v>
      </c>
      <c r="E1415" s="247">
        <v>1</v>
      </c>
      <c r="F1415" s="232">
        <v>452436</v>
      </c>
      <c r="G1415" s="232">
        <v>137561</v>
      </c>
      <c r="H1415" s="138">
        <f t="shared" si="149"/>
        <v>589997</v>
      </c>
      <c r="I1415" s="138">
        <f t="shared" si="150"/>
        <v>589997</v>
      </c>
      <c r="J1415" s="47"/>
      <c r="K1415" s="15"/>
    </row>
    <row r="1416" spans="1:11" s="16" customFormat="1" ht="25.5" outlineLevel="3">
      <c r="A1416" s="14"/>
      <c r="B1416" s="35">
        <f>MAXA($B$10:B1415)+1</f>
        <v>529</v>
      </c>
      <c r="C1416" s="245" t="s">
        <v>775</v>
      </c>
      <c r="D1416" s="233" t="s">
        <v>44</v>
      </c>
      <c r="E1416" s="247">
        <v>3</v>
      </c>
      <c r="F1416" s="232">
        <v>467660</v>
      </c>
      <c r="G1416" s="232">
        <v>137561</v>
      </c>
      <c r="H1416" s="138">
        <f t="shared" si="149"/>
        <v>605221</v>
      </c>
      <c r="I1416" s="138">
        <f t="shared" si="150"/>
        <v>1815663</v>
      </c>
      <c r="J1416" s="47"/>
      <c r="K1416" s="15"/>
    </row>
    <row r="1417" spans="1:11" s="16" customFormat="1" ht="25.5" outlineLevel="3">
      <c r="A1417" s="14"/>
      <c r="B1417" s="35">
        <f>MAXA($B$10:B1416)+1</f>
        <v>530</v>
      </c>
      <c r="C1417" s="245" t="s">
        <v>776</v>
      </c>
      <c r="D1417" s="233" t="s">
        <v>44</v>
      </c>
      <c r="E1417" s="247">
        <v>15</v>
      </c>
      <c r="F1417" s="232">
        <v>390206</v>
      </c>
      <c r="G1417" s="232">
        <v>125055</v>
      </c>
      <c r="H1417" s="138">
        <f t="shared" si="149"/>
        <v>515261</v>
      </c>
      <c r="I1417" s="138">
        <f t="shared" si="150"/>
        <v>7728915</v>
      </c>
      <c r="J1417" s="47"/>
      <c r="K1417" s="15"/>
    </row>
    <row r="1418" spans="1:11" s="16" customFormat="1" ht="25.5" outlineLevel="3">
      <c r="A1418" s="14"/>
      <c r="B1418" s="35">
        <f>MAXA($B$10:B1417)+1</f>
        <v>531</v>
      </c>
      <c r="C1418" s="245" t="s">
        <v>777</v>
      </c>
      <c r="D1418" s="233" t="s">
        <v>44</v>
      </c>
      <c r="E1418" s="247">
        <v>10</v>
      </c>
      <c r="F1418" s="232">
        <v>335054</v>
      </c>
      <c r="G1418" s="232">
        <v>112550</v>
      </c>
      <c r="H1418" s="138">
        <f t="shared" si="149"/>
        <v>447604</v>
      </c>
      <c r="I1418" s="138">
        <f t="shared" si="150"/>
        <v>4476040</v>
      </c>
      <c r="J1418" s="47"/>
      <c r="K1418" s="15"/>
    </row>
    <row r="1419" spans="1:11" s="16" customFormat="1" ht="25.5" outlineLevel="3">
      <c r="A1419" s="14"/>
      <c r="B1419" s="35">
        <f>MAXA($B$10:B1418)+1</f>
        <v>532</v>
      </c>
      <c r="C1419" s="245" t="s">
        <v>778</v>
      </c>
      <c r="D1419" s="233" t="s">
        <v>44</v>
      </c>
      <c r="E1419" s="247">
        <v>13</v>
      </c>
      <c r="F1419" s="232">
        <v>269085</v>
      </c>
      <c r="G1419" s="232">
        <v>100044</v>
      </c>
      <c r="H1419" s="138">
        <f t="shared" si="149"/>
        <v>369129</v>
      </c>
      <c r="I1419" s="138">
        <f t="shared" si="150"/>
        <v>4798677</v>
      </c>
      <c r="J1419" s="47"/>
      <c r="K1419" s="15"/>
    </row>
    <row r="1420" spans="1:11" s="16" customFormat="1" ht="25.5" outlineLevel="3">
      <c r="A1420" s="14"/>
      <c r="B1420" s="35">
        <f>MAXA($B$10:B1419)+1</f>
        <v>533</v>
      </c>
      <c r="C1420" s="245" t="s">
        <v>779</v>
      </c>
      <c r="D1420" s="233" t="s">
        <v>44</v>
      </c>
      <c r="E1420" s="247">
        <v>16</v>
      </c>
      <c r="F1420" s="232">
        <v>222746</v>
      </c>
      <c r="G1420" s="232">
        <v>100044</v>
      </c>
      <c r="H1420" s="138">
        <f t="shared" si="149"/>
        <v>322790</v>
      </c>
      <c r="I1420" s="138">
        <f t="shared" si="150"/>
        <v>5164640</v>
      </c>
      <c r="J1420" s="47"/>
      <c r="K1420" s="15"/>
    </row>
    <row r="1421" spans="1:11" s="16" customFormat="1" ht="26.25" outlineLevel="3">
      <c r="A1421" s="14"/>
      <c r="B1421" s="58"/>
      <c r="C1421" s="303" t="s">
        <v>780</v>
      </c>
      <c r="D1421" s="259"/>
      <c r="E1421" s="247"/>
      <c r="F1421" s="232">
        <v>0</v>
      </c>
      <c r="G1421" s="232">
        <v>0</v>
      </c>
      <c r="H1421" s="295"/>
      <c r="I1421" s="180"/>
      <c r="J1421" s="47"/>
      <c r="K1421" s="15"/>
    </row>
    <row r="1422" spans="1:11" s="16" customFormat="1" ht="25.5" outlineLevel="3">
      <c r="A1422" s="14"/>
      <c r="B1422" s="35">
        <f>MAXA(B$5:B1421)+1</f>
        <v>534</v>
      </c>
      <c r="C1422" s="245" t="s">
        <v>781</v>
      </c>
      <c r="D1422" s="233" t="s">
        <v>44</v>
      </c>
      <c r="E1422" s="247">
        <v>8</v>
      </c>
      <c r="F1422" s="232">
        <v>1819094</v>
      </c>
      <c r="G1422" s="232">
        <v>300132</v>
      </c>
      <c r="H1422" s="138">
        <f>G1422+F1422</f>
        <v>2119226</v>
      </c>
      <c r="I1422" s="138">
        <f>H1422*E1422</f>
        <v>16953808</v>
      </c>
      <c r="J1422" s="47"/>
      <c r="K1422" s="15"/>
    </row>
    <row r="1423" spans="1:11" s="16" customFormat="1" ht="26.25" outlineLevel="3">
      <c r="A1423" s="14"/>
      <c r="B1423" s="35"/>
      <c r="C1423" s="303" t="s">
        <v>782</v>
      </c>
      <c r="D1423" s="230"/>
      <c r="E1423" s="247"/>
      <c r="F1423" s="232">
        <v>0</v>
      </c>
      <c r="G1423" s="232">
        <v>0</v>
      </c>
      <c r="H1423" s="295"/>
      <c r="I1423" s="180"/>
      <c r="J1423" s="47"/>
      <c r="K1423" s="15"/>
    </row>
    <row r="1424" spans="1:11" s="16" customFormat="1" ht="25.5" outlineLevel="3">
      <c r="A1424" s="14"/>
      <c r="B1424" s="35">
        <f>MAXA(B$5:B1423)+1</f>
        <v>535</v>
      </c>
      <c r="C1424" s="245" t="s">
        <v>783</v>
      </c>
      <c r="D1424" s="233" t="s">
        <v>44</v>
      </c>
      <c r="E1424" s="247">
        <v>1</v>
      </c>
      <c r="F1424" s="232">
        <v>5560241</v>
      </c>
      <c r="G1424" s="232">
        <v>425187</v>
      </c>
      <c r="H1424" s="138">
        <f>G1424+F1424</f>
        <v>5985428</v>
      </c>
      <c r="I1424" s="138">
        <f>H1424*E1424</f>
        <v>5985428</v>
      </c>
      <c r="J1424" s="47"/>
      <c r="K1424" s="15"/>
    </row>
    <row r="1425" spans="1:11" s="16" customFormat="1" ht="26.25" outlineLevel="3">
      <c r="A1425" s="14"/>
      <c r="B1425" s="35"/>
      <c r="C1425" s="293" t="s">
        <v>784</v>
      </c>
      <c r="D1425" s="230"/>
      <c r="E1425" s="247"/>
      <c r="F1425" s="232">
        <v>0</v>
      </c>
      <c r="G1425" s="232">
        <v>0</v>
      </c>
      <c r="H1425" s="295"/>
      <c r="I1425" s="180"/>
      <c r="J1425" s="47"/>
      <c r="K1425" s="15"/>
    </row>
    <row r="1426" spans="1:11" s="16" customFormat="1" ht="25.5" outlineLevel="3">
      <c r="A1426" s="14"/>
      <c r="B1426" s="35">
        <f>MAXA($B$10:B1425)+1</f>
        <v>536</v>
      </c>
      <c r="C1426" s="245" t="s">
        <v>785</v>
      </c>
      <c r="D1426" s="230" t="s">
        <v>28</v>
      </c>
      <c r="E1426" s="247">
        <v>1</v>
      </c>
      <c r="F1426" s="232">
        <v>3849182</v>
      </c>
      <c r="G1426" s="232">
        <v>456451</v>
      </c>
      <c r="H1426" s="138">
        <f t="shared" ref="H1426:H1439" si="151">G1426+F1426</f>
        <v>4305633</v>
      </c>
      <c r="I1426" s="138">
        <f t="shared" ref="I1426:I1439" si="152">H1426*E1426</f>
        <v>4305633</v>
      </c>
      <c r="J1426" s="47"/>
      <c r="K1426" s="15"/>
    </row>
    <row r="1427" spans="1:11" s="16" customFormat="1" ht="25.5" outlineLevel="3">
      <c r="A1427" s="14"/>
      <c r="B1427" s="35">
        <f>MAXA($B$10:B1426)+1</f>
        <v>537</v>
      </c>
      <c r="C1427" s="245" t="s">
        <v>786</v>
      </c>
      <c r="D1427" s="230" t="s">
        <v>28</v>
      </c>
      <c r="E1427" s="247">
        <v>1</v>
      </c>
      <c r="F1427" s="232">
        <v>3643262</v>
      </c>
      <c r="G1427" s="232">
        <v>325143</v>
      </c>
      <c r="H1427" s="138">
        <f t="shared" si="151"/>
        <v>3968405</v>
      </c>
      <c r="I1427" s="138">
        <f t="shared" si="152"/>
        <v>3968405</v>
      </c>
      <c r="J1427" s="47"/>
      <c r="K1427" s="15"/>
    </row>
    <row r="1428" spans="1:11" s="16" customFormat="1" ht="25.5" outlineLevel="3">
      <c r="A1428" s="14"/>
      <c r="B1428" s="35">
        <f>MAXA($B$10:B1427)+1</f>
        <v>538</v>
      </c>
      <c r="C1428" s="245" t="s">
        <v>787</v>
      </c>
      <c r="D1428" s="230" t="s">
        <v>28</v>
      </c>
      <c r="E1428" s="247">
        <v>1</v>
      </c>
      <c r="F1428" s="232">
        <v>3532957</v>
      </c>
      <c r="G1428" s="232">
        <v>312638</v>
      </c>
      <c r="H1428" s="138">
        <f t="shared" si="151"/>
        <v>3845595</v>
      </c>
      <c r="I1428" s="138">
        <f t="shared" si="152"/>
        <v>3845595</v>
      </c>
      <c r="J1428" s="47"/>
      <c r="K1428" s="15"/>
    </row>
    <row r="1429" spans="1:11" s="16" customFormat="1" ht="25.5" outlineLevel="3">
      <c r="A1429" s="14"/>
      <c r="B1429" s="35">
        <f>MAXA($B$10:B1428)+1</f>
        <v>539</v>
      </c>
      <c r="C1429" s="245" t="s">
        <v>788</v>
      </c>
      <c r="D1429" s="230" t="s">
        <v>28</v>
      </c>
      <c r="E1429" s="247">
        <v>1</v>
      </c>
      <c r="F1429" s="232">
        <v>2544621</v>
      </c>
      <c r="G1429" s="232">
        <v>268868</v>
      </c>
      <c r="H1429" s="138">
        <f t="shared" si="151"/>
        <v>2813489</v>
      </c>
      <c r="I1429" s="138">
        <f t="shared" si="152"/>
        <v>2813489</v>
      </c>
      <c r="J1429" s="47"/>
      <c r="K1429" s="15"/>
    </row>
    <row r="1430" spans="1:11" s="16" customFormat="1" ht="25.5" outlineLevel="3">
      <c r="A1430" s="14"/>
      <c r="B1430" s="35">
        <f>MAXA($B$10:B1429)+1</f>
        <v>540</v>
      </c>
      <c r="C1430" s="245" t="s">
        <v>789</v>
      </c>
      <c r="D1430" s="230" t="s">
        <v>28</v>
      </c>
      <c r="E1430" s="247">
        <v>1</v>
      </c>
      <c r="F1430" s="232">
        <v>1771019</v>
      </c>
      <c r="G1430" s="232">
        <v>250110</v>
      </c>
      <c r="H1430" s="138">
        <f t="shared" si="151"/>
        <v>2021129</v>
      </c>
      <c r="I1430" s="138">
        <f t="shared" si="152"/>
        <v>2021129</v>
      </c>
      <c r="J1430" s="47"/>
      <c r="K1430" s="15"/>
    </row>
    <row r="1431" spans="1:11" s="16" customFormat="1" ht="25.5" outlineLevel="3">
      <c r="A1431" s="14"/>
      <c r="B1431" s="35">
        <f>MAXA($B$10:B1430)+1</f>
        <v>541</v>
      </c>
      <c r="C1431" s="245" t="s">
        <v>790</v>
      </c>
      <c r="D1431" s="230" t="s">
        <v>28</v>
      </c>
      <c r="E1431" s="247">
        <v>1</v>
      </c>
      <c r="F1431" s="232">
        <v>1926194</v>
      </c>
      <c r="G1431" s="232">
        <v>250110</v>
      </c>
      <c r="H1431" s="138">
        <f t="shared" si="151"/>
        <v>2176304</v>
      </c>
      <c r="I1431" s="138">
        <f t="shared" si="152"/>
        <v>2176304</v>
      </c>
      <c r="J1431" s="47"/>
      <c r="K1431" s="15"/>
    </row>
    <row r="1432" spans="1:11" s="16" customFormat="1" ht="25.5" outlineLevel="3">
      <c r="A1432" s="14"/>
      <c r="B1432" s="35">
        <f>MAXA($B$10:B1431)+1</f>
        <v>542</v>
      </c>
      <c r="C1432" s="245" t="s">
        <v>791</v>
      </c>
      <c r="D1432" s="230" t="s">
        <v>28</v>
      </c>
      <c r="E1432" s="247">
        <v>1</v>
      </c>
      <c r="F1432" s="232">
        <v>1700910</v>
      </c>
      <c r="G1432" s="232">
        <v>250110</v>
      </c>
      <c r="H1432" s="138">
        <f t="shared" si="151"/>
        <v>1951020</v>
      </c>
      <c r="I1432" s="138">
        <f t="shared" si="152"/>
        <v>1951020</v>
      </c>
      <c r="J1432" s="47"/>
      <c r="K1432" s="15"/>
    </row>
    <row r="1433" spans="1:11" s="16" customFormat="1" ht="25.5" outlineLevel="3">
      <c r="A1433" s="14"/>
      <c r="B1433" s="35">
        <f>MAXA($B$10:B1432)+1</f>
        <v>543</v>
      </c>
      <c r="C1433" s="245" t="s">
        <v>792</v>
      </c>
      <c r="D1433" s="230" t="s">
        <v>28</v>
      </c>
      <c r="E1433" s="247">
        <v>1</v>
      </c>
      <c r="F1433" s="232">
        <v>1470686</v>
      </c>
      <c r="G1433" s="232">
        <v>250110</v>
      </c>
      <c r="H1433" s="138">
        <f t="shared" si="151"/>
        <v>1720796</v>
      </c>
      <c r="I1433" s="138">
        <f t="shared" si="152"/>
        <v>1720796</v>
      </c>
      <c r="J1433" s="47"/>
      <c r="K1433" s="15"/>
    </row>
    <row r="1434" spans="1:11" s="16" customFormat="1" ht="25.5" outlineLevel="3">
      <c r="A1434" s="14"/>
      <c r="B1434" s="35">
        <f>MAXA($B$10:B1433)+1</f>
        <v>544</v>
      </c>
      <c r="C1434" s="245" t="s">
        <v>793</v>
      </c>
      <c r="D1434" s="230" t="s">
        <v>28</v>
      </c>
      <c r="E1434" s="247">
        <v>3</v>
      </c>
      <c r="F1434" s="232">
        <v>1382816</v>
      </c>
      <c r="G1434" s="232">
        <v>250110</v>
      </c>
      <c r="H1434" s="138">
        <f t="shared" si="151"/>
        <v>1632926</v>
      </c>
      <c r="I1434" s="138">
        <f t="shared" si="152"/>
        <v>4898778</v>
      </c>
      <c r="J1434" s="47"/>
      <c r="K1434" s="15"/>
    </row>
    <row r="1435" spans="1:11" s="16" customFormat="1" ht="25.5" outlineLevel="3">
      <c r="A1435" s="14"/>
      <c r="B1435" s="35">
        <f>MAXA($B$10:B1434)+1</f>
        <v>545</v>
      </c>
      <c r="C1435" s="245" t="s">
        <v>794</v>
      </c>
      <c r="D1435" s="230" t="s">
        <v>28</v>
      </c>
      <c r="E1435" s="247">
        <v>1</v>
      </c>
      <c r="F1435" s="232">
        <v>1293343</v>
      </c>
      <c r="G1435" s="232">
        <v>250110</v>
      </c>
      <c r="H1435" s="138">
        <f t="shared" si="151"/>
        <v>1543453</v>
      </c>
      <c r="I1435" s="138">
        <f t="shared" si="152"/>
        <v>1543453</v>
      </c>
      <c r="J1435" s="47"/>
      <c r="K1435" s="15"/>
    </row>
    <row r="1436" spans="1:11" s="16" customFormat="1" ht="25.5" outlineLevel="3">
      <c r="A1436" s="14"/>
      <c r="B1436" s="35">
        <f>MAXA($B$10:B1435)+1</f>
        <v>546</v>
      </c>
      <c r="C1436" s="245" t="s">
        <v>795</v>
      </c>
      <c r="D1436" s="230" t="s">
        <v>28</v>
      </c>
      <c r="E1436" s="247">
        <v>6</v>
      </c>
      <c r="F1436" s="232">
        <v>1205473</v>
      </c>
      <c r="G1436" s="232">
        <v>250110</v>
      </c>
      <c r="H1436" s="138">
        <f t="shared" si="151"/>
        <v>1455583</v>
      </c>
      <c r="I1436" s="138">
        <f t="shared" si="152"/>
        <v>8733498</v>
      </c>
      <c r="J1436" s="47"/>
      <c r="K1436" s="15"/>
    </row>
    <row r="1437" spans="1:11" s="16" customFormat="1" ht="25.5" outlineLevel="3">
      <c r="A1437" s="14"/>
      <c r="B1437" s="35">
        <f>MAXA(B$5:B1436)+1</f>
        <v>547</v>
      </c>
      <c r="C1437" s="245" t="s">
        <v>796</v>
      </c>
      <c r="D1437" s="230" t="s">
        <v>28</v>
      </c>
      <c r="E1437" s="247">
        <v>1</v>
      </c>
      <c r="F1437" s="232">
        <v>1114132</v>
      </c>
      <c r="G1437" s="232">
        <v>250110</v>
      </c>
      <c r="H1437" s="138">
        <f t="shared" si="151"/>
        <v>1364242</v>
      </c>
      <c r="I1437" s="138">
        <f t="shared" si="152"/>
        <v>1364242</v>
      </c>
      <c r="J1437" s="47"/>
      <c r="K1437" s="15"/>
    </row>
    <row r="1438" spans="1:11" s="16" customFormat="1" ht="25.5" outlineLevel="3">
      <c r="A1438" s="14"/>
      <c r="B1438" s="35">
        <f>MAXA(B$5:B1437)+1</f>
        <v>548</v>
      </c>
      <c r="C1438" s="245" t="s">
        <v>797</v>
      </c>
      <c r="D1438" s="230" t="s">
        <v>28</v>
      </c>
      <c r="E1438" s="247">
        <v>1</v>
      </c>
      <c r="F1438" s="232">
        <v>1026395</v>
      </c>
      <c r="G1438" s="232">
        <v>250110</v>
      </c>
      <c r="H1438" s="138">
        <f t="shared" si="151"/>
        <v>1276505</v>
      </c>
      <c r="I1438" s="138">
        <f t="shared" si="152"/>
        <v>1276505</v>
      </c>
      <c r="J1438" s="47"/>
      <c r="K1438" s="15"/>
    </row>
    <row r="1439" spans="1:11" s="16" customFormat="1" ht="25.5" outlineLevel="3">
      <c r="A1439" s="14"/>
      <c r="B1439" s="35">
        <f>MAXA(B$5:B1438)+1</f>
        <v>549</v>
      </c>
      <c r="C1439" s="245" t="s">
        <v>798</v>
      </c>
      <c r="D1439" s="230" t="s">
        <v>28</v>
      </c>
      <c r="E1439" s="247">
        <v>1</v>
      </c>
      <c r="F1439" s="232">
        <v>940395</v>
      </c>
      <c r="G1439" s="232">
        <v>250110</v>
      </c>
      <c r="H1439" s="138">
        <f t="shared" si="151"/>
        <v>1190505</v>
      </c>
      <c r="I1439" s="138">
        <f t="shared" si="152"/>
        <v>1190505</v>
      </c>
      <c r="J1439" s="47"/>
      <c r="K1439" s="15"/>
    </row>
    <row r="1440" spans="1:11" s="16" customFormat="1" ht="26.25" outlineLevel="3">
      <c r="A1440" s="14"/>
      <c r="B1440" s="58"/>
      <c r="C1440" s="293" t="s">
        <v>799</v>
      </c>
      <c r="D1440" s="259"/>
      <c r="E1440" s="247"/>
      <c r="F1440" s="232">
        <v>0</v>
      </c>
      <c r="G1440" s="232">
        <v>0</v>
      </c>
      <c r="H1440" s="295"/>
      <c r="I1440" s="180"/>
      <c r="J1440" s="47"/>
      <c r="K1440" s="15"/>
    </row>
    <row r="1441" spans="1:11" s="16" customFormat="1" ht="25.5" outlineLevel="3">
      <c r="A1441" s="14"/>
      <c r="B1441" s="35">
        <f>MAXA(B$5:B1440)+1</f>
        <v>550</v>
      </c>
      <c r="C1441" s="245" t="s">
        <v>800</v>
      </c>
      <c r="D1441" s="233" t="s">
        <v>44</v>
      </c>
      <c r="E1441" s="247">
        <v>1</v>
      </c>
      <c r="F1441" s="232">
        <v>335989</v>
      </c>
      <c r="G1441" s="232">
        <v>187583</v>
      </c>
      <c r="H1441" s="138">
        <f>G1441+F1441</f>
        <v>523572</v>
      </c>
      <c r="I1441" s="138">
        <f>H1441*E1441</f>
        <v>523572</v>
      </c>
      <c r="J1441" s="47"/>
      <c r="K1441" s="15"/>
    </row>
    <row r="1442" spans="1:11" s="16" customFormat="1" ht="25.5" outlineLevel="3">
      <c r="A1442" s="14"/>
      <c r="B1442" s="35">
        <f>MAXA(B$5:B1441)+1</f>
        <v>551</v>
      </c>
      <c r="C1442" s="245" t="s">
        <v>801</v>
      </c>
      <c r="D1442" s="233" t="s">
        <v>44</v>
      </c>
      <c r="E1442" s="247">
        <v>1</v>
      </c>
      <c r="F1442" s="232">
        <v>205386</v>
      </c>
      <c r="G1442" s="232">
        <v>112550</v>
      </c>
      <c r="H1442" s="138">
        <f>G1442+F1442</f>
        <v>317936</v>
      </c>
      <c r="I1442" s="138">
        <f>H1442*E1442</f>
        <v>317936</v>
      </c>
      <c r="J1442" s="47"/>
      <c r="K1442" s="15"/>
    </row>
    <row r="1443" spans="1:11" s="16" customFormat="1" ht="25.5" outlineLevel="3">
      <c r="A1443" s="14"/>
      <c r="B1443" s="35">
        <f>MAXA(B$5:B1442)+1</f>
        <v>552</v>
      </c>
      <c r="C1443" s="245" t="s">
        <v>802</v>
      </c>
      <c r="D1443" s="233" t="s">
        <v>44</v>
      </c>
      <c r="E1443" s="247">
        <f>1+1</f>
        <v>2</v>
      </c>
      <c r="F1443" s="232">
        <v>233029</v>
      </c>
      <c r="G1443" s="232">
        <v>125055</v>
      </c>
      <c r="H1443" s="138">
        <f>G1443+F1443</f>
        <v>358084</v>
      </c>
      <c r="I1443" s="138">
        <f>H1443*E1443</f>
        <v>716168</v>
      </c>
      <c r="J1443" s="47"/>
      <c r="K1443" s="15"/>
    </row>
    <row r="1444" spans="1:11" s="16" customFormat="1" ht="25.5" outlineLevel="3">
      <c r="A1444" s="14"/>
      <c r="B1444" s="35">
        <f>MAXA(B$5:B1443)+1</f>
        <v>553</v>
      </c>
      <c r="C1444" s="245" t="s">
        <v>803</v>
      </c>
      <c r="D1444" s="233" t="s">
        <v>44</v>
      </c>
      <c r="E1444" s="247">
        <v>3</v>
      </c>
      <c r="F1444" s="232">
        <v>191631</v>
      </c>
      <c r="G1444" s="232">
        <v>100044</v>
      </c>
      <c r="H1444" s="138">
        <f>G1444+F1444</f>
        <v>291675</v>
      </c>
      <c r="I1444" s="138">
        <f>H1444*E1444</f>
        <v>875025</v>
      </c>
      <c r="J1444" s="47"/>
      <c r="K1444" s="15"/>
    </row>
    <row r="1445" spans="1:11" s="16" customFormat="1" ht="25.5" outlineLevel="3">
      <c r="A1445" s="14"/>
      <c r="B1445" s="35">
        <f>MAXA(B$5:B1444)+1</f>
        <v>554</v>
      </c>
      <c r="C1445" s="245" t="s">
        <v>804</v>
      </c>
      <c r="D1445" s="233" t="s">
        <v>44</v>
      </c>
      <c r="E1445" s="247">
        <v>1</v>
      </c>
      <c r="F1445" s="232">
        <v>150100</v>
      </c>
      <c r="G1445" s="232">
        <v>75033</v>
      </c>
      <c r="H1445" s="138">
        <f>G1445+F1445</f>
        <v>225133</v>
      </c>
      <c r="I1445" s="138">
        <f>H1445*E1445</f>
        <v>225133</v>
      </c>
      <c r="J1445" s="47"/>
      <c r="K1445" s="15"/>
    </row>
    <row r="1446" spans="1:11" s="16" customFormat="1" ht="26.25" outlineLevel="3">
      <c r="A1446" s="14"/>
      <c r="B1446" s="35"/>
      <c r="C1446" s="293" t="s">
        <v>805</v>
      </c>
      <c r="D1446" s="230"/>
      <c r="E1446" s="247"/>
      <c r="F1446" s="232">
        <v>0</v>
      </c>
      <c r="G1446" s="232">
        <v>0</v>
      </c>
      <c r="H1446" s="295"/>
      <c r="I1446" s="180"/>
      <c r="J1446" s="47"/>
      <c r="K1446" s="15"/>
    </row>
    <row r="1447" spans="1:11" s="16" customFormat="1" ht="25.5" outlineLevel="3">
      <c r="A1447" s="14"/>
      <c r="B1447" s="35">
        <f>MAXA($B$10:B1446)+1</f>
        <v>555</v>
      </c>
      <c r="C1447" s="245" t="s">
        <v>806</v>
      </c>
      <c r="D1447" s="230" t="s">
        <v>28</v>
      </c>
      <c r="E1447" s="247">
        <v>1</v>
      </c>
      <c r="F1447" s="232">
        <v>4845798</v>
      </c>
      <c r="G1447" s="232">
        <v>712814</v>
      </c>
      <c r="H1447" s="138">
        <f t="shared" ref="H1447:H1457" si="153">G1447+F1447</f>
        <v>5558612</v>
      </c>
      <c r="I1447" s="138">
        <f t="shared" ref="I1447:I1457" si="154">H1447*E1447</f>
        <v>5558612</v>
      </c>
      <c r="J1447" s="47"/>
      <c r="K1447" s="15"/>
    </row>
    <row r="1448" spans="1:11" s="16" customFormat="1" ht="25.5" outlineLevel="3">
      <c r="A1448" s="14"/>
      <c r="B1448" s="35">
        <f>MAXA($B$10:B1447)+1</f>
        <v>556</v>
      </c>
      <c r="C1448" s="245" t="s">
        <v>807</v>
      </c>
      <c r="D1448" s="230" t="s">
        <v>28</v>
      </c>
      <c r="E1448" s="247">
        <v>1</v>
      </c>
      <c r="F1448" s="232">
        <v>1448918</v>
      </c>
      <c r="G1448" s="232">
        <v>200088</v>
      </c>
      <c r="H1448" s="138">
        <f t="shared" si="153"/>
        <v>1649006</v>
      </c>
      <c r="I1448" s="138">
        <f t="shared" si="154"/>
        <v>1649006</v>
      </c>
      <c r="J1448" s="47"/>
      <c r="K1448" s="15"/>
    </row>
    <row r="1449" spans="1:11" s="16" customFormat="1" ht="25.5" outlineLevel="3">
      <c r="A1449" s="14"/>
      <c r="B1449" s="35">
        <f>MAXA($B$10:B1448)+1</f>
        <v>557</v>
      </c>
      <c r="C1449" s="245" t="s">
        <v>808</v>
      </c>
      <c r="D1449" s="230" t="s">
        <v>28</v>
      </c>
      <c r="E1449" s="247">
        <v>1</v>
      </c>
      <c r="F1449" s="232">
        <v>894857</v>
      </c>
      <c r="G1449" s="232">
        <v>143813</v>
      </c>
      <c r="H1449" s="138">
        <f t="shared" si="153"/>
        <v>1038670</v>
      </c>
      <c r="I1449" s="138">
        <f t="shared" si="154"/>
        <v>1038670</v>
      </c>
      <c r="J1449" s="47"/>
      <c r="K1449" s="15"/>
    </row>
    <row r="1450" spans="1:11" s="16" customFormat="1" ht="25.5" outlineLevel="3">
      <c r="A1450" s="14"/>
      <c r="B1450" s="35">
        <f>MAXA($B$10:B1449)+1</f>
        <v>558</v>
      </c>
      <c r="C1450" s="245" t="s">
        <v>809</v>
      </c>
      <c r="D1450" s="230" t="s">
        <v>28</v>
      </c>
      <c r="E1450" s="247">
        <v>1</v>
      </c>
      <c r="F1450" s="232">
        <v>798441</v>
      </c>
      <c r="G1450" s="232">
        <v>125055</v>
      </c>
      <c r="H1450" s="138">
        <f t="shared" si="153"/>
        <v>923496</v>
      </c>
      <c r="I1450" s="138">
        <f t="shared" si="154"/>
        <v>923496</v>
      </c>
      <c r="J1450" s="47"/>
      <c r="K1450" s="15"/>
    </row>
    <row r="1451" spans="1:11" s="16" customFormat="1" ht="25.5" outlineLevel="3">
      <c r="A1451" s="14"/>
      <c r="B1451" s="35">
        <f>MAXA($B$10:B1450)+1</f>
        <v>559</v>
      </c>
      <c r="C1451" s="245" t="s">
        <v>810</v>
      </c>
      <c r="D1451" s="230" t="s">
        <v>28</v>
      </c>
      <c r="E1451" s="247">
        <v>1</v>
      </c>
      <c r="F1451" s="232">
        <v>693878</v>
      </c>
      <c r="G1451" s="232">
        <v>118802</v>
      </c>
      <c r="H1451" s="138">
        <f t="shared" si="153"/>
        <v>812680</v>
      </c>
      <c r="I1451" s="138">
        <f t="shared" si="154"/>
        <v>812680</v>
      </c>
      <c r="J1451" s="47"/>
      <c r="K1451" s="15"/>
    </row>
    <row r="1452" spans="1:11" s="16" customFormat="1" ht="25.5" outlineLevel="3">
      <c r="A1452" s="14"/>
      <c r="B1452" s="35">
        <f>MAXA($B$10:B1451)+1</f>
        <v>560</v>
      </c>
      <c r="C1452" s="245" t="s">
        <v>811</v>
      </c>
      <c r="D1452" s="230" t="s">
        <v>28</v>
      </c>
      <c r="E1452" s="247">
        <v>1</v>
      </c>
      <c r="F1452" s="232">
        <v>637791</v>
      </c>
      <c r="G1452" s="232">
        <v>106297</v>
      </c>
      <c r="H1452" s="138">
        <f t="shared" si="153"/>
        <v>744088</v>
      </c>
      <c r="I1452" s="138">
        <f t="shared" si="154"/>
        <v>744088</v>
      </c>
      <c r="J1452" s="47"/>
      <c r="K1452" s="15"/>
    </row>
    <row r="1453" spans="1:11" s="16" customFormat="1" ht="25.5" outlineLevel="3">
      <c r="A1453" s="14"/>
      <c r="B1453" s="35">
        <f>MAXA($B$10:B1452)+1</f>
        <v>561</v>
      </c>
      <c r="C1453" s="245" t="s">
        <v>812</v>
      </c>
      <c r="D1453" s="230" t="s">
        <v>28</v>
      </c>
      <c r="E1453" s="247">
        <v>2</v>
      </c>
      <c r="F1453" s="232">
        <v>871621</v>
      </c>
      <c r="G1453" s="232">
        <v>125055</v>
      </c>
      <c r="H1453" s="138">
        <f t="shared" si="153"/>
        <v>996676</v>
      </c>
      <c r="I1453" s="138">
        <f t="shared" si="154"/>
        <v>1993352</v>
      </c>
      <c r="J1453" s="47"/>
      <c r="K1453" s="15"/>
    </row>
    <row r="1454" spans="1:11" s="16" customFormat="1" ht="25.5" outlineLevel="3">
      <c r="A1454" s="14"/>
      <c r="B1454" s="35">
        <f>MAXA($B$10:B1453)+1</f>
        <v>562</v>
      </c>
      <c r="C1454" s="245" t="s">
        <v>813</v>
      </c>
      <c r="D1454" s="230" t="s">
        <v>28</v>
      </c>
      <c r="E1454" s="247">
        <v>2</v>
      </c>
      <c r="F1454" s="232">
        <v>463921</v>
      </c>
      <c r="G1454" s="232">
        <v>87539</v>
      </c>
      <c r="H1454" s="138">
        <f t="shared" si="153"/>
        <v>551460</v>
      </c>
      <c r="I1454" s="138">
        <f t="shared" si="154"/>
        <v>1102920</v>
      </c>
      <c r="J1454" s="47"/>
      <c r="K1454" s="15"/>
    </row>
    <row r="1455" spans="1:11" s="16" customFormat="1" ht="25.5" outlineLevel="3">
      <c r="A1455" s="14"/>
      <c r="B1455" s="35">
        <f>MAXA($B$10:B1454)+1</f>
        <v>563</v>
      </c>
      <c r="C1455" s="245" t="s">
        <v>814</v>
      </c>
      <c r="D1455" s="230" t="s">
        <v>28</v>
      </c>
      <c r="E1455" s="247">
        <v>4</v>
      </c>
      <c r="F1455" s="232">
        <v>357756</v>
      </c>
      <c r="G1455" s="232">
        <v>93791</v>
      </c>
      <c r="H1455" s="138">
        <f t="shared" si="153"/>
        <v>451547</v>
      </c>
      <c r="I1455" s="138">
        <f t="shared" si="154"/>
        <v>1806188</v>
      </c>
      <c r="J1455" s="47"/>
      <c r="K1455" s="15"/>
    </row>
    <row r="1456" spans="1:11" s="16" customFormat="1" ht="25.5" outlineLevel="3">
      <c r="A1456" s="14"/>
      <c r="B1456" s="35">
        <f>MAXA($B$10:B1455)+1</f>
        <v>564</v>
      </c>
      <c r="C1456" s="245" t="s">
        <v>815</v>
      </c>
      <c r="D1456" s="230" t="s">
        <v>28</v>
      </c>
      <c r="E1456" s="247">
        <v>2</v>
      </c>
      <c r="F1456" s="232">
        <v>261206</v>
      </c>
      <c r="G1456" s="232">
        <v>87539</v>
      </c>
      <c r="H1456" s="138">
        <f t="shared" si="153"/>
        <v>348745</v>
      </c>
      <c r="I1456" s="138">
        <f t="shared" si="154"/>
        <v>697490</v>
      </c>
      <c r="J1456" s="47"/>
      <c r="K1456" s="15"/>
    </row>
    <row r="1457" spans="1:14" s="16" customFormat="1" ht="25.5" outlineLevel="3">
      <c r="A1457" s="14"/>
      <c r="B1457" s="35">
        <f>MAXA($B$10:B1456)+1</f>
        <v>565</v>
      </c>
      <c r="C1457" s="245" t="s">
        <v>816</v>
      </c>
      <c r="D1457" s="230" t="s">
        <v>28</v>
      </c>
      <c r="E1457" s="247">
        <v>1</v>
      </c>
      <c r="F1457" s="232">
        <v>237302</v>
      </c>
      <c r="G1457" s="232">
        <v>87539</v>
      </c>
      <c r="H1457" s="138">
        <f t="shared" si="153"/>
        <v>324841</v>
      </c>
      <c r="I1457" s="138">
        <f t="shared" si="154"/>
        <v>324841</v>
      </c>
      <c r="J1457" s="47"/>
      <c r="K1457" s="15"/>
    </row>
    <row r="1458" spans="1:14" s="16" customFormat="1" ht="31.5" outlineLevel="3">
      <c r="A1458" s="14"/>
      <c r="B1458" s="35"/>
      <c r="C1458" s="293" t="s">
        <v>817</v>
      </c>
      <c r="D1458" s="230"/>
      <c r="E1458" s="247"/>
      <c r="F1458" s="232">
        <v>0</v>
      </c>
      <c r="G1458" s="232">
        <v>0</v>
      </c>
      <c r="H1458" s="295"/>
      <c r="I1458" s="180"/>
      <c r="J1458" s="47"/>
      <c r="K1458" s="15"/>
    </row>
    <row r="1459" spans="1:14" s="16" customFormat="1" ht="25.5" outlineLevel="3">
      <c r="A1459" s="14"/>
      <c r="B1459" s="35">
        <f>MAXA(B$5:B1458)+1</f>
        <v>566</v>
      </c>
      <c r="C1459" s="245" t="s">
        <v>818</v>
      </c>
      <c r="D1459" s="233" t="s">
        <v>44</v>
      </c>
      <c r="E1459" s="247">
        <v>1</v>
      </c>
      <c r="F1459" s="232">
        <v>2385708</v>
      </c>
      <c r="G1459" s="232">
        <v>325143</v>
      </c>
      <c r="H1459" s="138">
        <f>G1459+F1459</f>
        <v>2710851</v>
      </c>
      <c r="I1459" s="138">
        <f>H1459*E1459</f>
        <v>2710851</v>
      </c>
      <c r="J1459" s="47"/>
      <c r="K1459" s="15"/>
    </row>
    <row r="1460" spans="1:14" s="16" customFormat="1" ht="26.25" outlineLevel="3">
      <c r="A1460" s="14"/>
      <c r="B1460" s="35"/>
      <c r="C1460" s="293" t="s">
        <v>819</v>
      </c>
      <c r="D1460" s="230"/>
      <c r="E1460" s="247"/>
      <c r="F1460" s="232">
        <v>0</v>
      </c>
      <c r="G1460" s="232">
        <v>0</v>
      </c>
      <c r="H1460" s="295"/>
      <c r="I1460" s="180"/>
      <c r="J1460" s="47"/>
      <c r="K1460" s="15"/>
    </row>
    <row r="1461" spans="1:14" s="16" customFormat="1" ht="25.5" outlineLevel="3">
      <c r="A1461" s="14"/>
      <c r="B1461" s="35">
        <f>MAXA($B$10:B1460)+1</f>
        <v>567</v>
      </c>
      <c r="C1461" s="245" t="s">
        <v>820</v>
      </c>
      <c r="D1461" s="233" t="s">
        <v>44</v>
      </c>
      <c r="E1461" s="247">
        <v>1</v>
      </c>
      <c r="F1461" s="232">
        <v>985131</v>
      </c>
      <c r="G1461" s="232">
        <v>200088</v>
      </c>
      <c r="H1461" s="138">
        <f>G1461+F1461</f>
        <v>1185219</v>
      </c>
      <c r="I1461" s="138">
        <f>H1461*E1461</f>
        <v>1185219</v>
      </c>
      <c r="J1461" s="47"/>
      <c r="K1461" s="15"/>
    </row>
    <row r="1462" spans="1:14" s="16" customFormat="1" ht="25.5" outlineLevel="3">
      <c r="A1462" s="14"/>
      <c r="B1462" s="35">
        <f>MAXA($B$10:B1461)+1</f>
        <v>568</v>
      </c>
      <c r="C1462" s="245" t="s">
        <v>821</v>
      </c>
      <c r="D1462" s="233" t="s">
        <v>44</v>
      </c>
      <c r="E1462" s="247">
        <v>2</v>
      </c>
      <c r="F1462" s="232">
        <v>623369</v>
      </c>
      <c r="G1462" s="232">
        <v>162572</v>
      </c>
      <c r="H1462" s="138">
        <f>G1462+F1462</f>
        <v>785941</v>
      </c>
      <c r="I1462" s="138">
        <f>H1462*E1462</f>
        <v>1571882</v>
      </c>
      <c r="J1462" s="47"/>
      <c r="K1462" s="15"/>
    </row>
    <row r="1463" spans="1:14" s="16" customFormat="1" ht="25.5" outlineLevel="3">
      <c r="A1463" s="14"/>
      <c r="B1463" s="35">
        <f>MAXA($B$10:B1462)+1</f>
        <v>569</v>
      </c>
      <c r="C1463" s="245" t="s">
        <v>822</v>
      </c>
      <c r="D1463" s="233" t="s">
        <v>44</v>
      </c>
      <c r="E1463" s="247">
        <v>4</v>
      </c>
      <c r="F1463" s="232">
        <v>467660</v>
      </c>
      <c r="G1463" s="232">
        <v>137561</v>
      </c>
      <c r="H1463" s="138">
        <f>G1463+F1463</f>
        <v>605221</v>
      </c>
      <c r="I1463" s="138">
        <f>H1463*E1463</f>
        <v>2420884</v>
      </c>
      <c r="J1463" s="47"/>
      <c r="K1463" s="15"/>
    </row>
    <row r="1464" spans="1:14" s="16" customFormat="1" ht="25.5" outlineLevel="3">
      <c r="A1464" s="14"/>
      <c r="B1464" s="35">
        <f>MAXA($B$10:B1463)+1</f>
        <v>570</v>
      </c>
      <c r="C1464" s="245" t="s">
        <v>823</v>
      </c>
      <c r="D1464" s="233" t="s">
        <v>44</v>
      </c>
      <c r="E1464" s="247">
        <v>2</v>
      </c>
      <c r="F1464" s="232">
        <v>335054</v>
      </c>
      <c r="G1464" s="232">
        <v>112550</v>
      </c>
      <c r="H1464" s="138">
        <f>G1464+F1464</f>
        <v>447604</v>
      </c>
      <c r="I1464" s="138">
        <f>H1464*E1464</f>
        <v>895208</v>
      </c>
      <c r="J1464" s="47"/>
      <c r="K1464" s="15"/>
    </row>
    <row r="1465" spans="1:14" s="16" customFormat="1" ht="25.5" outlineLevel="3">
      <c r="A1465" s="14"/>
      <c r="B1465" s="35">
        <f>MAXA($B$10:B1464)+1</f>
        <v>571</v>
      </c>
      <c r="C1465" s="245" t="s">
        <v>824</v>
      </c>
      <c r="D1465" s="233" t="s">
        <v>44</v>
      </c>
      <c r="E1465" s="247">
        <v>1</v>
      </c>
      <c r="F1465" s="232">
        <v>2397459</v>
      </c>
      <c r="G1465" s="232">
        <v>450198</v>
      </c>
      <c r="H1465" s="138">
        <f>G1465+F1465</f>
        <v>2847657</v>
      </c>
      <c r="I1465" s="138">
        <f>H1465*E1465</f>
        <v>2847657</v>
      </c>
      <c r="J1465" s="47"/>
      <c r="K1465" s="15"/>
    </row>
    <row r="1466" spans="1:14" s="16" customFormat="1" ht="31.5" outlineLevel="3">
      <c r="A1466" s="14"/>
      <c r="B1466" s="35"/>
      <c r="C1466" s="293" t="s">
        <v>825</v>
      </c>
      <c r="D1466" s="230"/>
      <c r="E1466" s="247"/>
      <c r="F1466" s="232">
        <v>0</v>
      </c>
      <c r="G1466" s="232">
        <v>0</v>
      </c>
      <c r="H1466" s="295"/>
      <c r="I1466" s="180"/>
      <c r="J1466" s="47"/>
      <c r="K1466" s="15"/>
    </row>
    <row r="1467" spans="1:14" s="16" customFormat="1" ht="25.5" outlineLevel="3">
      <c r="A1467" s="14"/>
      <c r="B1467" s="35">
        <f>MAXA(B$5:B1466)+1</f>
        <v>572</v>
      </c>
      <c r="C1467" s="245" t="s">
        <v>826</v>
      </c>
      <c r="D1467" s="233" t="s">
        <v>44</v>
      </c>
      <c r="E1467" s="247">
        <v>4</v>
      </c>
      <c r="F1467" s="232">
        <v>9919016</v>
      </c>
      <c r="G1467" s="232">
        <v>412682</v>
      </c>
      <c r="H1467" s="138">
        <f>G1467+F1467</f>
        <v>10331698</v>
      </c>
      <c r="I1467" s="138">
        <f>H1467*E1467</f>
        <v>41326792</v>
      </c>
      <c r="J1467" s="47"/>
      <c r="K1467" s="15"/>
    </row>
    <row r="1468" spans="1:14" s="16" customFormat="1" ht="38.25" outlineLevel="3">
      <c r="A1468" s="14"/>
      <c r="B1468" s="35">
        <f>MAXA(B$5:B1467)+1</f>
        <v>573</v>
      </c>
      <c r="C1468" s="297" t="s">
        <v>827</v>
      </c>
      <c r="D1468" s="230" t="s">
        <v>38</v>
      </c>
      <c r="E1468" s="247">
        <v>1</v>
      </c>
      <c r="F1468" s="232">
        <v>6531150</v>
      </c>
      <c r="G1468" s="232">
        <v>1500660</v>
      </c>
      <c r="H1468" s="138">
        <f>G1468+F1468</f>
        <v>8031810</v>
      </c>
      <c r="I1468" s="138">
        <f>H1468*E1468</f>
        <v>8031810</v>
      </c>
      <c r="J1468" s="47"/>
      <c r="K1468" s="15"/>
    </row>
    <row r="1469" spans="1:14" s="16" customFormat="1" ht="25.5" outlineLevel="3">
      <c r="A1469" s="14"/>
      <c r="B1469" s="35">
        <f>MAXA(B$5:B1468)+1</f>
        <v>574</v>
      </c>
      <c r="C1469" s="238" t="s">
        <v>828</v>
      </c>
      <c r="D1469" s="230" t="s">
        <v>38</v>
      </c>
      <c r="E1469" s="247">
        <v>1</v>
      </c>
      <c r="F1469" s="232">
        <v>16439120</v>
      </c>
      <c r="G1469" s="232">
        <v>2950611</v>
      </c>
      <c r="H1469" s="138">
        <f>G1469+F1469</f>
        <v>19389731</v>
      </c>
      <c r="I1469" s="138">
        <f>H1469*E1469</f>
        <v>19389731</v>
      </c>
      <c r="J1469" s="47"/>
      <c r="K1469" s="15"/>
    </row>
    <row r="1470" spans="1:14" s="16" customFormat="1" ht="26.25" outlineLevel="2">
      <c r="A1470" s="14"/>
      <c r="B1470" s="30" t="s">
        <v>83</v>
      </c>
      <c r="C1470" s="225" t="s">
        <v>829</v>
      </c>
      <c r="D1470" s="212"/>
      <c r="E1470" s="228"/>
      <c r="F1470" s="232">
        <v>0</v>
      </c>
      <c r="G1470" s="232">
        <v>0</v>
      </c>
      <c r="H1470" s="295"/>
      <c r="I1470" s="180">
        <f>SUBTOTAL(9,I1471:I1701)</f>
        <v>20130753662.726883</v>
      </c>
      <c r="J1470" s="47"/>
      <c r="K1470" s="15"/>
      <c r="M1470" s="16" t="s">
        <v>83</v>
      </c>
      <c r="N1470" s="16" t="s">
        <v>83</v>
      </c>
    </row>
    <row r="1471" spans="1:14" s="16" customFormat="1" ht="27" outlineLevel="3">
      <c r="A1471" s="14"/>
      <c r="B1471" s="38" t="s">
        <v>85</v>
      </c>
      <c r="C1471" s="296" t="s">
        <v>830</v>
      </c>
      <c r="D1471" s="304"/>
      <c r="E1471" s="213"/>
      <c r="F1471" s="232">
        <v>0</v>
      </c>
      <c r="G1471" s="232">
        <v>0</v>
      </c>
      <c r="H1471" s="295"/>
      <c r="I1471" s="180"/>
      <c r="J1471" s="47"/>
      <c r="K1471" s="15"/>
    </row>
    <row r="1472" spans="1:14" s="16" customFormat="1" ht="27" outlineLevel="3">
      <c r="A1472" s="14"/>
      <c r="B1472" s="59"/>
      <c r="C1472" s="296" t="s">
        <v>831</v>
      </c>
      <c r="D1472" s="304"/>
      <c r="E1472" s="247"/>
      <c r="F1472" s="232">
        <v>0</v>
      </c>
      <c r="G1472" s="232">
        <v>0</v>
      </c>
      <c r="H1472" s="295"/>
      <c r="I1472" s="180"/>
      <c r="J1472" s="47"/>
      <c r="K1472" s="15"/>
    </row>
    <row r="1473" spans="1:11" s="16" customFormat="1" ht="25.5" outlineLevel="3">
      <c r="A1473" s="14"/>
      <c r="B1473" s="35">
        <f>MAXA(B$5:B1472)+1</f>
        <v>575</v>
      </c>
      <c r="C1473" s="305" t="s">
        <v>832</v>
      </c>
      <c r="D1473" s="233" t="s">
        <v>44</v>
      </c>
      <c r="E1473" s="247">
        <v>2</v>
      </c>
      <c r="F1473" s="253">
        <v>1975029819.8634412</v>
      </c>
      <c r="G1473" s="232">
        <v>62527500</v>
      </c>
      <c r="H1473" s="138">
        <f t="shared" ref="H1473:H1481" si="155">G1473+F1473</f>
        <v>2037557319.8634412</v>
      </c>
      <c r="I1473" s="138">
        <f t="shared" ref="I1473:I1481" si="156">H1473*E1473</f>
        <v>4075114639.7268825</v>
      </c>
      <c r="J1473" s="47"/>
      <c r="K1473" s="15">
        <v>86440360.273117065</v>
      </c>
    </row>
    <row r="1474" spans="1:11" s="16" customFormat="1" ht="25.5" outlineLevel="3">
      <c r="A1474" s="14"/>
      <c r="B1474" s="35">
        <f>MAXA(B$5:B1473)+1</f>
        <v>576</v>
      </c>
      <c r="C1474" s="242" t="s">
        <v>833</v>
      </c>
      <c r="D1474" s="233" t="s">
        <v>44</v>
      </c>
      <c r="E1474" s="247">
        <v>2</v>
      </c>
      <c r="F1474" s="232">
        <v>93609785</v>
      </c>
      <c r="G1474" s="232">
        <v>1875825</v>
      </c>
      <c r="H1474" s="138">
        <f t="shared" si="155"/>
        <v>95485610</v>
      </c>
      <c r="I1474" s="138">
        <f t="shared" si="156"/>
        <v>190971220</v>
      </c>
      <c r="J1474" s="47"/>
      <c r="K1474" s="15"/>
    </row>
    <row r="1475" spans="1:11" s="16" customFormat="1" ht="25.5" outlineLevel="3">
      <c r="A1475" s="14"/>
      <c r="B1475" s="35">
        <f>MAXA(B$5:B1474)+1</f>
        <v>577</v>
      </c>
      <c r="C1475" s="242" t="s">
        <v>834</v>
      </c>
      <c r="D1475" s="233" t="s">
        <v>44</v>
      </c>
      <c r="E1475" s="247">
        <v>1</v>
      </c>
      <c r="F1475" s="232">
        <v>93609785</v>
      </c>
      <c r="G1475" s="232">
        <v>1875825</v>
      </c>
      <c r="H1475" s="138">
        <f t="shared" si="155"/>
        <v>95485610</v>
      </c>
      <c r="I1475" s="138">
        <f t="shared" si="156"/>
        <v>95485610</v>
      </c>
      <c r="J1475" s="47"/>
      <c r="K1475" s="15"/>
    </row>
    <row r="1476" spans="1:11" s="16" customFormat="1" ht="25.5" outlineLevel="3">
      <c r="A1476" s="14"/>
      <c r="B1476" s="35">
        <f>MAXA(B$5:B1475)+1</f>
        <v>578</v>
      </c>
      <c r="C1476" s="242" t="s">
        <v>835</v>
      </c>
      <c r="D1476" s="233" t="s">
        <v>44</v>
      </c>
      <c r="E1476" s="247">
        <v>2</v>
      </c>
      <c r="F1476" s="232">
        <v>93609785</v>
      </c>
      <c r="G1476" s="232">
        <v>1875825</v>
      </c>
      <c r="H1476" s="138">
        <f t="shared" si="155"/>
        <v>95485610</v>
      </c>
      <c r="I1476" s="138">
        <f t="shared" si="156"/>
        <v>190971220</v>
      </c>
      <c r="J1476" s="47"/>
      <c r="K1476" s="15"/>
    </row>
    <row r="1477" spans="1:11" s="16" customFormat="1" ht="25.5" outlineLevel="3">
      <c r="A1477" s="14"/>
      <c r="B1477" s="35">
        <f>MAXA(B$5:B1476)+1</f>
        <v>579</v>
      </c>
      <c r="C1477" s="242" t="s">
        <v>836</v>
      </c>
      <c r="D1477" s="233" t="s">
        <v>44</v>
      </c>
      <c r="E1477" s="247">
        <v>1</v>
      </c>
      <c r="F1477" s="232">
        <v>93609785</v>
      </c>
      <c r="G1477" s="232">
        <v>1875825</v>
      </c>
      <c r="H1477" s="138">
        <f t="shared" si="155"/>
        <v>95485610</v>
      </c>
      <c r="I1477" s="138">
        <f t="shared" si="156"/>
        <v>95485610</v>
      </c>
      <c r="J1477" s="47"/>
      <c r="K1477" s="15"/>
    </row>
    <row r="1478" spans="1:11" s="16" customFormat="1" ht="25.5" outlineLevel="3">
      <c r="A1478" s="14"/>
      <c r="B1478" s="35">
        <f>MAXA(B$5:B1477)+1</f>
        <v>580</v>
      </c>
      <c r="C1478" s="242" t="s">
        <v>837</v>
      </c>
      <c r="D1478" s="233" t="s">
        <v>44</v>
      </c>
      <c r="E1478" s="247">
        <v>2</v>
      </c>
      <c r="F1478" s="232">
        <v>259813871</v>
      </c>
      <c r="G1478" s="232">
        <v>37516500</v>
      </c>
      <c r="H1478" s="138">
        <f t="shared" si="155"/>
        <v>297330371</v>
      </c>
      <c r="I1478" s="138">
        <f t="shared" si="156"/>
        <v>594660742</v>
      </c>
      <c r="J1478" s="47"/>
      <c r="K1478" s="15"/>
    </row>
    <row r="1479" spans="1:11" s="16" customFormat="1" ht="25.5" outlineLevel="3">
      <c r="A1479" s="14"/>
      <c r="B1479" s="35">
        <f>MAXA(B$5:B1478)+1</f>
        <v>581</v>
      </c>
      <c r="C1479" s="242" t="s">
        <v>838</v>
      </c>
      <c r="D1479" s="233" t="s">
        <v>44</v>
      </c>
      <c r="E1479" s="247">
        <v>1</v>
      </c>
      <c r="F1479" s="232">
        <v>77321308</v>
      </c>
      <c r="G1479" s="232">
        <v>1500660</v>
      </c>
      <c r="H1479" s="138">
        <f t="shared" si="155"/>
        <v>78821968</v>
      </c>
      <c r="I1479" s="138">
        <f t="shared" si="156"/>
        <v>78821968</v>
      </c>
      <c r="J1479" s="47"/>
      <c r="K1479" s="15"/>
    </row>
    <row r="1480" spans="1:11" s="16" customFormat="1" ht="25.5" outlineLevel="3">
      <c r="A1480" s="14"/>
      <c r="B1480" s="35">
        <f>MAXA(B$5:B1479)+1</f>
        <v>582</v>
      </c>
      <c r="C1480" s="242" t="s">
        <v>839</v>
      </c>
      <c r="D1480" s="233" t="s">
        <v>44</v>
      </c>
      <c r="E1480" s="247">
        <v>2</v>
      </c>
      <c r="F1480" s="232">
        <v>290357860</v>
      </c>
      <c r="G1480" s="232">
        <v>58071572</v>
      </c>
      <c r="H1480" s="138">
        <f t="shared" si="155"/>
        <v>348429432</v>
      </c>
      <c r="I1480" s="138">
        <f t="shared" si="156"/>
        <v>696858864</v>
      </c>
      <c r="J1480" s="47"/>
      <c r="K1480" s="15"/>
    </row>
    <row r="1481" spans="1:11" s="16" customFormat="1" ht="25.5" outlineLevel="3">
      <c r="A1481" s="14"/>
      <c r="B1481" s="35">
        <f>MAXA(B$5:B1480)+1</f>
        <v>583</v>
      </c>
      <c r="C1481" s="238" t="s">
        <v>840</v>
      </c>
      <c r="D1481" s="230" t="s">
        <v>38</v>
      </c>
      <c r="E1481" s="247">
        <v>1</v>
      </c>
      <c r="F1481" s="232">
        <v>0</v>
      </c>
      <c r="G1481" s="232">
        <v>12526134</v>
      </c>
      <c r="H1481" s="138">
        <f t="shared" si="155"/>
        <v>12526134</v>
      </c>
      <c r="I1481" s="138">
        <f t="shared" si="156"/>
        <v>12526134</v>
      </c>
      <c r="J1481" s="47"/>
      <c r="K1481" s="15"/>
    </row>
    <row r="1482" spans="1:11" s="16" customFormat="1" ht="54" outlineLevel="3">
      <c r="A1482" s="14"/>
      <c r="B1482" s="59"/>
      <c r="C1482" s="306" t="s">
        <v>841</v>
      </c>
      <c r="D1482" s="304"/>
      <c r="E1482" s="247"/>
      <c r="F1482" s="232">
        <v>0</v>
      </c>
      <c r="G1482" s="232">
        <v>0</v>
      </c>
      <c r="H1482" s="295"/>
      <c r="I1482" s="180"/>
      <c r="J1482" s="47"/>
      <c r="K1482" s="15"/>
    </row>
    <row r="1483" spans="1:11" s="16" customFormat="1" ht="25.5" outlineLevel="3">
      <c r="A1483" s="14"/>
      <c r="B1483" s="35">
        <f>MAXA(B$5:B1482)+1</f>
        <v>584</v>
      </c>
      <c r="C1483" s="242" t="s">
        <v>842</v>
      </c>
      <c r="D1483" s="233" t="s">
        <v>44</v>
      </c>
      <c r="E1483" s="247">
        <v>1</v>
      </c>
      <c r="F1483" s="307">
        <v>333740925</v>
      </c>
      <c r="G1483" s="232">
        <v>13756050</v>
      </c>
      <c r="H1483" s="138">
        <f t="shared" ref="H1483:H1531" si="157">G1483+F1483</f>
        <v>347496975</v>
      </c>
      <c r="I1483" s="138">
        <f t="shared" ref="I1483:I1514" si="158">H1483*E1483</f>
        <v>347496975</v>
      </c>
      <c r="J1483" s="47"/>
      <c r="K1483" s="15"/>
    </row>
    <row r="1484" spans="1:11" s="16" customFormat="1" ht="25.5" outlineLevel="3">
      <c r="A1484" s="14"/>
      <c r="B1484" s="35">
        <f>MAXA(B$5:B1483)+1</f>
        <v>585</v>
      </c>
      <c r="C1484" s="242" t="s">
        <v>843</v>
      </c>
      <c r="D1484" s="233" t="s">
        <v>44</v>
      </c>
      <c r="E1484" s="247">
        <v>2</v>
      </c>
      <c r="F1484" s="307">
        <v>17695395</v>
      </c>
      <c r="G1484" s="232">
        <v>1000440</v>
      </c>
      <c r="H1484" s="138">
        <f t="shared" si="157"/>
        <v>18695835</v>
      </c>
      <c r="I1484" s="138">
        <f t="shared" si="158"/>
        <v>37391670</v>
      </c>
      <c r="J1484" s="47"/>
      <c r="K1484" s="15"/>
    </row>
    <row r="1485" spans="1:11" s="16" customFormat="1" ht="25.5" outlineLevel="3">
      <c r="A1485" s="14"/>
      <c r="B1485" s="35">
        <f>MAXA(B$5:B1484)+1</f>
        <v>586</v>
      </c>
      <c r="C1485" s="242" t="s">
        <v>844</v>
      </c>
      <c r="D1485" s="233" t="s">
        <v>44</v>
      </c>
      <c r="E1485" s="247">
        <v>2</v>
      </c>
      <c r="F1485" s="307">
        <v>16745264.999999998</v>
      </c>
      <c r="G1485" s="232">
        <v>1000440</v>
      </c>
      <c r="H1485" s="138">
        <f t="shared" si="157"/>
        <v>17745705</v>
      </c>
      <c r="I1485" s="138">
        <f t="shared" si="158"/>
        <v>35491410</v>
      </c>
      <c r="J1485" s="47"/>
      <c r="K1485" s="15"/>
    </row>
    <row r="1486" spans="1:11" s="16" customFormat="1" ht="25.5" outlineLevel="3">
      <c r="A1486" s="14"/>
      <c r="B1486" s="35">
        <f>MAXA(B$5:B1485)+1</f>
        <v>587</v>
      </c>
      <c r="C1486" s="242" t="s">
        <v>845</v>
      </c>
      <c r="D1486" s="233" t="s">
        <v>44</v>
      </c>
      <c r="E1486" s="247">
        <v>2</v>
      </c>
      <c r="F1486" s="307">
        <v>17695395</v>
      </c>
      <c r="G1486" s="232">
        <v>1000440</v>
      </c>
      <c r="H1486" s="138">
        <f t="shared" si="157"/>
        <v>18695835</v>
      </c>
      <c r="I1486" s="138">
        <f t="shared" si="158"/>
        <v>37391670</v>
      </c>
      <c r="J1486" s="47"/>
      <c r="K1486" s="15"/>
    </row>
    <row r="1487" spans="1:11" s="16" customFormat="1" ht="25.5" outlineLevel="3">
      <c r="A1487" s="14"/>
      <c r="B1487" s="35">
        <f>MAXA(B$5:B1486)+1</f>
        <v>588</v>
      </c>
      <c r="C1487" s="242" t="s">
        <v>846</v>
      </c>
      <c r="D1487" s="233" t="s">
        <v>44</v>
      </c>
      <c r="E1487" s="247">
        <v>1</v>
      </c>
      <c r="F1487" s="307">
        <v>19385550</v>
      </c>
      <c r="G1487" s="232">
        <v>1250550</v>
      </c>
      <c r="H1487" s="138">
        <f t="shared" si="157"/>
        <v>20636100</v>
      </c>
      <c r="I1487" s="138">
        <f t="shared" si="158"/>
        <v>20636100</v>
      </c>
      <c r="J1487" s="47"/>
      <c r="K1487" s="15"/>
    </row>
    <row r="1488" spans="1:11" s="16" customFormat="1" ht="25.5" outlineLevel="3">
      <c r="A1488" s="14"/>
      <c r="B1488" s="35">
        <f>MAXA(B$5:B1487)+1</f>
        <v>589</v>
      </c>
      <c r="C1488" s="242" t="s">
        <v>847</v>
      </c>
      <c r="D1488" s="233" t="s">
        <v>44</v>
      </c>
      <c r="E1488" s="247">
        <v>2</v>
      </c>
      <c r="F1488" s="307">
        <v>17695395</v>
      </c>
      <c r="G1488" s="232">
        <v>1000440</v>
      </c>
      <c r="H1488" s="138">
        <f t="shared" si="157"/>
        <v>18695835</v>
      </c>
      <c r="I1488" s="138">
        <f t="shared" si="158"/>
        <v>37391670</v>
      </c>
      <c r="J1488" s="47"/>
      <c r="K1488" s="15"/>
    </row>
    <row r="1489" spans="1:11" s="16" customFormat="1" ht="25.5" outlineLevel="3">
      <c r="A1489" s="14"/>
      <c r="B1489" s="35">
        <f>MAXA(B$5:B1488)+1</f>
        <v>590</v>
      </c>
      <c r="C1489" s="242" t="s">
        <v>848</v>
      </c>
      <c r="D1489" s="233" t="s">
        <v>44</v>
      </c>
      <c r="E1489" s="247">
        <v>4</v>
      </c>
      <c r="F1489" s="307">
        <v>19385550</v>
      </c>
      <c r="G1489" s="232">
        <v>1250550</v>
      </c>
      <c r="H1489" s="138">
        <f t="shared" si="157"/>
        <v>20636100</v>
      </c>
      <c r="I1489" s="138">
        <f t="shared" si="158"/>
        <v>82544400</v>
      </c>
      <c r="J1489" s="47"/>
      <c r="K1489" s="15"/>
    </row>
    <row r="1490" spans="1:11" s="16" customFormat="1" ht="25.5" outlineLevel="3">
      <c r="A1490" s="14"/>
      <c r="B1490" s="35">
        <f>MAXA(B$5:B1489)+1</f>
        <v>591</v>
      </c>
      <c r="C1490" s="242" t="s">
        <v>849</v>
      </c>
      <c r="D1490" s="233" t="s">
        <v>44</v>
      </c>
      <c r="E1490" s="247">
        <v>2</v>
      </c>
      <c r="F1490" s="307">
        <v>19385550</v>
      </c>
      <c r="G1490" s="232">
        <v>1125495</v>
      </c>
      <c r="H1490" s="138">
        <f t="shared" si="157"/>
        <v>20511045</v>
      </c>
      <c r="I1490" s="138">
        <f t="shared" si="158"/>
        <v>41022090</v>
      </c>
      <c r="J1490" s="47"/>
      <c r="K1490" s="15"/>
    </row>
    <row r="1491" spans="1:11" s="16" customFormat="1" ht="25.5" outlineLevel="3">
      <c r="A1491" s="14"/>
      <c r="B1491" s="35">
        <f>MAXA(B$5:B1490)+1</f>
        <v>592</v>
      </c>
      <c r="C1491" s="242" t="s">
        <v>850</v>
      </c>
      <c r="D1491" s="233" t="s">
        <v>44</v>
      </c>
      <c r="E1491" s="247">
        <v>1</v>
      </c>
      <c r="F1491" s="307">
        <v>19385550</v>
      </c>
      <c r="G1491" s="232">
        <v>1250550</v>
      </c>
      <c r="H1491" s="138">
        <f t="shared" si="157"/>
        <v>20636100</v>
      </c>
      <c r="I1491" s="138">
        <f t="shared" si="158"/>
        <v>20636100</v>
      </c>
      <c r="J1491" s="47"/>
      <c r="K1491" s="15"/>
    </row>
    <row r="1492" spans="1:11" s="16" customFormat="1" ht="25.5" outlineLevel="3">
      <c r="A1492" s="14"/>
      <c r="B1492" s="35">
        <f>MAXA(B$5:B1491)+1</f>
        <v>593</v>
      </c>
      <c r="C1492" s="242" t="s">
        <v>851</v>
      </c>
      <c r="D1492" s="233" t="s">
        <v>44</v>
      </c>
      <c r="E1492" s="247">
        <v>2</v>
      </c>
      <c r="F1492" s="307">
        <v>17695395</v>
      </c>
      <c r="G1492" s="232">
        <v>1000440</v>
      </c>
      <c r="H1492" s="138">
        <f t="shared" si="157"/>
        <v>18695835</v>
      </c>
      <c r="I1492" s="138">
        <f t="shared" si="158"/>
        <v>37391670</v>
      </c>
      <c r="J1492" s="47"/>
      <c r="K1492" s="15"/>
    </row>
    <row r="1493" spans="1:11" s="16" customFormat="1" ht="25.5" outlineLevel="3">
      <c r="A1493" s="14"/>
      <c r="B1493" s="35">
        <f>MAXA(B$5:B1492)+1</f>
        <v>594</v>
      </c>
      <c r="C1493" s="242" t="s">
        <v>852</v>
      </c>
      <c r="D1493" s="233" t="s">
        <v>44</v>
      </c>
      <c r="E1493" s="247">
        <v>1</v>
      </c>
      <c r="F1493" s="307">
        <v>19385550</v>
      </c>
      <c r="G1493" s="232">
        <v>1250550</v>
      </c>
      <c r="H1493" s="138">
        <f t="shared" si="157"/>
        <v>20636100</v>
      </c>
      <c r="I1493" s="138">
        <f t="shared" si="158"/>
        <v>20636100</v>
      </c>
      <c r="J1493" s="47"/>
      <c r="K1493" s="15"/>
    </row>
    <row r="1494" spans="1:11" s="16" customFormat="1" ht="25.5" outlineLevel="3">
      <c r="A1494" s="14"/>
      <c r="B1494" s="35">
        <f>MAXA(B$5:B1493)+1</f>
        <v>595</v>
      </c>
      <c r="C1494" s="242" t="s">
        <v>853</v>
      </c>
      <c r="D1494" s="233" t="s">
        <v>44</v>
      </c>
      <c r="E1494" s="247">
        <v>2</v>
      </c>
      <c r="F1494" s="307">
        <v>18435420</v>
      </c>
      <c r="G1494" s="232">
        <v>1125495</v>
      </c>
      <c r="H1494" s="138">
        <f t="shared" si="157"/>
        <v>19560915</v>
      </c>
      <c r="I1494" s="138">
        <f t="shared" si="158"/>
        <v>39121830</v>
      </c>
      <c r="J1494" s="47"/>
      <c r="K1494" s="15"/>
    </row>
    <row r="1495" spans="1:11" s="16" customFormat="1" ht="25.5" outlineLevel="3">
      <c r="A1495" s="14"/>
      <c r="B1495" s="35">
        <f>MAXA(B$5:B1494)+1</f>
        <v>596</v>
      </c>
      <c r="C1495" s="242" t="s">
        <v>854</v>
      </c>
      <c r="D1495" s="233" t="s">
        <v>44</v>
      </c>
      <c r="E1495" s="247">
        <v>5</v>
      </c>
      <c r="F1495" s="307">
        <v>16745264.999999998</v>
      </c>
      <c r="G1495" s="232">
        <v>754796</v>
      </c>
      <c r="H1495" s="138">
        <f t="shared" si="157"/>
        <v>17500061</v>
      </c>
      <c r="I1495" s="138">
        <f t="shared" si="158"/>
        <v>87500305</v>
      </c>
      <c r="J1495" s="47"/>
      <c r="K1495" s="15"/>
    </row>
    <row r="1496" spans="1:11" s="16" customFormat="1" ht="25.5" outlineLevel="3">
      <c r="A1496" s="14"/>
      <c r="B1496" s="35">
        <f>MAXA(B$5:B1495)+1</f>
        <v>597</v>
      </c>
      <c r="C1496" s="242" t="s">
        <v>855</v>
      </c>
      <c r="D1496" s="233" t="s">
        <v>44</v>
      </c>
      <c r="E1496" s="247">
        <v>3</v>
      </c>
      <c r="F1496" s="307">
        <v>16745264.999999998</v>
      </c>
      <c r="G1496" s="232">
        <v>1000440</v>
      </c>
      <c r="H1496" s="138">
        <f t="shared" si="157"/>
        <v>17745705</v>
      </c>
      <c r="I1496" s="138">
        <f t="shared" si="158"/>
        <v>53237115</v>
      </c>
      <c r="J1496" s="47"/>
      <c r="K1496" s="15"/>
    </row>
    <row r="1497" spans="1:11" s="16" customFormat="1" ht="25.5" outlineLevel="3">
      <c r="A1497" s="14"/>
      <c r="B1497" s="35">
        <f>MAXA(B$5:B1496)+1</f>
        <v>598</v>
      </c>
      <c r="C1497" s="242" t="s">
        <v>856</v>
      </c>
      <c r="D1497" s="233" t="s">
        <v>44</v>
      </c>
      <c r="E1497" s="247">
        <v>1</v>
      </c>
      <c r="F1497" s="307">
        <v>9825255</v>
      </c>
      <c r="G1497" s="232">
        <v>750330</v>
      </c>
      <c r="H1497" s="138">
        <f t="shared" si="157"/>
        <v>10575585</v>
      </c>
      <c r="I1497" s="138">
        <f t="shared" si="158"/>
        <v>10575585</v>
      </c>
      <c r="J1497" s="47"/>
      <c r="K1497" s="15"/>
    </row>
    <row r="1498" spans="1:11" s="16" customFormat="1" ht="25.5" outlineLevel="3">
      <c r="A1498" s="14"/>
      <c r="B1498" s="35">
        <f>MAXA(B$5:B1497)+1</f>
        <v>599</v>
      </c>
      <c r="C1498" s="242" t="s">
        <v>857</v>
      </c>
      <c r="D1498" s="233" t="s">
        <v>44</v>
      </c>
      <c r="E1498" s="247">
        <v>1</v>
      </c>
      <c r="F1498" s="307">
        <v>19385550</v>
      </c>
      <c r="G1498" s="232">
        <v>1375605</v>
      </c>
      <c r="H1498" s="138">
        <f t="shared" si="157"/>
        <v>20761155</v>
      </c>
      <c r="I1498" s="138">
        <f t="shared" si="158"/>
        <v>20761155</v>
      </c>
      <c r="J1498" s="47"/>
      <c r="K1498" s="15"/>
    </row>
    <row r="1499" spans="1:11" s="16" customFormat="1" ht="25.5" outlineLevel="3">
      <c r="A1499" s="14"/>
      <c r="B1499" s="35">
        <f>MAXA(B$5:B1498)+1</f>
        <v>600</v>
      </c>
      <c r="C1499" s="242" t="s">
        <v>858</v>
      </c>
      <c r="D1499" s="233" t="s">
        <v>44</v>
      </c>
      <c r="E1499" s="247">
        <v>1</v>
      </c>
      <c r="F1499" s="307">
        <v>19385550</v>
      </c>
      <c r="G1499" s="232">
        <v>1375605</v>
      </c>
      <c r="H1499" s="138">
        <f t="shared" si="157"/>
        <v>20761155</v>
      </c>
      <c r="I1499" s="138">
        <f t="shared" si="158"/>
        <v>20761155</v>
      </c>
      <c r="J1499" s="47"/>
      <c r="K1499" s="15"/>
    </row>
    <row r="1500" spans="1:11" s="16" customFormat="1" ht="25.5" outlineLevel="3">
      <c r="A1500" s="14"/>
      <c r="B1500" s="35">
        <f>MAXA(B$5:B1499)+1</f>
        <v>601</v>
      </c>
      <c r="C1500" s="242" t="s">
        <v>859</v>
      </c>
      <c r="D1500" s="233" t="s">
        <v>44</v>
      </c>
      <c r="E1500" s="247">
        <v>3</v>
      </c>
      <c r="F1500" s="307">
        <v>17695395</v>
      </c>
      <c r="G1500" s="232">
        <v>1000440</v>
      </c>
      <c r="H1500" s="138">
        <f t="shared" si="157"/>
        <v>18695835</v>
      </c>
      <c r="I1500" s="138">
        <f t="shared" si="158"/>
        <v>56087505</v>
      </c>
      <c r="J1500" s="47"/>
      <c r="K1500" s="15"/>
    </row>
    <row r="1501" spans="1:11" s="16" customFormat="1" ht="25.5" outlineLevel="3">
      <c r="A1501" s="14"/>
      <c r="B1501" s="35">
        <f>MAXA(B$5:B1500)+1</f>
        <v>602</v>
      </c>
      <c r="C1501" s="242" t="s">
        <v>860</v>
      </c>
      <c r="D1501" s="233" t="s">
        <v>44</v>
      </c>
      <c r="E1501" s="247">
        <v>1</v>
      </c>
      <c r="F1501" s="307">
        <v>16745264.999999998</v>
      </c>
      <c r="G1501" s="232">
        <v>812858</v>
      </c>
      <c r="H1501" s="138">
        <f t="shared" si="157"/>
        <v>17558123</v>
      </c>
      <c r="I1501" s="138">
        <f t="shared" si="158"/>
        <v>17558123</v>
      </c>
      <c r="J1501" s="47"/>
      <c r="K1501" s="15"/>
    </row>
    <row r="1502" spans="1:11" s="16" customFormat="1" ht="25.5" outlineLevel="3">
      <c r="A1502" s="14"/>
      <c r="B1502" s="35">
        <f>MAXA(B$5:B1501)+1</f>
        <v>603</v>
      </c>
      <c r="C1502" s="242" t="s">
        <v>861</v>
      </c>
      <c r="D1502" s="233" t="s">
        <v>44</v>
      </c>
      <c r="E1502" s="247">
        <v>3</v>
      </c>
      <c r="F1502" s="307">
        <v>16745264.999999998</v>
      </c>
      <c r="G1502" s="232">
        <v>1000440</v>
      </c>
      <c r="H1502" s="138">
        <f t="shared" si="157"/>
        <v>17745705</v>
      </c>
      <c r="I1502" s="138">
        <f t="shared" si="158"/>
        <v>53237115</v>
      </c>
      <c r="J1502" s="47"/>
      <c r="K1502" s="15"/>
    </row>
    <row r="1503" spans="1:11" s="16" customFormat="1" ht="25.5" outlineLevel="3">
      <c r="A1503" s="14"/>
      <c r="B1503" s="35">
        <f>MAXA(B$5:B1502)+1</f>
        <v>604</v>
      </c>
      <c r="C1503" s="242" t="s">
        <v>862</v>
      </c>
      <c r="D1503" s="233" t="s">
        <v>44</v>
      </c>
      <c r="E1503" s="247">
        <v>3</v>
      </c>
      <c r="F1503" s="307">
        <v>17695395</v>
      </c>
      <c r="G1503" s="232">
        <v>1000440</v>
      </c>
      <c r="H1503" s="138">
        <f t="shared" si="157"/>
        <v>18695835</v>
      </c>
      <c r="I1503" s="138">
        <f t="shared" si="158"/>
        <v>56087505</v>
      </c>
      <c r="J1503" s="47"/>
      <c r="K1503" s="15"/>
    </row>
    <row r="1504" spans="1:11" s="16" customFormat="1" ht="25.5" outlineLevel="3">
      <c r="A1504" s="14"/>
      <c r="B1504" s="35">
        <f>MAXA(B$5:B1503)+1</f>
        <v>605</v>
      </c>
      <c r="C1504" s="242" t="s">
        <v>863</v>
      </c>
      <c r="D1504" s="233" t="s">
        <v>44</v>
      </c>
      <c r="E1504" s="247">
        <v>3</v>
      </c>
      <c r="F1504" s="307">
        <v>17695395</v>
      </c>
      <c r="G1504" s="232">
        <v>1000440</v>
      </c>
      <c r="H1504" s="138">
        <f t="shared" si="157"/>
        <v>18695835</v>
      </c>
      <c r="I1504" s="138">
        <f t="shared" si="158"/>
        <v>56087505</v>
      </c>
      <c r="J1504" s="47"/>
      <c r="K1504" s="15"/>
    </row>
    <row r="1505" spans="1:11" s="16" customFormat="1" ht="25.5" outlineLevel="3">
      <c r="A1505" s="14"/>
      <c r="B1505" s="35">
        <f>MAXA(B$5:B1504)+1</f>
        <v>606</v>
      </c>
      <c r="C1505" s="242" t="s">
        <v>864</v>
      </c>
      <c r="D1505" s="233" t="s">
        <v>44</v>
      </c>
      <c r="E1505" s="247">
        <v>3</v>
      </c>
      <c r="F1505" s="307">
        <v>17695395</v>
      </c>
      <c r="G1505" s="232">
        <v>1000440</v>
      </c>
      <c r="H1505" s="138">
        <f t="shared" si="157"/>
        <v>18695835</v>
      </c>
      <c r="I1505" s="138">
        <f t="shared" si="158"/>
        <v>56087505</v>
      </c>
      <c r="J1505" s="47"/>
      <c r="K1505" s="15"/>
    </row>
    <row r="1506" spans="1:11" s="16" customFormat="1" ht="25.5" outlineLevel="3">
      <c r="A1506" s="14"/>
      <c r="B1506" s="35">
        <f>MAXA(B$5:B1505)+1</f>
        <v>607</v>
      </c>
      <c r="C1506" s="242" t="s">
        <v>865</v>
      </c>
      <c r="D1506" s="233" t="s">
        <v>44</v>
      </c>
      <c r="E1506" s="247">
        <v>1</v>
      </c>
      <c r="F1506" s="307">
        <v>12836069.999999998</v>
      </c>
      <c r="G1506" s="232">
        <v>750330</v>
      </c>
      <c r="H1506" s="138">
        <f t="shared" si="157"/>
        <v>13586399.999999998</v>
      </c>
      <c r="I1506" s="138">
        <f t="shared" si="158"/>
        <v>13586399.999999998</v>
      </c>
      <c r="J1506" s="47"/>
      <c r="K1506" s="15"/>
    </row>
    <row r="1507" spans="1:11" s="16" customFormat="1" ht="25.5" outlineLevel="3">
      <c r="A1507" s="14"/>
      <c r="B1507" s="35">
        <f>MAXA(B$5:B1506)+1</f>
        <v>608</v>
      </c>
      <c r="C1507" s="242" t="s">
        <v>866</v>
      </c>
      <c r="D1507" s="233" t="s">
        <v>44</v>
      </c>
      <c r="E1507" s="247">
        <v>2</v>
      </c>
      <c r="F1507" s="307">
        <v>17695395</v>
      </c>
      <c r="G1507" s="232">
        <v>1000440</v>
      </c>
      <c r="H1507" s="138">
        <f t="shared" si="157"/>
        <v>18695835</v>
      </c>
      <c r="I1507" s="138">
        <f t="shared" si="158"/>
        <v>37391670</v>
      </c>
      <c r="J1507" s="47"/>
      <c r="K1507" s="15"/>
    </row>
    <row r="1508" spans="1:11" s="16" customFormat="1" ht="25.5" outlineLevel="3">
      <c r="A1508" s="14"/>
      <c r="B1508" s="35">
        <f>MAXA(B$5:B1507)+1</f>
        <v>609</v>
      </c>
      <c r="C1508" s="242" t="s">
        <v>867</v>
      </c>
      <c r="D1508" s="233" t="s">
        <v>44</v>
      </c>
      <c r="E1508" s="247">
        <v>2</v>
      </c>
      <c r="F1508" s="307">
        <v>17695395</v>
      </c>
      <c r="G1508" s="232">
        <v>1062968</v>
      </c>
      <c r="H1508" s="138">
        <f t="shared" si="157"/>
        <v>18758363</v>
      </c>
      <c r="I1508" s="138">
        <f t="shared" si="158"/>
        <v>37516726</v>
      </c>
      <c r="J1508" s="47"/>
      <c r="K1508" s="15"/>
    </row>
    <row r="1509" spans="1:11" s="16" customFormat="1" ht="25.5" outlineLevel="3">
      <c r="A1509" s="14"/>
      <c r="B1509" s="35">
        <f>MAXA(B$5:B1508)+1</f>
        <v>610</v>
      </c>
      <c r="C1509" s="242" t="s">
        <v>868</v>
      </c>
      <c r="D1509" s="233" t="s">
        <v>44</v>
      </c>
      <c r="E1509" s="247">
        <v>1</v>
      </c>
      <c r="F1509" s="307">
        <v>14895719.999999998</v>
      </c>
      <c r="G1509" s="232">
        <v>812858</v>
      </c>
      <c r="H1509" s="138">
        <f t="shared" si="157"/>
        <v>15708577.999999998</v>
      </c>
      <c r="I1509" s="138">
        <f t="shared" si="158"/>
        <v>15708577.999999998</v>
      </c>
      <c r="J1509" s="47"/>
      <c r="K1509" s="15"/>
    </row>
    <row r="1510" spans="1:11" s="16" customFormat="1" ht="25.5" outlineLevel="3">
      <c r="A1510" s="14"/>
      <c r="B1510" s="35">
        <f>MAXA(B$5:B1509)+1</f>
        <v>611</v>
      </c>
      <c r="C1510" s="242" t="s">
        <v>869</v>
      </c>
      <c r="D1510" s="233" t="s">
        <v>44</v>
      </c>
      <c r="E1510" s="247">
        <v>1</v>
      </c>
      <c r="F1510" s="307">
        <v>16745264.999999998</v>
      </c>
      <c r="G1510" s="232">
        <v>875385</v>
      </c>
      <c r="H1510" s="138">
        <f t="shared" si="157"/>
        <v>17620650</v>
      </c>
      <c r="I1510" s="138">
        <f t="shared" si="158"/>
        <v>17620650</v>
      </c>
      <c r="J1510" s="47"/>
      <c r="K1510" s="15"/>
    </row>
    <row r="1511" spans="1:11" s="16" customFormat="1" ht="25.5" outlineLevel="3">
      <c r="A1511" s="14"/>
      <c r="B1511" s="35">
        <f>MAXA(B$5:B1510)+1</f>
        <v>612</v>
      </c>
      <c r="C1511" s="242" t="s">
        <v>870</v>
      </c>
      <c r="D1511" s="233" t="s">
        <v>44</v>
      </c>
      <c r="E1511" s="247">
        <v>1</v>
      </c>
      <c r="F1511" s="307">
        <v>16745264.999999998</v>
      </c>
      <c r="G1511" s="232">
        <v>875385</v>
      </c>
      <c r="H1511" s="138">
        <f t="shared" si="157"/>
        <v>17620650</v>
      </c>
      <c r="I1511" s="138">
        <f t="shared" si="158"/>
        <v>17620650</v>
      </c>
      <c r="J1511" s="47"/>
      <c r="K1511" s="15"/>
    </row>
    <row r="1512" spans="1:11" s="16" customFormat="1" ht="25.5" outlineLevel="3">
      <c r="A1512" s="14"/>
      <c r="B1512" s="35">
        <f>MAXA(B$5:B1511)+1</f>
        <v>613</v>
      </c>
      <c r="C1512" s="242" t="s">
        <v>871</v>
      </c>
      <c r="D1512" s="233" t="s">
        <v>44</v>
      </c>
      <c r="E1512" s="247">
        <v>2</v>
      </c>
      <c r="F1512" s="307">
        <v>17695395</v>
      </c>
      <c r="G1512" s="232">
        <v>1000440</v>
      </c>
      <c r="H1512" s="138">
        <f t="shared" si="157"/>
        <v>18695835</v>
      </c>
      <c r="I1512" s="138">
        <f t="shared" si="158"/>
        <v>37391670</v>
      </c>
      <c r="J1512" s="47"/>
      <c r="K1512" s="15"/>
    </row>
    <row r="1513" spans="1:11" s="16" customFormat="1" ht="25.5" outlineLevel="3">
      <c r="A1513" s="14"/>
      <c r="B1513" s="35">
        <f>MAXA(B$5:B1512)+1</f>
        <v>614</v>
      </c>
      <c r="C1513" s="242" t="s">
        <v>872</v>
      </c>
      <c r="D1513" s="233" t="s">
        <v>44</v>
      </c>
      <c r="E1513" s="247">
        <v>2</v>
      </c>
      <c r="F1513" s="307">
        <v>16745264.999999998</v>
      </c>
      <c r="G1513" s="232">
        <v>875385</v>
      </c>
      <c r="H1513" s="138">
        <f t="shared" si="157"/>
        <v>17620650</v>
      </c>
      <c r="I1513" s="138">
        <f t="shared" si="158"/>
        <v>35241300</v>
      </c>
      <c r="J1513" s="47"/>
      <c r="K1513" s="15"/>
    </row>
    <row r="1514" spans="1:11" s="16" customFormat="1" ht="25.5" outlineLevel="3">
      <c r="A1514" s="14"/>
      <c r="B1514" s="35">
        <f>MAXA(B$5:B1513)+1</f>
        <v>615</v>
      </c>
      <c r="C1514" s="242" t="s">
        <v>873</v>
      </c>
      <c r="D1514" s="233" t="s">
        <v>44</v>
      </c>
      <c r="E1514" s="247">
        <v>2</v>
      </c>
      <c r="F1514" s="307">
        <v>19385550</v>
      </c>
      <c r="G1514" s="232">
        <v>1250550</v>
      </c>
      <c r="H1514" s="138">
        <f t="shared" si="157"/>
        <v>20636100</v>
      </c>
      <c r="I1514" s="138">
        <f t="shared" si="158"/>
        <v>41272200</v>
      </c>
      <c r="J1514" s="47"/>
      <c r="K1514" s="15"/>
    </row>
    <row r="1515" spans="1:11" s="16" customFormat="1" ht="25.5" outlineLevel="3">
      <c r="A1515" s="14"/>
      <c r="B1515" s="35">
        <f>MAXA(B$5:B1514)+1</f>
        <v>616</v>
      </c>
      <c r="C1515" s="242" t="s">
        <v>874</v>
      </c>
      <c r="D1515" s="233" t="s">
        <v>44</v>
      </c>
      <c r="E1515" s="247">
        <v>2</v>
      </c>
      <c r="F1515" s="307">
        <v>17695395</v>
      </c>
      <c r="G1515" s="232">
        <v>1062968</v>
      </c>
      <c r="H1515" s="138">
        <f t="shared" si="157"/>
        <v>18758363</v>
      </c>
      <c r="I1515" s="138">
        <f t="shared" ref="I1515:I1531" si="159">H1515*E1515</f>
        <v>37516726</v>
      </c>
      <c r="J1515" s="47"/>
      <c r="K1515" s="15"/>
    </row>
    <row r="1516" spans="1:11" s="16" customFormat="1" ht="25.5" outlineLevel="3">
      <c r="A1516" s="14"/>
      <c r="B1516" s="35">
        <f>MAXA(B$5:B1515)+1</f>
        <v>617</v>
      </c>
      <c r="C1516" s="242" t="s">
        <v>875</v>
      </c>
      <c r="D1516" s="233" t="s">
        <v>44</v>
      </c>
      <c r="E1516" s="247">
        <v>2</v>
      </c>
      <c r="F1516" s="307">
        <v>12836069.999999998</v>
      </c>
      <c r="G1516" s="232">
        <v>750330</v>
      </c>
      <c r="H1516" s="138">
        <f t="shared" si="157"/>
        <v>13586399.999999998</v>
      </c>
      <c r="I1516" s="138">
        <f t="shared" si="159"/>
        <v>27172799.999999996</v>
      </c>
      <c r="J1516" s="47"/>
      <c r="K1516" s="15"/>
    </row>
    <row r="1517" spans="1:11" s="16" customFormat="1" ht="25.5" outlineLevel="3">
      <c r="A1517" s="14"/>
      <c r="B1517" s="35">
        <f>MAXA(B$5:B1516)+1</f>
        <v>618</v>
      </c>
      <c r="C1517" s="242" t="s">
        <v>876</v>
      </c>
      <c r="D1517" s="233" t="s">
        <v>44</v>
      </c>
      <c r="E1517" s="247">
        <v>5</v>
      </c>
      <c r="F1517" s="307">
        <v>16745264.999999998</v>
      </c>
      <c r="G1517" s="232">
        <v>875385</v>
      </c>
      <c r="H1517" s="138">
        <f t="shared" si="157"/>
        <v>17620650</v>
      </c>
      <c r="I1517" s="138">
        <f t="shared" si="159"/>
        <v>88103250</v>
      </c>
      <c r="J1517" s="47"/>
      <c r="K1517" s="15"/>
    </row>
    <row r="1518" spans="1:11" s="16" customFormat="1" ht="25.5" outlineLevel="3">
      <c r="A1518" s="14"/>
      <c r="B1518" s="35">
        <f>MAXA(B$5:B1517)+1</f>
        <v>619</v>
      </c>
      <c r="C1518" s="242" t="s">
        <v>877</v>
      </c>
      <c r="D1518" s="233" t="s">
        <v>44</v>
      </c>
      <c r="E1518" s="247">
        <v>3</v>
      </c>
      <c r="F1518" s="307">
        <v>17695395</v>
      </c>
      <c r="G1518" s="232">
        <v>1000440</v>
      </c>
      <c r="H1518" s="138">
        <f t="shared" si="157"/>
        <v>18695835</v>
      </c>
      <c r="I1518" s="138">
        <f t="shared" si="159"/>
        <v>56087505</v>
      </c>
      <c r="J1518" s="47"/>
      <c r="K1518" s="15"/>
    </row>
    <row r="1519" spans="1:11" s="16" customFormat="1" ht="25.5" outlineLevel="3">
      <c r="A1519" s="14"/>
      <c r="B1519" s="35">
        <f>MAXA(B$5:B1518)+1</f>
        <v>620</v>
      </c>
      <c r="C1519" s="242" t="s">
        <v>878</v>
      </c>
      <c r="D1519" s="233" t="s">
        <v>44</v>
      </c>
      <c r="E1519" s="247">
        <v>1</v>
      </c>
      <c r="F1519" s="307">
        <v>12836069.999999998</v>
      </c>
      <c r="G1519" s="232">
        <v>812858</v>
      </c>
      <c r="H1519" s="138">
        <f t="shared" si="157"/>
        <v>13648927.999999998</v>
      </c>
      <c r="I1519" s="138">
        <f t="shared" si="159"/>
        <v>13648927.999999998</v>
      </c>
      <c r="J1519" s="47"/>
      <c r="K1519" s="15"/>
    </row>
    <row r="1520" spans="1:11" s="16" customFormat="1" ht="25.5" outlineLevel="3">
      <c r="A1520" s="14"/>
      <c r="B1520" s="35">
        <f>MAXA(B$5:B1519)+1</f>
        <v>621</v>
      </c>
      <c r="C1520" s="242" t="s">
        <v>879</v>
      </c>
      <c r="D1520" s="233" t="s">
        <v>44</v>
      </c>
      <c r="E1520" s="247">
        <v>3</v>
      </c>
      <c r="F1520" s="307">
        <v>18435420</v>
      </c>
      <c r="G1520" s="232">
        <v>1250550</v>
      </c>
      <c r="H1520" s="138">
        <f t="shared" si="157"/>
        <v>19685970</v>
      </c>
      <c r="I1520" s="138">
        <f t="shared" si="159"/>
        <v>59057910</v>
      </c>
      <c r="J1520" s="47"/>
      <c r="K1520" s="15"/>
    </row>
    <row r="1521" spans="1:11" s="16" customFormat="1" ht="25.5" outlineLevel="3">
      <c r="A1521" s="14"/>
      <c r="B1521" s="35">
        <f>MAXA(B$5:B1520)+1</f>
        <v>622</v>
      </c>
      <c r="C1521" s="242" t="s">
        <v>880</v>
      </c>
      <c r="D1521" s="233" t="s">
        <v>44</v>
      </c>
      <c r="E1521" s="247">
        <v>1</v>
      </c>
      <c r="F1521" s="307">
        <v>16745264.999999998</v>
      </c>
      <c r="G1521" s="232">
        <v>812858</v>
      </c>
      <c r="H1521" s="138">
        <f t="shared" si="157"/>
        <v>17558123</v>
      </c>
      <c r="I1521" s="138">
        <f t="shared" si="159"/>
        <v>17558123</v>
      </c>
      <c r="J1521" s="47"/>
      <c r="K1521" s="15"/>
    </row>
    <row r="1522" spans="1:11" s="16" customFormat="1" ht="25.5" outlineLevel="3">
      <c r="A1522" s="14"/>
      <c r="B1522" s="35">
        <f>MAXA(B$5:B1521)+1</f>
        <v>623</v>
      </c>
      <c r="C1522" s="242" t="s">
        <v>881</v>
      </c>
      <c r="D1522" s="233" t="s">
        <v>44</v>
      </c>
      <c r="E1522" s="247">
        <v>1</v>
      </c>
      <c r="F1522" s="307">
        <v>16745264.999999998</v>
      </c>
      <c r="G1522" s="232">
        <v>812858</v>
      </c>
      <c r="H1522" s="138">
        <f t="shared" si="157"/>
        <v>17558123</v>
      </c>
      <c r="I1522" s="138">
        <f t="shared" si="159"/>
        <v>17558123</v>
      </c>
      <c r="J1522" s="47"/>
      <c r="K1522" s="15"/>
    </row>
    <row r="1523" spans="1:11" s="16" customFormat="1" ht="25.5" outlineLevel="3">
      <c r="A1523" s="14"/>
      <c r="B1523" s="35">
        <f>MAXA(B$5:B1522)+1</f>
        <v>624</v>
      </c>
      <c r="C1523" s="242" t="s">
        <v>882</v>
      </c>
      <c r="D1523" s="233" t="s">
        <v>44</v>
      </c>
      <c r="E1523" s="247">
        <v>1</v>
      </c>
      <c r="F1523" s="307">
        <v>16745264.999999998</v>
      </c>
      <c r="G1523" s="232">
        <v>812858</v>
      </c>
      <c r="H1523" s="138">
        <f t="shared" si="157"/>
        <v>17558123</v>
      </c>
      <c r="I1523" s="138">
        <f t="shared" si="159"/>
        <v>17558123</v>
      </c>
      <c r="J1523" s="47"/>
      <c r="K1523" s="15"/>
    </row>
    <row r="1524" spans="1:11" s="16" customFormat="1" ht="25.5" outlineLevel="3">
      <c r="A1524" s="14"/>
      <c r="B1524" s="35">
        <f>MAXA(B$5:B1523)+1</f>
        <v>625</v>
      </c>
      <c r="C1524" s="242" t="s">
        <v>883</v>
      </c>
      <c r="D1524" s="233" t="s">
        <v>44</v>
      </c>
      <c r="E1524" s="247">
        <v>1</v>
      </c>
      <c r="F1524" s="307">
        <v>16745264.999999998</v>
      </c>
      <c r="G1524" s="232">
        <v>812858</v>
      </c>
      <c r="H1524" s="138">
        <f t="shared" si="157"/>
        <v>17558123</v>
      </c>
      <c r="I1524" s="138">
        <f t="shared" si="159"/>
        <v>17558123</v>
      </c>
      <c r="J1524" s="47"/>
      <c r="K1524" s="15"/>
    </row>
    <row r="1525" spans="1:11" s="16" customFormat="1" ht="25.5" outlineLevel="3">
      <c r="A1525" s="14"/>
      <c r="B1525" s="35">
        <f>MAXA(B$5:B1524)+1</f>
        <v>626</v>
      </c>
      <c r="C1525" s="242" t="s">
        <v>884</v>
      </c>
      <c r="D1525" s="233" t="s">
        <v>44</v>
      </c>
      <c r="E1525" s="247">
        <v>2</v>
      </c>
      <c r="F1525" s="307">
        <v>17695395</v>
      </c>
      <c r="G1525" s="232">
        <v>1062968</v>
      </c>
      <c r="H1525" s="138">
        <f t="shared" si="157"/>
        <v>18758363</v>
      </c>
      <c r="I1525" s="138">
        <f t="shared" si="159"/>
        <v>37516726</v>
      </c>
      <c r="J1525" s="47"/>
      <c r="K1525" s="15"/>
    </row>
    <row r="1526" spans="1:11" s="16" customFormat="1" ht="25.5" outlineLevel="3">
      <c r="A1526" s="14"/>
      <c r="B1526" s="35">
        <f>MAXA(B$5:B1525)+1</f>
        <v>627</v>
      </c>
      <c r="C1526" s="242" t="s">
        <v>885</v>
      </c>
      <c r="D1526" s="233" t="s">
        <v>44</v>
      </c>
      <c r="E1526" s="247">
        <v>3</v>
      </c>
      <c r="F1526" s="307">
        <v>17695395</v>
      </c>
      <c r="G1526" s="232">
        <v>1062968</v>
      </c>
      <c r="H1526" s="138">
        <f t="shared" si="157"/>
        <v>18758363</v>
      </c>
      <c r="I1526" s="138">
        <f t="shared" si="159"/>
        <v>56275089</v>
      </c>
      <c r="J1526" s="47"/>
      <c r="K1526" s="15"/>
    </row>
    <row r="1527" spans="1:11" s="16" customFormat="1" ht="25.5" outlineLevel="3">
      <c r="A1527" s="14"/>
      <c r="B1527" s="35">
        <f>MAXA(B$5:B1526)+1</f>
        <v>628</v>
      </c>
      <c r="C1527" s="242" t="s">
        <v>886</v>
      </c>
      <c r="D1527" s="233" t="s">
        <v>44</v>
      </c>
      <c r="E1527" s="247">
        <v>1</v>
      </c>
      <c r="F1527" s="307">
        <v>12836069.999999998</v>
      </c>
      <c r="G1527" s="232">
        <v>750330</v>
      </c>
      <c r="H1527" s="138">
        <f t="shared" si="157"/>
        <v>13586399.999999998</v>
      </c>
      <c r="I1527" s="138">
        <f t="shared" si="159"/>
        <v>13586399.999999998</v>
      </c>
      <c r="J1527" s="47"/>
      <c r="K1527" s="15"/>
    </row>
    <row r="1528" spans="1:11" s="16" customFormat="1" ht="25.5" outlineLevel="3">
      <c r="A1528" s="14"/>
      <c r="B1528" s="35">
        <f>MAXA(B$5:B1527)+1</f>
        <v>629</v>
      </c>
      <c r="C1528" s="242" t="s">
        <v>887</v>
      </c>
      <c r="D1528" s="233" t="s">
        <v>44</v>
      </c>
      <c r="E1528" s="247">
        <v>1</v>
      </c>
      <c r="F1528" s="307">
        <v>18435420</v>
      </c>
      <c r="G1528" s="232">
        <v>1125495</v>
      </c>
      <c r="H1528" s="138">
        <f t="shared" si="157"/>
        <v>19560915</v>
      </c>
      <c r="I1528" s="138">
        <f t="shared" si="159"/>
        <v>19560915</v>
      </c>
      <c r="J1528" s="47"/>
      <c r="K1528" s="15"/>
    </row>
    <row r="1529" spans="1:11" s="16" customFormat="1" ht="25.5" outlineLevel="3">
      <c r="A1529" s="14"/>
      <c r="B1529" s="35">
        <f>MAXA(B$5:B1528)+1</f>
        <v>630</v>
      </c>
      <c r="C1529" s="242" t="s">
        <v>888</v>
      </c>
      <c r="D1529" s="233" t="s">
        <v>44</v>
      </c>
      <c r="E1529" s="247">
        <v>3</v>
      </c>
      <c r="F1529" s="307">
        <v>16745264.999999998</v>
      </c>
      <c r="G1529" s="232">
        <v>1000440</v>
      </c>
      <c r="H1529" s="138">
        <f t="shared" si="157"/>
        <v>17745705</v>
      </c>
      <c r="I1529" s="138">
        <f t="shared" si="159"/>
        <v>53237115</v>
      </c>
      <c r="J1529" s="47"/>
      <c r="K1529" s="15"/>
    </row>
    <row r="1530" spans="1:11" s="16" customFormat="1" ht="25.5" outlineLevel="3">
      <c r="A1530" s="14"/>
      <c r="B1530" s="35">
        <f>MAXA(B$5:B1529)+1</f>
        <v>631</v>
      </c>
      <c r="C1530" s="242" t="s">
        <v>889</v>
      </c>
      <c r="D1530" s="233" t="s">
        <v>44</v>
      </c>
      <c r="E1530" s="247">
        <v>1</v>
      </c>
      <c r="F1530" s="307">
        <v>14895719.999999998</v>
      </c>
      <c r="G1530" s="232">
        <v>812858</v>
      </c>
      <c r="H1530" s="138">
        <f t="shared" si="157"/>
        <v>15708577.999999998</v>
      </c>
      <c r="I1530" s="138">
        <f t="shared" si="159"/>
        <v>15708577.999999998</v>
      </c>
      <c r="J1530" s="47"/>
      <c r="K1530" s="15"/>
    </row>
    <row r="1531" spans="1:11" s="16" customFormat="1" ht="25.5" outlineLevel="3">
      <c r="A1531" s="14"/>
      <c r="B1531" s="35">
        <f>MAXA(B$5:B1530)+1</f>
        <v>632</v>
      </c>
      <c r="C1531" s="242" t="s">
        <v>890</v>
      </c>
      <c r="D1531" s="233" t="s">
        <v>44</v>
      </c>
      <c r="E1531" s="247">
        <v>5</v>
      </c>
      <c r="F1531" s="307">
        <v>18435420</v>
      </c>
      <c r="G1531" s="232">
        <v>1500660</v>
      </c>
      <c r="H1531" s="138">
        <f t="shared" si="157"/>
        <v>19936080</v>
      </c>
      <c r="I1531" s="138">
        <f t="shared" si="159"/>
        <v>99680400</v>
      </c>
      <c r="J1531" s="47"/>
      <c r="K1531" s="15"/>
    </row>
    <row r="1532" spans="1:11" s="16" customFormat="1" ht="51" outlineLevel="3">
      <c r="A1532" s="14"/>
      <c r="B1532" s="35">
        <f>MAXA(B$5:B1531)+1</f>
        <v>633</v>
      </c>
      <c r="C1532" s="242" t="s">
        <v>891</v>
      </c>
      <c r="D1532" s="230" t="s">
        <v>194</v>
      </c>
      <c r="E1532" s="247">
        <v>98</v>
      </c>
      <c r="F1532" s="232">
        <v>0</v>
      </c>
      <c r="G1532" s="232">
        <v>0</v>
      </c>
      <c r="H1532" s="53"/>
      <c r="I1532" s="53"/>
      <c r="J1532" s="60" t="s">
        <v>892</v>
      </c>
      <c r="K1532" s="15"/>
    </row>
    <row r="1533" spans="1:11" s="16" customFormat="1" ht="25.5" outlineLevel="3">
      <c r="A1533" s="14"/>
      <c r="B1533" s="35">
        <f>MAXA(B$5:B1532)+1</f>
        <v>634</v>
      </c>
      <c r="C1533" s="242" t="s">
        <v>893</v>
      </c>
      <c r="D1533" s="230" t="s">
        <v>38</v>
      </c>
      <c r="E1533" s="247">
        <v>1</v>
      </c>
      <c r="F1533" s="232">
        <v>342099948</v>
      </c>
      <c r="G1533" s="232">
        <v>80660475</v>
      </c>
      <c r="H1533" s="138">
        <f>G1533+F1533</f>
        <v>422760423</v>
      </c>
      <c r="I1533" s="138">
        <f>H1533*E1533</f>
        <v>422760423</v>
      </c>
      <c r="J1533" s="47"/>
      <c r="K1533" s="15"/>
    </row>
    <row r="1534" spans="1:11" s="16" customFormat="1" ht="25.5" outlineLevel="3">
      <c r="A1534" s="14"/>
      <c r="B1534" s="35">
        <f>MAXA(B$5:B1533)+1</f>
        <v>635</v>
      </c>
      <c r="C1534" s="242" t="s">
        <v>894</v>
      </c>
      <c r="D1534" s="230" t="s">
        <v>38</v>
      </c>
      <c r="E1534" s="247">
        <v>1</v>
      </c>
      <c r="F1534" s="232">
        <v>64320699</v>
      </c>
      <c r="G1534" s="232">
        <v>43106459</v>
      </c>
      <c r="H1534" s="138">
        <f>G1534+F1534</f>
        <v>107427158</v>
      </c>
      <c r="I1534" s="138">
        <f>H1534*E1534</f>
        <v>107427158</v>
      </c>
      <c r="J1534" s="47"/>
      <c r="K1534" s="15"/>
    </row>
    <row r="1535" spans="1:11" s="16" customFormat="1" ht="25.5" outlineLevel="3">
      <c r="A1535" s="14"/>
      <c r="B1535" s="35">
        <f>MAXA(B$5:B1534)+1</f>
        <v>636</v>
      </c>
      <c r="C1535" s="238" t="s">
        <v>828</v>
      </c>
      <c r="D1535" s="230" t="s">
        <v>38</v>
      </c>
      <c r="E1535" s="247">
        <v>1</v>
      </c>
      <c r="F1535" s="232">
        <v>113665589</v>
      </c>
      <c r="G1535" s="232">
        <v>20401516</v>
      </c>
      <c r="H1535" s="138">
        <f>G1535+F1535</f>
        <v>134067105</v>
      </c>
      <c r="I1535" s="138">
        <f>H1535*E1535</f>
        <v>134067105</v>
      </c>
      <c r="J1535" s="47"/>
      <c r="K1535" s="15"/>
    </row>
    <row r="1536" spans="1:11" s="16" customFormat="1" ht="27" outlineLevel="3">
      <c r="A1536" s="14"/>
      <c r="B1536" s="35"/>
      <c r="C1536" s="296" t="s">
        <v>895</v>
      </c>
      <c r="D1536" s="230"/>
      <c r="E1536" s="247"/>
      <c r="F1536" s="232">
        <v>0</v>
      </c>
      <c r="G1536" s="232">
        <v>0</v>
      </c>
      <c r="H1536" s="295"/>
      <c r="I1536" s="180"/>
      <c r="J1536" s="47"/>
      <c r="K1536" s="15"/>
    </row>
    <row r="1537" spans="1:11" s="16" customFormat="1" ht="25.5" outlineLevel="3">
      <c r="A1537" s="14"/>
      <c r="B1537" s="35">
        <f>MAXA(B$5:B1536)+1</f>
        <v>637</v>
      </c>
      <c r="C1537" s="242" t="s">
        <v>896</v>
      </c>
      <c r="D1537" s="230" t="s">
        <v>25</v>
      </c>
      <c r="E1537" s="247">
        <v>12</v>
      </c>
      <c r="F1537" s="232">
        <v>1733928</v>
      </c>
      <c r="G1537" s="232">
        <v>437693</v>
      </c>
      <c r="H1537" s="138">
        <f t="shared" ref="H1537:H1561" si="160">G1537+F1537</f>
        <v>2171621</v>
      </c>
      <c r="I1537" s="138">
        <f t="shared" ref="I1537:I1561" si="161">H1537*E1537</f>
        <v>26059452</v>
      </c>
      <c r="J1537" s="47"/>
      <c r="K1537" s="15"/>
    </row>
    <row r="1538" spans="1:11" s="16" customFormat="1" ht="25.5" outlineLevel="3">
      <c r="A1538" s="14"/>
      <c r="B1538" s="35">
        <f>MAXA(B$5:B1537)+1</f>
        <v>638</v>
      </c>
      <c r="C1538" s="248" t="s">
        <v>897</v>
      </c>
      <c r="D1538" s="230" t="s">
        <v>25</v>
      </c>
      <c r="E1538" s="247">
        <v>120</v>
      </c>
      <c r="F1538" s="232">
        <v>1383405</v>
      </c>
      <c r="G1538" s="232">
        <v>375165</v>
      </c>
      <c r="H1538" s="138">
        <f t="shared" si="160"/>
        <v>1758570</v>
      </c>
      <c r="I1538" s="138">
        <f t="shared" si="161"/>
        <v>211028400</v>
      </c>
      <c r="J1538" s="47"/>
      <c r="K1538" s="15"/>
    </row>
    <row r="1539" spans="1:11" s="16" customFormat="1" ht="25.5" outlineLevel="3">
      <c r="A1539" s="14"/>
      <c r="B1539" s="35">
        <f>MAXA(B$5:B1538)+1</f>
        <v>639</v>
      </c>
      <c r="C1539" s="248" t="s">
        <v>898</v>
      </c>
      <c r="D1539" s="230" t="s">
        <v>25</v>
      </c>
      <c r="E1539" s="247">
        <v>21</v>
      </c>
      <c r="F1539" s="232">
        <v>761706</v>
      </c>
      <c r="G1539" s="232">
        <v>258614</v>
      </c>
      <c r="H1539" s="138">
        <f t="shared" si="160"/>
        <v>1020320</v>
      </c>
      <c r="I1539" s="138">
        <f t="shared" si="161"/>
        <v>21426720</v>
      </c>
      <c r="J1539" s="47"/>
      <c r="K1539" s="15"/>
    </row>
    <row r="1540" spans="1:11" s="16" customFormat="1" ht="25.5" outlineLevel="3">
      <c r="A1540" s="14"/>
      <c r="B1540" s="35">
        <f>MAXA(B$5:B1539)+1</f>
        <v>640</v>
      </c>
      <c r="C1540" s="248" t="s">
        <v>899</v>
      </c>
      <c r="D1540" s="230" t="s">
        <v>25</v>
      </c>
      <c r="E1540" s="247">
        <v>38</v>
      </c>
      <c r="F1540" s="232">
        <v>530072</v>
      </c>
      <c r="G1540" s="232">
        <v>190084</v>
      </c>
      <c r="H1540" s="138">
        <f t="shared" si="160"/>
        <v>720156</v>
      </c>
      <c r="I1540" s="138">
        <f t="shared" si="161"/>
        <v>27365928</v>
      </c>
      <c r="J1540" s="47"/>
      <c r="K1540" s="15"/>
    </row>
    <row r="1541" spans="1:11" s="16" customFormat="1" ht="25.5" outlineLevel="3">
      <c r="A1541" s="14"/>
      <c r="B1541" s="35">
        <f>MAXA(B$5:B1540)+1</f>
        <v>641</v>
      </c>
      <c r="C1541" s="248" t="s">
        <v>900</v>
      </c>
      <c r="D1541" s="230" t="s">
        <v>25</v>
      </c>
      <c r="E1541" s="247">
        <v>6</v>
      </c>
      <c r="F1541" s="232">
        <v>474097</v>
      </c>
      <c r="G1541" s="232">
        <v>157569</v>
      </c>
      <c r="H1541" s="138">
        <f t="shared" si="160"/>
        <v>631666</v>
      </c>
      <c r="I1541" s="138">
        <f t="shared" si="161"/>
        <v>3789996</v>
      </c>
      <c r="J1541" s="47"/>
      <c r="K1541" s="15"/>
    </row>
    <row r="1542" spans="1:11" s="16" customFormat="1" ht="25.5" outlineLevel="3">
      <c r="A1542" s="14"/>
      <c r="B1542" s="35">
        <f>MAXA(B$5:B1541)+1</f>
        <v>642</v>
      </c>
      <c r="C1542" s="242" t="s">
        <v>901</v>
      </c>
      <c r="D1542" s="230" t="s">
        <v>25</v>
      </c>
      <c r="E1542" s="247">
        <v>10</v>
      </c>
      <c r="F1542" s="232">
        <v>325262</v>
      </c>
      <c r="G1542" s="232">
        <v>127556</v>
      </c>
      <c r="H1542" s="138">
        <f t="shared" si="160"/>
        <v>452818</v>
      </c>
      <c r="I1542" s="138">
        <f t="shared" si="161"/>
        <v>4528180</v>
      </c>
      <c r="J1542" s="47"/>
      <c r="K1542" s="15"/>
    </row>
    <row r="1543" spans="1:11" s="16" customFormat="1" ht="25.5" outlineLevel="3">
      <c r="A1543" s="14"/>
      <c r="B1543" s="35">
        <f>MAXA(B$5:B1542)+1</f>
        <v>643</v>
      </c>
      <c r="C1543" s="248" t="s">
        <v>902</v>
      </c>
      <c r="D1543" s="230" t="s">
        <v>25</v>
      </c>
      <c r="E1543" s="247">
        <v>16</v>
      </c>
      <c r="F1543" s="232">
        <v>195468</v>
      </c>
      <c r="G1543" s="232">
        <v>97543</v>
      </c>
      <c r="H1543" s="138">
        <f t="shared" si="160"/>
        <v>293011</v>
      </c>
      <c r="I1543" s="138">
        <f t="shared" si="161"/>
        <v>4688176</v>
      </c>
      <c r="J1543" s="47"/>
      <c r="K1543" s="15"/>
    </row>
    <row r="1544" spans="1:11" s="16" customFormat="1" ht="25.5" outlineLevel="3">
      <c r="A1544" s="14"/>
      <c r="B1544" s="35">
        <f>MAXA(B$5:B1543)+1</f>
        <v>644</v>
      </c>
      <c r="C1544" s="248" t="s">
        <v>903</v>
      </c>
      <c r="D1544" s="230" t="s">
        <v>25</v>
      </c>
      <c r="E1544" s="247">
        <v>14</v>
      </c>
      <c r="F1544" s="232">
        <v>138732</v>
      </c>
      <c r="G1544" s="232">
        <v>60777</v>
      </c>
      <c r="H1544" s="138">
        <f t="shared" si="160"/>
        <v>199509</v>
      </c>
      <c r="I1544" s="138">
        <f t="shared" si="161"/>
        <v>2793126</v>
      </c>
      <c r="J1544" s="47"/>
      <c r="K1544" s="15"/>
    </row>
    <row r="1545" spans="1:11" s="16" customFormat="1" ht="25.5" outlineLevel="3">
      <c r="A1545" s="14"/>
      <c r="B1545" s="35">
        <f>MAXA(B$5:B1544)+1</f>
        <v>645</v>
      </c>
      <c r="C1545" s="242" t="s">
        <v>904</v>
      </c>
      <c r="D1545" s="230" t="s">
        <v>25</v>
      </c>
      <c r="E1545" s="247">
        <v>36</v>
      </c>
      <c r="F1545" s="232">
        <v>2455034</v>
      </c>
      <c r="G1545" s="232">
        <v>730321</v>
      </c>
      <c r="H1545" s="138">
        <f t="shared" si="160"/>
        <v>3185355</v>
      </c>
      <c r="I1545" s="138">
        <f t="shared" si="161"/>
        <v>114672780</v>
      </c>
      <c r="J1545" s="47"/>
      <c r="K1545" s="15"/>
    </row>
    <row r="1546" spans="1:11" s="16" customFormat="1" ht="25.5" outlineLevel="3">
      <c r="A1546" s="14"/>
      <c r="B1546" s="35">
        <f>MAXA(B$5:B1545)+1</f>
        <v>646</v>
      </c>
      <c r="C1546" s="242" t="s">
        <v>905</v>
      </c>
      <c r="D1546" s="230" t="s">
        <v>25</v>
      </c>
      <c r="E1546" s="247">
        <v>93</v>
      </c>
      <c r="F1546" s="232">
        <v>1979395</v>
      </c>
      <c r="G1546" s="232">
        <v>645284</v>
      </c>
      <c r="H1546" s="138">
        <f t="shared" si="160"/>
        <v>2624679</v>
      </c>
      <c r="I1546" s="138">
        <f t="shared" si="161"/>
        <v>244095147</v>
      </c>
      <c r="J1546" s="47"/>
      <c r="K1546" s="15"/>
    </row>
    <row r="1547" spans="1:11" s="16" customFormat="1" ht="25.5" outlineLevel="3">
      <c r="A1547" s="14"/>
      <c r="B1547" s="35">
        <f>MAXA(B$5:B1546)+1</f>
        <v>647</v>
      </c>
      <c r="C1547" s="242" t="s">
        <v>906</v>
      </c>
      <c r="D1547" s="230" t="s">
        <v>25</v>
      </c>
      <c r="E1547" s="247">
        <v>27</v>
      </c>
      <c r="F1547" s="232">
        <v>1333952</v>
      </c>
      <c r="G1547" s="232">
        <v>498719</v>
      </c>
      <c r="H1547" s="138">
        <f t="shared" si="160"/>
        <v>1832671</v>
      </c>
      <c r="I1547" s="138">
        <f t="shared" si="161"/>
        <v>49482117</v>
      </c>
      <c r="J1547" s="47"/>
      <c r="K1547" s="15"/>
    </row>
    <row r="1548" spans="1:11" s="16" customFormat="1" ht="25.5" outlineLevel="3">
      <c r="A1548" s="14"/>
      <c r="B1548" s="35">
        <f>MAXA(B$5:B1547)+1</f>
        <v>648</v>
      </c>
      <c r="C1548" s="242" t="s">
        <v>907</v>
      </c>
      <c r="D1548" s="230" t="s">
        <v>25</v>
      </c>
      <c r="E1548" s="247">
        <v>93</v>
      </c>
      <c r="F1548" s="232">
        <v>1069119</v>
      </c>
      <c r="G1548" s="232">
        <v>392673</v>
      </c>
      <c r="H1548" s="138">
        <f t="shared" si="160"/>
        <v>1461792</v>
      </c>
      <c r="I1548" s="138">
        <f t="shared" si="161"/>
        <v>135946656</v>
      </c>
      <c r="J1548" s="47"/>
      <c r="K1548" s="15"/>
    </row>
    <row r="1549" spans="1:11" s="16" customFormat="1" ht="25.5" outlineLevel="3">
      <c r="A1549" s="14"/>
      <c r="B1549" s="35">
        <f>MAXA(B$5:B1548)+1</f>
        <v>649</v>
      </c>
      <c r="C1549" s="242" t="s">
        <v>908</v>
      </c>
      <c r="D1549" s="230" t="s">
        <v>25</v>
      </c>
      <c r="E1549" s="247">
        <v>192</v>
      </c>
      <c r="F1549" s="232">
        <v>885206</v>
      </c>
      <c r="G1549" s="232">
        <v>345152</v>
      </c>
      <c r="H1549" s="138">
        <f t="shared" si="160"/>
        <v>1230358</v>
      </c>
      <c r="I1549" s="138">
        <f t="shared" si="161"/>
        <v>236228736</v>
      </c>
      <c r="J1549" s="47"/>
      <c r="K1549" s="15"/>
    </row>
    <row r="1550" spans="1:11" s="16" customFormat="1" ht="25.5" outlineLevel="3">
      <c r="A1550" s="14"/>
      <c r="B1550" s="35">
        <f>MAXA(B$5:B1549)+1</f>
        <v>650</v>
      </c>
      <c r="C1550" s="242" t="s">
        <v>909</v>
      </c>
      <c r="D1550" s="230" t="s">
        <v>25</v>
      </c>
      <c r="E1550" s="247">
        <v>126</v>
      </c>
      <c r="F1550" s="232">
        <v>677299</v>
      </c>
      <c r="G1550" s="232">
        <v>307635</v>
      </c>
      <c r="H1550" s="138">
        <f t="shared" si="160"/>
        <v>984934</v>
      </c>
      <c r="I1550" s="138">
        <f t="shared" si="161"/>
        <v>124101684</v>
      </c>
      <c r="J1550" s="47"/>
      <c r="K1550" s="15"/>
    </row>
    <row r="1551" spans="1:11" s="16" customFormat="1" ht="25.5" outlineLevel="3">
      <c r="A1551" s="14"/>
      <c r="B1551" s="35">
        <f>MAXA(B$5:B1550)+1</f>
        <v>651</v>
      </c>
      <c r="C1551" s="242" t="s">
        <v>910</v>
      </c>
      <c r="D1551" s="230" t="s">
        <v>25</v>
      </c>
      <c r="E1551" s="247">
        <v>54</v>
      </c>
      <c r="F1551" s="232">
        <v>544739</v>
      </c>
      <c r="G1551" s="232">
        <v>255112</v>
      </c>
      <c r="H1551" s="138">
        <f t="shared" si="160"/>
        <v>799851</v>
      </c>
      <c r="I1551" s="138">
        <f t="shared" si="161"/>
        <v>43191954</v>
      </c>
      <c r="J1551" s="47"/>
      <c r="K1551" s="15"/>
    </row>
    <row r="1552" spans="1:11" s="16" customFormat="1" ht="25.5" outlineLevel="3">
      <c r="A1552" s="14"/>
      <c r="B1552" s="35">
        <f>MAXA(B$5:B1551)+1</f>
        <v>652</v>
      </c>
      <c r="C1552" s="242" t="s">
        <v>911</v>
      </c>
      <c r="D1552" s="230" t="s">
        <v>25</v>
      </c>
      <c r="E1552" s="247">
        <v>126</v>
      </c>
      <c r="F1552" s="232">
        <v>463186</v>
      </c>
      <c r="G1552" s="232">
        <v>214469</v>
      </c>
      <c r="H1552" s="138">
        <f t="shared" si="160"/>
        <v>677655</v>
      </c>
      <c r="I1552" s="138">
        <f t="shared" si="161"/>
        <v>85384530</v>
      </c>
      <c r="J1552" s="47"/>
      <c r="K1552" s="15"/>
    </row>
    <row r="1553" spans="1:11" s="16" customFormat="1" ht="25.5" outlineLevel="3">
      <c r="A1553" s="14"/>
      <c r="B1553" s="35">
        <f>MAXA(B$5:B1552)+1</f>
        <v>653</v>
      </c>
      <c r="C1553" s="242" t="s">
        <v>912</v>
      </c>
      <c r="D1553" s="230" t="s">
        <v>25</v>
      </c>
      <c r="E1553" s="247">
        <v>192</v>
      </c>
      <c r="F1553" s="232">
        <v>386447</v>
      </c>
      <c r="G1553" s="232">
        <v>188333</v>
      </c>
      <c r="H1553" s="138">
        <f t="shared" si="160"/>
        <v>574780</v>
      </c>
      <c r="I1553" s="138">
        <f t="shared" si="161"/>
        <v>110357760</v>
      </c>
      <c r="J1553" s="47"/>
      <c r="K1553" s="15"/>
    </row>
    <row r="1554" spans="1:11" s="16" customFormat="1" ht="25.5" outlineLevel="3">
      <c r="A1554" s="14"/>
      <c r="B1554" s="35">
        <f>MAXA(B$5:B1553)+1</f>
        <v>654</v>
      </c>
      <c r="C1554" s="242" t="s">
        <v>913</v>
      </c>
      <c r="D1554" s="230" t="s">
        <v>25</v>
      </c>
      <c r="E1554" s="247">
        <v>204</v>
      </c>
      <c r="F1554" s="232">
        <v>333849</v>
      </c>
      <c r="G1554" s="232">
        <v>173201</v>
      </c>
      <c r="H1554" s="138">
        <f t="shared" si="160"/>
        <v>507050</v>
      </c>
      <c r="I1554" s="138">
        <f t="shared" si="161"/>
        <v>103438200</v>
      </c>
      <c r="J1554" s="47"/>
      <c r="K1554" s="15"/>
    </row>
    <row r="1555" spans="1:11" s="16" customFormat="1" ht="25.5" outlineLevel="3">
      <c r="A1555" s="14"/>
      <c r="B1555" s="35">
        <f>MAXA(B$5:B1554)+1</f>
        <v>655</v>
      </c>
      <c r="C1555" s="242" t="s">
        <v>914</v>
      </c>
      <c r="D1555" s="230" t="s">
        <v>25</v>
      </c>
      <c r="E1555" s="247">
        <v>708</v>
      </c>
      <c r="F1555" s="232">
        <v>289758</v>
      </c>
      <c r="G1555" s="232">
        <v>160696</v>
      </c>
      <c r="H1555" s="138">
        <f t="shared" si="160"/>
        <v>450454</v>
      </c>
      <c r="I1555" s="138">
        <f t="shared" si="161"/>
        <v>318921432</v>
      </c>
      <c r="J1555" s="47"/>
      <c r="K1555" s="15"/>
    </row>
    <row r="1556" spans="1:11" s="16" customFormat="1" ht="25.5" outlineLevel="3">
      <c r="A1556" s="14"/>
      <c r="B1556" s="35">
        <f>MAXA(B$5:B1555)+1</f>
        <v>656</v>
      </c>
      <c r="C1556" s="242" t="s">
        <v>915</v>
      </c>
      <c r="D1556" s="230" t="s">
        <v>25</v>
      </c>
      <c r="E1556" s="247">
        <v>390</v>
      </c>
      <c r="F1556" s="232">
        <v>225836</v>
      </c>
      <c r="G1556" s="232">
        <v>149816</v>
      </c>
      <c r="H1556" s="138">
        <f t="shared" si="160"/>
        <v>375652</v>
      </c>
      <c r="I1556" s="138">
        <f t="shared" si="161"/>
        <v>146504280</v>
      </c>
      <c r="J1556" s="47"/>
      <c r="K1556" s="15"/>
    </row>
    <row r="1557" spans="1:11" s="16" customFormat="1" ht="25.5" outlineLevel="3">
      <c r="A1557" s="14"/>
      <c r="B1557" s="35">
        <f>MAXA(B$5:B1556)+1</f>
        <v>657</v>
      </c>
      <c r="C1557" s="242" t="s">
        <v>916</v>
      </c>
      <c r="D1557" s="230" t="s">
        <v>25</v>
      </c>
      <c r="E1557" s="247">
        <v>6</v>
      </c>
      <c r="F1557" s="232">
        <v>203805</v>
      </c>
      <c r="G1557" s="232">
        <v>145064</v>
      </c>
      <c r="H1557" s="138">
        <f t="shared" si="160"/>
        <v>348869</v>
      </c>
      <c r="I1557" s="138">
        <f t="shared" si="161"/>
        <v>2093214</v>
      </c>
      <c r="J1557" s="47"/>
      <c r="K1557" s="15"/>
    </row>
    <row r="1558" spans="1:11" s="16" customFormat="1" ht="25.5" outlineLevel="3">
      <c r="A1558" s="14"/>
      <c r="B1558" s="35">
        <f>MAXA(B$5:B1557)+1</f>
        <v>658</v>
      </c>
      <c r="C1558" s="242" t="s">
        <v>917</v>
      </c>
      <c r="D1558" s="230" t="s">
        <v>38</v>
      </c>
      <c r="E1558" s="247">
        <v>1</v>
      </c>
      <c r="F1558" s="232">
        <v>164145768</v>
      </c>
      <c r="G1558" s="232">
        <v>29462061</v>
      </c>
      <c r="H1558" s="138">
        <f t="shared" si="160"/>
        <v>193607829</v>
      </c>
      <c r="I1558" s="138">
        <f t="shared" si="161"/>
        <v>193607829</v>
      </c>
      <c r="J1558" s="47"/>
      <c r="K1558" s="15"/>
    </row>
    <row r="1559" spans="1:11" s="16" customFormat="1" ht="25.5" outlineLevel="3">
      <c r="A1559" s="14"/>
      <c r="B1559" s="35">
        <f>MAXA(B$5:B1558)+1</f>
        <v>659</v>
      </c>
      <c r="C1559" s="242" t="s">
        <v>918</v>
      </c>
      <c r="D1559" s="230" t="s">
        <v>38</v>
      </c>
      <c r="E1559" s="247">
        <v>1</v>
      </c>
      <c r="F1559" s="232">
        <v>620393981</v>
      </c>
      <c r="G1559" s="232">
        <v>111352766</v>
      </c>
      <c r="H1559" s="138">
        <f t="shared" si="160"/>
        <v>731746747</v>
      </c>
      <c r="I1559" s="138">
        <f t="shared" si="161"/>
        <v>731746747</v>
      </c>
      <c r="J1559" s="47"/>
      <c r="K1559" s="15"/>
    </row>
    <row r="1560" spans="1:11" s="16" customFormat="1" ht="25.5" outlineLevel="3">
      <c r="A1560" s="14"/>
      <c r="B1560" s="35">
        <f>MAXA(B$5:B1559)+1</f>
        <v>660</v>
      </c>
      <c r="C1560" s="242" t="s">
        <v>919</v>
      </c>
      <c r="D1560" s="230" t="s">
        <v>38</v>
      </c>
      <c r="E1560" s="247">
        <v>1</v>
      </c>
      <c r="F1560" s="232">
        <v>208667569</v>
      </c>
      <c r="G1560" s="232">
        <v>37453153</v>
      </c>
      <c r="H1560" s="138">
        <f t="shared" si="160"/>
        <v>246120722</v>
      </c>
      <c r="I1560" s="138">
        <f t="shared" si="161"/>
        <v>246120722</v>
      </c>
      <c r="J1560" s="47"/>
      <c r="K1560" s="15"/>
    </row>
    <row r="1561" spans="1:11" s="16" customFormat="1" ht="25.5" outlineLevel="3">
      <c r="A1561" s="14"/>
      <c r="B1561" s="35">
        <f>MAXA(B$5:B1560)+1</f>
        <v>661</v>
      </c>
      <c r="C1561" s="238" t="s">
        <v>840</v>
      </c>
      <c r="D1561" s="230" t="s">
        <v>38</v>
      </c>
      <c r="E1561" s="247">
        <v>1</v>
      </c>
      <c r="F1561" s="232">
        <v>104333784</v>
      </c>
      <c r="G1561" s="232">
        <v>18726577</v>
      </c>
      <c r="H1561" s="138">
        <f t="shared" si="160"/>
        <v>123060361</v>
      </c>
      <c r="I1561" s="138">
        <f t="shared" si="161"/>
        <v>123060361</v>
      </c>
      <c r="J1561" s="47"/>
      <c r="K1561" s="15"/>
    </row>
    <row r="1562" spans="1:11" s="16" customFormat="1" ht="27" outlineLevel="3">
      <c r="A1562" s="14"/>
      <c r="B1562" s="35"/>
      <c r="C1562" s="296" t="s">
        <v>920</v>
      </c>
      <c r="D1562" s="230"/>
      <c r="E1562" s="247"/>
      <c r="F1562" s="232">
        <v>0</v>
      </c>
      <c r="G1562" s="232">
        <v>0</v>
      </c>
      <c r="H1562" s="295"/>
      <c r="I1562" s="180"/>
      <c r="J1562" s="47"/>
      <c r="K1562" s="15"/>
    </row>
    <row r="1563" spans="1:11" s="16" customFormat="1" ht="25.5" outlineLevel="3">
      <c r="A1563" s="14"/>
      <c r="B1563" s="35">
        <f>MAXA(B$5:B1562)+1</f>
        <v>662</v>
      </c>
      <c r="C1563" s="242" t="s">
        <v>921</v>
      </c>
      <c r="D1563" s="230" t="s">
        <v>28</v>
      </c>
      <c r="E1563" s="247">
        <v>3</v>
      </c>
      <c r="F1563" s="232">
        <v>12361240</v>
      </c>
      <c r="G1563" s="232">
        <v>1250550</v>
      </c>
      <c r="H1563" s="138">
        <f t="shared" ref="H1563:H1614" si="162">G1563+F1563</f>
        <v>13611790</v>
      </c>
      <c r="I1563" s="138">
        <f t="shared" ref="I1563:I1594" si="163">H1563*E1563</f>
        <v>40835370</v>
      </c>
      <c r="J1563" s="47"/>
      <c r="K1563" s="15"/>
    </row>
    <row r="1564" spans="1:11" s="16" customFormat="1" ht="25.5" outlineLevel="3">
      <c r="A1564" s="14"/>
      <c r="B1564" s="35">
        <f>MAXA(B$5:B1563)+1</f>
        <v>663</v>
      </c>
      <c r="C1564" s="242" t="s">
        <v>922</v>
      </c>
      <c r="D1564" s="230" t="s">
        <v>28</v>
      </c>
      <c r="E1564" s="247">
        <v>7</v>
      </c>
      <c r="F1564" s="232">
        <v>5147710</v>
      </c>
      <c r="G1564" s="232">
        <v>729488</v>
      </c>
      <c r="H1564" s="138">
        <f t="shared" si="162"/>
        <v>5877198</v>
      </c>
      <c r="I1564" s="138">
        <f t="shared" si="163"/>
        <v>41140386</v>
      </c>
      <c r="J1564" s="47"/>
      <c r="K1564" s="15"/>
    </row>
    <row r="1565" spans="1:11" s="16" customFormat="1" ht="25.5" outlineLevel="3">
      <c r="A1565" s="14"/>
      <c r="B1565" s="35">
        <f>MAXA(B$5:B1564)+1</f>
        <v>664</v>
      </c>
      <c r="C1565" s="242" t="s">
        <v>923</v>
      </c>
      <c r="D1565" s="230" t="s">
        <v>28</v>
      </c>
      <c r="E1565" s="247">
        <v>22</v>
      </c>
      <c r="F1565" s="232">
        <v>4222214</v>
      </c>
      <c r="G1565" s="232">
        <v>625275</v>
      </c>
      <c r="H1565" s="138">
        <f t="shared" si="162"/>
        <v>4847489</v>
      </c>
      <c r="I1565" s="138">
        <f t="shared" si="163"/>
        <v>106644758</v>
      </c>
      <c r="J1565" s="47"/>
      <c r="K1565" s="15"/>
    </row>
    <row r="1566" spans="1:11" s="16" customFormat="1" ht="25.5" outlineLevel="3">
      <c r="A1566" s="14"/>
      <c r="B1566" s="35">
        <f>MAXA(B$5:B1565)+1</f>
        <v>665</v>
      </c>
      <c r="C1566" s="274" t="s">
        <v>583</v>
      </c>
      <c r="D1566" s="230" t="s">
        <v>28</v>
      </c>
      <c r="E1566" s="247">
        <v>14</v>
      </c>
      <c r="F1566" s="232">
        <v>3070279</v>
      </c>
      <c r="G1566" s="232">
        <v>521063</v>
      </c>
      <c r="H1566" s="138">
        <f t="shared" si="162"/>
        <v>3591342</v>
      </c>
      <c r="I1566" s="138">
        <f t="shared" si="163"/>
        <v>50278788</v>
      </c>
      <c r="J1566" s="47"/>
      <c r="K1566" s="15"/>
    </row>
    <row r="1567" spans="1:11" s="16" customFormat="1" ht="25.5" outlineLevel="3">
      <c r="A1567" s="14"/>
      <c r="B1567" s="35">
        <f>MAXA(B$5:B1566)+1</f>
        <v>666</v>
      </c>
      <c r="C1567" s="274" t="s">
        <v>582</v>
      </c>
      <c r="D1567" s="230" t="s">
        <v>28</v>
      </c>
      <c r="E1567" s="247">
        <v>2</v>
      </c>
      <c r="F1567" s="232">
        <v>2403736</v>
      </c>
      <c r="G1567" s="232">
        <v>416850</v>
      </c>
      <c r="H1567" s="138">
        <f t="shared" si="162"/>
        <v>2820586</v>
      </c>
      <c r="I1567" s="138">
        <f t="shared" si="163"/>
        <v>5641172</v>
      </c>
      <c r="J1567" s="47"/>
      <c r="K1567" s="15"/>
    </row>
    <row r="1568" spans="1:11" s="16" customFormat="1" ht="25.5" outlineLevel="3">
      <c r="A1568" s="14"/>
      <c r="B1568" s="35">
        <f>MAXA(B$5:B1567)+1</f>
        <v>667</v>
      </c>
      <c r="C1568" s="242" t="s">
        <v>924</v>
      </c>
      <c r="D1568" s="230" t="s">
        <v>28</v>
      </c>
      <c r="E1568" s="247">
        <v>9</v>
      </c>
      <c r="F1568" s="232">
        <v>1153096</v>
      </c>
      <c r="G1568" s="232">
        <v>364744</v>
      </c>
      <c r="H1568" s="138">
        <f t="shared" si="162"/>
        <v>1517840</v>
      </c>
      <c r="I1568" s="138">
        <f t="shared" si="163"/>
        <v>13660560</v>
      </c>
      <c r="J1568" s="47"/>
      <c r="K1568" s="15"/>
    </row>
    <row r="1569" spans="1:11" s="16" customFormat="1" ht="25.5" outlineLevel="3">
      <c r="A1569" s="14"/>
      <c r="B1569" s="35">
        <f>MAXA(B$5:B1568)+1</f>
        <v>668</v>
      </c>
      <c r="C1569" s="242" t="s">
        <v>580</v>
      </c>
      <c r="D1569" s="230" t="s">
        <v>28</v>
      </c>
      <c r="E1569" s="247">
        <v>2</v>
      </c>
      <c r="F1569" s="232">
        <v>782666</v>
      </c>
      <c r="G1569" s="232">
        <v>208425</v>
      </c>
      <c r="H1569" s="138">
        <f t="shared" si="162"/>
        <v>991091</v>
      </c>
      <c r="I1569" s="138">
        <f t="shared" si="163"/>
        <v>1982182</v>
      </c>
      <c r="J1569" s="47"/>
      <c r="K1569" s="15"/>
    </row>
    <row r="1570" spans="1:11" s="16" customFormat="1" ht="25.5" outlineLevel="3">
      <c r="A1570" s="14"/>
      <c r="B1570" s="35">
        <f>MAXA(B$5:B1569)+1</f>
        <v>669</v>
      </c>
      <c r="C1570" s="242" t="s">
        <v>600</v>
      </c>
      <c r="D1570" s="230" t="s">
        <v>28</v>
      </c>
      <c r="E1570" s="247">
        <v>2</v>
      </c>
      <c r="F1570" s="232">
        <v>573645</v>
      </c>
      <c r="G1570" s="232">
        <v>156319</v>
      </c>
      <c r="H1570" s="138">
        <f t="shared" si="162"/>
        <v>729964</v>
      </c>
      <c r="I1570" s="138">
        <f t="shared" si="163"/>
        <v>1459928</v>
      </c>
      <c r="J1570" s="47"/>
      <c r="K1570" s="15"/>
    </row>
    <row r="1571" spans="1:11" s="16" customFormat="1" ht="25.5" outlineLevel="3">
      <c r="A1571" s="14"/>
      <c r="B1571" s="35">
        <f>MAXA(B$5:B1570)+1</f>
        <v>670</v>
      </c>
      <c r="C1571" s="242" t="s">
        <v>925</v>
      </c>
      <c r="D1571" s="230" t="s">
        <v>28</v>
      </c>
      <c r="E1571" s="247">
        <v>116</v>
      </c>
      <c r="F1571" s="232">
        <v>391333</v>
      </c>
      <c r="G1571" s="232">
        <v>156319</v>
      </c>
      <c r="H1571" s="138">
        <f t="shared" si="162"/>
        <v>547652</v>
      </c>
      <c r="I1571" s="138">
        <f t="shared" si="163"/>
        <v>63527632</v>
      </c>
      <c r="J1571" s="47"/>
      <c r="K1571" s="15"/>
    </row>
    <row r="1572" spans="1:11" s="16" customFormat="1" ht="25.5" outlineLevel="3">
      <c r="A1572" s="14"/>
      <c r="B1572" s="35">
        <f>MAXA(B$5:B1571)+1</f>
        <v>671</v>
      </c>
      <c r="C1572" s="242" t="s">
        <v>599</v>
      </c>
      <c r="D1572" s="230" t="s">
        <v>28</v>
      </c>
      <c r="E1572" s="247">
        <v>76</v>
      </c>
      <c r="F1572" s="232">
        <v>281016</v>
      </c>
      <c r="G1572" s="232">
        <v>156319</v>
      </c>
      <c r="H1572" s="138">
        <f t="shared" si="162"/>
        <v>437335</v>
      </c>
      <c r="I1572" s="138">
        <f t="shared" si="163"/>
        <v>33237460</v>
      </c>
      <c r="J1572" s="47"/>
      <c r="K1572" s="15"/>
    </row>
    <row r="1573" spans="1:11" s="16" customFormat="1" ht="25.5" outlineLevel="3">
      <c r="A1573" s="14"/>
      <c r="B1573" s="35">
        <f>MAXA(B$5:B1572)+1</f>
        <v>672</v>
      </c>
      <c r="C1573" s="242" t="s">
        <v>926</v>
      </c>
      <c r="D1573" s="230" t="s">
        <v>28</v>
      </c>
      <c r="E1573" s="247">
        <v>2</v>
      </c>
      <c r="F1573" s="232">
        <v>207859</v>
      </c>
      <c r="G1573" s="232">
        <v>156319</v>
      </c>
      <c r="H1573" s="138">
        <f t="shared" si="162"/>
        <v>364178</v>
      </c>
      <c r="I1573" s="138">
        <f t="shared" si="163"/>
        <v>728356</v>
      </c>
      <c r="J1573" s="47"/>
      <c r="K1573" s="15"/>
    </row>
    <row r="1574" spans="1:11" s="16" customFormat="1" ht="25.5" outlineLevel="3">
      <c r="A1574" s="14"/>
      <c r="B1574" s="35">
        <f>MAXA(B$5:B1573)+1</f>
        <v>673</v>
      </c>
      <c r="C1574" s="242" t="s">
        <v>927</v>
      </c>
      <c r="D1574" s="230" t="s">
        <v>28</v>
      </c>
      <c r="E1574" s="247">
        <v>3</v>
      </c>
      <c r="F1574" s="232">
        <v>1999629</v>
      </c>
      <c r="G1574" s="232">
        <v>625275</v>
      </c>
      <c r="H1574" s="138">
        <f t="shared" si="162"/>
        <v>2624904</v>
      </c>
      <c r="I1574" s="138">
        <f t="shared" si="163"/>
        <v>7874712</v>
      </c>
      <c r="J1574" s="47"/>
      <c r="K1574" s="15"/>
    </row>
    <row r="1575" spans="1:11" s="16" customFormat="1" ht="25.5" outlineLevel="3">
      <c r="A1575" s="14"/>
      <c r="B1575" s="35">
        <f>MAXA(B$5:B1574)+1</f>
        <v>674</v>
      </c>
      <c r="C1575" s="242" t="s">
        <v>928</v>
      </c>
      <c r="D1575" s="230" t="s">
        <v>28</v>
      </c>
      <c r="E1575" s="247">
        <v>3</v>
      </c>
      <c r="F1575" s="232">
        <v>1551397</v>
      </c>
      <c r="G1575" s="232">
        <v>521063</v>
      </c>
      <c r="H1575" s="138">
        <f t="shared" si="162"/>
        <v>2072460</v>
      </c>
      <c r="I1575" s="138">
        <f t="shared" si="163"/>
        <v>6217380</v>
      </c>
      <c r="J1575" s="47"/>
      <c r="K1575" s="15"/>
    </row>
    <row r="1576" spans="1:11" s="16" customFormat="1" ht="25.5" outlineLevel="3">
      <c r="A1576" s="14"/>
      <c r="B1576" s="35">
        <f>MAXA(B$5:B1575)+1</f>
        <v>675</v>
      </c>
      <c r="C1576" s="242" t="s">
        <v>929</v>
      </c>
      <c r="D1576" s="230" t="s">
        <v>28</v>
      </c>
      <c r="E1576" s="247">
        <v>1</v>
      </c>
      <c r="F1576" s="232">
        <v>1285476</v>
      </c>
      <c r="G1576" s="232">
        <v>364744</v>
      </c>
      <c r="H1576" s="138">
        <f t="shared" si="162"/>
        <v>1650220</v>
      </c>
      <c r="I1576" s="138">
        <f t="shared" si="163"/>
        <v>1650220</v>
      </c>
      <c r="J1576" s="47"/>
      <c r="K1576" s="15"/>
    </row>
    <row r="1577" spans="1:11" s="16" customFormat="1" ht="25.5" outlineLevel="3">
      <c r="A1577" s="14"/>
      <c r="B1577" s="35">
        <f>MAXA(B$5:B1576)+1</f>
        <v>676</v>
      </c>
      <c r="C1577" s="242" t="s">
        <v>930</v>
      </c>
      <c r="D1577" s="230" t="s">
        <v>28</v>
      </c>
      <c r="E1577" s="247">
        <v>8</v>
      </c>
      <c r="F1577" s="232">
        <v>18137173</v>
      </c>
      <c r="G1577" s="232">
        <v>625275</v>
      </c>
      <c r="H1577" s="138">
        <f t="shared" si="162"/>
        <v>18762448</v>
      </c>
      <c r="I1577" s="138">
        <f t="shared" si="163"/>
        <v>150099584</v>
      </c>
      <c r="J1577" s="47"/>
      <c r="K1577" s="15"/>
    </row>
    <row r="1578" spans="1:11" s="16" customFormat="1" ht="25.5" outlineLevel="3">
      <c r="A1578" s="14"/>
      <c r="B1578" s="35">
        <f>MAXA(B$5:B1577)+1</f>
        <v>677</v>
      </c>
      <c r="C1578" s="242" t="s">
        <v>931</v>
      </c>
      <c r="D1578" s="230" t="s">
        <v>28</v>
      </c>
      <c r="E1578" s="247">
        <v>4</v>
      </c>
      <c r="F1578" s="232">
        <v>41404830</v>
      </c>
      <c r="G1578" s="232">
        <v>729488</v>
      </c>
      <c r="H1578" s="138">
        <f t="shared" si="162"/>
        <v>42134318</v>
      </c>
      <c r="I1578" s="138">
        <f t="shared" si="163"/>
        <v>168537272</v>
      </c>
      <c r="J1578" s="47"/>
      <c r="K1578" s="15"/>
    </row>
    <row r="1579" spans="1:11" s="16" customFormat="1" ht="30" customHeight="1" outlineLevel="3">
      <c r="A1579" s="14"/>
      <c r="B1579" s="35">
        <f>MAXA(B$5:B1578)+1</f>
        <v>678</v>
      </c>
      <c r="C1579" s="242" t="s">
        <v>932</v>
      </c>
      <c r="D1579" s="230" t="s">
        <v>28</v>
      </c>
      <c r="E1579" s="247">
        <v>8</v>
      </c>
      <c r="F1579" s="232">
        <v>40598237</v>
      </c>
      <c r="G1579" s="232">
        <v>625275</v>
      </c>
      <c r="H1579" s="138">
        <f t="shared" si="162"/>
        <v>41223512</v>
      </c>
      <c r="I1579" s="138">
        <f t="shared" si="163"/>
        <v>329788096</v>
      </c>
      <c r="J1579" s="47"/>
      <c r="K1579" s="15"/>
    </row>
    <row r="1580" spans="1:11" s="16" customFormat="1" ht="25.5" outlineLevel="3">
      <c r="A1580" s="14"/>
      <c r="B1580" s="35">
        <f>MAXA(B$5:B1579)+1</f>
        <v>679</v>
      </c>
      <c r="C1580" s="308" t="s">
        <v>933</v>
      </c>
      <c r="D1580" s="230" t="s">
        <v>28</v>
      </c>
      <c r="E1580" s="247">
        <v>1</v>
      </c>
      <c r="F1580" s="232">
        <v>48686681</v>
      </c>
      <c r="G1580" s="232">
        <v>2605313</v>
      </c>
      <c r="H1580" s="138">
        <f t="shared" si="162"/>
        <v>51291994</v>
      </c>
      <c r="I1580" s="138">
        <f t="shared" si="163"/>
        <v>51291994</v>
      </c>
      <c r="J1580" s="47"/>
      <c r="K1580" s="15"/>
    </row>
    <row r="1581" spans="1:11" s="16" customFormat="1" ht="25.5" outlineLevel="3">
      <c r="A1581" s="14"/>
      <c r="B1581" s="35">
        <f>MAXA(B$5:B1580)+1</f>
        <v>680</v>
      </c>
      <c r="C1581" s="308" t="s">
        <v>934</v>
      </c>
      <c r="D1581" s="230" t="s">
        <v>28</v>
      </c>
      <c r="E1581" s="247">
        <v>104</v>
      </c>
      <c r="F1581" s="232">
        <v>1510754</v>
      </c>
      <c r="G1581" s="232">
        <v>208425</v>
      </c>
      <c r="H1581" s="138">
        <f t="shared" si="162"/>
        <v>1719179</v>
      </c>
      <c r="I1581" s="138">
        <f t="shared" si="163"/>
        <v>178794616</v>
      </c>
      <c r="J1581" s="47"/>
      <c r="K1581" s="15"/>
    </row>
    <row r="1582" spans="1:11" s="16" customFormat="1" ht="25.5" outlineLevel="3">
      <c r="A1582" s="14"/>
      <c r="B1582" s="35">
        <f>MAXA(B$5:B1581)+1</f>
        <v>681</v>
      </c>
      <c r="C1582" s="308" t="s">
        <v>935</v>
      </c>
      <c r="D1582" s="230" t="s">
        <v>28</v>
      </c>
      <c r="E1582" s="247">
        <v>2</v>
      </c>
      <c r="F1582" s="232">
        <v>2710299</v>
      </c>
      <c r="G1582" s="232">
        <v>677381</v>
      </c>
      <c r="H1582" s="138">
        <f t="shared" si="162"/>
        <v>3387680</v>
      </c>
      <c r="I1582" s="138">
        <f t="shared" si="163"/>
        <v>6775360</v>
      </c>
      <c r="J1582" s="47"/>
      <c r="K1582" s="15"/>
    </row>
    <row r="1583" spans="1:11" s="16" customFormat="1" ht="25.5" outlineLevel="3">
      <c r="A1583" s="14"/>
      <c r="B1583" s="35">
        <f>MAXA(B$5:B1582)+1</f>
        <v>682</v>
      </c>
      <c r="C1583" s="242" t="s">
        <v>936</v>
      </c>
      <c r="D1583" s="230" t="s">
        <v>28</v>
      </c>
      <c r="E1583" s="247">
        <v>102</v>
      </c>
      <c r="F1583" s="232">
        <v>1153096</v>
      </c>
      <c r="G1583" s="232">
        <v>208425</v>
      </c>
      <c r="H1583" s="138">
        <f t="shared" si="162"/>
        <v>1361521</v>
      </c>
      <c r="I1583" s="138">
        <f t="shared" si="163"/>
        <v>138875142</v>
      </c>
      <c r="J1583" s="47"/>
      <c r="K1583" s="15"/>
    </row>
    <row r="1584" spans="1:11" s="16" customFormat="1" ht="25.5" outlineLevel="3">
      <c r="A1584" s="14"/>
      <c r="B1584" s="35">
        <f>MAXA(B$5:B1583)+1</f>
        <v>683</v>
      </c>
      <c r="C1584" s="242" t="s">
        <v>937</v>
      </c>
      <c r="D1584" s="230" t="s">
        <v>28</v>
      </c>
      <c r="E1584" s="247">
        <v>3</v>
      </c>
      <c r="F1584" s="232">
        <v>5270800</v>
      </c>
      <c r="G1584" s="232">
        <v>625275</v>
      </c>
      <c r="H1584" s="138">
        <f t="shared" si="162"/>
        <v>5896075</v>
      </c>
      <c r="I1584" s="138">
        <f t="shared" si="163"/>
        <v>17688225</v>
      </c>
      <c r="J1584" s="47"/>
      <c r="K1584" s="15"/>
    </row>
    <row r="1585" spans="1:12" s="16" customFormat="1" ht="25.5" outlineLevel="3">
      <c r="A1585" s="14"/>
      <c r="B1585" s="35">
        <f>MAXA(B$5:B1584)+1</f>
        <v>684</v>
      </c>
      <c r="C1585" s="242" t="s">
        <v>938</v>
      </c>
      <c r="D1585" s="230" t="s">
        <v>28</v>
      </c>
      <c r="E1585" s="247">
        <v>3</v>
      </c>
      <c r="F1585" s="232">
        <v>3840171</v>
      </c>
      <c r="G1585" s="232">
        <v>521063</v>
      </c>
      <c r="H1585" s="138">
        <f t="shared" si="162"/>
        <v>4361234</v>
      </c>
      <c r="I1585" s="138">
        <f t="shared" si="163"/>
        <v>13083702</v>
      </c>
      <c r="J1585" s="47"/>
      <c r="K1585" s="15"/>
    </row>
    <row r="1586" spans="1:12" s="16" customFormat="1" ht="25.5" outlineLevel="3">
      <c r="A1586" s="14"/>
      <c r="B1586" s="35">
        <f>MAXA(B$5:B1585)+1</f>
        <v>685</v>
      </c>
      <c r="C1586" s="242" t="s">
        <v>939</v>
      </c>
      <c r="D1586" s="230" t="s">
        <v>28</v>
      </c>
      <c r="E1586" s="247">
        <v>1</v>
      </c>
      <c r="F1586" s="232">
        <v>1961309</v>
      </c>
      <c r="G1586" s="232">
        <v>416850</v>
      </c>
      <c r="H1586" s="138">
        <f t="shared" si="162"/>
        <v>2378159</v>
      </c>
      <c r="I1586" s="138">
        <f t="shared" si="163"/>
        <v>2378159</v>
      </c>
      <c r="J1586" s="47"/>
      <c r="K1586" s="15"/>
    </row>
    <row r="1587" spans="1:12" s="16" customFormat="1" ht="25.5" outlineLevel="3">
      <c r="A1587" s="14"/>
      <c r="B1587" s="35">
        <f>MAXA(B$5:B1586)+1</f>
        <v>686</v>
      </c>
      <c r="C1587" s="242" t="s">
        <v>940</v>
      </c>
      <c r="D1587" s="230" t="s">
        <v>28</v>
      </c>
      <c r="E1587" s="247">
        <v>1</v>
      </c>
      <c r="F1587" s="232">
        <v>526035</v>
      </c>
      <c r="G1587" s="232">
        <v>156319</v>
      </c>
      <c r="H1587" s="138">
        <f t="shared" si="162"/>
        <v>682354</v>
      </c>
      <c r="I1587" s="138">
        <f t="shared" si="163"/>
        <v>682354</v>
      </c>
      <c r="J1587" s="47"/>
      <c r="K1587" s="15"/>
    </row>
    <row r="1588" spans="1:12" s="16" customFormat="1" ht="25.5" outlineLevel="3">
      <c r="A1588" s="14"/>
      <c r="B1588" s="35">
        <f>MAXA(B$5:B1587)+1</f>
        <v>687</v>
      </c>
      <c r="C1588" s="242" t="s">
        <v>941</v>
      </c>
      <c r="D1588" s="230" t="s">
        <v>28</v>
      </c>
      <c r="E1588" s="247">
        <v>58</v>
      </c>
      <c r="F1588" s="232">
        <v>311208</v>
      </c>
      <c r="G1588" s="232">
        <v>156319</v>
      </c>
      <c r="H1588" s="138">
        <f t="shared" si="162"/>
        <v>467527</v>
      </c>
      <c r="I1588" s="138">
        <f t="shared" si="163"/>
        <v>27116566</v>
      </c>
      <c r="J1588" s="47"/>
      <c r="K1588" s="15"/>
    </row>
    <row r="1589" spans="1:12" s="16" customFormat="1" ht="25.5" outlineLevel="3">
      <c r="A1589" s="14"/>
      <c r="B1589" s="35">
        <f>MAXA(B$5:B1588)+1</f>
        <v>688</v>
      </c>
      <c r="C1589" s="242" t="s">
        <v>942</v>
      </c>
      <c r="D1589" s="230" t="s">
        <v>28</v>
      </c>
      <c r="E1589" s="247">
        <v>38</v>
      </c>
      <c r="F1589" s="232">
        <v>224116</v>
      </c>
      <c r="G1589" s="232">
        <v>156319</v>
      </c>
      <c r="H1589" s="138">
        <f t="shared" si="162"/>
        <v>380435</v>
      </c>
      <c r="I1589" s="138">
        <f t="shared" si="163"/>
        <v>14456530</v>
      </c>
      <c r="J1589" s="47"/>
      <c r="K1589" s="15"/>
    </row>
    <row r="1590" spans="1:12" s="16" customFormat="1" ht="25.5" outlineLevel="3">
      <c r="A1590" s="14"/>
      <c r="B1590" s="35">
        <f>MAXA(B$5:B1589)+1</f>
        <v>689</v>
      </c>
      <c r="C1590" s="242" t="s">
        <v>943</v>
      </c>
      <c r="D1590" s="230" t="s">
        <v>28</v>
      </c>
      <c r="E1590" s="247">
        <v>1</v>
      </c>
      <c r="F1590" s="232">
        <v>219472</v>
      </c>
      <c r="G1590" s="232">
        <v>156319</v>
      </c>
      <c r="H1590" s="138">
        <f t="shared" si="162"/>
        <v>375791</v>
      </c>
      <c r="I1590" s="138">
        <f t="shared" si="163"/>
        <v>375791</v>
      </c>
      <c r="J1590" s="47"/>
      <c r="K1590" s="15"/>
    </row>
    <row r="1591" spans="1:12" s="16" customFormat="1" ht="25.5" outlineLevel="3">
      <c r="A1591" s="14"/>
      <c r="B1591" s="35">
        <f>MAXA(B$5:B1590)+1</f>
        <v>690</v>
      </c>
      <c r="C1591" s="242" t="s">
        <v>944</v>
      </c>
      <c r="D1591" s="230" t="s">
        <v>28</v>
      </c>
      <c r="E1591" s="247">
        <v>3</v>
      </c>
      <c r="F1591" s="232">
        <v>2363093</v>
      </c>
      <c r="G1591" s="232">
        <v>729488</v>
      </c>
      <c r="H1591" s="138">
        <f t="shared" si="162"/>
        <v>3092581</v>
      </c>
      <c r="I1591" s="138">
        <f t="shared" si="163"/>
        <v>9277743</v>
      </c>
      <c r="J1591" s="47"/>
      <c r="K1591" s="15"/>
    </row>
    <row r="1592" spans="1:12" s="16" customFormat="1" ht="25.5" outlineLevel="3">
      <c r="A1592" s="14"/>
      <c r="B1592" s="35">
        <f>MAXA(B$5:B1591)+1</f>
        <v>691</v>
      </c>
      <c r="C1592" s="242" t="s">
        <v>945</v>
      </c>
      <c r="D1592" s="230" t="s">
        <v>28</v>
      </c>
      <c r="E1592" s="247">
        <v>11</v>
      </c>
      <c r="F1592" s="232">
        <v>1895119</v>
      </c>
      <c r="G1592" s="232">
        <v>625275</v>
      </c>
      <c r="H1592" s="138">
        <f t="shared" si="162"/>
        <v>2520394</v>
      </c>
      <c r="I1592" s="138">
        <f t="shared" si="163"/>
        <v>27724334</v>
      </c>
      <c r="J1592" s="47"/>
      <c r="K1592" s="15"/>
    </row>
    <row r="1593" spans="1:12" s="16" customFormat="1" ht="25.5" outlineLevel="3">
      <c r="A1593" s="14"/>
      <c r="B1593" s="35">
        <f>MAXA(B$5:B1592)+1</f>
        <v>692</v>
      </c>
      <c r="C1593" s="242" t="s">
        <v>656</v>
      </c>
      <c r="D1593" s="230" t="s">
        <v>28</v>
      </c>
      <c r="E1593" s="247">
        <v>3</v>
      </c>
      <c r="F1593" s="232">
        <v>1429468</v>
      </c>
      <c r="G1593" s="232">
        <v>521063</v>
      </c>
      <c r="H1593" s="138">
        <f t="shared" si="162"/>
        <v>1950531</v>
      </c>
      <c r="I1593" s="138">
        <f t="shared" si="163"/>
        <v>5851593</v>
      </c>
      <c r="J1593" s="47"/>
      <c r="K1593" s="15"/>
    </row>
    <row r="1594" spans="1:12" s="16" customFormat="1" ht="25.5" outlineLevel="3">
      <c r="A1594" s="14"/>
      <c r="B1594" s="35">
        <f>MAXA(B$5:B1593)+1</f>
        <v>693</v>
      </c>
      <c r="C1594" s="280" t="s">
        <v>657</v>
      </c>
      <c r="D1594" s="230" t="s">
        <v>28</v>
      </c>
      <c r="E1594" s="247">
        <v>2</v>
      </c>
      <c r="F1594" s="232">
        <v>1153096</v>
      </c>
      <c r="G1594" s="232">
        <v>416850</v>
      </c>
      <c r="H1594" s="138">
        <f t="shared" si="162"/>
        <v>1569946</v>
      </c>
      <c r="I1594" s="138">
        <f t="shared" si="163"/>
        <v>3139892</v>
      </c>
      <c r="J1594" s="47"/>
      <c r="K1594" s="15"/>
    </row>
    <row r="1595" spans="1:12" s="16" customFormat="1" ht="25.5" outlineLevel="3">
      <c r="A1595" s="14"/>
      <c r="B1595" s="35">
        <f>MAXA(B$5:B1594)+1</f>
        <v>694</v>
      </c>
      <c r="C1595" s="242" t="s">
        <v>946</v>
      </c>
      <c r="D1595" s="230" t="s">
        <v>28</v>
      </c>
      <c r="E1595" s="247">
        <v>2</v>
      </c>
      <c r="F1595" s="232">
        <v>631706</v>
      </c>
      <c r="G1595" s="232">
        <v>156319</v>
      </c>
      <c r="H1595" s="138">
        <f t="shared" si="162"/>
        <v>788025</v>
      </c>
      <c r="I1595" s="138">
        <f t="shared" ref="I1595:I1614" si="164">H1595*E1595</f>
        <v>1576050</v>
      </c>
      <c r="J1595" s="47"/>
      <c r="K1595" s="15"/>
    </row>
    <row r="1596" spans="1:12" s="16" customFormat="1" ht="25.5" outlineLevel="3">
      <c r="A1596" s="14"/>
      <c r="B1596" s="35">
        <f>MAXA(B$5:B1595)+1</f>
        <v>695</v>
      </c>
      <c r="C1596" s="242" t="s">
        <v>947</v>
      </c>
      <c r="D1596" s="230" t="s">
        <v>28</v>
      </c>
      <c r="E1596" s="247">
        <v>116</v>
      </c>
      <c r="F1596" s="232">
        <v>549259</v>
      </c>
      <c r="G1596" s="232">
        <v>156319</v>
      </c>
      <c r="H1596" s="138">
        <f t="shared" si="162"/>
        <v>705578</v>
      </c>
      <c r="I1596" s="138">
        <f t="shared" si="164"/>
        <v>81847048</v>
      </c>
      <c r="J1596" s="47"/>
      <c r="K1596" s="15"/>
    </row>
    <row r="1597" spans="1:12" s="16" customFormat="1" ht="25.5" outlineLevel="3">
      <c r="A1597" s="14"/>
      <c r="B1597" s="35">
        <f>MAXA(B$5:B1596)+1</f>
        <v>696</v>
      </c>
      <c r="C1597" s="242" t="s">
        <v>948</v>
      </c>
      <c r="D1597" s="230" t="s">
        <v>28</v>
      </c>
      <c r="E1597" s="247">
        <v>76</v>
      </c>
      <c r="F1597" s="232">
        <v>466812</v>
      </c>
      <c r="G1597" s="232">
        <v>156319</v>
      </c>
      <c r="H1597" s="138">
        <f t="shared" si="162"/>
        <v>623131</v>
      </c>
      <c r="I1597" s="138">
        <f t="shared" si="164"/>
        <v>47357956</v>
      </c>
      <c r="J1597" s="47"/>
      <c r="K1597" s="15"/>
    </row>
    <row r="1598" spans="1:12" s="16" customFormat="1" ht="25.5" outlineLevel="3">
      <c r="A1598" s="14"/>
      <c r="B1598" s="35">
        <f>MAXA(B$5:B1597)+1</f>
        <v>697</v>
      </c>
      <c r="C1598" s="242" t="s">
        <v>949</v>
      </c>
      <c r="D1598" s="230" t="s">
        <v>28</v>
      </c>
      <c r="E1598" s="247">
        <v>2</v>
      </c>
      <c r="F1598" s="232">
        <v>438943</v>
      </c>
      <c r="G1598" s="232">
        <v>156319</v>
      </c>
      <c r="H1598" s="138">
        <f t="shared" si="162"/>
        <v>595262</v>
      </c>
      <c r="I1598" s="138">
        <f t="shared" si="164"/>
        <v>1190524</v>
      </c>
      <c r="J1598" s="47"/>
      <c r="K1598" s="15"/>
    </row>
    <row r="1599" spans="1:12" s="16" customFormat="1" ht="25.5" outlineLevel="3">
      <c r="A1599" s="14"/>
      <c r="B1599" s="35">
        <f>MAXA(B$5:B1598)+1</f>
        <v>698</v>
      </c>
      <c r="C1599" s="308" t="s">
        <v>950</v>
      </c>
      <c r="D1599" s="230" t="s">
        <v>122</v>
      </c>
      <c r="E1599" s="247">
        <v>220</v>
      </c>
      <c r="F1599" s="232">
        <v>971945</v>
      </c>
      <c r="G1599" s="232">
        <v>208425</v>
      </c>
      <c r="H1599" s="138">
        <f t="shared" si="162"/>
        <v>1180370</v>
      </c>
      <c r="I1599" s="138">
        <f t="shared" si="164"/>
        <v>259681400</v>
      </c>
      <c r="J1599" s="47"/>
      <c r="K1599" s="15"/>
    </row>
    <row r="1600" spans="1:12" s="16" customFormat="1" ht="51" outlineLevel="3">
      <c r="A1600" s="14" t="s">
        <v>154</v>
      </c>
      <c r="B1600" s="35">
        <f>MAXA(B$5:B1599)+1</f>
        <v>699</v>
      </c>
      <c r="C1600" s="308" t="s">
        <v>951</v>
      </c>
      <c r="D1600" s="230" t="s">
        <v>28</v>
      </c>
      <c r="E1600" s="247">
        <v>1</v>
      </c>
      <c r="F1600" s="232">
        <v>4649545</v>
      </c>
      <c r="G1600" s="232">
        <v>208425</v>
      </c>
      <c r="H1600" s="138">
        <f t="shared" si="162"/>
        <v>4857970</v>
      </c>
      <c r="I1600" s="138">
        <f t="shared" si="164"/>
        <v>4857970</v>
      </c>
      <c r="J1600" s="47"/>
      <c r="K1600" s="15" t="s">
        <v>482</v>
      </c>
      <c r="L1600" s="16" t="s">
        <v>952</v>
      </c>
    </row>
    <row r="1601" spans="1:12" s="16" customFormat="1" ht="51" outlineLevel="3">
      <c r="A1601" s="14" t="s">
        <v>154</v>
      </c>
      <c r="B1601" s="35">
        <f>MAXA(B$5:B1600)+1</f>
        <v>700</v>
      </c>
      <c r="C1601" s="308" t="s">
        <v>953</v>
      </c>
      <c r="D1601" s="230" t="s">
        <v>28</v>
      </c>
      <c r="E1601" s="247">
        <v>58</v>
      </c>
      <c r="F1601" s="232">
        <v>4383624</v>
      </c>
      <c r="G1601" s="232">
        <v>208425</v>
      </c>
      <c r="H1601" s="138">
        <f t="shared" si="162"/>
        <v>4592049</v>
      </c>
      <c r="I1601" s="138">
        <f t="shared" si="164"/>
        <v>266338842</v>
      </c>
      <c r="J1601" s="47"/>
      <c r="K1601" s="15" t="s">
        <v>482</v>
      </c>
      <c r="L1601" s="16" t="s">
        <v>952</v>
      </c>
    </row>
    <row r="1602" spans="1:12" s="16" customFormat="1" ht="51" outlineLevel="3">
      <c r="A1602" s="14" t="s">
        <v>154</v>
      </c>
      <c r="B1602" s="35">
        <f>MAXA(B$5:B1601)+1</f>
        <v>701</v>
      </c>
      <c r="C1602" s="308" t="s">
        <v>954</v>
      </c>
      <c r="D1602" s="230" t="s">
        <v>28</v>
      </c>
      <c r="E1602" s="247">
        <v>38</v>
      </c>
      <c r="F1602" s="232">
        <v>3852945</v>
      </c>
      <c r="G1602" s="232">
        <v>208425</v>
      </c>
      <c r="H1602" s="138">
        <f t="shared" si="162"/>
        <v>4061370</v>
      </c>
      <c r="I1602" s="138">
        <f t="shared" si="164"/>
        <v>154332060</v>
      </c>
      <c r="J1602" s="47"/>
      <c r="K1602" s="15" t="s">
        <v>482</v>
      </c>
      <c r="L1602" s="16" t="s">
        <v>952</v>
      </c>
    </row>
    <row r="1603" spans="1:12" s="16" customFormat="1" ht="51" outlineLevel="3">
      <c r="A1603" s="14" t="s">
        <v>154</v>
      </c>
      <c r="B1603" s="35">
        <f>MAXA(B$5:B1602)+1</f>
        <v>702</v>
      </c>
      <c r="C1603" s="308" t="s">
        <v>955</v>
      </c>
      <c r="D1603" s="230" t="s">
        <v>28</v>
      </c>
      <c r="E1603" s="247">
        <v>1</v>
      </c>
      <c r="F1603" s="232">
        <v>3603281</v>
      </c>
      <c r="G1603" s="232">
        <v>208425</v>
      </c>
      <c r="H1603" s="138">
        <f t="shared" si="162"/>
        <v>3811706</v>
      </c>
      <c r="I1603" s="138">
        <f t="shared" si="164"/>
        <v>3811706</v>
      </c>
      <c r="J1603" s="47"/>
      <c r="K1603" s="15" t="s">
        <v>482</v>
      </c>
      <c r="L1603" s="16" t="s">
        <v>952</v>
      </c>
    </row>
    <row r="1604" spans="1:12" s="16" customFormat="1" ht="25.5" outlineLevel="3">
      <c r="A1604" s="14"/>
      <c r="B1604" s="35">
        <f>MAXA(B$5:B1603)+1</f>
        <v>703</v>
      </c>
      <c r="C1604" s="308" t="s">
        <v>956</v>
      </c>
      <c r="D1604" s="230" t="s">
        <v>122</v>
      </c>
      <c r="E1604" s="247">
        <v>1</v>
      </c>
      <c r="F1604" s="232">
        <v>77234236</v>
      </c>
      <c r="G1604" s="232">
        <v>5210625</v>
      </c>
      <c r="H1604" s="138">
        <f t="shared" si="162"/>
        <v>82444861</v>
      </c>
      <c r="I1604" s="138">
        <f t="shared" si="164"/>
        <v>82444861</v>
      </c>
      <c r="J1604" s="47"/>
      <c r="K1604" s="15"/>
    </row>
    <row r="1605" spans="1:12" s="16" customFormat="1" ht="51" outlineLevel="3">
      <c r="A1605" s="14"/>
      <c r="B1605" s="35">
        <f>MAXA(B$5:B1604)+1</f>
        <v>704</v>
      </c>
      <c r="C1605" s="308" t="s">
        <v>957</v>
      </c>
      <c r="D1605" s="230" t="s">
        <v>958</v>
      </c>
      <c r="E1605" s="247">
        <v>1</v>
      </c>
      <c r="F1605" s="232">
        <v>88402724</v>
      </c>
      <c r="G1605" s="232">
        <v>3751650</v>
      </c>
      <c r="H1605" s="138">
        <f t="shared" si="162"/>
        <v>92154374</v>
      </c>
      <c r="I1605" s="138">
        <f t="shared" si="164"/>
        <v>92154374</v>
      </c>
      <c r="J1605" s="47"/>
      <c r="K1605" s="15"/>
    </row>
    <row r="1606" spans="1:12" s="16" customFormat="1" ht="25.5" outlineLevel="3">
      <c r="A1606" s="14"/>
      <c r="B1606" s="35">
        <f>MAXA(B$5:B1605)+1</f>
        <v>705</v>
      </c>
      <c r="C1606" s="308" t="s">
        <v>959</v>
      </c>
      <c r="D1606" s="230" t="s">
        <v>122</v>
      </c>
      <c r="E1606" s="247">
        <v>4</v>
      </c>
      <c r="F1606" s="232">
        <v>728088</v>
      </c>
      <c r="G1606" s="232">
        <v>156319</v>
      </c>
      <c r="H1606" s="138">
        <f t="shared" si="162"/>
        <v>884407</v>
      </c>
      <c r="I1606" s="138">
        <f t="shared" si="164"/>
        <v>3537628</v>
      </c>
      <c r="J1606" s="47"/>
      <c r="K1606" s="15"/>
    </row>
    <row r="1607" spans="1:12" s="16" customFormat="1" ht="25.5" outlineLevel="3">
      <c r="A1607" s="14"/>
      <c r="B1607" s="35">
        <f>MAXA(B$5:B1606)+1</f>
        <v>706</v>
      </c>
      <c r="C1607" s="308" t="s">
        <v>960</v>
      </c>
      <c r="D1607" s="230" t="s">
        <v>28</v>
      </c>
      <c r="E1607" s="247">
        <v>1</v>
      </c>
      <c r="F1607" s="232">
        <v>7025585</v>
      </c>
      <c r="G1607" s="232">
        <v>375165</v>
      </c>
      <c r="H1607" s="138">
        <f t="shared" si="162"/>
        <v>7400750</v>
      </c>
      <c r="I1607" s="138">
        <f t="shared" si="164"/>
        <v>7400750</v>
      </c>
      <c r="J1607" s="47"/>
      <c r="K1607" s="15"/>
    </row>
    <row r="1608" spans="1:12" s="16" customFormat="1" ht="25.5" outlineLevel="3">
      <c r="A1608" s="14"/>
      <c r="B1608" s="35">
        <f>MAXA(B$5:B1607)+1</f>
        <v>707</v>
      </c>
      <c r="C1608" s="308" t="s">
        <v>961</v>
      </c>
      <c r="D1608" s="230" t="s">
        <v>28</v>
      </c>
      <c r="E1608" s="247">
        <v>9</v>
      </c>
      <c r="F1608" s="232">
        <v>1141774</v>
      </c>
      <c r="G1608" s="232">
        <v>106297</v>
      </c>
      <c r="H1608" s="138">
        <f t="shared" si="162"/>
        <v>1248071</v>
      </c>
      <c r="I1608" s="138">
        <f t="shared" si="164"/>
        <v>11232639</v>
      </c>
      <c r="J1608" s="47"/>
      <c r="K1608" s="15"/>
    </row>
    <row r="1609" spans="1:12" s="16" customFormat="1" ht="25.5" outlineLevel="3">
      <c r="A1609" s="14"/>
      <c r="B1609" s="35">
        <f>MAXA(B$5:B1608)+1</f>
        <v>708</v>
      </c>
      <c r="C1609" s="308" t="s">
        <v>962</v>
      </c>
      <c r="D1609" s="230" t="s">
        <v>122</v>
      </c>
      <c r="E1609" s="247">
        <v>4</v>
      </c>
      <c r="F1609" s="232">
        <v>1734870</v>
      </c>
      <c r="G1609" s="232">
        <v>312638</v>
      </c>
      <c r="H1609" s="138">
        <f t="shared" si="162"/>
        <v>2047508</v>
      </c>
      <c r="I1609" s="138">
        <f t="shared" si="164"/>
        <v>8190032</v>
      </c>
      <c r="J1609" s="47"/>
      <c r="K1609" s="15"/>
    </row>
    <row r="1610" spans="1:12" s="16" customFormat="1" ht="25.5" outlineLevel="3">
      <c r="A1610" s="14"/>
      <c r="B1610" s="35">
        <f>MAXA(B$5:B1609)+1</f>
        <v>709</v>
      </c>
      <c r="C1610" s="308" t="s">
        <v>963</v>
      </c>
      <c r="D1610" s="230" t="s">
        <v>28</v>
      </c>
      <c r="E1610" s="247">
        <v>2</v>
      </c>
      <c r="F1610" s="232">
        <v>3135308</v>
      </c>
      <c r="G1610" s="232">
        <v>260531</v>
      </c>
      <c r="H1610" s="138">
        <f t="shared" si="162"/>
        <v>3395839</v>
      </c>
      <c r="I1610" s="138">
        <f t="shared" si="164"/>
        <v>6791678</v>
      </c>
      <c r="J1610" s="47"/>
      <c r="K1610" s="15"/>
    </row>
    <row r="1611" spans="1:12" s="16" customFormat="1" ht="25.5" outlineLevel="3">
      <c r="A1611" s="14"/>
      <c r="B1611" s="35">
        <f>MAXA(B$5:B1610)+1</f>
        <v>710</v>
      </c>
      <c r="C1611" s="308" t="s">
        <v>964</v>
      </c>
      <c r="D1611" s="230" t="s">
        <v>28</v>
      </c>
      <c r="E1611" s="247">
        <v>204</v>
      </c>
      <c r="F1611" s="232">
        <v>231084</v>
      </c>
      <c r="G1611" s="232">
        <v>156319</v>
      </c>
      <c r="H1611" s="138">
        <f t="shared" si="162"/>
        <v>387403</v>
      </c>
      <c r="I1611" s="138">
        <f t="shared" si="164"/>
        <v>79030212</v>
      </c>
      <c r="J1611" s="47"/>
      <c r="K1611" s="15"/>
    </row>
    <row r="1612" spans="1:12" s="16" customFormat="1" ht="25.5" outlineLevel="3">
      <c r="A1612" s="14"/>
      <c r="B1612" s="35">
        <f>MAXA(B$5:B1611)+1</f>
        <v>711</v>
      </c>
      <c r="C1612" s="308" t="s">
        <v>965</v>
      </c>
      <c r="D1612" s="230" t="s">
        <v>38</v>
      </c>
      <c r="E1612" s="247">
        <v>1</v>
      </c>
      <c r="F1612" s="232">
        <v>155582429</v>
      </c>
      <c r="G1612" s="232">
        <v>43708776</v>
      </c>
      <c r="H1612" s="138">
        <f t="shared" si="162"/>
        <v>199291205</v>
      </c>
      <c r="I1612" s="138">
        <f t="shared" si="164"/>
        <v>199291205</v>
      </c>
      <c r="J1612" s="47"/>
      <c r="K1612" s="15"/>
    </row>
    <row r="1613" spans="1:12" s="16" customFormat="1" ht="25.5" outlineLevel="3">
      <c r="A1613" s="14"/>
      <c r="B1613" s="35">
        <f>MAXA(B$5:B1612)+1</f>
        <v>712</v>
      </c>
      <c r="C1613" s="308" t="s">
        <v>966</v>
      </c>
      <c r="D1613" s="230" t="s">
        <v>38</v>
      </c>
      <c r="E1613" s="247">
        <v>1</v>
      </c>
      <c r="F1613" s="232">
        <v>64111998</v>
      </c>
      <c r="G1613" s="232">
        <v>18011397</v>
      </c>
      <c r="H1613" s="138">
        <f t="shared" si="162"/>
        <v>82123395</v>
      </c>
      <c r="I1613" s="138">
        <f t="shared" si="164"/>
        <v>82123395</v>
      </c>
      <c r="J1613" s="47"/>
      <c r="K1613" s="15"/>
    </row>
    <row r="1614" spans="1:12" s="16" customFormat="1" ht="25.5" outlineLevel="3">
      <c r="A1614" s="14"/>
      <c r="B1614" s="35">
        <f>MAXA(B$5:B1613)+1</f>
        <v>713</v>
      </c>
      <c r="C1614" s="238" t="s">
        <v>828</v>
      </c>
      <c r="D1614" s="230" t="s">
        <v>38</v>
      </c>
      <c r="E1614" s="247">
        <v>1</v>
      </c>
      <c r="F1614" s="232">
        <v>174050368</v>
      </c>
      <c r="G1614" s="232">
        <v>62479619</v>
      </c>
      <c r="H1614" s="138">
        <f t="shared" si="162"/>
        <v>236529987</v>
      </c>
      <c r="I1614" s="138">
        <f t="shared" si="164"/>
        <v>236529987</v>
      </c>
      <c r="J1614" s="47"/>
      <c r="K1614" s="15"/>
    </row>
    <row r="1615" spans="1:12" s="16" customFormat="1" ht="27" outlineLevel="3">
      <c r="A1615" s="14"/>
      <c r="B1615" s="38" t="s">
        <v>275</v>
      </c>
      <c r="C1615" s="296" t="s">
        <v>967</v>
      </c>
      <c r="D1615" s="230"/>
      <c r="E1615" s="247"/>
      <c r="F1615" s="232">
        <v>0</v>
      </c>
      <c r="G1615" s="232">
        <v>0</v>
      </c>
      <c r="H1615" s="295"/>
      <c r="I1615" s="180"/>
      <c r="J1615" s="47"/>
      <c r="K1615" s="15"/>
    </row>
    <row r="1616" spans="1:12" s="16" customFormat="1" ht="25.5" outlineLevel="3">
      <c r="A1616" s="14"/>
      <c r="B1616" s="35">
        <f>MAXA(B$5:B1615)+1</f>
        <v>714</v>
      </c>
      <c r="C1616" s="308" t="s">
        <v>968</v>
      </c>
      <c r="D1616" s="233" t="s">
        <v>44</v>
      </c>
      <c r="E1616" s="247">
        <v>1</v>
      </c>
      <c r="F1616" s="232">
        <v>12031085</v>
      </c>
      <c r="G1616" s="232">
        <v>750330</v>
      </c>
      <c r="H1616" s="138">
        <f>G1616+F1616</f>
        <v>12781415</v>
      </c>
      <c r="I1616" s="138">
        <f>H1616*E1616</f>
        <v>12781415</v>
      </c>
      <c r="J1616" s="47"/>
      <c r="K1616" s="15"/>
    </row>
    <row r="1617" spans="1:11" s="16" customFormat="1" ht="25.5" outlineLevel="3">
      <c r="A1617" s="14"/>
      <c r="B1617" s="35">
        <f>MAXA(B$5:B1616)+1</f>
        <v>715</v>
      </c>
      <c r="C1617" s="308" t="s">
        <v>969</v>
      </c>
      <c r="D1617" s="233" t="s">
        <v>44</v>
      </c>
      <c r="E1617" s="247">
        <v>3</v>
      </c>
      <c r="F1617" s="232">
        <v>9843615</v>
      </c>
      <c r="G1617" s="232">
        <v>750330</v>
      </c>
      <c r="H1617" s="138">
        <f>G1617+F1617</f>
        <v>10593945</v>
      </c>
      <c r="I1617" s="138">
        <f>H1617*E1617</f>
        <v>31781835</v>
      </c>
      <c r="J1617" s="47"/>
      <c r="K1617" s="15"/>
    </row>
    <row r="1618" spans="1:11" s="16" customFormat="1" ht="25.5" outlineLevel="3">
      <c r="A1618" s="14"/>
      <c r="B1618" s="35">
        <f>MAXA(B$5:B1617)+1</f>
        <v>716</v>
      </c>
      <c r="C1618" s="238" t="s">
        <v>37</v>
      </c>
      <c r="D1618" s="230" t="s">
        <v>38</v>
      </c>
      <c r="E1618" s="247">
        <v>1</v>
      </c>
      <c r="F1618" s="232">
        <v>1730690</v>
      </c>
      <c r="G1618" s="232">
        <v>621273</v>
      </c>
      <c r="H1618" s="138">
        <f>G1618+F1618</f>
        <v>2351963</v>
      </c>
      <c r="I1618" s="138">
        <f>H1618*E1618</f>
        <v>2351963</v>
      </c>
      <c r="J1618" s="47"/>
      <c r="K1618" s="15"/>
    </row>
    <row r="1619" spans="1:11" s="16" customFormat="1" ht="25.5" outlineLevel="3">
      <c r="A1619" s="14"/>
      <c r="B1619" s="35"/>
      <c r="C1619" s="308" t="s">
        <v>970</v>
      </c>
      <c r="D1619" s="230"/>
      <c r="E1619" s="247"/>
      <c r="F1619" s="232">
        <v>0</v>
      </c>
      <c r="G1619" s="232">
        <v>0</v>
      </c>
      <c r="H1619" s="295"/>
      <c r="I1619" s="180"/>
      <c r="J1619" s="47"/>
      <c r="K1619" s="15"/>
    </row>
    <row r="1620" spans="1:11" s="16" customFormat="1" ht="25.5" outlineLevel="3">
      <c r="A1620" s="14"/>
      <c r="B1620" s="35">
        <f>MAXA(B$5:B1619)+1</f>
        <v>717</v>
      </c>
      <c r="C1620" s="308" t="s">
        <v>971</v>
      </c>
      <c r="D1620" s="230" t="s">
        <v>25</v>
      </c>
      <c r="E1620" s="247">
        <f>4*5+18+14+10+6+4*3</f>
        <v>80</v>
      </c>
      <c r="F1620" s="232">
        <v>226001</v>
      </c>
      <c r="G1620" s="232">
        <v>81286</v>
      </c>
      <c r="H1620" s="138">
        <f>G1620+F1620</f>
        <v>307287</v>
      </c>
      <c r="I1620" s="138">
        <f>H1620*E1620</f>
        <v>24582960</v>
      </c>
      <c r="J1620" s="47"/>
      <c r="K1620" s="15"/>
    </row>
    <row r="1621" spans="1:11" s="16" customFormat="1" ht="25.5" outlineLevel="3">
      <c r="A1621" s="14"/>
      <c r="B1621" s="35">
        <f>MAXA(B$5:B1620)+1</f>
        <v>718</v>
      </c>
      <c r="C1621" s="308" t="s">
        <v>972</v>
      </c>
      <c r="D1621" s="230" t="s">
        <v>38</v>
      </c>
      <c r="E1621" s="247">
        <v>1</v>
      </c>
      <c r="F1621" s="232">
        <v>576897</v>
      </c>
      <c r="G1621" s="232">
        <v>103546</v>
      </c>
      <c r="H1621" s="138">
        <f>G1621+F1621</f>
        <v>680443</v>
      </c>
      <c r="I1621" s="138">
        <f>H1621*E1621</f>
        <v>680443</v>
      </c>
      <c r="J1621" s="47"/>
      <c r="K1621" s="15"/>
    </row>
    <row r="1622" spans="1:11" s="16" customFormat="1" ht="25.5" outlineLevel="3">
      <c r="A1622" s="14"/>
      <c r="B1622" s="35">
        <f>MAXA(B$5:B1621)+1</f>
        <v>719</v>
      </c>
      <c r="C1622" s="308" t="s">
        <v>973</v>
      </c>
      <c r="D1622" s="230" t="s">
        <v>25</v>
      </c>
      <c r="E1622" s="247">
        <v>5</v>
      </c>
      <c r="F1622" s="232">
        <v>808932</v>
      </c>
      <c r="G1622" s="232">
        <v>90318</v>
      </c>
      <c r="H1622" s="138">
        <f>G1622+F1622</f>
        <v>899250</v>
      </c>
      <c r="I1622" s="138">
        <f>H1622*E1622</f>
        <v>4496250</v>
      </c>
      <c r="J1622" s="47"/>
      <c r="K1622" s="15"/>
    </row>
    <row r="1623" spans="1:11" s="16" customFormat="1" ht="25.5" outlineLevel="3">
      <c r="A1623" s="14"/>
      <c r="B1623" s="35">
        <f>MAXA(B$5:B1622)+1</f>
        <v>720</v>
      </c>
      <c r="C1623" s="238" t="s">
        <v>828</v>
      </c>
      <c r="D1623" s="230" t="s">
        <v>38</v>
      </c>
      <c r="E1623" s="247">
        <v>1</v>
      </c>
      <c r="F1623" s="232">
        <v>5313295</v>
      </c>
      <c r="G1623" s="232">
        <v>953668</v>
      </c>
      <c r="H1623" s="138">
        <f>G1623+F1623</f>
        <v>6266963</v>
      </c>
      <c r="I1623" s="138">
        <f>H1623*E1623</f>
        <v>6266963</v>
      </c>
      <c r="J1623" s="47"/>
      <c r="K1623" s="15"/>
    </row>
    <row r="1624" spans="1:11" s="16" customFormat="1" ht="27" outlineLevel="3">
      <c r="A1624" s="14"/>
      <c r="B1624" s="38" t="s">
        <v>321</v>
      </c>
      <c r="C1624" s="296" t="s">
        <v>974</v>
      </c>
      <c r="D1624" s="230"/>
      <c r="E1624" s="247"/>
      <c r="F1624" s="232">
        <v>0</v>
      </c>
      <c r="G1624" s="232">
        <v>0</v>
      </c>
      <c r="H1624" s="295"/>
      <c r="I1624" s="180"/>
      <c r="J1624" s="47"/>
      <c r="K1624" s="15"/>
    </row>
    <row r="1625" spans="1:11" s="16" customFormat="1" ht="25.5" outlineLevel="3">
      <c r="A1625" s="14"/>
      <c r="B1625" s="35">
        <f>MAXA(B$5:B1624)+1</f>
        <v>721</v>
      </c>
      <c r="C1625" s="242" t="s">
        <v>975</v>
      </c>
      <c r="D1625" s="230" t="s">
        <v>25</v>
      </c>
      <c r="E1625" s="247">
        <v>120</v>
      </c>
      <c r="F1625" s="232">
        <v>99477</v>
      </c>
      <c r="G1625" s="232">
        <v>81286</v>
      </c>
      <c r="H1625" s="138">
        <f t="shared" ref="H1625:H1633" si="165">G1625+F1625</f>
        <v>180763</v>
      </c>
      <c r="I1625" s="138">
        <f t="shared" ref="I1625:I1633" si="166">H1625*E1625</f>
        <v>21691560</v>
      </c>
      <c r="J1625" s="47"/>
      <c r="K1625" s="15"/>
    </row>
    <row r="1626" spans="1:11" s="16" customFormat="1" ht="25.5" outlineLevel="3">
      <c r="A1626" s="14"/>
      <c r="B1626" s="35">
        <f>MAXA(B$5:B1625)+1</f>
        <v>722</v>
      </c>
      <c r="C1626" s="242" t="s">
        <v>976</v>
      </c>
      <c r="D1626" s="230" t="s">
        <v>25</v>
      </c>
      <c r="E1626" s="247">
        <v>143</v>
      </c>
      <c r="F1626" s="232">
        <v>77304</v>
      </c>
      <c r="G1626" s="232">
        <v>75033</v>
      </c>
      <c r="H1626" s="138">
        <f t="shared" si="165"/>
        <v>152337</v>
      </c>
      <c r="I1626" s="138">
        <f t="shared" si="166"/>
        <v>21784191</v>
      </c>
      <c r="J1626" s="47"/>
      <c r="K1626" s="15"/>
    </row>
    <row r="1627" spans="1:11" s="16" customFormat="1" ht="25.5" outlineLevel="3">
      <c r="A1627" s="14"/>
      <c r="B1627" s="35">
        <f>MAXA(B$5:B1626)+1</f>
        <v>723</v>
      </c>
      <c r="C1627" s="242" t="s">
        <v>977</v>
      </c>
      <c r="D1627" s="230" t="s">
        <v>25</v>
      </c>
      <c r="E1627" s="247">
        <v>106</v>
      </c>
      <c r="F1627" s="232">
        <v>63674</v>
      </c>
      <c r="G1627" s="232">
        <v>68780</v>
      </c>
      <c r="H1627" s="138">
        <f t="shared" si="165"/>
        <v>132454</v>
      </c>
      <c r="I1627" s="138">
        <f t="shared" si="166"/>
        <v>14040124</v>
      </c>
      <c r="J1627" s="47"/>
      <c r="K1627" s="15"/>
    </row>
    <row r="1628" spans="1:11" s="16" customFormat="1" ht="25.5" outlineLevel="3">
      <c r="A1628" s="14"/>
      <c r="B1628" s="35">
        <f>MAXA(B$5:B1627)+1</f>
        <v>724</v>
      </c>
      <c r="C1628" s="242" t="s">
        <v>978</v>
      </c>
      <c r="D1628" s="230" t="s">
        <v>25</v>
      </c>
      <c r="E1628" s="247">
        <v>99</v>
      </c>
      <c r="F1628" s="232">
        <v>48190</v>
      </c>
      <c r="G1628" s="232">
        <v>56275</v>
      </c>
      <c r="H1628" s="138">
        <f t="shared" si="165"/>
        <v>104465</v>
      </c>
      <c r="I1628" s="138">
        <f t="shared" si="166"/>
        <v>10342035</v>
      </c>
      <c r="J1628" s="47"/>
      <c r="K1628" s="15"/>
    </row>
    <row r="1629" spans="1:11" s="16" customFormat="1" ht="25.5" outlineLevel="3">
      <c r="A1629" s="14"/>
      <c r="B1629" s="35">
        <f>MAXA(B$5:B1628)+1</f>
        <v>725</v>
      </c>
      <c r="C1629" s="242" t="s">
        <v>979</v>
      </c>
      <c r="D1629" s="230" t="s">
        <v>25</v>
      </c>
      <c r="E1629" s="247">
        <v>869</v>
      </c>
      <c r="F1629" s="232">
        <v>42113</v>
      </c>
      <c r="G1629" s="232">
        <v>43769</v>
      </c>
      <c r="H1629" s="138">
        <f t="shared" si="165"/>
        <v>85882</v>
      </c>
      <c r="I1629" s="138">
        <f t="shared" si="166"/>
        <v>74631458</v>
      </c>
      <c r="J1629" s="47"/>
      <c r="K1629" s="15"/>
    </row>
    <row r="1630" spans="1:11" s="16" customFormat="1" ht="25.5" outlineLevel="3">
      <c r="A1630" s="14"/>
      <c r="B1630" s="35">
        <f>MAXA(B$5:B1629)+1</f>
        <v>726</v>
      </c>
      <c r="C1630" s="242" t="s">
        <v>980</v>
      </c>
      <c r="D1630" s="230" t="s">
        <v>38</v>
      </c>
      <c r="E1630" s="247">
        <v>1</v>
      </c>
      <c r="F1630" s="232">
        <v>40542269</v>
      </c>
      <c r="G1630" s="232">
        <v>14553635</v>
      </c>
      <c r="H1630" s="138">
        <f t="shared" si="165"/>
        <v>55095904</v>
      </c>
      <c r="I1630" s="138">
        <f t="shared" si="166"/>
        <v>55095904</v>
      </c>
      <c r="J1630" s="47"/>
      <c r="K1630" s="15"/>
    </row>
    <row r="1631" spans="1:11" s="16" customFormat="1" ht="25.5" outlineLevel="3">
      <c r="A1631" s="14"/>
      <c r="B1631" s="35">
        <f>MAXA(B$5:B1630)+1</f>
        <v>727</v>
      </c>
      <c r="C1631" s="242" t="s">
        <v>981</v>
      </c>
      <c r="D1631" s="230" t="s">
        <v>32</v>
      </c>
      <c r="E1631" s="247">
        <v>30</v>
      </c>
      <c r="F1631" s="232">
        <v>0</v>
      </c>
      <c r="G1631" s="232">
        <v>93791</v>
      </c>
      <c r="H1631" s="138">
        <f t="shared" si="165"/>
        <v>93791</v>
      </c>
      <c r="I1631" s="138">
        <f t="shared" si="166"/>
        <v>2813730</v>
      </c>
      <c r="J1631" s="47"/>
      <c r="K1631" s="15"/>
    </row>
    <row r="1632" spans="1:11" s="16" customFormat="1" ht="25.5" outlineLevel="3">
      <c r="A1632" s="14"/>
      <c r="B1632" s="35">
        <f>MAXA(B$5:B1631)+1</f>
        <v>728</v>
      </c>
      <c r="C1632" s="242" t="s">
        <v>982</v>
      </c>
      <c r="D1632" s="230" t="s">
        <v>38</v>
      </c>
      <c r="E1632" s="247">
        <v>1</v>
      </c>
      <c r="F1632" s="232">
        <v>14960097</v>
      </c>
      <c r="G1632" s="232">
        <v>2685146</v>
      </c>
      <c r="H1632" s="138">
        <f t="shared" si="165"/>
        <v>17645243</v>
      </c>
      <c r="I1632" s="138">
        <f t="shared" si="166"/>
        <v>17645243</v>
      </c>
      <c r="J1632" s="47"/>
      <c r="K1632" s="15"/>
    </row>
    <row r="1633" spans="1:11" s="16" customFormat="1" ht="25.5" outlineLevel="3">
      <c r="A1633" s="14"/>
      <c r="B1633" s="35">
        <f>MAXA(B$5:B1632)+1</f>
        <v>729</v>
      </c>
      <c r="C1633" s="238" t="s">
        <v>320</v>
      </c>
      <c r="D1633" s="230" t="s">
        <v>38</v>
      </c>
      <c r="E1633" s="247">
        <v>1</v>
      </c>
      <c r="F1633" s="232">
        <v>9973398</v>
      </c>
      <c r="G1633" s="232">
        <v>1790097</v>
      </c>
      <c r="H1633" s="138">
        <f t="shared" si="165"/>
        <v>11763495</v>
      </c>
      <c r="I1633" s="138">
        <f t="shared" si="166"/>
        <v>11763495</v>
      </c>
      <c r="J1633" s="47"/>
      <c r="K1633" s="15"/>
    </row>
    <row r="1634" spans="1:11" s="16" customFormat="1" ht="27" outlineLevel="3">
      <c r="A1634" s="14"/>
      <c r="B1634" s="38" t="s">
        <v>370</v>
      </c>
      <c r="C1634" s="296" t="s">
        <v>743</v>
      </c>
      <c r="D1634" s="294"/>
      <c r="E1634" s="247"/>
      <c r="F1634" s="232">
        <v>0</v>
      </c>
      <c r="G1634" s="232">
        <v>0</v>
      </c>
      <c r="H1634" s="295"/>
      <c r="I1634" s="180"/>
      <c r="J1634" s="47"/>
      <c r="K1634" s="15"/>
    </row>
    <row r="1635" spans="1:11" s="16" customFormat="1" ht="76.5" outlineLevel="3">
      <c r="A1635" s="14" t="s">
        <v>154</v>
      </c>
      <c r="B1635" s="35">
        <f>MAXA(B$5:B1634)+1</f>
        <v>730</v>
      </c>
      <c r="C1635" s="297" t="s">
        <v>983</v>
      </c>
      <c r="D1635" s="294" t="s">
        <v>745</v>
      </c>
      <c r="E1635" s="247">
        <v>71</v>
      </c>
      <c r="F1635" s="232">
        <v>835437</v>
      </c>
      <c r="G1635" s="232">
        <v>249083</v>
      </c>
      <c r="H1635" s="138">
        <f t="shared" ref="H1635:H1649" si="167">G1635+F1635</f>
        <v>1084520</v>
      </c>
      <c r="I1635" s="138">
        <f t="shared" ref="I1635:I1649" si="168">H1635*E1635</f>
        <v>77000920</v>
      </c>
      <c r="J1635" s="47"/>
      <c r="K1635" s="15" t="s">
        <v>482</v>
      </c>
    </row>
    <row r="1636" spans="1:11" s="16" customFormat="1" ht="51" outlineLevel="3">
      <c r="A1636" s="14" t="s">
        <v>154</v>
      </c>
      <c r="B1636" s="35">
        <f>MAXA(B$5:B1635)+1</f>
        <v>731</v>
      </c>
      <c r="C1636" s="297" t="s">
        <v>984</v>
      </c>
      <c r="D1636" s="294" t="s">
        <v>745</v>
      </c>
      <c r="E1636" s="247">
        <v>75</v>
      </c>
      <c r="F1636" s="232">
        <v>936277</v>
      </c>
      <c r="G1636" s="232">
        <v>181330</v>
      </c>
      <c r="H1636" s="138">
        <f t="shared" si="167"/>
        <v>1117607</v>
      </c>
      <c r="I1636" s="138">
        <f t="shared" si="168"/>
        <v>83820525</v>
      </c>
      <c r="J1636" s="47"/>
      <c r="K1636" s="15" t="s">
        <v>482</v>
      </c>
    </row>
    <row r="1637" spans="1:11" s="16" customFormat="1" ht="51" outlineLevel="3">
      <c r="A1637" s="14" t="s">
        <v>154</v>
      </c>
      <c r="B1637" s="35">
        <f>MAXA(B$5:B1636)+1</f>
        <v>732</v>
      </c>
      <c r="C1637" s="297" t="s">
        <v>985</v>
      </c>
      <c r="D1637" s="294" t="s">
        <v>745</v>
      </c>
      <c r="E1637" s="247">
        <f>689-71</f>
        <v>618</v>
      </c>
      <c r="F1637" s="232">
        <v>874235</v>
      </c>
      <c r="G1637" s="232">
        <v>168824</v>
      </c>
      <c r="H1637" s="138">
        <f t="shared" si="167"/>
        <v>1043059</v>
      </c>
      <c r="I1637" s="138">
        <f t="shared" si="168"/>
        <v>644610462</v>
      </c>
      <c r="J1637" s="47"/>
      <c r="K1637" s="15" t="s">
        <v>482</v>
      </c>
    </row>
    <row r="1638" spans="1:11" s="16" customFormat="1" ht="51" outlineLevel="3">
      <c r="A1638" s="14" t="s">
        <v>154</v>
      </c>
      <c r="B1638" s="35">
        <f>MAXA(B$5:B1637)+1</f>
        <v>733</v>
      </c>
      <c r="C1638" s="297" t="s">
        <v>986</v>
      </c>
      <c r="D1638" s="294" t="s">
        <v>745</v>
      </c>
      <c r="E1638" s="247">
        <v>256</v>
      </c>
      <c r="F1638" s="232">
        <v>821472</v>
      </c>
      <c r="G1638" s="232">
        <v>162572</v>
      </c>
      <c r="H1638" s="138">
        <f t="shared" si="167"/>
        <v>984044</v>
      </c>
      <c r="I1638" s="138">
        <f t="shared" si="168"/>
        <v>251915264</v>
      </c>
      <c r="J1638" s="47"/>
      <c r="K1638" s="15" t="s">
        <v>482</v>
      </c>
    </row>
    <row r="1639" spans="1:11" s="16" customFormat="1" ht="51" outlineLevel="3">
      <c r="A1639" s="14" t="s">
        <v>154</v>
      </c>
      <c r="B1639" s="35">
        <f>MAXA(B$5:B1638)+1</f>
        <v>734</v>
      </c>
      <c r="C1639" s="297" t="s">
        <v>987</v>
      </c>
      <c r="D1639" s="294" t="s">
        <v>745</v>
      </c>
      <c r="E1639" s="247">
        <v>363</v>
      </c>
      <c r="F1639" s="232">
        <v>1107499</v>
      </c>
      <c r="G1639" s="232">
        <v>264179</v>
      </c>
      <c r="H1639" s="138">
        <f t="shared" si="167"/>
        <v>1371678</v>
      </c>
      <c r="I1639" s="138">
        <f t="shared" si="168"/>
        <v>497919114</v>
      </c>
      <c r="J1639" s="47"/>
      <c r="K1639" s="15" t="s">
        <v>482</v>
      </c>
    </row>
    <row r="1640" spans="1:11" s="16" customFormat="1" ht="51" outlineLevel="3">
      <c r="A1640" s="14" t="s">
        <v>154</v>
      </c>
      <c r="B1640" s="35">
        <f>MAXA(B$5:B1639)+1</f>
        <v>735</v>
      </c>
      <c r="C1640" s="297" t="s">
        <v>988</v>
      </c>
      <c r="D1640" s="294" t="s">
        <v>745</v>
      </c>
      <c r="E1640" s="247">
        <v>542</v>
      </c>
      <c r="F1640" s="232">
        <v>1002524</v>
      </c>
      <c r="G1640" s="232">
        <v>249083</v>
      </c>
      <c r="H1640" s="138">
        <f t="shared" si="167"/>
        <v>1251607</v>
      </c>
      <c r="I1640" s="138">
        <f t="shared" si="168"/>
        <v>678370994</v>
      </c>
      <c r="J1640" s="47"/>
      <c r="K1640" s="15" t="s">
        <v>482</v>
      </c>
    </row>
    <row r="1641" spans="1:11" s="16" customFormat="1" ht="51" outlineLevel="3">
      <c r="A1641" s="14" t="s">
        <v>154</v>
      </c>
      <c r="B1641" s="35">
        <f>MAXA(B$5:B1640)+1</f>
        <v>736</v>
      </c>
      <c r="C1641" s="297" t="s">
        <v>989</v>
      </c>
      <c r="D1641" s="294" t="s">
        <v>745</v>
      </c>
      <c r="E1641" s="247">
        <v>255</v>
      </c>
      <c r="F1641" s="232">
        <v>915200</v>
      </c>
      <c r="G1641" s="232">
        <v>226439</v>
      </c>
      <c r="H1641" s="138">
        <f t="shared" si="167"/>
        <v>1141639</v>
      </c>
      <c r="I1641" s="138">
        <f t="shared" si="168"/>
        <v>291117945</v>
      </c>
      <c r="J1641" s="47"/>
      <c r="K1641" s="15" t="s">
        <v>482</v>
      </c>
    </row>
    <row r="1642" spans="1:11" s="16" customFormat="1" ht="25.5" outlineLevel="3">
      <c r="A1642" s="14" t="s">
        <v>154</v>
      </c>
      <c r="B1642" s="35">
        <f>MAXA(B$5:B1641)+1</f>
        <v>737</v>
      </c>
      <c r="C1642" s="297" t="s">
        <v>752</v>
      </c>
      <c r="D1642" s="294" t="s">
        <v>745</v>
      </c>
      <c r="E1642" s="247">
        <v>1160</v>
      </c>
      <c r="F1642" s="232">
        <v>278433</v>
      </c>
      <c r="G1642" s="232">
        <v>87539</v>
      </c>
      <c r="H1642" s="138">
        <f t="shared" si="167"/>
        <v>365972</v>
      </c>
      <c r="I1642" s="138">
        <f t="shared" si="168"/>
        <v>424527520</v>
      </c>
      <c r="J1642" s="47"/>
      <c r="K1642" s="15" t="s">
        <v>156</v>
      </c>
    </row>
    <row r="1643" spans="1:11" s="16" customFormat="1" ht="25.5" outlineLevel="3">
      <c r="A1643" s="14"/>
      <c r="B1643" s="35">
        <f>MAXA(B$5:B1642)+1</f>
        <v>738</v>
      </c>
      <c r="C1643" s="309" t="s">
        <v>990</v>
      </c>
      <c r="D1643" s="230" t="s">
        <v>25</v>
      </c>
      <c r="E1643" s="247">
        <v>2</v>
      </c>
      <c r="F1643" s="232">
        <v>35789</v>
      </c>
      <c r="G1643" s="232">
        <v>18758</v>
      </c>
      <c r="H1643" s="138">
        <f t="shared" si="167"/>
        <v>54547</v>
      </c>
      <c r="I1643" s="138">
        <f t="shared" si="168"/>
        <v>109094</v>
      </c>
      <c r="J1643" s="47"/>
      <c r="K1643" s="15"/>
    </row>
    <row r="1644" spans="1:11" s="16" customFormat="1" ht="25.5" outlineLevel="3">
      <c r="A1644" s="14" t="s">
        <v>154</v>
      </c>
      <c r="B1644" s="35">
        <f>MAXA(B$5:B1643)+1</f>
        <v>739</v>
      </c>
      <c r="C1644" s="309" t="s">
        <v>991</v>
      </c>
      <c r="D1644" s="230" t="s">
        <v>25</v>
      </c>
      <c r="E1644" s="247">
        <v>25</v>
      </c>
      <c r="F1644" s="232">
        <v>65416</v>
      </c>
      <c r="G1644" s="232">
        <v>58706</v>
      </c>
      <c r="H1644" s="138">
        <f t="shared" si="167"/>
        <v>124122</v>
      </c>
      <c r="I1644" s="138">
        <f t="shared" si="168"/>
        <v>3103050</v>
      </c>
      <c r="J1644" s="47"/>
      <c r="K1644" s="15" t="s">
        <v>156</v>
      </c>
    </row>
    <row r="1645" spans="1:11" s="16" customFormat="1" ht="25.5" outlineLevel="3">
      <c r="A1645" s="14" t="s">
        <v>154</v>
      </c>
      <c r="B1645" s="35">
        <f>MAXA(B$5:B1644)+1</f>
        <v>740</v>
      </c>
      <c r="C1645" s="309" t="s">
        <v>992</v>
      </c>
      <c r="D1645" s="230" t="s">
        <v>25</v>
      </c>
      <c r="E1645" s="247">
        <f>345+45+173</f>
        <v>563</v>
      </c>
      <c r="F1645" s="232">
        <v>74382</v>
      </c>
      <c r="G1645" s="232">
        <v>31264</v>
      </c>
      <c r="H1645" s="138">
        <f t="shared" si="167"/>
        <v>105646</v>
      </c>
      <c r="I1645" s="138">
        <f t="shared" si="168"/>
        <v>59478698</v>
      </c>
      <c r="J1645" s="47"/>
      <c r="K1645" s="15" t="s">
        <v>156</v>
      </c>
    </row>
    <row r="1646" spans="1:11" s="16" customFormat="1" ht="25.5" outlineLevel="3">
      <c r="A1646" s="14" t="s">
        <v>154</v>
      </c>
      <c r="B1646" s="35">
        <f>MAXA(B$5:B1645)+1</f>
        <v>741</v>
      </c>
      <c r="C1646" s="309" t="s">
        <v>993</v>
      </c>
      <c r="D1646" s="230" t="s">
        <v>25</v>
      </c>
      <c r="E1646" s="247">
        <f>523+23-90</f>
        <v>456</v>
      </c>
      <c r="F1646" s="232">
        <v>89339</v>
      </c>
      <c r="G1646" s="232">
        <v>35015</v>
      </c>
      <c r="H1646" s="138">
        <f t="shared" si="167"/>
        <v>124354</v>
      </c>
      <c r="I1646" s="138">
        <f t="shared" si="168"/>
        <v>56705424</v>
      </c>
      <c r="J1646" s="47"/>
      <c r="K1646" s="15" t="s">
        <v>156</v>
      </c>
    </row>
    <row r="1647" spans="1:11" s="16" customFormat="1" ht="25.5" outlineLevel="3">
      <c r="A1647" s="14"/>
      <c r="B1647" s="35">
        <f>MAXA(B$5:B1646)+1</f>
        <v>742</v>
      </c>
      <c r="C1647" s="309" t="s">
        <v>994</v>
      </c>
      <c r="D1647" s="230" t="s">
        <v>25</v>
      </c>
      <c r="E1647" s="247">
        <v>113</v>
      </c>
      <c r="F1647" s="232">
        <v>102960</v>
      </c>
      <c r="G1647" s="232">
        <v>40018</v>
      </c>
      <c r="H1647" s="138">
        <f t="shared" si="167"/>
        <v>142978</v>
      </c>
      <c r="I1647" s="138">
        <f t="shared" si="168"/>
        <v>16156514</v>
      </c>
      <c r="J1647" s="47"/>
      <c r="K1647" s="15"/>
    </row>
    <row r="1648" spans="1:11" s="16" customFormat="1" ht="25.5" outlineLevel="3">
      <c r="A1648" s="14"/>
      <c r="B1648" s="35">
        <f>MAXA(B$5:B1647)+1</f>
        <v>743</v>
      </c>
      <c r="C1648" s="309" t="s">
        <v>995</v>
      </c>
      <c r="D1648" s="230" t="s">
        <v>28</v>
      </c>
      <c r="E1648" s="247">
        <v>97</v>
      </c>
      <c r="F1648" s="232">
        <v>864547</v>
      </c>
      <c r="G1648" s="232">
        <v>132896</v>
      </c>
      <c r="H1648" s="138">
        <f t="shared" si="167"/>
        <v>997443</v>
      </c>
      <c r="I1648" s="138">
        <f t="shared" si="168"/>
        <v>96751971</v>
      </c>
      <c r="J1648" s="47"/>
      <c r="K1648" s="15"/>
    </row>
    <row r="1649" spans="1:12" s="16" customFormat="1" ht="25.5" outlineLevel="3">
      <c r="A1649" s="14"/>
      <c r="B1649" s="35">
        <f>MAXA(B$5:B1648)+1</f>
        <v>744</v>
      </c>
      <c r="C1649" s="238" t="s">
        <v>828</v>
      </c>
      <c r="D1649" s="230" t="s">
        <v>38</v>
      </c>
      <c r="E1649" s="247">
        <v>1</v>
      </c>
      <c r="F1649" s="232">
        <v>137442491</v>
      </c>
      <c r="G1649" s="232">
        <v>24669165</v>
      </c>
      <c r="H1649" s="138">
        <f t="shared" si="167"/>
        <v>162111656</v>
      </c>
      <c r="I1649" s="138">
        <f t="shared" si="168"/>
        <v>162111656</v>
      </c>
      <c r="J1649" s="47"/>
      <c r="K1649" s="15"/>
    </row>
    <row r="1650" spans="1:12" s="16" customFormat="1" ht="25.5" outlineLevel="3">
      <c r="A1650" s="14"/>
      <c r="B1650" s="35"/>
      <c r="C1650" s="310" t="s">
        <v>996</v>
      </c>
      <c r="D1650" s="294"/>
      <c r="E1650" s="247"/>
      <c r="F1650" s="232">
        <v>0</v>
      </c>
      <c r="G1650" s="232">
        <v>0</v>
      </c>
      <c r="H1650" s="295"/>
      <c r="I1650" s="180"/>
      <c r="J1650" s="47"/>
      <c r="K1650" s="15"/>
    </row>
    <row r="1651" spans="1:12" s="16" customFormat="1" ht="25.5" outlineLevel="3">
      <c r="A1651" s="14"/>
      <c r="B1651" s="35">
        <f>MAXA(B$5:B1650)+1</f>
        <v>745</v>
      </c>
      <c r="C1651" s="242" t="s">
        <v>763</v>
      </c>
      <c r="D1651" s="230" t="s">
        <v>25</v>
      </c>
      <c r="E1651" s="247">
        <v>155</v>
      </c>
      <c r="F1651" s="232">
        <v>82099</v>
      </c>
      <c r="G1651" s="232">
        <v>15632</v>
      </c>
      <c r="H1651" s="138">
        <f t="shared" ref="H1651:H1656" si="169">G1651+F1651</f>
        <v>97731</v>
      </c>
      <c r="I1651" s="138">
        <f t="shared" ref="I1651:I1656" si="170">H1651*E1651</f>
        <v>15148305</v>
      </c>
      <c r="J1651" s="47"/>
      <c r="K1651" s="15"/>
    </row>
    <row r="1652" spans="1:12" s="16" customFormat="1" ht="25.5" outlineLevel="3">
      <c r="A1652" s="14" t="s">
        <v>154</v>
      </c>
      <c r="B1652" s="35">
        <f>MAXA(B$5:B1651)+1</f>
        <v>746</v>
      </c>
      <c r="C1652" s="242" t="s">
        <v>764</v>
      </c>
      <c r="D1652" s="230" t="s">
        <v>25</v>
      </c>
      <c r="E1652" s="247">
        <v>256</v>
      </c>
      <c r="F1652" s="232">
        <v>65679</v>
      </c>
      <c r="G1652" s="232">
        <v>10421</v>
      </c>
      <c r="H1652" s="138">
        <f t="shared" si="169"/>
        <v>76100</v>
      </c>
      <c r="I1652" s="138">
        <f t="shared" si="170"/>
        <v>19481600</v>
      </c>
      <c r="J1652" s="47"/>
      <c r="K1652" s="15" t="s">
        <v>156</v>
      </c>
    </row>
    <row r="1653" spans="1:12" s="16" customFormat="1" ht="25.5" outlineLevel="3">
      <c r="A1653" s="14"/>
      <c r="B1653" s="35">
        <f>MAXA(B$5:B1652)+1</f>
        <v>747</v>
      </c>
      <c r="C1653" s="298" t="s">
        <v>766</v>
      </c>
      <c r="D1653" s="230" t="s">
        <v>25</v>
      </c>
      <c r="E1653" s="247">
        <v>335</v>
      </c>
      <c r="F1653" s="232">
        <v>25740</v>
      </c>
      <c r="G1653" s="232">
        <v>5211</v>
      </c>
      <c r="H1653" s="138">
        <f t="shared" si="169"/>
        <v>30951</v>
      </c>
      <c r="I1653" s="138">
        <f t="shared" si="170"/>
        <v>10368585</v>
      </c>
      <c r="J1653" s="47"/>
      <c r="K1653" s="15"/>
    </row>
    <row r="1654" spans="1:12" s="16" customFormat="1" ht="25.5" outlineLevel="3">
      <c r="A1654" s="14" t="s">
        <v>154</v>
      </c>
      <c r="B1654" s="35">
        <f>MAXA(B$5:B1653)+1</f>
        <v>748</v>
      </c>
      <c r="C1654" s="298" t="s">
        <v>767</v>
      </c>
      <c r="D1654" s="230" t="s">
        <v>25</v>
      </c>
      <c r="E1654" s="247">
        <v>1184</v>
      </c>
      <c r="F1654" s="232">
        <v>24710</v>
      </c>
      <c r="G1654" s="232">
        <v>5211</v>
      </c>
      <c r="H1654" s="138">
        <f t="shared" si="169"/>
        <v>29921</v>
      </c>
      <c r="I1654" s="138">
        <f t="shared" si="170"/>
        <v>35426464</v>
      </c>
      <c r="J1654" s="47"/>
      <c r="K1654" s="15" t="s">
        <v>156</v>
      </c>
    </row>
    <row r="1655" spans="1:12" s="16" customFormat="1" ht="25.5" outlineLevel="3">
      <c r="A1655" s="14" t="s">
        <v>154</v>
      </c>
      <c r="B1655" s="35">
        <f>MAXA(B$5:B1654)+1</f>
        <v>749</v>
      </c>
      <c r="C1655" s="298" t="s">
        <v>768</v>
      </c>
      <c r="D1655" s="230" t="s">
        <v>28</v>
      </c>
      <c r="E1655" s="247">
        <v>7659</v>
      </c>
      <c r="F1655" s="232">
        <v>46449</v>
      </c>
      <c r="G1655" s="232">
        <v>10421</v>
      </c>
      <c r="H1655" s="138">
        <f t="shared" si="169"/>
        <v>56870</v>
      </c>
      <c r="I1655" s="138">
        <f t="shared" si="170"/>
        <v>435567330</v>
      </c>
      <c r="J1655" s="47"/>
      <c r="K1655" s="15" t="s">
        <v>156</v>
      </c>
    </row>
    <row r="1656" spans="1:12" s="16" customFormat="1" ht="25.5" outlineLevel="3">
      <c r="A1656" s="14"/>
      <c r="B1656" s="35">
        <f>MAXA(B$5:B1655)+1</f>
        <v>750</v>
      </c>
      <c r="C1656" s="238" t="s">
        <v>997</v>
      </c>
      <c r="D1656" s="230" t="s">
        <v>38</v>
      </c>
      <c r="E1656" s="247">
        <v>1</v>
      </c>
      <c r="F1656" s="232">
        <v>23224500</v>
      </c>
      <c r="G1656" s="232">
        <v>4168500</v>
      </c>
      <c r="H1656" s="138">
        <f t="shared" si="169"/>
        <v>27393000</v>
      </c>
      <c r="I1656" s="138">
        <f t="shared" si="170"/>
        <v>27393000</v>
      </c>
      <c r="J1656" s="47"/>
      <c r="K1656" s="15"/>
    </row>
    <row r="1657" spans="1:12" s="16" customFormat="1" ht="26.25" outlineLevel="3">
      <c r="A1657" s="14"/>
      <c r="B1657" s="38" t="s">
        <v>404</v>
      </c>
      <c r="C1657" s="303" t="s">
        <v>769</v>
      </c>
      <c r="D1657" s="294"/>
      <c r="E1657" s="247"/>
      <c r="F1657" s="232">
        <v>0</v>
      </c>
      <c r="G1657" s="232">
        <v>0</v>
      </c>
      <c r="H1657" s="295"/>
      <c r="I1657" s="180"/>
      <c r="J1657" s="47"/>
      <c r="K1657" s="15"/>
    </row>
    <row r="1658" spans="1:12" s="16" customFormat="1" ht="25.5" outlineLevel="3">
      <c r="A1658" s="14"/>
      <c r="B1658" s="35"/>
      <c r="C1658" s="245" t="s">
        <v>998</v>
      </c>
      <c r="D1658" s="230"/>
      <c r="E1658" s="247"/>
      <c r="F1658" s="232">
        <v>0</v>
      </c>
      <c r="G1658" s="232">
        <v>0</v>
      </c>
      <c r="H1658" s="295"/>
      <c r="I1658" s="180"/>
      <c r="J1658" s="47"/>
      <c r="K1658" s="15"/>
    </row>
    <row r="1659" spans="1:12" s="16" customFormat="1" ht="25.5" outlineLevel="3">
      <c r="A1659" s="14"/>
      <c r="B1659" s="35">
        <f>MAXA(B$5:B1658)+1</f>
        <v>751</v>
      </c>
      <c r="C1659" s="245" t="s">
        <v>999</v>
      </c>
      <c r="D1659" s="230" t="s">
        <v>745</v>
      </c>
      <c r="E1659" s="247">
        <v>24</v>
      </c>
      <c r="F1659" s="232">
        <v>557133</v>
      </c>
      <c r="G1659" s="232">
        <v>187583</v>
      </c>
      <c r="H1659" s="138">
        <f>G1659+F1659</f>
        <v>744716</v>
      </c>
      <c r="I1659" s="138">
        <f>H1659*E1659</f>
        <v>17873184</v>
      </c>
      <c r="J1659" s="47"/>
      <c r="K1659" s="15"/>
    </row>
    <row r="1660" spans="1:12" s="16" customFormat="1" ht="25.5" outlineLevel="3">
      <c r="A1660" s="14" t="s">
        <v>154</v>
      </c>
      <c r="B1660" s="35"/>
      <c r="C1660" s="245" t="s">
        <v>1000</v>
      </c>
      <c r="D1660" s="230"/>
      <c r="E1660" s="247"/>
      <c r="F1660" s="232">
        <v>0</v>
      </c>
      <c r="G1660" s="232">
        <v>0</v>
      </c>
      <c r="H1660" s="295"/>
      <c r="I1660" s="180"/>
      <c r="J1660" s="47"/>
      <c r="K1660" s="15" t="s">
        <v>482</v>
      </c>
      <c r="L1660" s="16" t="s">
        <v>1001</v>
      </c>
    </row>
    <row r="1661" spans="1:12" s="16" customFormat="1" ht="25.5" outlineLevel="3">
      <c r="A1661" s="14" t="s">
        <v>154</v>
      </c>
      <c r="B1661" s="35">
        <f>MAXA(B$5:B1660)+1</f>
        <v>752</v>
      </c>
      <c r="C1661" s="245" t="s">
        <v>1002</v>
      </c>
      <c r="D1661" s="233" t="s">
        <v>44</v>
      </c>
      <c r="E1661" s="247">
        <v>1</v>
      </c>
      <c r="F1661" s="232">
        <v>187344</v>
      </c>
      <c r="G1661" s="232">
        <v>125799</v>
      </c>
      <c r="H1661" s="138">
        <f t="shared" ref="H1661:H1669" si="171">G1661+F1661</f>
        <v>313143</v>
      </c>
      <c r="I1661" s="138">
        <f t="shared" ref="I1661:I1669" si="172">H1661*E1661</f>
        <v>313143</v>
      </c>
      <c r="J1661" s="47"/>
      <c r="K1661" s="15" t="s">
        <v>482</v>
      </c>
    </row>
    <row r="1662" spans="1:12" s="16" customFormat="1" ht="25.5" outlineLevel="3">
      <c r="A1662" s="14" t="s">
        <v>154</v>
      </c>
      <c r="B1662" s="35">
        <f>MAXA(B$5:B1661)+1</f>
        <v>753</v>
      </c>
      <c r="C1662" s="245" t="s">
        <v>1003</v>
      </c>
      <c r="D1662" s="233" t="s">
        <v>44</v>
      </c>
      <c r="E1662" s="247">
        <v>13</v>
      </c>
      <c r="F1662" s="232">
        <v>296083</v>
      </c>
      <c r="G1662" s="232">
        <v>125799</v>
      </c>
      <c r="H1662" s="138">
        <f t="shared" si="171"/>
        <v>421882</v>
      </c>
      <c r="I1662" s="138">
        <f t="shared" si="172"/>
        <v>5484466</v>
      </c>
      <c r="J1662" s="47"/>
      <c r="K1662" s="15" t="s">
        <v>482</v>
      </c>
    </row>
    <row r="1663" spans="1:12" s="16" customFormat="1" ht="25.5" outlineLevel="3">
      <c r="A1663" s="14" t="s">
        <v>154</v>
      </c>
      <c r="B1663" s="35">
        <f>MAXA(B$5:B1662)+1</f>
        <v>754</v>
      </c>
      <c r="C1663" s="245" t="s">
        <v>1004</v>
      </c>
      <c r="D1663" s="233" t="s">
        <v>44</v>
      </c>
      <c r="E1663" s="247">
        <v>2</v>
      </c>
      <c r="F1663" s="232">
        <v>373379</v>
      </c>
      <c r="G1663" s="232">
        <v>125799</v>
      </c>
      <c r="H1663" s="138">
        <f t="shared" si="171"/>
        <v>499178</v>
      </c>
      <c r="I1663" s="138">
        <f t="shared" si="172"/>
        <v>998356</v>
      </c>
      <c r="J1663" s="47"/>
      <c r="K1663" s="15" t="s">
        <v>482</v>
      </c>
    </row>
    <row r="1664" spans="1:12" s="16" customFormat="1" ht="25.5" outlineLevel="3">
      <c r="A1664" s="14" t="s">
        <v>154</v>
      </c>
      <c r="B1664" s="35">
        <f>MAXA(B$5:B1663)+1</f>
        <v>755</v>
      </c>
      <c r="C1664" s="245" t="s">
        <v>1005</v>
      </c>
      <c r="D1664" s="233" t="s">
        <v>44</v>
      </c>
      <c r="E1664" s="247">
        <f>18-6</f>
        <v>12</v>
      </c>
      <c r="F1664" s="232">
        <v>673391</v>
      </c>
      <c r="G1664" s="232">
        <v>125799</v>
      </c>
      <c r="H1664" s="138">
        <f t="shared" si="171"/>
        <v>799190</v>
      </c>
      <c r="I1664" s="138">
        <f t="shared" si="172"/>
        <v>9590280</v>
      </c>
      <c r="J1664" s="47"/>
      <c r="K1664" s="15" t="s">
        <v>482</v>
      </c>
    </row>
    <row r="1665" spans="1:12" s="16" customFormat="1" ht="25.5" outlineLevel="3">
      <c r="A1665" s="14" t="s">
        <v>154</v>
      </c>
      <c r="B1665" s="35">
        <f>MAXA(B$5:B1664)+1</f>
        <v>756</v>
      </c>
      <c r="C1665" s="245" t="s">
        <v>1006</v>
      </c>
      <c r="D1665" s="233" t="s">
        <v>44</v>
      </c>
      <c r="E1665" s="247">
        <v>7</v>
      </c>
      <c r="F1665" s="232">
        <v>990436</v>
      </c>
      <c r="G1665" s="232">
        <v>310305</v>
      </c>
      <c r="H1665" s="138">
        <f t="shared" si="171"/>
        <v>1300741</v>
      </c>
      <c r="I1665" s="138">
        <f t="shared" si="172"/>
        <v>9105187</v>
      </c>
      <c r="J1665" s="47"/>
      <c r="K1665" s="15" t="s">
        <v>482</v>
      </c>
    </row>
    <row r="1666" spans="1:12" s="16" customFormat="1" ht="25.5" outlineLevel="3">
      <c r="A1666" s="14" t="s">
        <v>154</v>
      </c>
      <c r="B1666" s="35">
        <f>MAXA(B$5:B1665)+1</f>
        <v>757</v>
      </c>
      <c r="C1666" s="245" t="s">
        <v>1007</v>
      </c>
      <c r="D1666" s="233" t="s">
        <v>44</v>
      </c>
      <c r="E1666" s="247">
        <f>246-18-53</f>
        <v>175</v>
      </c>
      <c r="F1666" s="232">
        <v>673391</v>
      </c>
      <c r="G1666" s="232">
        <v>209666</v>
      </c>
      <c r="H1666" s="138">
        <f t="shared" si="171"/>
        <v>883057</v>
      </c>
      <c r="I1666" s="138">
        <f t="shared" si="172"/>
        <v>154534975</v>
      </c>
      <c r="J1666" s="47"/>
      <c r="K1666" s="15" t="s">
        <v>482</v>
      </c>
    </row>
    <row r="1667" spans="1:12" s="16" customFormat="1" ht="25.5" outlineLevel="3">
      <c r="A1667" s="14" t="s">
        <v>154</v>
      </c>
      <c r="B1667" s="35">
        <f>MAXA(B$5:B1666)+1</f>
        <v>758</v>
      </c>
      <c r="C1667" s="245" t="s">
        <v>1008</v>
      </c>
      <c r="D1667" s="233" t="s">
        <v>44</v>
      </c>
      <c r="E1667" s="247">
        <v>6</v>
      </c>
      <c r="F1667" s="232">
        <v>1752914</v>
      </c>
      <c r="G1667" s="232">
        <v>310305</v>
      </c>
      <c r="H1667" s="138">
        <f t="shared" si="171"/>
        <v>2063219</v>
      </c>
      <c r="I1667" s="138">
        <f t="shared" si="172"/>
        <v>12379314</v>
      </c>
      <c r="J1667" s="47"/>
      <c r="K1667" s="15" t="s">
        <v>482</v>
      </c>
    </row>
    <row r="1668" spans="1:12" s="16" customFormat="1" ht="25.5" outlineLevel="3">
      <c r="A1668" s="14" t="s">
        <v>154</v>
      </c>
      <c r="B1668" s="35">
        <f>MAXA(B$5:B1667)+1</f>
        <v>759</v>
      </c>
      <c r="C1668" s="245" t="s">
        <v>1009</v>
      </c>
      <c r="D1668" s="233" t="s">
        <v>44</v>
      </c>
      <c r="E1668" s="247">
        <v>18</v>
      </c>
      <c r="F1668" s="232">
        <v>990436</v>
      </c>
      <c r="G1668" s="232">
        <v>310305</v>
      </c>
      <c r="H1668" s="138">
        <f t="shared" si="171"/>
        <v>1300741</v>
      </c>
      <c r="I1668" s="138">
        <f t="shared" si="172"/>
        <v>23413338</v>
      </c>
      <c r="J1668" s="47"/>
      <c r="K1668" s="15" t="s">
        <v>482</v>
      </c>
    </row>
    <row r="1669" spans="1:12" s="16" customFormat="1" ht="25.5" outlineLevel="3">
      <c r="A1669" s="14" t="s">
        <v>154</v>
      </c>
      <c r="B1669" s="35">
        <f>MAXA(B$5:B1668)+1</f>
        <v>760</v>
      </c>
      <c r="C1669" s="245" t="s">
        <v>1010</v>
      </c>
      <c r="D1669" s="233" t="s">
        <v>44</v>
      </c>
      <c r="E1669" s="247">
        <v>44</v>
      </c>
      <c r="F1669" s="232">
        <v>990436</v>
      </c>
      <c r="G1669" s="232">
        <v>310305</v>
      </c>
      <c r="H1669" s="138">
        <f t="shared" si="171"/>
        <v>1300741</v>
      </c>
      <c r="I1669" s="138">
        <f t="shared" si="172"/>
        <v>57232604</v>
      </c>
      <c r="J1669" s="47"/>
      <c r="K1669" s="15" t="s">
        <v>482</v>
      </c>
    </row>
    <row r="1670" spans="1:12" s="16" customFormat="1" ht="25.5" outlineLevel="3">
      <c r="A1670" s="14" t="s">
        <v>154</v>
      </c>
      <c r="B1670" s="35"/>
      <c r="C1670" s="245" t="s">
        <v>1011</v>
      </c>
      <c r="D1670" s="259"/>
      <c r="E1670" s="247"/>
      <c r="F1670" s="232">
        <v>0</v>
      </c>
      <c r="G1670" s="232">
        <v>0</v>
      </c>
      <c r="H1670" s="295"/>
      <c r="I1670" s="180"/>
      <c r="J1670" s="47"/>
      <c r="K1670" s="15" t="s">
        <v>482</v>
      </c>
      <c r="L1670" s="16" t="s">
        <v>1001</v>
      </c>
    </row>
    <row r="1671" spans="1:12" s="16" customFormat="1" ht="25.5" outlineLevel="3">
      <c r="A1671" s="14" t="s">
        <v>154</v>
      </c>
      <c r="B1671" s="35">
        <f>MAXA(B$5:B1670)+1</f>
        <v>761</v>
      </c>
      <c r="C1671" s="245" t="s">
        <v>1012</v>
      </c>
      <c r="D1671" s="230" t="s">
        <v>28</v>
      </c>
      <c r="E1671" s="247">
        <v>6</v>
      </c>
      <c r="F1671" s="232">
        <v>3926370</v>
      </c>
      <c r="G1671" s="232">
        <v>310305</v>
      </c>
      <c r="H1671" s="138">
        <f>G1671+F1671</f>
        <v>4236675</v>
      </c>
      <c r="I1671" s="138">
        <f>H1671*E1671</f>
        <v>25420050</v>
      </c>
      <c r="J1671" s="47"/>
      <c r="K1671" s="15" t="s">
        <v>482</v>
      </c>
    </row>
    <row r="1672" spans="1:12" s="16" customFormat="1" ht="25.5" outlineLevel="3">
      <c r="A1672" s="14" t="s">
        <v>154</v>
      </c>
      <c r="B1672" s="35">
        <f>MAXA(B$5:B1671)+1</f>
        <v>762</v>
      </c>
      <c r="C1672" s="245" t="s">
        <v>1013</v>
      </c>
      <c r="D1672" s="230" t="s">
        <v>28</v>
      </c>
      <c r="E1672" s="247">
        <v>9</v>
      </c>
      <c r="F1672" s="232">
        <v>1171229</v>
      </c>
      <c r="G1672" s="232">
        <v>310305</v>
      </c>
      <c r="H1672" s="138">
        <f>G1672+F1672</f>
        <v>1481534</v>
      </c>
      <c r="I1672" s="138">
        <f>H1672*E1672</f>
        <v>13333806</v>
      </c>
      <c r="J1672" s="47"/>
      <c r="K1672" s="15" t="s">
        <v>482</v>
      </c>
    </row>
    <row r="1673" spans="1:12" s="16" customFormat="1" ht="25.5" outlineLevel="3">
      <c r="A1673" s="14" t="s">
        <v>154</v>
      </c>
      <c r="B1673" s="35">
        <f>MAXA(B$5:B1672)+1</f>
        <v>763</v>
      </c>
      <c r="C1673" s="245" t="s">
        <v>1014</v>
      </c>
      <c r="D1673" s="230" t="s">
        <v>28</v>
      </c>
      <c r="E1673" s="247">
        <f>95-9</f>
        <v>86</v>
      </c>
      <c r="F1673" s="232">
        <v>1165989</v>
      </c>
      <c r="G1673" s="232">
        <v>251599</v>
      </c>
      <c r="H1673" s="138">
        <f>G1673+F1673</f>
        <v>1417588</v>
      </c>
      <c r="I1673" s="138">
        <f>H1673*E1673</f>
        <v>121912568</v>
      </c>
      <c r="J1673" s="47"/>
      <c r="K1673" s="15" t="s">
        <v>482</v>
      </c>
    </row>
    <row r="1674" spans="1:12" s="16" customFormat="1" ht="25.5" outlineLevel="3">
      <c r="A1674" s="14"/>
      <c r="B1674" s="35"/>
      <c r="C1674" s="245" t="s">
        <v>1015</v>
      </c>
      <c r="D1674" s="230"/>
      <c r="E1674" s="247"/>
      <c r="F1674" s="232">
        <v>0</v>
      </c>
      <c r="G1674" s="232">
        <v>0</v>
      </c>
      <c r="H1674" s="295"/>
      <c r="I1674" s="180"/>
      <c r="J1674" s="47"/>
      <c r="K1674" s="15"/>
    </row>
    <row r="1675" spans="1:12" s="16" customFormat="1" ht="25.5" outlineLevel="3">
      <c r="A1675" s="14"/>
      <c r="B1675" s="35">
        <f>MAXA(B$5:B1674)+1</f>
        <v>764</v>
      </c>
      <c r="C1675" s="245" t="s">
        <v>1016</v>
      </c>
      <c r="D1675" s="230" t="s">
        <v>28</v>
      </c>
      <c r="E1675" s="247">
        <v>1</v>
      </c>
      <c r="F1675" s="232">
        <v>1918181</v>
      </c>
      <c r="G1675" s="232">
        <v>200088</v>
      </c>
      <c r="H1675" s="138">
        <f t="shared" ref="H1675:H1680" si="173">G1675+F1675</f>
        <v>2118269</v>
      </c>
      <c r="I1675" s="138">
        <f t="shared" ref="I1675:I1680" si="174">H1675*E1675</f>
        <v>2118269</v>
      </c>
      <c r="J1675" s="47"/>
      <c r="K1675" s="15"/>
    </row>
    <row r="1676" spans="1:12" s="16" customFormat="1" ht="25.5" outlineLevel="3">
      <c r="A1676" s="14"/>
      <c r="B1676" s="35">
        <f>MAXA(B$5:B1675)+1</f>
        <v>765</v>
      </c>
      <c r="C1676" s="245" t="s">
        <v>1017</v>
      </c>
      <c r="D1676" s="230" t="s">
        <v>28</v>
      </c>
      <c r="E1676" s="247">
        <v>2</v>
      </c>
      <c r="F1676" s="232">
        <v>1256753</v>
      </c>
      <c r="G1676" s="232">
        <v>156319</v>
      </c>
      <c r="H1676" s="138">
        <f t="shared" si="173"/>
        <v>1413072</v>
      </c>
      <c r="I1676" s="138">
        <f t="shared" si="174"/>
        <v>2826144</v>
      </c>
      <c r="J1676" s="47"/>
      <c r="K1676" s="15"/>
    </row>
    <row r="1677" spans="1:12" s="16" customFormat="1" ht="25.5" outlineLevel="3">
      <c r="A1677" s="14"/>
      <c r="B1677" s="35">
        <f>MAXA(B$5:B1676)+1</f>
        <v>766</v>
      </c>
      <c r="C1677" s="245" t="s">
        <v>1018</v>
      </c>
      <c r="D1677" s="230" t="s">
        <v>28</v>
      </c>
      <c r="E1677" s="247">
        <v>2</v>
      </c>
      <c r="F1677" s="232">
        <v>1069796</v>
      </c>
      <c r="G1677" s="232">
        <v>143813</v>
      </c>
      <c r="H1677" s="138">
        <f t="shared" si="173"/>
        <v>1213609</v>
      </c>
      <c r="I1677" s="138">
        <f t="shared" si="174"/>
        <v>2427218</v>
      </c>
      <c r="J1677" s="47"/>
      <c r="K1677" s="15"/>
    </row>
    <row r="1678" spans="1:12" s="16" customFormat="1" ht="25.5" outlineLevel="3">
      <c r="A1678" s="14"/>
      <c r="B1678" s="35">
        <f>MAXA(B$5:B1677)+1</f>
        <v>767</v>
      </c>
      <c r="C1678" s="245" t="s">
        <v>1019</v>
      </c>
      <c r="D1678" s="230" t="s">
        <v>28</v>
      </c>
      <c r="E1678" s="247">
        <v>1</v>
      </c>
      <c r="F1678" s="232">
        <v>338660</v>
      </c>
      <c r="G1678" s="232">
        <v>87539</v>
      </c>
      <c r="H1678" s="138">
        <f t="shared" si="173"/>
        <v>426199</v>
      </c>
      <c r="I1678" s="138">
        <f t="shared" si="174"/>
        <v>426199</v>
      </c>
      <c r="J1678" s="47"/>
      <c r="K1678" s="15"/>
    </row>
    <row r="1679" spans="1:12" s="16" customFormat="1" ht="25.5" outlineLevel="3">
      <c r="A1679" s="14"/>
      <c r="B1679" s="35">
        <f>MAXA(B$5:B1678)+1</f>
        <v>768</v>
      </c>
      <c r="C1679" s="245" t="s">
        <v>1020</v>
      </c>
      <c r="D1679" s="230" t="s">
        <v>28</v>
      </c>
      <c r="E1679" s="247">
        <v>1</v>
      </c>
      <c r="F1679" s="232">
        <v>294324</v>
      </c>
      <c r="G1679" s="232">
        <v>87539</v>
      </c>
      <c r="H1679" s="138">
        <f t="shared" si="173"/>
        <v>381863</v>
      </c>
      <c r="I1679" s="138">
        <f t="shared" si="174"/>
        <v>381863</v>
      </c>
      <c r="J1679" s="47"/>
      <c r="K1679" s="15"/>
    </row>
    <row r="1680" spans="1:12" s="16" customFormat="1" ht="25.5" outlineLevel="3">
      <c r="A1680" s="14"/>
      <c r="B1680" s="35">
        <f>MAXA(B$5:B1679)+1</f>
        <v>769</v>
      </c>
      <c r="C1680" s="245" t="s">
        <v>1021</v>
      </c>
      <c r="D1680" s="230" t="s">
        <v>28</v>
      </c>
      <c r="E1680" s="247">
        <v>1</v>
      </c>
      <c r="F1680" s="232">
        <v>271489</v>
      </c>
      <c r="G1680" s="232">
        <v>87539</v>
      </c>
      <c r="H1680" s="138">
        <f t="shared" si="173"/>
        <v>359028</v>
      </c>
      <c r="I1680" s="138">
        <f t="shared" si="174"/>
        <v>359028</v>
      </c>
      <c r="J1680" s="47"/>
      <c r="K1680" s="15"/>
    </row>
    <row r="1681" spans="1:11" s="16" customFormat="1" ht="25.5" outlineLevel="3">
      <c r="A1681" s="14"/>
      <c r="B1681" s="35"/>
      <c r="C1681" s="245" t="s">
        <v>1022</v>
      </c>
      <c r="D1681" s="259"/>
      <c r="E1681" s="247"/>
      <c r="F1681" s="232">
        <v>0</v>
      </c>
      <c r="G1681" s="232">
        <v>0</v>
      </c>
      <c r="H1681" s="295"/>
      <c r="I1681" s="180"/>
      <c r="J1681" s="47"/>
      <c r="K1681" s="15"/>
    </row>
    <row r="1682" spans="1:11" s="16" customFormat="1" ht="25.5" outlineLevel="3">
      <c r="A1682" s="14"/>
      <c r="B1682" s="35">
        <f>MAXA(B$5:B1681)+1</f>
        <v>770</v>
      </c>
      <c r="C1682" s="245" t="s">
        <v>1023</v>
      </c>
      <c r="D1682" s="230" t="s">
        <v>28</v>
      </c>
      <c r="E1682" s="247">
        <v>2</v>
      </c>
      <c r="F1682" s="232">
        <v>2836542</v>
      </c>
      <c r="G1682" s="232">
        <v>281374</v>
      </c>
      <c r="H1682" s="138">
        <f>G1682+F1682</f>
        <v>3117916</v>
      </c>
      <c r="I1682" s="138">
        <f>H1682*E1682</f>
        <v>6235832</v>
      </c>
      <c r="J1682" s="47"/>
      <c r="K1682" s="15"/>
    </row>
    <row r="1683" spans="1:11" s="16" customFormat="1" ht="25.5" outlineLevel="3">
      <c r="A1683" s="14"/>
      <c r="B1683" s="35">
        <f>MAXA(B$5:B1682)+1</f>
        <v>771</v>
      </c>
      <c r="C1683" s="245" t="s">
        <v>1024</v>
      </c>
      <c r="D1683" s="230" t="s">
        <v>28</v>
      </c>
      <c r="E1683" s="247">
        <v>2</v>
      </c>
      <c r="F1683" s="232">
        <v>2602845</v>
      </c>
      <c r="G1683" s="232">
        <v>268868</v>
      </c>
      <c r="H1683" s="138">
        <f>G1683+F1683</f>
        <v>2871713</v>
      </c>
      <c r="I1683" s="138">
        <f>H1683*E1683</f>
        <v>5743426</v>
      </c>
      <c r="J1683" s="47"/>
      <c r="K1683" s="15"/>
    </row>
    <row r="1684" spans="1:11" s="16" customFormat="1" ht="25.5" outlineLevel="3">
      <c r="A1684" s="14"/>
      <c r="B1684" s="35"/>
      <c r="C1684" s="245" t="s">
        <v>1025</v>
      </c>
      <c r="D1684" s="259"/>
      <c r="E1684" s="247"/>
      <c r="F1684" s="232">
        <v>0</v>
      </c>
      <c r="G1684" s="232">
        <v>0</v>
      </c>
      <c r="H1684" s="295"/>
      <c r="I1684" s="180"/>
      <c r="J1684" s="47"/>
      <c r="K1684" s="15"/>
    </row>
    <row r="1685" spans="1:11" s="16" customFormat="1" ht="25.5" outlineLevel="3">
      <c r="A1685" s="14"/>
      <c r="B1685" s="35">
        <f>MAXA(B$5:B1684)+1</f>
        <v>772</v>
      </c>
      <c r="C1685" s="245" t="s">
        <v>1026</v>
      </c>
      <c r="D1685" s="230" t="s">
        <v>194</v>
      </c>
      <c r="E1685" s="247">
        <v>1</v>
      </c>
      <c r="F1685" s="232">
        <v>81727</v>
      </c>
      <c r="G1685" s="232">
        <v>75033</v>
      </c>
      <c r="H1685" s="138">
        <f>G1685+F1685</f>
        <v>156760</v>
      </c>
      <c r="I1685" s="138">
        <f>H1685*E1685</f>
        <v>156760</v>
      </c>
      <c r="J1685" s="47"/>
      <c r="K1685" s="15"/>
    </row>
    <row r="1686" spans="1:11" s="16" customFormat="1" ht="25.5" outlineLevel="3">
      <c r="A1686" s="14"/>
      <c r="B1686" s="35"/>
      <c r="C1686" s="245" t="s">
        <v>1027</v>
      </c>
      <c r="D1686" s="259"/>
      <c r="E1686" s="247"/>
      <c r="F1686" s="232">
        <v>0</v>
      </c>
      <c r="G1686" s="232">
        <v>0</v>
      </c>
      <c r="H1686" s="295"/>
      <c r="I1686" s="180"/>
      <c r="J1686" s="47"/>
      <c r="K1686" s="15"/>
    </row>
    <row r="1687" spans="1:11" s="16" customFormat="1" ht="25.5" outlineLevel="3">
      <c r="A1687" s="14"/>
      <c r="B1687" s="35">
        <f>MAXA(B$5:B1686)+1</f>
        <v>773</v>
      </c>
      <c r="C1687" s="245" t="s">
        <v>1028</v>
      </c>
      <c r="D1687" s="230" t="s">
        <v>28</v>
      </c>
      <c r="E1687" s="247">
        <v>1</v>
      </c>
      <c r="F1687" s="232">
        <v>2428841</v>
      </c>
      <c r="G1687" s="232">
        <v>200088</v>
      </c>
      <c r="H1687" s="138">
        <f t="shared" ref="H1687:H1701" si="175">G1687+F1687</f>
        <v>2628929</v>
      </c>
      <c r="I1687" s="138">
        <f t="shared" ref="I1687:I1701" si="176">H1687*E1687</f>
        <v>2628929</v>
      </c>
      <c r="J1687" s="47"/>
      <c r="K1687" s="15"/>
    </row>
    <row r="1688" spans="1:11" s="16" customFormat="1" ht="25.5" outlineLevel="3">
      <c r="A1688" s="14"/>
      <c r="B1688" s="35">
        <f>MAXA(B$5:B1687)+1</f>
        <v>774</v>
      </c>
      <c r="C1688" s="245" t="s">
        <v>1029</v>
      </c>
      <c r="D1688" s="230" t="s">
        <v>28</v>
      </c>
      <c r="E1688" s="247">
        <v>4</v>
      </c>
      <c r="F1688" s="232">
        <v>2285151</v>
      </c>
      <c r="G1688" s="232">
        <v>200088</v>
      </c>
      <c r="H1688" s="138">
        <f t="shared" si="175"/>
        <v>2485239</v>
      </c>
      <c r="I1688" s="138">
        <f t="shared" si="176"/>
        <v>9940956</v>
      </c>
      <c r="J1688" s="47"/>
      <c r="K1688" s="15"/>
    </row>
    <row r="1689" spans="1:11" s="16" customFormat="1" ht="25.5" outlineLevel="3">
      <c r="A1689" s="14"/>
      <c r="B1689" s="35">
        <f>MAXA(B$5:B1688)+1</f>
        <v>775</v>
      </c>
      <c r="C1689" s="245" t="s">
        <v>1030</v>
      </c>
      <c r="D1689" s="230" t="s">
        <v>28</v>
      </c>
      <c r="E1689" s="247">
        <v>1</v>
      </c>
      <c r="F1689" s="232">
        <v>2262182</v>
      </c>
      <c r="G1689" s="232">
        <v>200088</v>
      </c>
      <c r="H1689" s="138">
        <f t="shared" si="175"/>
        <v>2462270</v>
      </c>
      <c r="I1689" s="138">
        <f t="shared" si="176"/>
        <v>2462270</v>
      </c>
      <c r="J1689" s="47"/>
      <c r="K1689" s="15"/>
    </row>
    <row r="1690" spans="1:11" s="16" customFormat="1" ht="25.5" outlineLevel="3">
      <c r="A1690" s="14"/>
      <c r="B1690" s="35">
        <f>MAXA(B$5:B1689)+1</f>
        <v>776</v>
      </c>
      <c r="C1690" s="245" t="s">
        <v>1031</v>
      </c>
      <c r="D1690" s="230" t="s">
        <v>28</v>
      </c>
      <c r="E1690" s="247">
        <v>1</v>
      </c>
      <c r="F1690" s="232">
        <v>2239347</v>
      </c>
      <c r="G1690" s="232">
        <v>200088</v>
      </c>
      <c r="H1690" s="138">
        <f t="shared" si="175"/>
        <v>2439435</v>
      </c>
      <c r="I1690" s="138">
        <f t="shared" si="176"/>
        <v>2439435</v>
      </c>
      <c r="J1690" s="47"/>
      <c r="K1690" s="15"/>
    </row>
    <row r="1691" spans="1:11" s="16" customFormat="1" ht="25.5" outlineLevel="3">
      <c r="A1691" s="14"/>
      <c r="B1691" s="35">
        <f>MAXA(B$5:B1690)+1</f>
        <v>777</v>
      </c>
      <c r="C1691" s="245" t="s">
        <v>1032</v>
      </c>
      <c r="D1691" s="230" t="s">
        <v>28</v>
      </c>
      <c r="E1691" s="247">
        <v>3</v>
      </c>
      <c r="F1691" s="232">
        <v>2239347</v>
      </c>
      <c r="G1691" s="232">
        <v>200088</v>
      </c>
      <c r="H1691" s="138">
        <f t="shared" si="175"/>
        <v>2439435</v>
      </c>
      <c r="I1691" s="138">
        <f t="shared" si="176"/>
        <v>7318305</v>
      </c>
      <c r="J1691" s="47"/>
      <c r="K1691" s="15"/>
    </row>
    <row r="1692" spans="1:11" s="16" customFormat="1" ht="25.5" outlineLevel="3">
      <c r="A1692" s="14"/>
      <c r="B1692" s="35">
        <f>MAXA(B$5:B1691)+1</f>
        <v>778</v>
      </c>
      <c r="C1692" s="245" t="s">
        <v>1033</v>
      </c>
      <c r="D1692" s="230" t="s">
        <v>28</v>
      </c>
      <c r="E1692" s="247">
        <v>5</v>
      </c>
      <c r="F1692" s="232">
        <v>2218114</v>
      </c>
      <c r="G1692" s="232">
        <v>200088</v>
      </c>
      <c r="H1692" s="138">
        <f t="shared" si="175"/>
        <v>2418202</v>
      </c>
      <c r="I1692" s="138">
        <f t="shared" si="176"/>
        <v>12091010</v>
      </c>
      <c r="J1692" s="47"/>
      <c r="K1692" s="15"/>
    </row>
    <row r="1693" spans="1:11" s="16" customFormat="1" ht="25.5" outlineLevel="3">
      <c r="A1693" s="14"/>
      <c r="B1693" s="35">
        <f>MAXA(B$5:B1692)+1</f>
        <v>779</v>
      </c>
      <c r="C1693" s="245" t="s">
        <v>1034</v>
      </c>
      <c r="D1693" s="230" t="s">
        <v>28</v>
      </c>
      <c r="E1693" s="247">
        <v>2</v>
      </c>
      <c r="F1693" s="232">
        <v>2209167</v>
      </c>
      <c r="G1693" s="232">
        <v>200088</v>
      </c>
      <c r="H1693" s="138">
        <f t="shared" si="175"/>
        <v>2409255</v>
      </c>
      <c r="I1693" s="138">
        <f t="shared" si="176"/>
        <v>4818510</v>
      </c>
      <c r="J1693" s="47"/>
      <c r="K1693" s="15"/>
    </row>
    <row r="1694" spans="1:11" s="16" customFormat="1" ht="25.5" outlineLevel="3">
      <c r="A1694" s="14"/>
      <c r="B1694" s="35">
        <f>MAXA(B$5:B1693)+1</f>
        <v>780</v>
      </c>
      <c r="C1694" s="245" t="s">
        <v>1035</v>
      </c>
      <c r="D1694" s="230" t="s">
        <v>28</v>
      </c>
      <c r="E1694" s="247">
        <v>2</v>
      </c>
      <c r="F1694" s="232">
        <v>2188067</v>
      </c>
      <c r="G1694" s="232">
        <v>200088</v>
      </c>
      <c r="H1694" s="138">
        <f t="shared" si="175"/>
        <v>2388155</v>
      </c>
      <c r="I1694" s="138">
        <f t="shared" si="176"/>
        <v>4776310</v>
      </c>
      <c r="J1694" s="47"/>
      <c r="K1694" s="15"/>
    </row>
    <row r="1695" spans="1:11" s="16" customFormat="1" ht="25.5" outlineLevel="3">
      <c r="A1695" s="14"/>
      <c r="B1695" s="35">
        <f>MAXA(B$5:B1694)+1</f>
        <v>781</v>
      </c>
      <c r="C1695" s="245" t="s">
        <v>1036</v>
      </c>
      <c r="D1695" s="230" t="s">
        <v>28</v>
      </c>
      <c r="E1695" s="247">
        <v>2</v>
      </c>
      <c r="F1695" s="232">
        <v>2166834</v>
      </c>
      <c r="G1695" s="232">
        <v>200088</v>
      </c>
      <c r="H1695" s="138">
        <f t="shared" si="175"/>
        <v>2366922</v>
      </c>
      <c r="I1695" s="138">
        <f t="shared" si="176"/>
        <v>4733844</v>
      </c>
      <c r="J1695" s="47"/>
      <c r="K1695" s="15"/>
    </row>
    <row r="1696" spans="1:11" s="16" customFormat="1" ht="25.5" outlineLevel="3">
      <c r="A1696" s="14"/>
      <c r="B1696" s="35">
        <f>MAXA(B$5:B1695)+1</f>
        <v>782</v>
      </c>
      <c r="C1696" s="245" t="s">
        <v>1037</v>
      </c>
      <c r="D1696" s="230" t="s">
        <v>28</v>
      </c>
      <c r="E1696" s="247">
        <v>2</v>
      </c>
      <c r="F1696" s="232">
        <v>2141996</v>
      </c>
      <c r="G1696" s="232">
        <v>200088</v>
      </c>
      <c r="H1696" s="138">
        <f t="shared" si="175"/>
        <v>2342084</v>
      </c>
      <c r="I1696" s="138">
        <f t="shared" si="176"/>
        <v>4684168</v>
      </c>
      <c r="J1696" s="47"/>
      <c r="K1696" s="15"/>
    </row>
    <row r="1697" spans="1:14" s="16" customFormat="1" ht="25.5" outlineLevel="3">
      <c r="A1697" s="14"/>
      <c r="B1697" s="35">
        <f>MAXA(B$5:B1696)+1</f>
        <v>783</v>
      </c>
      <c r="C1697" s="245" t="s">
        <v>1038</v>
      </c>
      <c r="D1697" s="230" t="s">
        <v>28</v>
      </c>
      <c r="E1697" s="247">
        <v>3</v>
      </c>
      <c r="F1697" s="232">
        <v>2119160</v>
      </c>
      <c r="G1697" s="232">
        <v>200088</v>
      </c>
      <c r="H1697" s="138">
        <f t="shared" si="175"/>
        <v>2319248</v>
      </c>
      <c r="I1697" s="138">
        <f t="shared" si="176"/>
        <v>6957744</v>
      </c>
      <c r="J1697" s="47"/>
      <c r="K1697" s="15"/>
    </row>
    <row r="1698" spans="1:14" s="16" customFormat="1" ht="25.5" outlineLevel="3">
      <c r="A1698" s="14"/>
      <c r="B1698" s="35">
        <f>MAXA(B$5:B1697)+1</f>
        <v>784</v>
      </c>
      <c r="C1698" s="245" t="s">
        <v>1039</v>
      </c>
      <c r="D1698" s="230" t="s">
        <v>28</v>
      </c>
      <c r="E1698" s="247">
        <v>7</v>
      </c>
      <c r="F1698" s="232">
        <v>2101533</v>
      </c>
      <c r="G1698" s="232">
        <v>200088</v>
      </c>
      <c r="H1698" s="138">
        <f t="shared" si="175"/>
        <v>2301621</v>
      </c>
      <c r="I1698" s="138">
        <f t="shared" si="176"/>
        <v>16111347</v>
      </c>
      <c r="J1698" s="47"/>
      <c r="K1698" s="15"/>
    </row>
    <row r="1699" spans="1:14" s="16" customFormat="1" ht="25.5" outlineLevel="3">
      <c r="A1699" s="14"/>
      <c r="B1699" s="35">
        <f>MAXA(B$5:B1698)+1</f>
        <v>785</v>
      </c>
      <c r="C1699" s="245" t="s">
        <v>1040</v>
      </c>
      <c r="D1699" s="230" t="s">
        <v>28</v>
      </c>
      <c r="E1699" s="247">
        <v>1</v>
      </c>
      <c r="F1699" s="232">
        <v>2080300</v>
      </c>
      <c r="G1699" s="232">
        <v>200088</v>
      </c>
      <c r="H1699" s="138">
        <f t="shared" si="175"/>
        <v>2280388</v>
      </c>
      <c r="I1699" s="138">
        <f t="shared" si="176"/>
        <v>2280388</v>
      </c>
      <c r="J1699" s="47"/>
      <c r="K1699" s="15"/>
    </row>
    <row r="1700" spans="1:14" s="16" customFormat="1" ht="25.5" outlineLevel="3">
      <c r="A1700" s="14"/>
      <c r="B1700" s="35">
        <f>MAXA(B$5:B1699)+1</f>
        <v>786</v>
      </c>
      <c r="C1700" s="238" t="s">
        <v>1041</v>
      </c>
      <c r="D1700" s="230" t="s">
        <v>38</v>
      </c>
      <c r="E1700" s="247">
        <v>1</v>
      </c>
      <c r="F1700" s="232">
        <v>45211747</v>
      </c>
      <c r="G1700" s="232">
        <v>8114929</v>
      </c>
      <c r="H1700" s="138">
        <f t="shared" si="175"/>
        <v>53326676</v>
      </c>
      <c r="I1700" s="138">
        <f t="shared" si="176"/>
        <v>53326676</v>
      </c>
      <c r="J1700" s="47"/>
      <c r="K1700" s="15"/>
    </row>
    <row r="1701" spans="1:14" s="16" customFormat="1" ht="25.5" outlineLevel="3">
      <c r="A1701" s="14"/>
      <c r="B1701" s="35">
        <f>MAXA(B$5:B1700)+1</f>
        <v>787</v>
      </c>
      <c r="C1701" s="245" t="s">
        <v>1042</v>
      </c>
      <c r="D1701" s="230" t="s">
        <v>38</v>
      </c>
      <c r="E1701" s="247">
        <v>1</v>
      </c>
      <c r="F1701" s="232">
        <v>17393846</v>
      </c>
      <c r="G1701" s="232">
        <v>4501980</v>
      </c>
      <c r="H1701" s="138">
        <f t="shared" si="175"/>
        <v>21895826</v>
      </c>
      <c r="I1701" s="138">
        <f t="shared" si="176"/>
        <v>21895826</v>
      </c>
      <c r="J1701" s="47"/>
      <c r="K1701" s="15"/>
    </row>
    <row r="1702" spans="1:14" s="16" customFormat="1" ht="26.25" outlineLevel="2">
      <c r="A1702" s="14"/>
      <c r="B1702" s="30" t="s">
        <v>430</v>
      </c>
      <c r="C1702" s="225" t="s">
        <v>1043</v>
      </c>
      <c r="D1702" s="212"/>
      <c r="E1702" s="228"/>
      <c r="F1702" s="232">
        <v>0</v>
      </c>
      <c r="G1702" s="232">
        <v>0</v>
      </c>
      <c r="H1702" s="295"/>
      <c r="I1702" s="180">
        <f>SUBTOTAL(9,I1703:I2308)</f>
        <v>1380193529</v>
      </c>
      <c r="J1702" s="47"/>
      <c r="K1702" s="15"/>
      <c r="M1702" s="16" t="s">
        <v>430</v>
      </c>
      <c r="N1702" s="16" t="s">
        <v>430</v>
      </c>
    </row>
    <row r="1703" spans="1:14" s="16" customFormat="1" ht="25.5" outlineLevel="3">
      <c r="A1703" s="14"/>
      <c r="B1703" s="35">
        <f>MAXA(B$5:B1702)+1</f>
        <v>788</v>
      </c>
      <c r="C1703" s="242" t="s">
        <v>1044</v>
      </c>
      <c r="D1703" s="230" t="s">
        <v>25</v>
      </c>
      <c r="E1703" s="247">
        <v>188</v>
      </c>
      <c r="F1703" s="232">
        <v>361133</v>
      </c>
      <c r="G1703" s="232">
        <v>55739</v>
      </c>
      <c r="H1703" s="138">
        <f t="shared" ref="H1703:H1734" si="177">G1703+F1703</f>
        <v>416872</v>
      </c>
      <c r="I1703" s="138">
        <f t="shared" ref="I1703:I1734" si="178">H1703*E1703</f>
        <v>78371936</v>
      </c>
      <c r="J1703" s="47"/>
      <c r="K1703" s="15"/>
    </row>
    <row r="1704" spans="1:14" s="16" customFormat="1" ht="25.5" outlineLevel="3">
      <c r="A1704" s="14"/>
      <c r="B1704" s="35">
        <f>MAXA(B$5:B1703)+1</f>
        <v>789</v>
      </c>
      <c r="C1704" s="242" t="s">
        <v>1045</v>
      </c>
      <c r="D1704" s="230" t="s">
        <v>25</v>
      </c>
      <c r="E1704" s="247">
        <v>392</v>
      </c>
      <c r="F1704" s="232">
        <v>45346</v>
      </c>
      <c r="G1704" s="232">
        <v>15632</v>
      </c>
      <c r="H1704" s="138">
        <f t="shared" si="177"/>
        <v>60978</v>
      </c>
      <c r="I1704" s="138">
        <f t="shared" si="178"/>
        <v>23903376</v>
      </c>
      <c r="J1704" s="47"/>
      <c r="K1704" s="15"/>
    </row>
    <row r="1705" spans="1:14" s="16" customFormat="1" ht="25.5" outlineLevel="3">
      <c r="A1705" s="14"/>
      <c r="B1705" s="35">
        <f>MAXA(B$5:B1704)+1</f>
        <v>790</v>
      </c>
      <c r="C1705" s="242" t="s">
        <v>1046</v>
      </c>
      <c r="D1705" s="230" t="s">
        <v>25</v>
      </c>
      <c r="E1705" s="247">
        <v>201</v>
      </c>
      <c r="F1705" s="232">
        <v>8895</v>
      </c>
      <c r="G1705" s="232">
        <v>5211</v>
      </c>
      <c r="H1705" s="138">
        <f t="shared" si="177"/>
        <v>14106</v>
      </c>
      <c r="I1705" s="138">
        <f t="shared" si="178"/>
        <v>2835306</v>
      </c>
      <c r="J1705" s="47"/>
      <c r="K1705" s="15"/>
    </row>
    <row r="1706" spans="1:14" s="16" customFormat="1" ht="25.5" outlineLevel="3">
      <c r="A1706" s="14"/>
      <c r="B1706" s="35">
        <f>MAXA(B$5:B1705)+1</f>
        <v>791</v>
      </c>
      <c r="C1706" s="242" t="s">
        <v>1047</v>
      </c>
      <c r="D1706" s="230" t="s">
        <v>25</v>
      </c>
      <c r="E1706" s="247">
        <v>123</v>
      </c>
      <c r="F1706" s="232">
        <v>134191</v>
      </c>
      <c r="G1706" s="232">
        <v>46896</v>
      </c>
      <c r="H1706" s="138">
        <f t="shared" si="177"/>
        <v>181087</v>
      </c>
      <c r="I1706" s="138">
        <f t="shared" si="178"/>
        <v>22273701</v>
      </c>
      <c r="J1706" s="47"/>
      <c r="K1706" s="15"/>
    </row>
    <row r="1707" spans="1:14" s="16" customFormat="1" ht="25.5" outlineLevel="3">
      <c r="A1707" s="14"/>
      <c r="B1707" s="35">
        <f>MAXA(B$5:B1706)+1</f>
        <v>792</v>
      </c>
      <c r="C1707" s="242" t="s">
        <v>1048</v>
      </c>
      <c r="D1707" s="230" t="s">
        <v>25</v>
      </c>
      <c r="E1707" s="247">
        <v>233</v>
      </c>
      <c r="F1707" s="232">
        <v>87916</v>
      </c>
      <c r="G1707" s="232">
        <v>46896</v>
      </c>
      <c r="H1707" s="138">
        <f t="shared" si="177"/>
        <v>134812</v>
      </c>
      <c r="I1707" s="138">
        <f t="shared" si="178"/>
        <v>31411196</v>
      </c>
      <c r="J1707" s="47"/>
      <c r="K1707" s="15"/>
    </row>
    <row r="1708" spans="1:14" s="16" customFormat="1" ht="25.5" outlineLevel="3">
      <c r="A1708" s="14"/>
      <c r="B1708" s="35">
        <f>MAXA(B$5:B1707)+1</f>
        <v>793</v>
      </c>
      <c r="C1708" s="242" t="s">
        <v>1049</v>
      </c>
      <c r="D1708" s="230" t="s">
        <v>25</v>
      </c>
      <c r="E1708" s="247">
        <v>540</v>
      </c>
      <c r="F1708" s="232">
        <v>55344</v>
      </c>
      <c r="G1708" s="232">
        <v>20321</v>
      </c>
      <c r="H1708" s="138">
        <f t="shared" si="177"/>
        <v>75665</v>
      </c>
      <c r="I1708" s="138">
        <f t="shared" si="178"/>
        <v>40859100</v>
      </c>
      <c r="J1708" s="47"/>
      <c r="K1708" s="15"/>
    </row>
    <row r="1709" spans="1:14" s="16" customFormat="1" ht="25.5" outlineLevel="3">
      <c r="A1709" s="14"/>
      <c r="B1709" s="35">
        <f>MAXA(B$5:B1708)+1</f>
        <v>794</v>
      </c>
      <c r="C1709" s="242" t="s">
        <v>1050</v>
      </c>
      <c r="D1709" s="230" t="s">
        <v>25</v>
      </c>
      <c r="E1709" s="247">
        <v>1185</v>
      </c>
      <c r="F1709" s="232">
        <v>39400</v>
      </c>
      <c r="G1709" s="232">
        <v>18758</v>
      </c>
      <c r="H1709" s="138">
        <f t="shared" si="177"/>
        <v>58158</v>
      </c>
      <c r="I1709" s="138">
        <f t="shared" si="178"/>
        <v>68917230</v>
      </c>
      <c r="J1709" s="47"/>
      <c r="K1709" s="15"/>
    </row>
    <row r="1710" spans="1:14" s="16" customFormat="1" ht="25.5" outlineLevel="3">
      <c r="A1710" s="14"/>
      <c r="B1710" s="35">
        <f>MAXA(B$5:B1709)+1</f>
        <v>795</v>
      </c>
      <c r="C1710" s="242" t="s">
        <v>1051</v>
      </c>
      <c r="D1710" s="230" t="s">
        <v>25</v>
      </c>
      <c r="E1710" s="247">
        <v>200</v>
      </c>
      <c r="F1710" s="232">
        <v>26186</v>
      </c>
      <c r="G1710" s="232">
        <v>15632</v>
      </c>
      <c r="H1710" s="138">
        <f t="shared" si="177"/>
        <v>41818</v>
      </c>
      <c r="I1710" s="138">
        <f t="shared" si="178"/>
        <v>8363600</v>
      </c>
      <c r="J1710" s="47"/>
      <c r="K1710" s="15"/>
    </row>
    <row r="1711" spans="1:14" s="16" customFormat="1" ht="25.5" outlineLevel="3">
      <c r="A1711" s="14"/>
      <c r="B1711" s="35">
        <f>MAXA(B$5:B1710)+1</f>
        <v>796</v>
      </c>
      <c r="C1711" s="311" t="s">
        <v>1052</v>
      </c>
      <c r="D1711" s="230" t="s">
        <v>25</v>
      </c>
      <c r="E1711" s="247">
        <v>29</v>
      </c>
      <c r="F1711" s="232">
        <v>100225</v>
      </c>
      <c r="G1711" s="232">
        <v>46896</v>
      </c>
      <c r="H1711" s="138">
        <f t="shared" si="177"/>
        <v>147121</v>
      </c>
      <c r="I1711" s="138">
        <f t="shared" si="178"/>
        <v>4266509</v>
      </c>
      <c r="J1711" s="47"/>
      <c r="K1711" s="15"/>
    </row>
    <row r="1712" spans="1:14" s="16" customFormat="1" ht="25.5" outlineLevel="3">
      <c r="A1712" s="14"/>
      <c r="B1712" s="35">
        <f>MAXA(B$5:B1711)+1</f>
        <v>797</v>
      </c>
      <c r="C1712" s="311" t="s">
        <v>1053</v>
      </c>
      <c r="D1712" s="230" t="s">
        <v>25</v>
      </c>
      <c r="E1712" s="247">
        <v>74</v>
      </c>
      <c r="F1712" s="232">
        <v>64971</v>
      </c>
      <c r="G1712" s="232">
        <v>20321</v>
      </c>
      <c r="H1712" s="138">
        <f t="shared" si="177"/>
        <v>85292</v>
      </c>
      <c r="I1712" s="138">
        <f t="shared" si="178"/>
        <v>6311608</v>
      </c>
      <c r="J1712" s="47"/>
      <c r="K1712" s="15"/>
    </row>
    <row r="1713" spans="1:11" s="16" customFormat="1" ht="25.5" outlineLevel="3">
      <c r="A1713" s="14"/>
      <c r="B1713" s="35">
        <f>MAXA(B$5:B1712)+1</f>
        <v>798</v>
      </c>
      <c r="C1713" s="311" t="s">
        <v>1054</v>
      </c>
      <c r="D1713" s="230" t="s">
        <v>25</v>
      </c>
      <c r="E1713" s="247">
        <v>41</v>
      </c>
      <c r="F1713" s="232">
        <v>77569</v>
      </c>
      <c r="G1713" s="232">
        <v>17186</v>
      </c>
      <c r="H1713" s="138">
        <f t="shared" si="177"/>
        <v>94755</v>
      </c>
      <c r="I1713" s="138">
        <f t="shared" si="178"/>
        <v>3884955</v>
      </c>
      <c r="J1713" s="47"/>
      <c r="K1713" s="15"/>
    </row>
    <row r="1714" spans="1:11" s="16" customFormat="1" ht="25.5" outlineLevel="3">
      <c r="A1714" s="14"/>
      <c r="B1714" s="35">
        <f>MAXA(B$5:B1713)+1</f>
        <v>799</v>
      </c>
      <c r="C1714" s="311" t="s">
        <v>1055</v>
      </c>
      <c r="D1714" s="230" t="s">
        <v>25</v>
      </c>
      <c r="E1714" s="247">
        <v>693</v>
      </c>
      <c r="F1714" s="232">
        <v>11043</v>
      </c>
      <c r="G1714" s="232">
        <v>5211</v>
      </c>
      <c r="H1714" s="138">
        <f t="shared" si="177"/>
        <v>16254</v>
      </c>
      <c r="I1714" s="138">
        <f t="shared" si="178"/>
        <v>11264022</v>
      </c>
      <c r="J1714" s="47"/>
      <c r="K1714" s="15"/>
    </row>
    <row r="1715" spans="1:11" s="16" customFormat="1" ht="25.5" outlineLevel="3">
      <c r="A1715" s="14"/>
      <c r="B1715" s="35">
        <f>MAXA(B$5:B1714)+1</f>
        <v>800</v>
      </c>
      <c r="C1715" s="311" t="s">
        <v>1056</v>
      </c>
      <c r="D1715" s="230" t="s">
        <v>25</v>
      </c>
      <c r="E1715" s="247">
        <v>881</v>
      </c>
      <c r="F1715" s="232">
        <v>18626</v>
      </c>
      <c r="G1715" s="232">
        <v>9379</v>
      </c>
      <c r="H1715" s="138">
        <f t="shared" si="177"/>
        <v>28005</v>
      </c>
      <c r="I1715" s="138">
        <f t="shared" si="178"/>
        <v>24672405</v>
      </c>
      <c r="J1715" s="47"/>
      <c r="K1715" s="15"/>
    </row>
    <row r="1716" spans="1:11" s="16" customFormat="1" ht="25.5" outlineLevel="3">
      <c r="A1716" s="14"/>
      <c r="B1716" s="35">
        <f>MAXA(B$5:B1715)+1</f>
        <v>801</v>
      </c>
      <c r="C1716" s="311" t="s">
        <v>1057</v>
      </c>
      <c r="D1716" s="230" t="s">
        <v>25</v>
      </c>
      <c r="E1716" s="247">
        <v>221</v>
      </c>
      <c r="F1716" s="232">
        <v>23712</v>
      </c>
      <c r="G1716" s="232">
        <v>18758</v>
      </c>
      <c r="H1716" s="138">
        <f t="shared" si="177"/>
        <v>42470</v>
      </c>
      <c r="I1716" s="138">
        <f t="shared" si="178"/>
        <v>9385870</v>
      </c>
      <c r="J1716" s="47"/>
      <c r="K1716" s="15"/>
    </row>
    <row r="1717" spans="1:11" s="16" customFormat="1" ht="25.5" outlineLevel="3">
      <c r="A1717" s="14"/>
      <c r="B1717" s="35">
        <f>MAXA(B$5:B1716)+1</f>
        <v>802</v>
      </c>
      <c r="C1717" s="311" t="s">
        <v>354</v>
      </c>
      <c r="D1717" s="230" t="s">
        <v>25</v>
      </c>
      <c r="E1717" s="247">
        <v>2625</v>
      </c>
      <c r="F1717" s="232">
        <v>6886</v>
      </c>
      <c r="G1717" s="232">
        <v>5211</v>
      </c>
      <c r="H1717" s="138">
        <f t="shared" si="177"/>
        <v>12097</v>
      </c>
      <c r="I1717" s="138">
        <f t="shared" si="178"/>
        <v>31754625</v>
      </c>
      <c r="J1717" s="47"/>
      <c r="K1717" s="15"/>
    </row>
    <row r="1718" spans="1:11" s="16" customFormat="1" ht="25.5" outlineLevel="3">
      <c r="A1718" s="14"/>
      <c r="B1718" s="35">
        <f>MAXA(B$5:B1717)+1</f>
        <v>803</v>
      </c>
      <c r="C1718" s="311" t="s">
        <v>355</v>
      </c>
      <c r="D1718" s="230" t="s">
        <v>25</v>
      </c>
      <c r="E1718" s="247">
        <v>1973</v>
      </c>
      <c r="F1718" s="232">
        <v>4366</v>
      </c>
      <c r="G1718" s="232">
        <v>4690</v>
      </c>
      <c r="H1718" s="138">
        <f t="shared" si="177"/>
        <v>9056</v>
      </c>
      <c r="I1718" s="138">
        <f t="shared" si="178"/>
        <v>17867488</v>
      </c>
      <c r="J1718" s="47"/>
      <c r="K1718" s="15"/>
    </row>
    <row r="1719" spans="1:11" s="16" customFormat="1" ht="25.5" outlineLevel="3">
      <c r="A1719" s="14"/>
      <c r="B1719" s="35">
        <f>MAXA(B$5:B1718)+1</f>
        <v>804</v>
      </c>
      <c r="C1719" s="311" t="s">
        <v>359</v>
      </c>
      <c r="D1719" s="230" t="s">
        <v>25</v>
      </c>
      <c r="E1719" s="247">
        <v>47</v>
      </c>
      <c r="F1719" s="232">
        <v>174834</v>
      </c>
      <c r="G1719" s="232">
        <v>36474</v>
      </c>
      <c r="H1719" s="138">
        <f t="shared" si="177"/>
        <v>211308</v>
      </c>
      <c r="I1719" s="138">
        <f t="shared" si="178"/>
        <v>9931476</v>
      </c>
      <c r="J1719" s="47"/>
      <c r="K1719" s="15"/>
    </row>
    <row r="1720" spans="1:11" s="16" customFormat="1" ht="25.5" outlineLevel="3">
      <c r="A1720" s="14"/>
      <c r="B1720" s="35">
        <f>MAXA(B$5:B1719)+1</f>
        <v>805</v>
      </c>
      <c r="C1720" s="311" t="s">
        <v>364</v>
      </c>
      <c r="D1720" s="230" t="s">
        <v>25</v>
      </c>
      <c r="E1720" s="247">
        <v>283</v>
      </c>
      <c r="F1720" s="232">
        <v>26662</v>
      </c>
      <c r="G1720" s="232">
        <v>15632</v>
      </c>
      <c r="H1720" s="138">
        <f t="shared" si="177"/>
        <v>42294</v>
      </c>
      <c r="I1720" s="138">
        <f t="shared" si="178"/>
        <v>11969202</v>
      </c>
      <c r="J1720" s="47"/>
      <c r="K1720" s="15"/>
    </row>
    <row r="1721" spans="1:11" s="16" customFormat="1" ht="25.5" outlineLevel="3">
      <c r="A1721" s="14"/>
      <c r="B1721" s="35">
        <f>MAXA(B$5:B1720)+1</f>
        <v>806</v>
      </c>
      <c r="C1721" s="311" t="s">
        <v>365</v>
      </c>
      <c r="D1721" s="230" t="s">
        <v>25</v>
      </c>
      <c r="E1721" s="247">
        <v>169</v>
      </c>
      <c r="F1721" s="232">
        <v>16106</v>
      </c>
      <c r="G1721" s="232">
        <v>6774</v>
      </c>
      <c r="H1721" s="138">
        <f t="shared" si="177"/>
        <v>22880</v>
      </c>
      <c r="I1721" s="138">
        <f t="shared" si="178"/>
        <v>3866720</v>
      </c>
      <c r="J1721" s="47"/>
      <c r="K1721" s="15"/>
    </row>
    <row r="1722" spans="1:11" s="16" customFormat="1" ht="25.5" outlineLevel="3">
      <c r="A1722" s="14"/>
      <c r="B1722" s="35">
        <f>MAXA(B$5:B1721)+1</f>
        <v>807</v>
      </c>
      <c r="C1722" s="311" t="s">
        <v>366</v>
      </c>
      <c r="D1722" s="230" t="s">
        <v>25</v>
      </c>
      <c r="E1722" s="247">
        <v>41</v>
      </c>
      <c r="F1722" s="232">
        <v>12315</v>
      </c>
      <c r="G1722" s="232">
        <v>5729</v>
      </c>
      <c r="H1722" s="138">
        <f t="shared" si="177"/>
        <v>18044</v>
      </c>
      <c r="I1722" s="138">
        <f t="shared" si="178"/>
        <v>739804</v>
      </c>
      <c r="J1722" s="47"/>
      <c r="K1722" s="15"/>
    </row>
    <row r="1723" spans="1:11" s="16" customFormat="1" ht="25.5" outlineLevel="3">
      <c r="A1723" s="14"/>
      <c r="B1723" s="35">
        <f>MAXA(B$5:B1722)+1</f>
        <v>808</v>
      </c>
      <c r="C1723" s="311" t="s">
        <v>367</v>
      </c>
      <c r="D1723" s="230" t="s">
        <v>25</v>
      </c>
      <c r="E1723" s="247">
        <v>1313</v>
      </c>
      <c r="F1723" s="232">
        <v>6886</v>
      </c>
      <c r="G1723" s="232">
        <v>5211</v>
      </c>
      <c r="H1723" s="138">
        <f t="shared" si="177"/>
        <v>12097</v>
      </c>
      <c r="I1723" s="138">
        <f t="shared" si="178"/>
        <v>15883361</v>
      </c>
      <c r="J1723" s="47"/>
      <c r="K1723" s="15"/>
    </row>
    <row r="1724" spans="1:11" s="16" customFormat="1" ht="25.5" outlineLevel="3">
      <c r="A1724" s="14"/>
      <c r="B1724" s="35">
        <f>MAXA(B$5:B1723)+1</f>
        <v>809</v>
      </c>
      <c r="C1724" s="311" t="s">
        <v>368</v>
      </c>
      <c r="D1724" s="230" t="s">
        <v>25</v>
      </c>
      <c r="E1724" s="247">
        <v>1170</v>
      </c>
      <c r="F1724" s="232">
        <v>4366</v>
      </c>
      <c r="G1724" s="232">
        <v>4690</v>
      </c>
      <c r="H1724" s="138">
        <f t="shared" si="177"/>
        <v>9056</v>
      </c>
      <c r="I1724" s="138">
        <f t="shared" si="178"/>
        <v>10595520</v>
      </c>
      <c r="J1724" s="47"/>
      <c r="K1724" s="15"/>
    </row>
    <row r="1725" spans="1:11" s="16" customFormat="1" ht="25.5" outlineLevel="3">
      <c r="A1725" s="14"/>
      <c r="B1725" s="35">
        <f>MAXA(B$5:B1724)+1</f>
        <v>810</v>
      </c>
      <c r="C1725" s="311" t="s">
        <v>1058</v>
      </c>
      <c r="D1725" s="230" t="s">
        <v>25</v>
      </c>
      <c r="E1725" s="247">
        <v>75</v>
      </c>
      <c r="F1725" s="232">
        <v>92898</v>
      </c>
      <c r="G1725" s="232">
        <v>31264</v>
      </c>
      <c r="H1725" s="138">
        <f t="shared" si="177"/>
        <v>124162</v>
      </c>
      <c r="I1725" s="138">
        <f t="shared" si="178"/>
        <v>9312150</v>
      </c>
      <c r="J1725" s="47"/>
      <c r="K1725" s="15"/>
    </row>
    <row r="1726" spans="1:11" s="16" customFormat="1" ht="25.5" outlineLevel="3">
      <c r="A1726" s="14"/>
      <c r="B1726" s="35">
        <f>MAXA(B$5:B1725)+1</f>
        <v>811</v>
      </c>
      <c r="C1726" s="311" t="s">
        <v>1059</v>
      </c>
      <c r="D1726" s="230" t="s">
        <v>25</v>
      </c>
      <c r="E1726" s="247">
        <v>158</v>
      </c>
      <c r="F1726" s="232">
        <v>65609</v>
      </c>
      <c r="G1726" s="232">
        <v>26053</v>
      </c>
      <c r="H1726" s="138">
        <f t="shared" si="177"/>
        <v>91662</v>
      </c>
      <c r="I1726" s="138">
        <f t="shared" si="178"/>
        <v>14482596</v>
      </c>
      <c r="J1726" s="47"/>
      <c r="K1726" s="15"/>
    </row>
    <row r="1727" spans="1:11" s="16" customFormat="1" ht="25.5" outlineLevel="3">
      <c r="A1727" s="14"/>
      <c r="B1727" s="35">
        <f>MAXA(B$5:B1726)+1</f>
        <v>812</v>
      </c>
      <c r="C1727" s="311" t="s">
        <v>1060</v>
      </c>
      <c r="D1727" s="230" t="s">
        <v>25</v>
      </c>
      <c r="E1727" s="247">
        <v>33</v>
      </c>
      <c r="F1727" s="232">
        <v>46449</v>
      </c>
      <c r="G1727" s="232">
        <v>20843</v>
      </c>
      <c r="H1727" s="138">
        <f t="shared" si="177"/>
        <v>67292</v>
      </c>
      <c r="I1727" s="138">
        <f t="shared" si="178"/>
        <v>2220636</v>
      </c>
      <c r="J1727" s="47"/>
      <c r="K1727" s="15"/>
    </row>
    <row r="1728" spans="1:11" s="16" customFormat="1" ht="25.5" outlineLevel="3">
      <c r="A1728" s="14"/>
      <c r="B1728" s="35">
        <f>MAXA(B$5:B1727)+1</f>
        <v>813</v>
      </c>
      <c r="C1728" s="274" t="s">
        <v>1061</v>
      </c>
      <c r="D1728" s="230" t="s">
        <v>38</v>
      </c>
      <c r="E1728" s="247">
        <v>1</v>
      </c>
      <c r="F1728" s="232">
        <v>8137725</v>
      </c>
      <c r="G1728" s="232">
        <v>2921235</v>
      </c>
      <c r="H1728" s="138">
        <f t="shared" si="177"/>
        <v>11058960</v>
      </c>
      <c r="I1728" s="138">
        <f t="shared" si="178"/>
        <v>11058960</v>
      </c>
      <c r="J1728" s="47"/>
      <c r="K1728" s="15"/>
    </row>
    <row r="1729" spans="1:11" s="16" customFormat="1" ht="25.5" outlineLevel="3">
      <c r="A1729" s="14"/>
      <c r="B1729" s="35">
        <f>MAXA(B$5:B1728)+1</f>
        <v>814</v>
      </c>
      <c r="C1729" s="311" t="s">
        <v>1062</v>
      </c>
      <c r="D1729" s="230" t="s">
        <v>25</v>
      </c>
      <c r="E1729" s="247">
        <v>25</v>
      </c>
      <c r="F1729" s="232">
        <v>31670</v>
      </c>
      <c r="G1729" s="232">
        <v>26053</v>
      </c>
      <c r="H1729" s="138">
        <f t="shared" si="177"/>
        <v>57723</v>
      </c>
      <c r="I1729" s="138">
        <f t="shared" si="178"/>
        <v>1443075</v>
      </c>
      <c r="J1729" s="47"/>
      <c r="K1729" s="15"/>
    </row>
    <row r="1730" spans="1:11" s="16" customFormat="1" ht="25.5" outlineLevel="3">
      <c r="A1730" s="14"/>
      <c r="B1730" s="35">
        <f>MAXA(B$5:B1729)+1</f>
        <v>815</v>
      </c>
      <c r="C1730" s="311" t="s">
        <v>1063</v>
      </c>
      <c r="D1730" s="230" t="s">
        <v>25</v>
      </c>
      <c r="E1730" s="247">
        <v>323</v>
      </c>
      <c r="F1730" s="232">
        <v>16052</v>
      </c>
      <c r="G1730" s="232">
        <v>18758</v>
      </c>
      <c r="H1730" s="138">
        <f t="shared" si="177"/>
        <v>34810</v>
      </c>
      <c r="I1730" s="138">
        <f t="shared" si="178"/>
        <v>11243630</v>
      </c>
      <c r="J1730" s="47"/>
      <c r="K1730" s="15"/>
    </row>
    <row r="1731" spans="1:11" s="16" customFormat="1" ht="25.5" outlineLevel="3">
      <c r="A1731" s="14"/>
      <c r="B1731" s="35">
        <f>MAXA(B$5:B1730)+1</f>
        <v>816</v>
      </c>
      <c r="C1731" s="311" t="s">
        <v>1064</v>
      </c>
      <c r="D1731" s="230" t="s">
        <v>25</v>
      </c>
      <c r="E1731" s="247">
        <v>1483</v>
      </c>
      <c r="F1731" s="232">
        <v>7158</v>
      </c>
      <c r="G1731" s="232">
        <v>14590</v>
      </c>
      <c r="H1731" s="138">
        <f t="shared" si="177"/>
        <v>21748</v>
      </c>
      <c r="I1731" s="138">
        <f t="shared" si="178"/>
        <v>32252284</v>
      </c>
      <c r="J1731" s="47"/>
      <c r="K1731" s="15"/>
    </row>
    <row r="1732" spans="1:11" s="16" customFormat="1" ht="25.5" outlineLevel="3">
      <c r="A1732" s="14"/>
      <c r="B1732" s="35">
        <f>MAXA(B$5:B1731)+1</f>
        <v>817</v>
      </c>
      <c r="C1732" s="274" t="s">
        <v>1065</v>
      </c>
      <c r="D1732" s="230" t="s">
        <v>38</v>
      </c>
      <c r="E1732" s="247">
        <v>1</v>
      </c>
      <c r="F1732" s="232">
        <v>5641299</v>
      </c>
      <c r="G1732" s="232">
        <v>2025082</v>
      </c>
      <c r="H1732" s="138">
        <f t="shared" si="177"/>
        <v>7666381</v>
      </c>
      <c r="I1732" s="138">
        <f t="shared" si="178"/>
        <v>7666381</v>
      </c>
      <c r="J1732" s="47"/>
      <c r="K1732" s="15"/>
    </row>
    <row r="1733" spans="1:11" s="16" customFormat="1" ht="25.5" outlineLevel="3">
      <c r="A1733" s="14"/>
      <c r="B1733" s="35">
        <f>MAXA(B$5:B1732)+1</f>
        <v>818</v>
      </c>
      <c r="C1733" s="312" t="s">
        <v>1066</v>
      </c>
      <c r="D1733" s="313" t="s">
        <v>1067</v>
      </c>
      <c r="E1733" s="247">
        <v>6</v>
      </c>
      <c r="F1733" s="232">
        <v>185796</v>
      </c>
      <c r="G1733" s="232">
        <v>26053</v>
      </c>
      <c r="H1733" s="138">
        <f t="shared" si="177"/>
        <v>211849</v>
      </c>
      <c r="I1733" s="138">
        <f t="shared" si="178"/>
        <v>1271094</v>
      </c>
      <c r="J1733" s="47"/>
      <c r="K1733" s="15"/>
    </row>
    <row r="1734" spans="1:11" s="16" customFormat="1" ht="25.5" outlineLevel="3">
      <c r="A1734" s="14"/>
      <c r="B1734" s="35">
        <f>MAXA(B$5:B1733)+1</f>
        <v>819</v>
      </c>
      <c r="C1734" s="312" t="s">
        <v>1068</v>
      </c>
      <c r="D1734" s="230" t="s">
        <v>38</v>
      </c>
      <c r="E1734" s="247">
        <v>1</v>
      </c>
      <c r="F1734" s="232">
        <v>2223335</v>
      </c>
      <c r="G1734" s="232">
        <v>399060</v>
      </c>
      <c r="H1734" s="138">
        <f t="shared" si="177"/>
        <v>2622395</v>
      </c>
      <c r="I1734" s="138">
        <f t="shared" si="178"/>
        <v>2622395</v>
      </c>
      <c r="J1734" s="47"/>
      <c r="K1734" s="15"/>
    </row>
    <row r="1735" spans="1:11" s="16" customFormat="1" ht="25.5" outlineLevel="3">
      <c r="A1735" s="14"/>
      <c r="B1735" s="35"/>
      <c r="C1735" s="242" t="s">
        <v>1069</v>
      </c>
      <c r="D1735" s="230"/>
      <c r="E1735" s="247"/>
      <c r="F1735" s="232">
        <v>0</v>
      </c>
      <c r="G1735" s="232">
        <v>0</v>
      </c>
      <c r="H1735" s="295"/>
      <c r="I1735" s="180"/>
      <c r="J1735" s="47"/>
      <c r="K1735" s="15"/>
    </row>
    <row r="1736" spans="1:11" s="16" customFormat="1" ht="25.5" outlineLevel="3">
      <c r="A1736" s="14"/>
      <c r="B1736" s="35">
        <f>MAXA(B$5:B1735)+1</f>
        <v>820</v>
      </c>
      <c r="C1736" s="312" t="s">
        <v>1070</v>
      </c>
      <c r="D1736" s="230" t="s">
        <v>28</v>
      </c>
      <c r="E1736" s="247">
        <v>34</v>
      </c>
      <c r="F1736" s="232">
        <v>1239027</v>
      </c>
      <c r="G1736" s="232">
        <v>104213</v>
      </c>
      <c r="H1736" s="138">
        <f t="shared" ref="H1736:H1743" si="179">G1736+F1736</f>
        <v>1343240</v>
      </c>
      <c r="I1736" s="138">
        <f t="shared" ref="I1736:I1743" si="180">H1736*E1736</f>
        <v>45670160</v>
      </c>
      <c r="J1736" s="47"/>
      <c r="K1736" s="15"/>
    </row>
    <row r="1737" spans="1:11" s="16" customFormat="1" ht="25.5" outlineLevel="3">
      <c r="A1737" s="14"/>
      <c r="B1737" s="35">
        <f>MAXA(B$5:B1736)+1</f>
        <v>821</v>
      </c>
      <c r="C1737" s="312" t="s">
        <v>1071</v>
      </c>
      <c r="D1737" s="230" t="s">
        <v>28</v>
      </c>
      <c r="E1737" s="247">
        <v>2</v>
      </c>
      <c r="F1737" s="232">
        <v>1239027</v>
      </c>
      <c r="G1737" s="232">
        <v>104213</v>
      </c>
      <c r="H1737" s="138">
        <f t="shared" si="179"/>
        <v>1343240</v>
      </c>
      <c r="I1737" s="138">
        <f t="shared" si="180"/>
        <v>2686480</v>
      </c>
      <c r="J1737" s="47"/>
      <c r="K1737" s="15"/>
    </row>
    <row r="1738" spans="1:11" s="16" customFormat="1" ht="25.5" outlineLevel="3">
      <c r="A1738" s="14"/>
      <c r="B1738" s="35">
        <f>MAXA(B$5:B1737)+1</f>
        <v>822</v>
      </c>
      <c r="C1738" s="312" t="s">
        <v>1072</v>
      </c>
      <c r="D1738" s="230" t="s">
        <v>28</v>
      </c>
      <c r="E1738" s="247">
        <v>4</v>
      </c>
      <c r="F1738" s="232">
        <v>433653</v>
      </c>
      <c r="G1738" s="232">
        <v>159346</v>
      </c>
      <c r="H1738" s="138">
        <f t="shared" si="179"/>
        <v>592999</v>
      </c>
      <c r="I1738" s="138">
        <f t="shared" si="180"/>
        <v>2371996</v>
      </c>
      <c r="J1738" s="47"/>
      <c r="K1738" s="15"/>
    </row>
    <row r="1739" spans="1:11" s="16" customFormat="1" ht="25.5" outlineLevel="3">
      <c r="A1739" s="14"/>
      <c r="B1739" s="35">
        <f>MAXA(B$5:B1738)+1</f>
        <v>823</v>
      </c>
      <c r="C1739" s="312" t="s">
        <v>1073</v>
      </c>
      <c r="D1739" s="230" t="s">
        <v>28</v>
      </c>
      <c r="E1739" s="247">
        <v>3</v>
      </c>
      <c r="F1739" s="232">
        <v>1802337</v>
      </c>
      <c r="G1739" s="232">
        <v>104213</v>
      </c>
      <c r="H1739" s="138">
        <f t="shared" si="179"/>
        <v>1906550</v>
      </c>
      <c r="I1739" s="138">
        <f t="shared" si="180"/>
        <v>5719650</v>
      </c>
      <c r="J1739" s="47"/>
      <c r="K1739" s="15"/>
    </row>
    <row r="1740" spans="1:11" s="16" customFormat="1" ht="25.5" outlineLevel="3">
      <c r="A1740" s="14"/>
      <c r="B1740" s="35">
        <f>MAXA(B$5:B1739)+1</f>
        <v>824</v>
      </c>
      <c r="C1740" s="312" t="s">
        <v>1074</v>
      </c>
      <c r="D1740" s="230" t="s">
        <v>28</v>
      </c>
      <c r="E1740" s="247">
        <v>3</v>
      </c>
      <c r="F1740" s="232">
        <v>1802337</v>
      </c>
      <c r="G1740" s="232">
        <v>104213</v>
      </c>
      <c r="H1740" s="138">
        <f t="shared" si="179"/>
        <v>1906550</v>
      </c>
      <c r="I1740" s="138">
        <f t="shared" si="180"/>
        <v>5719650</v>
      </c>
      <c r="J1740" s="47"/>
      <c r="K1740" s="15"/>
    </row>
    <row r="1741" spans="1:11" s="16" customFormat="1" ht="25.5" outlineLevel="3">
      <c r="A1741" s="14"/>
      <c r="B1741" s="35">
        <f>MAXA(B$5:B1740)+1</f>
        <v>825</v>
      </c>
      <c r="C1741" s="242" t="s">
        <v>1075</v>
      </c>
      <c r="D1741" s="230" t="s">
        <v>28</v>
      </c>
      <c r="E1741" s="247">
        <v>7</v>
      </c>
      <c r="F1741" s="232">
        <v>2696623</v>
      </c>
      <c r="G1741" s="232">
        <v>251599</v>
      </c>
      <c r="H1741" s="138">
        <f t="shared" si="179"/>
        <v>2948222</v>
      </c>
      <c r="I1741" s="138">
        <f t="shared" si="180"/>
        <v>20637554</v>
      </c>
      <c r="J1741" s="47"/>
      <c r="K1741" s="15"/>
    </row>
    <row r="1742" spans="1:11" s="16" customFormat="1" ht="25.5" outlineLevel="3">
      <c r="A1742" s="14"/>
      <c r="B1742" s="35">
        <f>MAXA(B$5:B1741)+1</f>
        <v>826</v>
      </c>
      <c r="C1742" s="312" t="s">
        <v>1076</v>
      </c>
      <c r="D1742" s="230" t="s">
        <v>38</v>
      </c>
      <c r="E1742" s="247">
        <v>1</v>
      </c>
      <c r="F1742" s="232">
        <v>4966257</v>
      </c>
      <c r="G1742" s="232">
        <v>1782759</v>
      </c>
      <c r="H1742" s="138">
        <f t="shared" si="179"/>
        <v>6749016</v>
      </c>
      <c r="I1742" s="138">
        <f t="shared" si="180"/>
        <v>6749016</v>
      </c>
      <c r="J1742" s="47"/>
      <c r="K1742" s="15"/>
    </row>
    <row r="1743" spans="1:11" s="16" customFormat="1" ht="25.5" outlineLevel="3">
      <c r="A1743" s="14"/>
      <c r="B1743" s="35">
        <f>MAXA(B$5:B1742)+1</f>
        <v>827</v>
      </c>
      <c r="C1743" s="312" t="s">
        <v>1077</v>
      </c>
      <c r="D1743" s="230" t="s">
        <v>38</v>
      </c>
      <c r="E1743" s="247">
        <v>1</v>
      </c>
      <c r="F1743" s="232">
        <v>22470865</v>
      </c>
      <c r="G1743" s="232">
        <v>1563188</v>
      </c>
      <c r="H1743" s="138">
        <f t="shared" si="179"/>
        <v>24034053</v>
      </c>
      <c r="I1743" s="138">
        <f t="shared" si="180"/>
        <v>24034053</v>
      </c>
      <c r="J1743" s="47"/>
      <c r="K1743" s="15"/>
    </row>
    <row r="1744" spans="1:11" s="16" customFormat="1" ht="25.5" outlineLevel="3">
      <c r="A1744" s="14"/>
      <c r="B1744" s="35"/>
      <c r="C1744" s="241" t="s">
        <v>141</v>
      </c>
      <c r="D1744" s="230"/>
      <c r="E1744" s="247"/>
      <c r="F1744" s="232">
        <v>0</v>
      </c>
      <c r="G1744" s="232">
        <v>0</v>
      </c>
      <c r="H1744" s="295"/>
      <c r="I1744" s="180"/>
      <c r="J1744" s="47"/>
      <c r="K1744" s="15"/>
    </row>
    <row r="1745" spans="1:11" s="16" customFormat="1" ht="25.5" outlineLevel="3">
      <c r="A1745" s="14"/>
      <c r="B1745" s="35"/>
      <c r="C1745" s="314" t="s">
        <v>155</v>
      </c>
      <c r="D1745" s="230" t="s">
        <v>28</v>
      </c>
      <c r="E1745" s="247">
        <v>1</v>
      </c>
      <c r="F1745" s="232">
        <v>0</v>
      </c>
      <c r="G1745" s="232">
        <v>0</v>
      </c>
      <c r="H1745" s="138">
        <f t="shared" ref="H1745:H1755" si="181">G1745+F1745</f>
        <v>0</v>
      </c>
      <c r="I1745" s="138">
        <f t="shared" ref="I1745:I1755" si="182">H1745*E1745</f>
        <v>0</v>
      </c>
      <c r="J1745" s="47"/>
      <c r="K1745" s="15"/>
    </row>
    <row r="1746" spans="1:11" s="16" customFormat="1" ht="25.5" outlineLevel="3">
      <c r="A1746" s="14"/>
      <c r="B1746" s="35"/>
      <c r="C1746" s="242" t="s">
        <v>94</v>
      </c>
      <c r="D1746" s="230" t="s">
        <v>28</v>
      </c>
      <c r="E1746" s="247">
        <v>9</v>
      </c>
      <c r="F1746" s="232">
        <v>0</v>
      </c>
      <c r="G1746" s="232">
        <v>0</v>
      </c>
      <c r="H1746" s="138">
        <f t="shared" si="181"/>
        <v>0</v>
      </c>
      <c r="I1746" s="138">
        <f t="shared" si="182"/>
        <v>0</v>
      </c>
      <c r="J1746" s="47"/>
      <c r="K1746" s="15"/>
    </row>
    <row r="1747" spans="1:11" s="16" customFormat="1" ht="25.5" outlineLevel="3">
      <c r="A1747" s="14"/>
      <c r="B1747" s="35"/>
      <c r="C1747" s="242" t="s">
        <v>95</v>
      </c>
      <c r="D1747" s="230" t="s">
        <v>28</v>
      </c>
      <c r="E1747" s="247">
        <v>9</v>
      </c>
      <c r="F1747" s="232">
        <v>0</v>
      </c>
      <c r="G1747" s="232">
        <v>0</v>
      </c>
      <c r="H1747" s="138">
        <f t="shared" si="181"/>
        <v>0</v>
      </c>
      <c r="I1747" s="138">
        <f t="shared" si="182"/>
        <v>0</v>
      </c>
      <c r="J1747" s="47"/>
      <c r="K1747" s="15"/>
    </row>
    <row r="1748" spans="1:11" s="16" customFormat="1" ht="25.5" outlineLevel="3">
      <c r="A1748" s="14"/>
      <c r="B1748" s="35"/>
      <c r="C1748" s="242" t="s">
        <v>96</v>
      </c>
      <c r="D1748" s="230" t="s">
        <v>28</v>
      </c>
      <c r="E1748" s="247">
        <v>2</v>
      </c>
      <c r="F1748" s="232">
        <v>0</v>
      </c>
      <c r="G1748" s="232">
        <v>0</v>
      </c>
      <c r="H1748" s="138">
        <f t="shared" si="181"/>
        <v>0</v>
      </c>
      <c r="I1748" s="138">
        <f t="shared" si="182"/>
        <v>0</v>
      </c>
      <c r="J1748" s="47"/>
      <c r="K1748" s="15"/>
    </row>
    <row r="1749" spans="1:11" s="16" customFormat="1" ht="25.5" outlineLevel="3">
      <c r="A1749" s="14"/>
      <c r="B1749" s="35"/>
      <c r="C1749" s="242" t="s">
        <v>97</v>
      </c>
      <c r="D1749" s="230" t="s">
        <v>28</v>
      </c>
      <c r="E1749" s="247">
        <v>2</v>
      </c>
      <c r="F1749" s="232">
        <v>0</v>
      </c>
      <c r="G1749" s="232">
        <v>0</v>
      </c>
      <c r="H1749" s="138">
        <f t="shared" si="181"/>
        <v>0</v>
      </c>
      <c r="I1749" s="138">
        <f t="shared" si="182"/>
        <v>0</v>
      </c>
      <c r="J1749" s="47"/>
      <c r="K1749" s="15"/>
    </row>
    <row r="1750" spans="1:11" s="16" customFormat="1" ht="25.5" outlineLevel="3">
      <c r="A1750" s="14"/>
      <c r="B1750" s="35"/>
      <c r="C1750" s="242" t="s">
        <v>98</v>
      </c>
      <c r="D1750" s="230" t="s">
        <v>28</v>
      </c>
      <c r="E1750" s="247">
        <v>2</v>
      </c>
      <c r="F1750" s="232">
        <v>0</v>
      </c>
      <c r="G1750" s="232">
        <v>0</v>
      </c>
      <c r="H1750" s="138">
        <f t="shared" si="181"/>
        <v>0</v>
      </c>
      <c r="I1750" s="138">
        <f t="shared" si="182"/>
        <v>0</v>
      </c>
      <c r="J1750" s="47"/>
      <c r="K1750" s="15"/>
    </row>
    <row r="1751" spans="1:11" s="16" customFormat="1" ht="25.5" outlineLevel="3">
      <c r="A1751" s="14"/>
      <c r="B1751" s="35"/>
      <c r="C1751" s="242" t="s">
        <v>143</v>
      </c>
      <c r="D1751" s="230" t="s">
        <v>28</v>
      </c>
      <c r="E1751" s="247">
        <v>1</v>
      </c>
      <c r="F1751" s="232">
        <v>0</v>
      </c>
      <c r="G1751" s="232">
        <v>0</v>
      </c>
      <c r="H1751" s="138">
        <f t="shared" si="181"/>
        <v>0</v>
      </c>
      <c r="I1751" s="138">
        <f t="shared" si="182"/>
        <v>0</v>
      </c>
      <c r="J1751" s="47"/>
      <c r="K1751" s="15"/>
    </row>
    <row r="1752" spans="1:11" s="16" customFormat="1" ht="25.5" outlineLevel="3">
      <c r="A1752" s="14"/>
      <c r="B1752" s="35"/>
      <c r="C1752" s="242" t="s">
        <v>144</v>
      </c>
      <c r="D1752" s="230" t="s">
        <v>28</v>
      </c>
      <c r="E1752" s="247">
        <v>1</v>
      </c>
      <c r="F1752" s="232">
        <v>0</v>
      </c>
      <c r="G1752" s="232">
        <v>0</v>
      </c>
      <c r="H1752" s="138">
        <f t="shared" si="181"/>
        <v>0</v>
      </c>
      <c r="I1752" s="138">
        <f t="shared" si="182"/>
        <v>0</v>
      </c>
      <c r="J1752" s="47"/>
      <c r="K1752" s="15"/>
    </row>
    <row r="1753" spans="1:11" s="16" customFormat="1" ht="25.5" outlineLevel="3">
      <c r="A1753" s="14"/>
      <c r="B1753" s="35"/>
      <c r="C1753" s="242" t="s">
        <v>201</v>
      </c>
      <c r="D1753" s="230" t="s">
        <v>28</v>
      </c>
      <c r="E1753" s="247">
        <v>1</v>
      </c>
      <c r="F1753" s="232">
        <v>0</v>
      </c>
      <c r="G1753" s="232">
        <v>0</v>
      </c>
      <c r="H1753" s="138">
        <f t="shared" si="181"/>
        <v>0</v>
      </c>
      <c r="I1753" s="138">
        <f t="shared" si="182"/>
        <v>0</v>
      </c>
      <c r="J1753" s="47"/>
      <c r="K1753" s="15"/>
    </row>
    <row r="1754" spans="1:11" s="16" customFormat="1" ht="25.5" outlineLevel="3">
      <c r="A1754" s="14"/>
      <c r="B1754" s="35"/>
      <c r="C1754" s="242" t="s">
        <v>146</v>
      </c>
      <c r="D1754" s="230" t="s">
        <v>28</v>
      </c>
      <c r="E1754" s="247">
        <v>1</v>
      </c>
      <c r="F1754" s="232">
        <v>0</v>
      </c>
      <c r="G1754" s="232">
        <v>0</v>
      </c>
      <c r="H1754" s="138">
        <f t="shared" si="181"/>
        <v>0</v>
      </c>
      <c r="I1754" s="138">
        <f t="shared" si="182"/>
        <v>0</v>
      </c>
      <c r="J1754" s="47"/>
      <c r="K1754" s="15"/>
    </row>
    <row r="1755" spans="1:11" s="16" customFormat="1" ht="25.5" outlineLevel="3">
      <c r="A1755" s="14"/>
      <c r="B1755" s="35"/>
      <c r="C1755" s="229" t="s">
        <v>1078</v>
      </c>
      <c r="D1755" s="230" t="s">
        <v>28</v>
      </c>
      <c r="E1755" s="247">
        <v>3</v>
      </c>
      <c r="F1755" s="232">
        <v>0</v>
      </c>
      <c r="G1755" s="232">
        <v>0</v>
      </c>
      <c r="H1755" s="138">
        <f t="shared" si="181"/>
        <v>0</v>
      </c>
      <c r="I1755" s="138">
        <f t="shared" si="182"/>
        <v>0</v>
      </c>
      <c r="J1755" s="47"/>
      <c r="K1755" s="15"/>
    </row>
    <row r="1756" spans="1:11" s="16" customFormat="1" ht="25.5" outlineLevel="3">
      <c r="A1756" s="14"/>
      <c r="B1756" s="35"/>
      <c r="C1756" s="241" t="s">
        <v>148</v>
      </c>
      <c r="D1756" s="230"/>
      <c r="E1756" s="247"/>
      <c r="F1756" s="232">
        <v>0</v>
      </c>
      <c r="G1756" s="232">
        <v>0</v>
      </c>
      <c r="H1756" s="295"/>
      <c r="I1756" s="180"/>
      <c r="J1756" s="47"/>
      <c r="K1756" s="15"/>
    </row>
    <row r="1757" spans="1:11" s="16" customFormat="1" ht="25.5" outlineLevel="3">
      <c r="A1757" s="14"/>
      <c r="B1757" s="35"/>
      <c r="C1757" s="314" t="s">
        <v>1079</v>
      </c>
      <c r="D1757" s="230" t="s">
        <v>28</v>
      </c>
      <c r="E1757" s="247">
        <v>6</v>
      </c>
      <c r="F1757" s="232">
        <v>0</v>
      </c>
      <c r="G1757" s="232">
        <v>0</v>
      </c>
      <c r="H1757" s="138">
        <f>G1757+F1757</f>
        <v>0</v>
      </c>
      <c r="I1757" s="138">
        <f>H1757*E1757</f>
        <v>0</v>
      </c>
      <c r="J1757" s="47"/>
      <c r="K1757" s="15"/>
    </row>
    <row r="1758" spans="1:11" s="16" customFormat="1" ht="25.5" outlineLevel="3">
      <c r="A1758" s="14"/>
      <c r="B1758" s="35"/>
      <c r="C1758" s="314" t="s">
        <v>203</v>
      </c>
      <c r="D1758" s="230" t="s">
        <v>28</v>
      </c>
      <c r="E1758" s="247">
        <v>1</v>
      </c>
      <c r="F1758" s="232">
        <v>0</v>
      </c>
      <c r="G1758" s="232">
        <v>0</v>
      </c>
      <c r="H1758" s="138">
        <f>G1758+F1758</f>
        <v>0</v>
      </c>
      <c r="I1758" s="138">
        <f>H1758*E1758</f>
        <v>0</v>
      </c>
      <c r="J1758" s="47"/>
      <c r="K1758" s="15"/>
    </row>
    <row r="1759" spans="1:11" s="16" customFormat="1" ht="25.5" outlineLevel="3">
      <c r="A1759" s="14"/>
      <c r="B1759" s="35"/>
      <c r="C1759" s="242" t="s">
        <v>161</v>
      </c>
      <c r="D1759" s="230" t="s">
        <v>1080</v>
      </c>
      <c r="E1759" s="247">
        <v>1</v>
      </c>
      <c r="F1759" s="232">
        <v>0</v>
      </c>
      <c r="G1759" s="232">
        <v>0</v>
      </c>
      <c r="H1759" s="138">
        <f>G1759+F1759</f>
        <v>0</v>
      </c>
      <c r="I1759" s="138">
        <f>H1759*E1759</f>
        <v>0</v>
      </c>
      <c r="J1759" s="47"/>
      <c r="K1759" s="15"/>
    </row>
    <row r="1760" spans="1:11" s="16" customFormat="1" ht="25.5" outlineLevel="3">
      <c r="A1760" s="14"/>
      <c r="B1760" s="35"/>
      <c r="C1760" s="229" t="s">
        <v>139</v>
      </c>
      <c r="D1760" s="230" t="s">
        <v>38</v>
      </c>
      <c r="E1760" s="247">
        <v>1</v>
      </c>
      <c r="F1760" s="232">
        <v>0</v>
      </c>
      <c r="G1760" s="232">
        <v>0</v>
      </c>
      <c r="H1760" s="138">
        <f>G1760+F1760</f>
        <v>0</v>
      </c>
      <c r="I1760" s="138">
        <f>H1760*E1760</f>
        <v>0</v>
      </c>
      <c r="J1760" s="47"/>
      <c r="K1760" s="15"/>
    </row>
    <row r="1761" spans="1:11" s="16" customFormat="1" ht="25.5" outlineLevel="3">
      <c r="A1761" s="14"/>
      <c r="B1761" s="35">
        <f>MAXA(B$5:B1760)+1</f>
        <v>828</v>
      </c>
      <c r="C1761" s="242" t="s">
        <v>1081</v>
      </c>
      <c r="D1761" s="230" t="s">
        <v>38</v>
      </c>
      <c r="E1761" s="247">
        <v>1</v>
      </c>
      <c r="F1761" s="232">
        <v>2783456</v>
      </c>
      <c r="G1761" s="232">
        <v>1563188</v>
      </c>
      <c r="H1761" s="138">
        <f>G1761+F1761</f>
        <v>4346644</v>
      </c>
      <c r="I1761" s="138">
        <f>H1761*E1761</f>
        <v>4346644</v>
      </c>
      <c r="J1761" s="47"/>
      <c r="K1761" s="15"/>
    </row>
    <row r="1762" spans="1:11" s="16" customFormat="1" ht="25.5" outlineLevel="3">
      <c r="A1762" s="14"/>
      <c r="B1762" s="35"/>
      <c r="C1762" s="241" t="s">
        <v>141</v>
      </c>
      <c r="D1762" s="230"/>
      <c r="E1762" s="247"/>
      <c r="F1762" s="232">
        <v>0</v>
      </c>
      <c r="G1762" s="232">
        <v>0</v>
      </c>
      <c r="H1762" s="295"/>
      <c r="I1762" s="180"/>
      <c r="J1762" s="47"/>
      <c r="K1762" s="15"/>
    </row>
    <row r="1763" spans="1:11" s="16" customFormat="1" ht="25.5" outlineLevel="3">
      <c r="A1763" s="14"/>
      <c r="B1763" s="35"/>
      <c r="C1763" s="242" t="s">
        <v>1082</v>
      </c>
      <c r="D1763" s="230" t="s">
        <v>28</v>
      </c>
      <c r="E1763" s="247">
        <v>1</v>
      </c>
      <c r="F1763" s="232">
        <v>0</v>
      </c>
      <c r="G1763" s="232">
        <v>0</v>
      </c>
      <c r="H1763" s="138">
        <f>G1763+F1763</f>
        <v>0</v>
      </c>
      <c r="I1763" s="138">
        <f>H1763*E1763</f>
        <v>0</v>
      </c>
      <c r="J1763" s="47"/>
      <c r="K1763" s="15"/>
    </row>
    <row r="1764" spans="1:11" s="16" customFormat="1" ht="25.5" outlineLevel="3">
      <c r="A1764" s="14"/>
      <c r="B1764" s="35"/>
      <c r="C1764" s="242" t="s">
        <v>94</v>
      </c>
      <c r="D1764" s="230" t="s">
        <v>28</v>
      </c>
      <c r="E1764" s="247">
        <v>1</v>
      </c>
      <c r="F1764" s="232">
        <v>0</v>
      </c>
      <c r="G1764" s="232">
        <v>0</v>
      </c>
      <c r="H1764" s="138">
        <f>G1764+F1764</f>
        <v>0</v>
      </c>
      <c r="I1764" s="138">
        <f>H1764*E1764</f>
        <v>0</v>
      </c>
      <c r="J1764" s="47"/>
      <c r="K1764" s="15"/>
    </row>
    <row r="1765" spans="1:11" s="16" customFormat="1" ht="25.5" outlineLevel="3">
      <c r="A1765" s="14"/>
      <c r="B1765" s="35"/>
      <c r="C1765" s="242" t="s">
        <v>95</v>
      </c>
      <c r="D1765" s="230" t="s">
        <v>28</v>
      </c>
      <c r="E1765" s="247">
        <v>1</v>
      </c>
      <c r="F1765" s="232">
        <v>0</v>
      </c>
      <c r="G1765" s="232">
        <v>0</v>
      </c>
      <c r="H1765" s="138">
        <f>G1765+F1765</f>
        <v>0</v>
      </c>
      <c r="I1765" s="138">
        <f>H1765*E1765</f>
        <v>0</v>
      </c>
      <c r="J1765" s="47"/>
      <c r="K1765" s="15"/>
    </row>
    <row r="1766" spans="1:11" s="16" customFormat="1" ht="25.5" outlineLevel="3">
      <c r="A1766" s="14"/>
      <c r="B1766" s="35"/>
      <c r="C1766" s="242" t="s">
        <v>96</v>
      </c>
      <c r="D1766" s="230" t="s">
        <v>28</v>
      </c>
      <c r="E1766" s="247">
        <v>1</v>
      </c>
      <c r="F1766" s="232">
        <v>0</v>
      </c>
      <c r="G1766" s="232">
        <v>0</v>
      </c>
      <c r="H1766" s="138">
        <f>G1766+F1766</f>
        <v>0</v>
      </c>
      <c r="I1766" s="138">
        <f>H1766*E1766</f>
        <v>0</v>
      </c>
      <c r="J1766" s="47"/>
      <c r="K1766" s="15"/>
    </row>
    <row r="1767" spans="1:11" s="16" customFormat="1" ht="25.5" outlineLevel="3">
      <c r="A1767" s="14"/>
      <c r="B1767" s="35"/>
      <c r="C1767" s="241" t="s">
        <v>148</v>
      </c>
      <c r="D1767" s="230"/>
      <c r="E1767" s="247"/>
      <c r="F1767" s="232">
        <v>0</v>
      </c>
      <c r="G1767" s="232">
        <v>0</v>
      </c>
      <c r="H1767" s="295"/>
      <c r="I1767" s="180"/>
      <c r="J1767" s="47"/>
      <c r="K1767" s="15"/>
    </row>
    <row r="1768" spans="1:11" s="16" customFormat="1" ht="25.5" outlineLevel="3">
      <c r="A1768" s="14"/>
      <c r="B1768" s="35"/>
      <c r="C1768" s="242" t="s">
        <v>170</v>
      </c>
      <c r="D1768" s="230" t="s">
        <v>28</v>
      </c>
      <c r="E1768" s="247">
        <v>2</v>
      </c>
      <c r="F1768" s="232">
        <v>0</v>
      </c>
      <c r="G1768" s="232">
        <v>0</v>
      </c>
      <c r="H1768" s="138">
        <f>G1768+F1768</f>
        <v>0</v>
      </c>
      <c r="I1768" s="138">
        <f>H1768*E1768</f>
        <v>0</v>
      </c>
      <c r="J1768" s="47"/>
      <c r="K1768" s="15"/>
    </row>
    <row r="1769" spans="1:11" s="16" customFormat="1" ht="25.5" outlineLevel="3">
      <c r="A1769" s="14"/>
      <c r="B1769" s="35"/>
      <c r="C1769" s="229" t="s">
        <v>139</v>
      </c>
      <c r="D1769" s="230" t="s">
        <v>38</v>
      </c>
      <c r="E1769" s="247">
        <v>1</v>
      </c>
      <c r="F1769" s="232">
        <v>0</v>
      </c>
      <c r="G1769" s="232">
        <v>0</v>
      </c>
      <c r="H1769" s="138">
        <f>G1769+F1769</f>
        <v>0</v>
      </c>
      <c r="I1769" s="138">
        <f>H1769*E1769</f>
        <v>0</v>
      </c>
      <c r="J1769" s="47"/>
      <c r="K1769" s="15"/>
    </row>
    <row r="1770" spans="1:11" s="16" customFormat="1" ht="25.5" outlineLevel="3">
      <c r="A1770" s="14"/>
      <c r="B1770" s="35">
        <f>MAXA(B$5:B1769)+1</f>
        <v>829</v>
      </c>
      <c r="C1770" s="242" t="s">
        <v>1083</v>
      </c>
      <c r="D1770" s="230" t="s">
        <v>38</v>
      </c>
      <c r="E1770" s="247">
        <v>1</v>
      </c>
      <c r="F1770" s="232">
        <v>2907707</v>
      </c>
      <c r="G1770" s="232">
        <v>1563188</v>
      </c>
      <c r="H1770" s="138">
        <f>G1770+F1770</f>
        <v>4470895</v>
      </c>
      <c r="I1770" s="138">
        <f>H1770*E1770</f>
        <v>4470895</v>
      </c>
      <c r="J1770" s="47"/>
      <c r="K1770" s="15"/>
    </row>
    <row r="1771" spans="1:11" s="16" customFormat="1" ht="25.5" outlineLevel="3">
      <c r="A1771" s="14"/>
      <c r="B1771" s="35"/>
      <c r="C1771" s="241" t="s">
        <v>141</v>
      </c>
      <c r="D1771" s="230"/>
      <c r="E1771" s="247"/>
      <c r="F1771" s="232">
        <v>0</v>
      </c>
      <c r="G1771" s="232">
        <v>0</v>
      </c>
      <c r="H1771" s="295"/>
      <c r="I1771" s="180"/>
      <c r="J1771" s="47"/>
      <c r="K1771" s="15"/>
    </row>
    <row r="1772" spans="1:11" s="16" customFormat="1" ht="25.5" outlineLevel="3">
      <c r="A1772" s="14"/>
      <c r="B1772" s="35"/>
      <c r="C1772" s="314" t="s">
        <v>1082</v>
      </c>
      <c r="D1772" s="230" t="s">
        <v>28</v>
      </c>
      <c r="E1772" s="247">
        <v>1</v>
      </c>
      <c r="F1772" s="232">
        <v>0</v>
      </c>
      <c r="G1772" s="232">
        <v>0</v>
      </c>
      <c r="H1772" s="138">
        <f>G1772+F1772</f>
        <v>0</v>
      </c>
      <c r="I1772" s="138">
        <f>H1772*E1772</f>
        <v>0</v>
      </c>
      <c r="J1772" s="47"/>
      <c r="K1772" s="15"/>
    </row>
    <row r="1773" spans="1:11" s="16" customFormat="1" ht="25.5" outlineLevel="3">
      <c r="A1773" s="14"/>
      <c r="B1773" s="35"/>
      <c r="C1773" s="242" t="s">
        <v>94</v>
      </c>
      <c r="D1773" s="230" t="s">
        <v>28</v>
      </c>
      <c r="E1773" s="247">
        <v>1</v>
      </c>
      <c r="F1773" s="232">
        <v>0</v>
      </c>
      <c r="G1773" s="232">
        <v>0</v>
      </c>
      <c r="H1773" s="138">
        <f>G1773+F1773</f>
        <v>0</v>
      </c>
      <c r="I1773" s="138">
        <f>H1773*E1773</f>
        <v>0</v>
      </c>
      <c r="J1773" s="47"/>
      <c r="K1773" s="15"/>
    </row>
    <row r="1774" spans="1:11" s="16" customFormat="1" ht="25.5" outlineLevel="3">
      <c r="A1774" s="14"/>
      <c r="B1774" s="35"/>
      <c r="C1774" s="242" t="s">
        <v>95</v>
      </c>
      <c r="D1774" s="230" t="s">
        <v>28</v>
      </c>
      <c r="E1774" s="247">
        <v>1</v>
      </c>
      <c r="F1774" s="232">
        <v>0</v>
      </c>
      <c r="G1774" s="232">
        <v>0</v>
      </c>
      <c r="H1774" s="138">
        <f>G1774+F1774</f>
        <v>0</v>
      </c>
      <c r="I1774" s="138">
        <f>H1774*E1774</f>
        <v>0</v>
      </c>
      <c r="J1774" s="47"/>
      <c r="K1774" s="15"/>
    </row>
    <row r="1775" spans="1:11" s="16" customFormat="1" ht="25.5" outlineLevel="3">
      <c r="A1775" s="14"/>
      <c r="B1775" s="35"/>
      <c r="C1775" s="242" t="s">
        <v>96</v>
      </c>
      <c r="D1775" s="230" t="s">
        <v>28</v>
      </c>
      <c r="E1775" s="247">
        <v>1</v>
      </c>
      <c r="F1775" s="232">
        <v>0</v>
      </c>
      <c r="G1775" s="232">
        <v>0</v>
      </c>
      <c r="H1775" s="138">
        <f>G1775+F1775</f>
        <v>0</v>
      </c>
      <c r="I1775" s="138">
        <f>H1775*E1775</f>
        <v>0</v>
      </c>
      <c r="J1775" s="47"/>
      <c r="K1775" s="15"/>
    </row>
    <row r="1776" spans="1:11" s="16" customFormat="1" ht="25.5" outlineLevel="3">
      <c r="A1776" s="14"/>
      <c r="B1776" s="35"/>
      <c r="C1776" s="241" t="s">
        <v>148</v>
      </c>
      <c r="D1776" s="315"/>
      <c r="E1776" s="247"/>
      <c r="F1776" s="232">
        <v>0</v>
      </c>
      <c r="G1776" s="232">
        <v>0</v>
      </c>
      <c r="H1776" s="295"/>
      <c r="I1776" s="180"/>
      <c r="J1776" s="47"/>
      <c r="K1776" s="15"/>
    </row>
    <row r="1777" spans="1:11" s="16" customFormat="1" ht="25.5" outlineLevel="3">
      <c r="A1777" s="14"/>
      <c r="B1777" s="35"/>
      <c r="C1777" s="314" t="s">
        <v>170</v>
      </c>
      <c r="D1777" s="230" t="s">
        <v>28</v>
      </c>
      <c r="E1777" s="247">
        <v>3</v>
      </c>
      <c r="F1777" s="232">
        <v>0</v>
      </c>
      <c r="G1777" s="232">
        <v>0</v>
      </c>
      <c r="H1777" s="138">
        <f>G1777+F1777</f>
        <v>0</v>
      </c>
      <c r="I1777" s="138">
        <f>H1777*E1777</f>
        <v>0</v>
      </c>
      <c r="J1777" s="47"/>
      <c r="K1777" s="15"/>
    </row>
    <row r="1778" spans="1:11" s="16" customFormat="1" ht="25.5" outlineLevel="3">
      <c r="A1778" s="14"/>
      <c r="B1778" s="35"/>
      <c r="C1778" s="229" t="s">
        <v>139</v>
      </c>
      <c r="D1778" s="230" t="s">
        <v>38</v>
      </c>
      <c r="E1778" s="247">
        <v>1</v>
      </c>
      <c r="F1778" s="232">
        <v>0</v>
      </c>
      <c r="G1778" s="232">
        <v>0</v>
      </c>
      <c r="H1778" s="138">
        <f>G1778+F1778</f>
        <v>0</v>
      </c>
      <c r="I1778" s="138">
        <f>H1778*E1778</f>
        <v>0</v>
      </c>
      <c r="J1778" s="47"/>
      <c r="K1778" s="15"/>
    </row>
    <row r="1779" spans="1:11" s="16" customFormat="1" ht="25.5" outlineLevel="3">
      <c r="A1779" s="14"/>
      <c r="B1779" s="35">
        <f>MAXA(B$5:B1778)+1</f>
        <v>830</v>
      </c>
      <c r="C1779" s="242" t="s">
        <v>1084</v>
      </c>
      <c r="D1779" s="230" t="s">
        <v>38</v>
      </c>
      <c r="E1779" s="247">
        <v>1</v>
      </c>
      <c r="F1779" s="232">
        <v>2907707</v>
      </c>
      <c r="G1779" s="232">
        <v>1563188</v>
      </c>
      <c r="H1779" s="138">
        <f>G1779+F1779</f>
        <v>4470895</v>
      </c>
      <c r="I1779" s="138">
        <f>H1779*E1779</f>
        <v>4470895</v>
      </c>
      <c r="J1779" s="47"/>
      <c r="K1779" s="15"/>
    </row>
    <row r="1780" spans="1:11" s="16" customFormat="1" ht="25.5" outlineLevel="3">
      <c r="A1780" s="14"/>
      <c r="B1780" s="35"/>
      <c r="C1780" s="241" t="s">
        <v>141</v>
      </c>
      <c r="D1780" s="230"/>
      <c r="E1780" s="247"/>
      <c r="F1780" s="232">
        <v>0</v>
      </c>
      <c r="G1780" s="232">
        <v>0</v>
      </c>
      <c r="H1780" s="295"/>
      <c r="I1780" s="180"/>
      <c r="J1780" s="47"/>
      <c r="K1780" s="15"/>
    </row>
    <row r="1781" spans="1:11" s="16" customFormat="1" ht="25.5" outlineLevel="3">
      <c r="A1781" s="14"/>
      <c r="B1781" s="35"/>
      <c r="C1781" s="314" t="s">
        <v>1082</v>
      </c>
      <c r="D1781" s="230" t="s">
        <v>28</v>
      </c>
      <c r="E1781" s="247">
        <v>1</v>
      </c>
      <c r="F1781" s="232">
        <v>0</v>
      </c>
      <c r="G1781" s="232">
        <v>0</v>
      </c>
      <c r="H1781" s="138">
        <f>G1781+F1781</f>
        <v>0</v>
      </c>
      <c r="I1781" s="138">
        <f>H1781*E1781</f>
        <v>0</v>
      </c>
      <c r="J1781" s="47"/>
      <c r="K1781" s="15"/>
    </row>
    <row r="1782" spans="1:11" s="16" customFormat="1" ht="25.5" outlineLevel="3">
      <c r="A1782" s="14"/>
      <c r="B1782" s="35"/>
      <c r="C1782" s="242" t="s">
        <v>94</v>
      </c>
      <c r="D1782" s="230" t="s">
        <v>28</v>
      </c>
      <c r="E1782" s="247">
        <v>1</v>
      </c>
      <c r="F1782" s="232">
        <v>0</v>
      </c>
      <c r="G1782" s="232">
        <v>0</v>
      </c>
      <c r="H1782" s="138">
        <f>G1782+F1782</f>
        <v>0</v>
      </c>
      <c r="I1782" s="138">
        <f>H1782*E1782</f>
        <v>0</v>
      </c>
      <c r="J1782" s="47"/>
      <c r="K1782" s="15"/>
    </row>
    <row r="1783" spans="1:11" s="16" customFormat="1" ht="25.5" outlineLevel="3">
      <c r="A1783" s="14"/>
      <c r="B1783" s="35"/>
      <c r="C1783" s="242" t="s">
        <v>95</v>
      </c>
      <c r="D1783" s="230" t="s">
        <v>28</v>
      </c>
      <c r="E1783" s="247">
        <v>1</v>
      </c>
      <c r="F1783" s="232">
        <v>0</v>
      </c>
      <c r="G1783" s="232">
        <v>0</v>
      </c>
      <c r="H1783" s="138">
        <f>G1783+F1783</f>
        <v>0</v>
      </c>
      <c r="I1783" s="138">
        <f>H1783*E1783</f>
        <v>0</v>
      </c>
      <c r="J1783" s="47"/>
      <c r="K1783" s="15"/>
    </row>
    <row r="1784" spans="1:11" s="16" customFormat="1" ht="25.5" outlineLevel="3">
      <c r="A1784" s="14"/>
      <c r="B1784" s="35"/>
      <c r="C1784" s="242" t="s">
        <v>96</v>
      </c>
      <c r="D1784" s="230" t="s">
        <v>28</v>
      </c>
      <c r="E1784" s="247">
        <v>1</v>
      </c>
      <c r="F1784" s="232">
        <v>0</v>
      </c>
      <c r="G1784" s="232">
        <v>0</v>
      </c>
      <c r="H1784" s="138">
        <f>G1784+F1784</f>
        <v>0</v>
      </c>
      <c r="I1784" s="138">
        <f>H1784*E1784</f>
        <v>0</v>
      </c>
      <c r="J1784" s="47"/>
      <c r="K1784" s="15"/>
    </row>
    <row r="1785" spans="1:11" s="16" customFormat="1" ht="25.5" outlineLevel="3">
      <c r="A1785" s="14"/>
      <c r="B1785" s="35"/>
      <c r="C1785" s="241" t="s">
        <v>148</v>
      </c>
      <c r="D1785" s="315"/>
      <c r="E1785" s="247"/>
      <c r="F1785" s="232">
        <v>0</v>
      </c>
      <c r="G1785" s="232">
        <v>0</v>
      </c>
      <c r="H1785" s="295"/>
      <c r="I1785" s="180"/>
      <c r="J1785" s="47"/>
      <c r="K1785" s="15"/>
    </row>
    <row r="1786" spans="1:11" s="16" customFormat="1" ht="25.5" outlineLevel="3">
      <c r="A1786" s="14"/>
      <c r="B1786" s="35"/>
      <c r="C1786" s="314" t="s">
        <v>170</v>
      </c>
      <c r="D1786" s="230" t="s">
        <v>28</v>
      </c>
      <c r="E1786" s="247">
        <v>3</v>
      </c>
      <c r="F1786" s="232">
        <v>0</v>
      </c>
      <c r="G1786" s="232">
        <v>0</v>
      </c>
      <c r="H1786" s="138">
        <f>G1786+F1786</f>
        <v>0</v>
      </c>
      <c r="I1786" s="138">
        <f>H1786*E1786</f>
        <v>0</v>
      </c>
      <c r="J1786" s="47"/>
      <c r="K1786" s="15"/>
    </row>
    <row r="1787" spans="1:11" s="16" customFormat="1" ht="25.5" outlineLevel="3">
      <c r="A1787" s="14"/>
      <c r="B1787" s="35"/>
      <c r="C1787" s="229" t="s">
        <v>139</v>
      </c>
      <c r="D1787" s="230" t="s">
        <v>38</v>
      </c>
      <c r="E1787" s="247">
        <v>1</v>
      </c>
      <c r="F1787" s="232">
        <v>0</v>
      </c>
      <c r="G1787" s="232">
        <v>0</v>
      </c>
      <c r="H1787" s="138">
        <f>G1787+F1787</f>
        <v>0</v>
      </c>
      <c r="I1787" s="138">
        <f>H1787*E1787</f>
        <v>0</v>
      </c>
      <c r="J1787" s="47"/>
      <c r="K1787" s="15"/>
    </row>
    <row r="1788" spans="1:11" s="16" customFormat="1" ht="25.5" outlineLevel="3">
      <c r="A1788" s="14"/>
      <c r="B1788" s="35">
        <f>MAXA(B$5:B1787)+1</f>
        <v>831</v>
      </c>
      <c r="C1788" s="242" t="s">
        <v>1085</v>
      </c>
      <c r="D1788" s="230" t="s">
        <v>38</v>
      </c>
      <c r="E1788" s="247">
        <v>1</v>
      </c>
      <c r="F1788" s="232">
        <v>2907707</v>
      </c>
      <c r="G1788" s="232">
        <v>1563188</v>
      </c>
      <c r="H1788" s="138">
        <f>G1788+F1788</f>
        <v>4470895</v>
      </c>
      <c r="I1788" s="138">
        <f>H1788*E1788</f>
        <v>4470895</v>
      </c>
      <c r="J1788" s="47"/>
      <c r="K1788" s="15"/>
    </row>
    <row r="1789" spans="1:11" s="16" customFormat="1" ht="25.5" outlineLevel="3">
      <c r="A1789" s="14"/>
      <c r="B1789" s="35"/>
      <c r="C1789" s="241" t="s">
        <v>141</v>
      </c>
      <c r="D1789" s="230"/>
      <c r="E1789" s="247"/>
      <c r="F1789" s="232">
        <v>0</v>
      </c>
      <c r="G1789" s="232">
        <v>0</v>
      </c>
      <c r="H1789" s="295"/>
      <c r="I1789" s="180"/>
      <c r="J1789" s="47"/>
      <c r="K1789" s="15"/>
    </row>
    <row r="1790" spans="1:11" s="16" customFormat="1" ht="25.5" outlineLevel="3">
      <c r="A1790" s="14"/>
      <c r="B1790" s="35"/>
      <c r="C1790" s="314" t="s">
        <v>1082</v>
      </c>
      <c r="D1790" s="230" t="s">
        <v>28</v>
      </c>
      <c r="E1790" s="247">
        <v>1</v>
      </c>
      <c r="F1790" s="232">
        <v>0</v>
      </c>
      <c r="G1790" s="232">
        <v>0</v>
      </c>
      <c r="H1790" s="138">
        <f>G1790+F1790</f>
        <v>0</v>
      </c>
      <c r="I1790" s="138">
        <f>H1790*E1790</f>
        <v>0</v>
      </c>
      <c r="J1790" s="47"/>
      <c r="K1790" s="15"/>
    </row>
    <row r="1791" spans="1:11" s="16" customFormat="1" ht="25.5" outlineLevel="3">
      <c r="A1791" s="14"/>
      <c r="B1791" s="35"/>
      <c r="C1791" s="242" t="s">
        <v>94</v>
      </c>
      <c r="D1791" s="230" t="s">
        <v>28</v>
      </c>
      <c r="E1791" s="247">
        <v>1</v>
      </c>
      <c r="F1791" s="232">
        <v>0</v>
      </c>
      <c r="G1791" s="232">
        <v>0</v>
      </c>
      <c r="H1791" s="138">
        <f>G1791+F1791</f>
        <v>0</v>
      </c>
      <c r="I1791" s="138">
        <f>H1791*E1791</f>
        <v>0</v>
      </c>
      <c r="J1791" s="47"/>
      <c r="K1791" s="15"/>
    </row>
    <row r="1792" spans="1:11" s="16" customFormat="1" ht="25.5" outlineLevel="3">
      <c r="A1792" s="14"/>
      <c r="B1792" s="35"/>
      <c r="C1792" s="242" t="s">
        <v>95</v>
      </c>
      <c r="D1792" s="230" t="s">
        <v>28</v>
      </c>
      <c r="E1792" s="247">
        <v>1</v>
      </c>
      <c r="F1792" s="232">
        <v>0</v>
      </c>
      <c r="G1792" s="232">
        <v>0</v>
      </c>
      <c r="H1792" s="138">
        <f>G1792+F1792</f>
        <v>0</v>
      </c>
      <c r="I1792" s="138">
        <f>H1792*E1792</f>
        <v>0</v>
      </c>
      <c r="J1792" s="47"/>
      <c r="K1792" s="15"/>
    </row>
    <row r="1793" spans="1:11" s="16" customFormat="1" ht="25.5" outlineLevel="3">
      <c r="A1793" s="14"/>
      <c r="B1793" s="35"/>
      <c r="C1793" s="242" t="s">
        <v>96</v>
      </c>
      <c r="D1793" s="230" t="s">
        <v>28</v>
      </c>
      <c r="E1793" s="247">
        <v>1</v>
      </c>
      <c r="F1793" s="232">
        <v>0</v>
      </c>
      <c r="G1793" s="232">
        <v>0</v>
      </c>
      <c r="H1793" s="138">
        <f>G1793+F1793</f>
        <v>0</v>
      </c>
      <c r="I1793" s="138">
        <f>H1793*E1793</f>
        <v>0</v>
      </c>
      <c r="J1793" s="47"/>
      <c r="K1793" s="15"/>
    </row>
    <row r="1794" spans="1:11" s="16" customFormat="1" ht="25.5" outlineLevel="3">
      <c r="A1794" s="14"/>
      <c r="B1794" s="35"/>
      <c r="C1794" s="241" t="s">
        <v>148</v>
      </c>
      <c r="D1794" s="315"/>
      <c r="E1794" s="247"/>
      <c r="F1794" s="232">
        <v>0</v>
      </c>
      <c r="G1794" s="232">
        <v>0</v>
      </c>
      <c r="H1794" s="295"/>
      <c r="I1794" s="180"/>
      <c r="J1794" s="47"/>
      <c r="K1794" s="15"/>
    </row>
    <row r="1795" spans="1:11" s="16" customFormat="1" ht="25.5" outlineLevel="3">
      <c r="A1795" s="14"/>
      <c r="B1795" s="35"/>
      <c r="C1795" s="314" t="s">
        <v>170</v>
      </c>
      <c r="D1795" s="230" t="s">
        <v>28</v>
      </c>
      <c r="E1795" s="247">
        <v>3</v>
      </c>
      <c r="F1795" s="232">
        <v>0</v>
      </c>
      <c r="G1795" s="232">
        <v>0</v>
      </c>
      <c r="H1795" s="138">
        <f>G1795+F1795</f>
        <v>0</v>
      </c>
      <c r="I1795" s="138">
        <f>H1795*E1795</f>
        <v>0</v>
      </c>
      <c r="J1795" s="47"/>
      <c r="K1795" s="15"/>
    </row>
    <row r="1796" spans="1:11" s="16" customFormat="1" ht="25.5" outlineLevel="3">
      <c r="A1796" s="14"/>
      <c r="B1796" s="35"/>
      <c r="C1796" s="229" t="s">
        <v>139</v>
      </c>
      <c r="D1796" s="230" t="s">
        <v>38</v>
      </c>
      <c r="E1796" s="247">
        <v>1</v>
      </c>
      <c r="F1796" s="232">
        <v>0</v>
      </c>
      <c r="G1796" s="232">
        <v>0</v>
      </c>
      <c r="H1796" s="138">
        <f>G1796+F1796</f>
        <v>0</v>
      </c>
      <c r="I1796" s="138">
        <f>H1796*E1796</f>
        <v>0</v>
      </c>
      <c r="J1796" s="47"/>
      <c r="K1796" s="15"/>
    </row>
    <row r="1797" spans="1:11" s="16" customFormat="1" ht="25.5" outlineLevel="3">
      <c r="A1797" s="14"/>
      <c r="B1797" s="35">
        <f>MAXA(B$5:B1796)+1</f>
        <v>832</v>
      </c>
      <c r="C1797" s="242" t="s">
        <v>1086</v>
      </c>
      <c r="D1797" s="230" t="s">
        <v>38</v>
      </c>
      <c r="E1797" s="247">
        <v>1</v>
      </c>
      <c r="F1797" s="232">
        <v>4360400</v>
      </c>
      <c r="G1797" s="232">
        <v>1563188</v>
      </c>
      <c r="H1797" s="138">
        <f>G1797+F1797</f>
        <v>5923588</v>
      </c>
      <c r="I1797" s="138">
        <f>H1797*E1797</f>
        <v>5923588</v>
      </c>
      <c r="J1797" s="47"/>
      <c r="K1797" s="15"/>
    </row>
    <row r="1798" spans="1:11" s="16" customFormat="1" ht="25.5" outlineLevel="3">
      <c r="A1798" s="14"/>
      <c r="B1798" s="35"/>
      <c r="C1798" s="241" t="s">
        <v>141</v>
      </c>
      <c r="D1798" s="230"/>
      <c r="E1798" s="247"/>
      <c r="F1798" s="232">
        <v>0</v>
      </c>
      <c r="G1798" s="232">
        <v>0</v>
      </c>
      <c r="H1798" s="295"/>
      <c r="I1798" s="180"/>
      <c r="J1798" s="47"/>
      <c r="K1798" s="15"/>
    </row>
    <row r="1799" spans="1:11" s="16" customFormat="1" ht="25.5" outlineLevel="3">
      <c r="A1799" s="14"/>
      <c r="B1799" s="35"/>
      <c r="C1799" s="314" t="s">
        <v>169</v>
      </c>
      <c r="D1799" s="230" t="s">
        <v>28</v>
      </c>
      <c r="E1799" s="247">
        <v>1</v>
      </c>
      <c r="F1799" s="232">
        <v>0</v>
      </c>
      <c r="G1799" s="232">
        <v>0</v>
      </c>
      <c r="H1799" s="138">
        <f>G1799+F1799</f>
        <v>0</v>
      </c>
      <c r="I1799" s="138">
        <f>H1799*E1799</f>
        <v>0</v>
      </c>
      <c r="J1799" s="47"/>
      <c r="K1799" s="15"/>
    </row>
    <row r="1800" spans="1:11" s="16" customFormat="1" ht="25.5" outlineLevel="3">
      <c r="A1800" s="14"/>
      <c r="B1800" s="35"/>
      <c r="C1800" s="242" t="s">
        <v>94</v>
      </c>
      <c r="D1800" s="230" t="s">
        <v>28</v>
      </c>
      <c r="E1800" s="247">
        <v>1</v>
      </c>
      <c r="F1800" s="232">
        <v>0</v>
      </c>
      <c r="G1800" s="232">
        <v>0</v>
      </c>
      <c r="H1800" s="138">
        <f>G1800+F1800</f>
        <v>0</v>
      </c>
      <c r="I1800" s="138">
        <f>H1800*E1800</f>
        <v>0</v>
      </c>
      <c r="J1800" s="47"/>
      <c r="K1800" s="15"/>
    </row>
    <row r="1801" spans="1:11" s="16" customFormat="1" ht="25.5" outlineLevel="3">
      <c r="A1801" s="14"/>
      <c r="B1801" s="35"/>
      <c r="C1801" s="242" t="s">
        <v>95</v>
      </c>
      <c r="D1801" s="230" t="s">
        <v>28</v>
      </c>
      <c r="E1801" s="247">
        <v>1</v>
      </c>
      <c r="F1801" s="232">
        <v>0</v>
      </c>
      <c r="G1801" s="232">
        <v>0</v>
      </c>
      <c r="H1801" s="138">
        <f>G1801+F1801</f>
        <v>0</v>
      </c>
      <c r="I1801" s="138">
        <f>H1801*E1801</f>
        <v>0</v>
      </c>
      <c r="J1801" s="47"/>
      <c r="K1801" s="15"/>
    </row>
    <row r="1802" spans="1:11" s="16" customFormat="1" ht="25.5" outlineLevel="3">
      <c r="A1802" s="14"/>
      <c r="B1802" s="35"/>
      <c r="C1802" s="242" t="s">
        <v>96</v>
      </c>
      <c r="D1802" s="230" t="s">
        <v>28</v>
      </c>
      <c r="E1802" s="247">
        <v>1</v>
      </c>
      <c r="F1802" s="232">
        <v>0</v>
      </c>
      <c r="G1802" s="232">
        <v>0</v>
      </c>
      <c r="H1802" s="138">
        <f>G1802+F1802</f>
        <v>0</v>
      </c>
      <c r="I1802" s="138">
        <f>H1802*E1802</f>
        <v>0</v>
      </c>
      <c r="J1802" s="47"/>
      <c r="K1802" s="15"/>
    </row>
    <row r="1803" spans="1:11" s="16" customFormat="1" ht="25.5" outlineLevel="3">
      <c r="A1803" s="14"/>
      <c r="B1803" s="35"/>
      <c r="C1803" s="241" t="s">
        <v>148</v>
      </c>
      <c r="D1803" s="315"/>
      <c r="E1803" s="247"/>
      <c r="F1803" s="232">
        <v>0</v>
      </c>
      <c r="G1803" s="232">
        <v>0</v>
      </c>
      <c r="H1803" s="295"/>
      <c r="I1803" s="180"/>
      <c r="J1803" s="47"/>
      <c r="K1803" s="15"/>
    </row>
    <row r="1804" spans="1:11" s="16" customFormat="1" ht="25.5" outlineLevel="3">
      <c r="A1804" s="14"/>
      <c r="B1804" s="35"/>
      <c r="C1804" s="314" t="s">
        <v>170</v>
      </c>
      <c r="D1804" s="230" t="s">
        <v>28</v>
      </c>
      <c r="E1804" s="247">
        <v>3</v>
      </c>
      <c r="F1804" s="232">
        <v>0</v>
      </c>
      <c r="G1804" s="232">
        <v>0</v>
      </c>
      <c r="H1804" s="138">
        <f>G1804+F1804</f>
        <v>0</v>
      </c>
      <c r="I1804" s="138">
        <f>H1804*E1804</f>
        <v>0</v>
      </c>
      <c r="J1804" s="47"/>
      <c r="K1804" s="15"/>
    </row>
    <row r="1805" spans="1:11" s="16" customFormat="1" ht="25.5" outlineLevel="3">
      <c r="A1805" s="14"/>
      <c r="B1805" s="35"/>
      <c r="C1805" s="229" t="s">
        <v>139</v>
      </c>
      <c r="D1805" s="230" t="s">
        <v>38</v>
      </c>
      <c r="E1805" s="247">
        <v>1</v>
      </c>
      <c r="F1805" s="232">
        <v>0</v>
      </c>
      <c r="G1805" s="232">
        <v>0</v>
      </c>
      <c r="H1805" s="138">
        <f>G1805+F1805</f>
        <v>0</v>
      </c>
      <c r="I1805" s="138">
        <f>H1805*E1805</f>
        <v>0</v>
      </c>
      <c r="J1805" s="47"/>
      <c r="K1805" s="15"/>
    </row>
    <row r="1806" spans="1:11" s="16" customFormat="1" ht="25.5" outlineLevel="3">
      <c r="A1806" s="14"/>
      <c r="B1806" s="35">
        <f>MAXA(B$5:B1805)+1</f>
        <v>833</v>
      </c>
      <c r="C1806" s="242" t="s">
        <v>1087</v>
      </c>
      <c r="D1806" s="230" t="s">
        <v>38</v>
      </c>
      <c r="E1806" s="247">
        <v>1</v>
      </c>
      <c r="F1806" s="232">
        <v>3391938</v>
      </c>
      <c r="G1806" s="232">
        <v>1563188</v>
      </c>
      <c r="H1806" s="138">
        <f>G1806+F1806</f>
        <v>4955126</v>
      </c>
      <c r="I1806" s="138">
        <f>H1806*E1806</f>
        <v>4955126</v>
      </c>
      <c r="J1806" s="47"/>
      <c r="K1806" s="15"/>
    </row>
    <row r="1807" spans="1:11" s="16" customFormat="1" ht="25.5" outlineLevel="3">
      <c r="A1807" s="14"/>
      <c r="B1807" s="35"/>
      <c r="C1807" s="241" t="s">
        <v>141</v>
      </c>
      <c r="D1807" s="230"/>
      <c r="E1807" s="247"/>
      <c r="F1807" s="232">
        <v>0</v>
      </c>
      <c r="G1807" s="232">
        <v>0</v>
      </c>
      <c r="H1807" s="295"/>
      <c r="I1807" s="180"/>
      <c r="J1807" s="47"/>
      <c r="K1807" s="15"/>
    </row>
    <row r="1808" spans="1:11" s="16" customFormat="1" ht="25.5" outlineLevel="3">
      <c r="A1808" s="14"/>
      <c r="B1808" s="35"/>
      <c r="C1808" s="314" t="s">
        <v>226</v>
      </c>
      <c r="D1808" s="230" t="s">
        <v>28</v>
      </c>
      <c r="E1808" s="247">
        <v>1</v>
      </c>
      <c r="F1808" s="232">
        <v>0</v>
      </c>
      <c r="G1808" s="232">
        <v>0</v>
      </c>
      <c r="H1808" s="138">
        <f>G1808+F1808</f>
        <v>0</v>
      </c>
      <c r="I1808" s="138">
        <f>H1808*E1808</f>
        <v>0</v>
      </c>
      <c r="J1808" s="47"/>
      <c r="K1808" s="15"/>
    </row>
    <row r="1809" spans="1:11" s="16" customFormat="1" ht="25.5" outlineLevel="3">
      <c r="A1809" s="14"/>
      <c r="B1809" s="35"/>
      <c r="C1809" s="242" t="s">
        <v>94</v>
      </c>
      <c r="D1809" s="230" t="s">
        <v>28</v>
      </c>
      <c r="E1809" s="247">
        <v>1</v>
      </c>
      <c r="F1809" s="232">
        <v>0</v>
      </c>
      <c r="G1809" s="232">
        <v>0</v>
      </c>
      <c r="H1809" s="138">
        <f>G1809+F1809</f>
        <v>0</v>
      </c>
      <c r="I1809" s="138">
        <f>H1809*E1809</f>
        <v>0</v>
      </c>
      <c r="J1809" s="47"/>
      <c r="K1809" s="15"/>
    </row>
    <row r="1810" spans="1:11" s="16" customFormat="1" ht="25.5" outlineLevel="3">
      <c r="A1810" s="14"/>
      <c r="B1810" s="35"/>
      <c r="C1810" s="242" t="s">
        <v>95</v>
      </c>
      <c r="D1810" s="230" t="s">
        <v>28</v>
      </c>
      <c r="E1810" s="247">
        <v>1</v>
      </c>
      <c r="F1810" s="232">
        <v>0</v>
      </c>
      <c r="G1810" s="232">
        <v>0</v>
      </c>
      <c r="H1810" s="138">
        <f>G1810+F1810</f>
        <v>0</v>
      </c>
      <c r="I1810" s="138">
        <f>H1810*E1810</f>
        <v>0</v>
      </c>
      <c r="J1810" s="47"/>
      <c r="K1810" s="15"/>
    </row>
    <row r="1811" spans="1:11" s="16" customFormat="1" ht="25.5" outlineLevel="3">
      <c r="A1811" s="14"/>
      <c r="B1811" s="35"/>
      <c r="C1811" s="242" t="s">
        <v>96</v>
      </c>
      <c r="D1811" s="230" t="s">
        <v>28</v>
      </c>
      <c r="E1811" s="247">
        <v>1</v>
      </c>
      <c r="F1811" s="232">
        <v>0</v>
      </c>
      <c r="G1811" s="232">
        <v>0</v>
      </c>
      <c r="H1811" s="138">
        <f>G1811+F1811</f>
        <v>0</v>
      </c>
      <c r="I1811" s="138">
        <f>H1811*E1811</f>
        <v>0</v>
      </c>
      <c r="J1811" s="47"/>
      <c r="K1811" s="15"/>
    </row>
    <row r="1812" spans="1:11" s="16" customFormat="1" ht="25.5" outlineLevel="3">
      <c r="A1812" s="14"/>
      <c r="B1812" s="35"/>
      <c r="C1812" s="241" t="s">
        <v>148</v>
      </c>
      <c r="D1812" s="315"/>
      <c r="E1812" s="247"/>
      <c r="F1812" s="232">
        <v>0</v>
      </c>
      <c r="G1812" s="232">
        <v>0</v>
      </c>
      <c r="H1812" s="295"/>
      <c r="I1812" s="180"/>
      <c r="J1812" s="47"/>
      <c r="K1812" s="15"/>
    </row>
    <row r="1813" spans="1:11" s="16" customFormat="1" ht="25.5" outlineLevel="3">
      <c r="A1813" s="14"/>
      <c r="B1813" s="35"/>
      <c r="C1813" s="314" t="s">
        <v>170</v>
      </c>
      <c r="D1813" s="230" t="s">
        <v>28</v>
      </c>
      <c r="E1813" s="247">
        <v>5</v>
      </c>
      <c r="F1813" s="232">
        <v>0</v>
      </c>
      <c r="G1813" s="232">
        <v>0</v>
      </c>
      <c r="H1813" s="138">
        <f>G1813+F1813</f>
        <v>0</v>
      </c>
      <c r="I1813" s="138">
        <f>H1813*E1813</f>
        <v>0</v>
      </c>
      <c r="J1813" s="47"/>
      <c r="K1813" s="15"/>
    </row>
    <row r="1814" spans="1:11" s="16" customFormat="1" ht="25.5" outlineLevel="3">
      <c r="A1814" s="14"/>
      <c r="B1814" s="35"/>
      <c r="C1814" s="229" t="s">
        <v>139</v>
      </c>
      <c r="D1814" s="230" t="s">
        <v>38</v>
      </c>
      <c r="E1814" s="247">
        <v>1</v>
      </c>
      <c r="F1814" s="232">
        <v>0</v>
      </c>
      <c r="G1814" s="232">
        <v>0</v>
      </c>
      <c r="H1814" s="138">
        <f>G1814+F1814</f>
        <v>0</v>
      </c>
      <c r="I1814" s="138">
        <f>H1814*E1814</f>
        <v>0</v>
      </c>
      <c r="J1814" s="47"/>
      <c r="K1814" s="15"/>
    </row>
    <row r="1815" spans="1:11" s="16" customFormat="1" ht="25.5" outlineLevel="3">
      <c r="A1815" s="14"/>
      <c r="B1815" s="35">
        <f>MAXA(B$5:B1814)+1</f>
        <v>834</v>
      </c>
      <c r="C1815" s="242" t="s">
        <v>1088</v>
      </c>
      <c r="D1815" s="230" t="s">
        <v>38</v>
      </c>
      <c r="E1815" s="247">
        <v>1</v>
      </c>
      <c r="F1815" s="232">
        <v>2907707</v>
      </c>
      <c r="G1815" s="232">
        <v>1563188</v>
      </c>
      <c r="H1815" s="138">
        <f>G1815+F1815</f>
        <v>4470895</v>
      </c>
      <c r="I1815" s="138">
        <f>H1815*E1815</f>
        <v>4470895</v>
      </c>
      <c r="J1815" s="47"/>
      <c r="K1815" s="15"/>
    </row>
    <row r="1816" spans="1:11" s="16" customFormat="1" ht="25.5" outlineLevel="3">
      <c r="A1816" s="14"/>
      <c r="B1816" s="35"/>
      <c r="C1816" s="241" t="s">
        <v>141</v>
      </c>
      <c r="D1816" s="230"/>
      <c r="E1816" s="247"/>
      <c r="F1816" s="232">
        <v>0</v>
      </c>
      <c r="G1816" s="232">
        <v>0</v>
      </c>
      <c r="H1816" s="295"/>
      <c r="I1816" s="180"/>
      <c r="J1816" s="47"/>
      <c r="K1816" s="15"/>
    </row>
    <row r="1817" spans="1:11" s="16" customFormat="1" ht="25.5" outlineLevel="3">
      <c r="A1817" s="14"/>
      <c r="B1817" s="35"/>
      <c r="C1817" s="314" t="s">
        <v>1082</v>
      </c>
      <c r="D1817" s="230" t="s">
        <v>28</v>
      </c>
      <c r="E1817" s="247">
        <v>1</v>
      </c>
      <c r="F1817" s="232">
        <v>0</v>
      </c>
      <c r="G1817" s="232">
        <v>0</v>
      </c>
      <c r="H1817" s="138">
        <f>G1817+F1817</f>
        <v>0</v>
      </c>
      <c r="I1817" s="138">
        <f>H1817*E1817</f>
        <v>0</v>
      </c>
      <c r="J1817" s="47"/>
      <c r="K1817" s="15"/>
    </row>
    <row r="1818" spans="1:11" s="16" customFormat="1" ht="25.5" outlineLevel="3">
      <c r="A1818" s="14"/>
      <c r="B1818" s="35"/>
      <c r="C1818" s="242" t="s">
        <v>94</v>
      </c>
      <c r="D1818" s="230" t="s">
        <v>28</v>
      </c>
      <c r="E1818" s="247">
        <v>1</v>
      </c>
      <c r="F1818" s="232">
        <v>0</v>
      </c>
      <c r="G1818" s="232">
        <v>0</v>
      </c>
      <c r="H1818" s="138">
        <f>G1818+F1818</f>
        <v>0</v>
      </c>
      <c r="I1818" s="138">
        <f>H1818*E1818</f>
        <v>0</v>
      </c>
      <c r="J1818" s="47"/>
      <c r="K1818" s="15"/>
    </row>
    <row r="1819" spans="1:11" s="16" customFormat="1" ht="25.5" outlineLevel="3">
      <c r="A1819" s="14"/>
      <c r="B1819" s="35"/>
      <c r="C1819" s="242" t="s">
        <v>95</v>
      </c>
      <c r="D1819" s="230" t="s">
        <v>28</v>
      </c>
      <c r="E1819" s="247">
        <v>1</v>
      </c>
      <c r="F1819" s="232">
        <v>0</v>
      </c>
      <c r="G1819" s="232">
        <v>0</v>
      </c>
      <c r="H1819" s="138">
        <f>G1819+F1819</f>
        <v>0</v>
      </c>
      <c r="I1819" s="138">
        <f>H1819*E1819</f>
        <v>0</v>
      </c>
      <c r="J1819" s="47"/>
      <c r="K1819" s="15"/>
    </row>
    <row r="1820" spans="1:11" s="16" customFormat="1" ht="25.5" outlineLevel="3">
      <c r="A1820" s="14"/>
      <c r="B1820" s="35"/>
      <c r="C1820" s="242" t="s">
        <v>96</v>
      </c>
      <c r="D1820" s="230" t="s">
        <v>28</v>
      </c>
      <c r="E1820" s="247">
        <v>1</v>
      </c>
      <c r="F1820" s="232">
        <v>0</v>
      </c>
      <c r="G1820" s="232">
        <v>0</v>
      </c>
      <c r="H1820" s="138">
        <f>G1820+F1820</f>
        <v>0</v>
      </c>
      <c r="I1820" s="138">
        <f>H1820*E1820</f>
        <v>0</v>
      </c>
      <c r="J1820" s="47"/>
      <c r="K1820" s="15"/>
    </row>
    <row r="1821" spans="1:11" s="16" customFormat="1" ht="25.5" outlineLevel="3">
      <c r="A1821" s="14"/>
      <c r="B1821" s="35"/>
      <c r="C1821" s="241" t="s">
        <v>148</v>
      </c>
      <c r="D1821" s="230"/>
      <c r="E1821" s="247"/>
      <c r="F1821" s="232">
        <v>0</v>
      </c>
      <c r="G1821" s="232">
        <v>0</v>
      </c>
      <c r="H1821" s="295"/>
      <c r="I1821" s="180"/>
      <c r="J1821" s="47"/>
      <c r="K1821" s="15"/>
    </row>
    <row r="1822" spans="1:11" s="16" customFormat="1" ht="25.5" outlineLevel="3">
      <c r="A1822" s="14"/>
      <c r="B1822" s="35"/>
      <c r="C1822" s="314" t="s">
        <v>170</v>
      </c>
      <c r="D1822" s="230" t="s">
        <v>28</v>
      </c>
      <c r="E1822" s="247">
        <v>3</v>
      </c>
      <c r="F1822" s="232">
        <v>0</v>
      </c>
      <c r="G1822" s="232">
        <v>0</v>
      </c>
      <c r="H1822" s="138">
        <f>G1822+F1822</f>
        <v>0</v>
      </c>
      <c r="I1822" s="138">
        <f>H1822*E1822</f>
        <v>0</v>
      </c>
      <c r="J1822" s="47"/>
      <c r="K1822" s="15"/>
    </row>
    <row r="1823" spans="1:11" s="16" customFormat="1" ht="25.5" outlineLevel="3">
      <c r="A1823" s="14"/>
      <c r="B1823" s="35"/>
      <c r="C1823" s="229" t="s">
        <v>139</v>
      </c>
      <c r="D1823" s="230" t="s">
        <v>38</v>
      </c>
      <c r="E1823" s="247">
        <v>1</v>
      </c>
      <c r="F1823" s="232">
        <v>0</v>
      </c>
      <c r="G1823" s="232">
        <v>0</v>
      </c>
      <c r="H1823" s="138">
        <f>G1823+F1823</f>
        <v>0</v>
      </c>
      <c r="I1823" s="138">
        <f>H1823*E1823</f>
        <v>0</v>
      </c>
      <c r="J1823" s="47"/>
      <c r="K1823" s="15"/>
    </row>
    <row r="1824" spans="1:11" s="16" customFormat="1" ht="25.5" outlineLevel="3">
      <c r="A1824" s="14"/>
      <c r="B1824" s="35">
        <f>MAXA(B$5:B1823)+1</f>
        <v>835</v>
      </c>
      <c r="C1824" s="242" t="s">
        <v>1089</v>
      </c>
      <c r="D1824" s="230" t="s">
        <v>38</v>
      </c>
      <c r="E1824" s="247">
        <v>1</v>
      </c>
      <c r="F1824" s="232">
        <v>3031958</v>
      </c>
      <c r="G1824" s="232">
        <v>1563188</v>
      </c>
      <c r="H1824" s="138">
        <f>G1824+F1824</f>
        <v>4595146</v>
      </c>
      <c r="I1824" s="138">
        <f>H1824*E1824</f>
        <v>4595146</v>
      </c>
      <c r="J1824" s="47"/>
      <c r="K1824" s="15"/>
    </row>
    <row r="1825" spans="1:11" s="16" customFormat="1" ht="25.5" outlineLevel="3">
      <c r="A1825" s="14"/>
      <c r="B1825" s="35"/>
      <c r="C1825" s="241" t="s">
        <v>141</v>
      </c>
      <c r="D1825" s="230"/>
      <c r="E1825" s="247"/>
      <c r="F1825" s="232">
        <v>0</v>
      </c>
      <c r="G1825" s="232">
        <v>0</v>
      </c>
      <c r="H1825" s="295"/>
      <c r="I1825" s="180"/>
      <c r="J1825" s="47"/>
      <c r="K1825" s="15"/>
    </row>
    <row r="1826" spans="1:11" s="16" customFormat="1" ht="25.5" outlineLevel="3">
      <c r="A1826" s="14"/>
      <c r="B1826" s="35"/>
      <c r="C1826" s="314" t="s">
        <v>237</v>
      </c>
      <c r="D1826" s="230" t="s">
        <v>28</v>
      </c>
      <c r="E1826" s="247">
        <v>1</v>
      </c>
      <c r="F1826" s="232">
        <v>0</v>
      </c>
      <c r="G1826" s="232">
        <v>0</v>
      </c>
      <c r="H1826" s="138">
        <f>G1826+F1826</f>
        <v>0</v>
      </c>
      <c r="I1826" s="138">
        <f>H1826*E1826</f>
        <v>0</v>
      </c>
      <c r="J1826" s="47"/>
      <c r="K1826" s="15"/>
    </row>
    <row r="1827" spans="1:11" s="16" customFormat="1" ht="25.5" outlineLevel="3">
      <c r="A1827" s="14"/>
      <c r="B1827" s="35"/>
      <c r="C1827" s="242" t="s">
        <v>94</v>
      </c>
      <c r="D1827" s="230" t="s">
        <v>28</v>
      </c>
      <c r="E1827" s="247">
        <v>1</v>
      </c>
      <c r="F1827" s="232">
        <v>0</v>
      </c>
      <c r="G1827" s="232">
        <v>0</v>
      </c>
      <c r="H1827" s="138">
        <f>G1827+F1827</f>
        <v>0</v>
      </c>
      <c r="I1827" s="138">
        <f>H1827*E1827</f>
        <v>0</v>
      </c>
      <c r="J1827" s="47"/>
      <c r="K1827" s="15"/>
    </row>
    <row r="1828" spans="1:11" s="16" customFormat="1" ht="25.5" outlineLevel="3">
      <c r="A1828" s="14"/>
      <c r="B1828" s="35"/>
      <c r="C1828" s="242" t="s">
        <v>95</v>
      </c>
      <c r="D1828" s="230" t="s">
        <v>28</v>
      </c>
      <c r="E1828" s="247">
        <v>1</v>
      </c>
      <c r="F1828" s="232">
        <v>0</v>
      </c>
      <c r="G1828" s="232">
        <v>0</v>
      </c>
      <c r="H1828" s="138">
        <f>G1828+F1828</f>
        <v>0</v>
      </c>
      <c r="I1828" s="138">
        <f>H1828*E1828</f>
        <v>0</v>
      </c>
      <c r="J1828" s="47"/>
      <c r="K1828" s="15"/>
    </row>
    <row r="1829" spans="1:11" s="16" customFormat="1" ht="25.5" outlineLevel="3">
      <c r="A1829" s="14"/>
      <c r="B1829" s="35"/>
      <c r="C1829" s="242" t="s">
        <v>96</v>
      </c>
      <c r="D1829" s="230" t="s">
        <v>28</v>
      </c>
      <c r="E1829" s="247">
        <v>1</v>
      </c>
      <c r="F1829" s="232">
        <v>0</v>
      </c>
      <c r="G1829" s="232">
        <v>0</v>
      </c>
      <c r="H1829" s="138">
        <f>G1829+F1829</f>
        <v>0</v>
      </c>
      <c r="I1829" s="138">
        <f>H1829*E1829</f>
        <v>0</v>
      </c>
      <c r="J1829" s="47"/>
      <c r="K1829" s="15"/>
    </row>
    <row r="1830" spans="1:11" s="16" customFormat="1" ht="25.5" outlineLevel="3">
      <c r="A1830" s="14"/>
      <c r="B1830" s="35"/>
      <c r="C1830" s="241" t="s">
        <v>148</v>
      </c>
      <c r="D1830" s="315"/>
      <c r="E1830" s="247"/>
      <c r="F1830" s="232">
        <v>0</v>
      </c>
      <c r="G1830" s="232">
        <v>0</v>
      </c>
      <c r="H1830" s="295"/>
      <c r="I1830" s="180"/>
      <c r="J1830" s="47"/>
      <c r="K1830" s="15"/>
    </row>
    <row r="1831" spans="1:11" s="16" customFormat="1" ht="25.5" outlineLevel="3">
      <c r="A1831" s="14"/>
      <c r="B1831" s="35"/>
      <c r="C1831" s="314" t="s">
        <v>170</v>
      </c>
      <c r="D1831" s="230" t="s">
        <v>28</v>
      </c>
      <c r="E1831" s="247">
        <v>4</v>
      </c>
      <c r="F1831" s="232">
        <v>0</v>
      </c>
      <c r="G1831" s="232">
        <v>0</v>
      </c>
      <c r="H1831" s="138">
        <f>G1831+F1831</f>
        <v>0</v>
      </c>
      <c r="I1831" s="138">
        <f>H1831*E1831</f>
        <v>0</v>
      </c>
      <c r="J1831" s="47"/>
      <c r="K1831" s="15"/>
    </row>
    <row r="1832" spans="1:11" s="16" customFormat="1" ht="25.5" outlineLevel="3">
      <c r="A1832" s="14"/>
      <c r="B1832" s="35"/>
      <c r="C1832" s="229" t="s">
        <v>139</v>
      </c>
      <c r="D1832" s="230" t="s">
        <v>38</v>
      </c>
      <c r="E1832" s="247">
        <v>1</v>
      </c>
      <c r="F1832" s="232">
        <v>0</v>
      </c>
      <c r="G1832" s="232">
        <v>0</v>
      </c>
      <c r="H1832" s="138">
        <f>G1832+F1832</f>
        <v>0</v>
      </c>
      <c r="I1832" s="138">
        <f>H1832*E1832</f>
        <v>0</v>
      </c>
      <c r="J1832" s="47"/>
      <c r="K1832" s="15"/>
    </row>
    <row r="1833" spans="1:11" s="16" customFormat="1" ht="25.5" outlineLevel="3">
      <c r="A1833" s="14"/>
      <c r="B1833" s="35">
        <f>MAXA(B$5:B1832)+1</f>
        <v>836</v>
      </c>
      <c r="C1833" s="242" t="s">
        <v>1090</v>
      </c>
      <c r="D1833" s="230" t="s">
        <v>38</v>
      </c>
      <c r="E1833" s="247">
        <v>1</v>
      </c>
      <c r="F1833" s="232">
        <v>2907707</v>
      </c>
      <c r="G1833" s="232">
        <v>1563188</v>
      </c>
      <c r="H1833" s="138">
        <f>G1833+F1833</f>
        <v>4470895</v>
      </c>
      <c r="I1833" s="138">
        <f>H1833*E1833</f>
        <v>4470895</v>
      </c>
      <c r="J1833" s="47"/>
      <c r="K1833" s="15"/>
    </row>
    <row r="1834" spans="1:11" s="16" customFormat="1" ht="25.5" outlineLevel="3">
      <c r="A1834" s="14"/>
      <c r="B1834" s="35"/>
      <c r="C1834" s="241" t="s">
        <v>141</v>
      </c>
      <c r="D1834" s="230"/>
      <c r="E1834" s="247"/>
      <c r="F1834" s="232">
        <v>0</v>
      </c>
      <c r="G1834" s="232">
        <v>0</v>
      </c>
      <c r="H1834" s="295"/>
      <c r="I1834" s="180"/>
      <c r="J1834" s="47"/>
      <c r="K1834" s="15"/>
    </row>
    <row r="1835" spans="1:11" s="16" customFormat="1" ht="25.5" outlineLevel="3">
      <c r="A1835" s="14"/>
      <c r="B1835" s="35"/>
      <c r="C1835" s="314" t="s">
        <v>1082</v>
      </c>
      <c r="D1835" s="230" t="s">
        <v>28</v>
      </c>
      <c r="E1835" s="247">
        <v>1</v>
      </c>
      <c r="F1835" s="232">
        <v>0</v>
      </c>
      <c r="G1835" s="232">
        <v>0</v>
      </c>
      <c r="H1835" s="138">
        <f>G1835+F1835</f>
        <v>0</v>
      </c>
      <c r="I1835" s="138">
        <f>H1835*E1835</f>
        <v>0</v>
      </c>
      <c r="J1835" s="47"/>
      <c r="K1835" s="15"/>
    </row>
    <row r="1836" spans="1:11" s="16" customFormat="1" ht="25.5" outlineLevel="3">
      <c r="A1836" s="14"/>
      <c r="B1836" s="35"/>
      <c r="C1836" s="242" t="s">
        <v>94</v>
      </c>
      <c r="D1836" s="230" t="s">
        <v>28</v>
      </c>
      <c r="E1836" s="247">
        <v>1</v>
      </c>
      <c r="F1836" s="232">
        <v>0</v>
      </c>
      <c r="G1836" s="232">
        <v>0</v>
      </c>
      <c r="H1836" s="138">
        <f>G1836+F1836</f>
        <v>0</v>
      </c>
      <c r="I1836" s="138">
        <f>H1836*E1836</f>
        <v>0</v>
      </c>
      <c r="J1836" s="47"/>
      <c r="K1836" s="15"/>
    </row>
    <row r="1837" spans="1:11" s="16" customFormat="1" ht="25.5" outlineLevel="3">
      <c r="A1837" s="14"/>
      <c r="B1837" s="35"/>
      <c r="C1837" s="242" t="s">
        <v>95</v>
      </c>
      <c r="D1837" s="230" t="s">
        <v>28</v>
      </c>
      <c r="E1837" s="247">
        <v>1</v>
      </c>
      <c r="F1837" s="232">
        <v>0</v>
      </c>
      <c r="G1837" s="232">
        <v>0</v>
      </c>
      <c r="H1837" s="138">
        <f>G1837+F1837</f>
        <v>0</v>
      </c>
      <c r="I1837" s="138">
        <f>H1837*E1837</f>
        <v>0</v>
      </c>
      <c r="J1837" s="47"/>
      <c r="K1837" s="15"/>
    </row>
    <row r="1838" spans="1:11" s="16" customFormat="1" ht="25.5" outlineLevel="3">
      <c r="A1838" s="14"/>
      <c r="B1838" s="35"/>
      <c r="C1838" s="242" t="s">
        <v>96</v>
      </c>
      <c r="D1838" s="230" t="s">
        <v>28</v>
      </c>
      <c r="E1838" s="247">
        <v>1</v>
      </c>
      <c r="F1838" s="232">
        <v>0</v>
      </c>
      <c r="G1838" s="232">
        <v>0</v>
      </c>
      <c r="H1838" s="138">
        <f>G1838+F1838</f>
        <v>0</v>
      </c>
      <c r="I1838" s="138">
        <f>H1838*E1838</f>
        <v>0</v>
      </c>
      <c r="J1838" s="47"/>
      <c r="K1838" s="15"/>
    </row>
    <row r="1839" spans="1:11" s="16" customFormat="1" ht="25.5" outlineLevel="3">
      <c r="A1839" s="14"/>
      <c r="B1839" s="35"/>
      <c r="C1839" s="241" t="s">
        <v>148</v>
      </c>
      <c r="D1839" s="315"/>
      <c r="E1839" s="247"/>
      <c r="F1839" s="232">
        <v>0</v>
      </c>
      <c r="G1839" s="232">
        <v>0</v>
      </c>
      <c r="H1839" s="295"/>
      <c r="I1839" s="180"/>
      <c r="J1839" s="47"/>
      <c r="K1839" s="15"/>
    </row>
    <row r="1840" spans="1:11" s="16" customFormat="1" ht="25.5" outlineLevel="3">
      <c r="A1840" s="14"/>
      <c r="B1840" s="35"/>
      <c r="C1840" s="314" t="s">
        <v>170</v>
      </c>
      <c r="D1840" s="230" t="s">
        <v>28</v>
      </c>
      <c r="E1840" s="247">
        <v>3</v>
      </c>
      <c r="F1840" s="232">
        <v>0</v>
      </c>
      <c r="G1840" s="232">
        <v>0</v>
      </c>
      <c r="H1840" s="138">
        <f>G1840+F1840</f>
        <v>0</v>
      </c>
      <c r="I1840" s="138">
        <f>H1840*E1840</f>
        <v>0</v>
      </c>
      <c r="J1840" s="47"/>
      <c r="K1840" s="15"/>
    </row>
    <row r="1841" spans="1:11" s="16" customFormat="1" ht="25.5" outlineLevel="3">
      <c r="A1841" s="14"/>
      <c r="B1841" s="35"/>
      <c r="C1841" s="229" t="s">
        <v>139</v>
      </c>
      <c r="D1841" s="230" t="s">
        <v>38</v>
      </c>
      <c r="E1841" s="247">
        <v>1</v>
      </c>
      <c r="F1841" s="232">
        <v>0</v>
      </c>
      <c r="G1841" s="232">
        <v>0</v>
      </c>
      <c r="H1841" s="138">
        <f>G1841+F1841</f>
        <v>0</v>
      </c>
      <c r="I1841" s="138">
        <f>H1841*E1841</f>
        <v>0</v>
      </c>
      <c r="J1841" s="47"/>
      <c r="K1841" s="15"/>
    </row>
    <row r="1842" spans="1:11" s="16" customFormat="1" ht="25.5" outlineLevel="3">
      <c r="A1842" s="14"/>
      <c r="B1842" s="35">
        <f>MAXA(B$5:B1841)+1</f>
        <v>837</v>
      </c>
      <c r="C1842" s="242" t="s">
        <v>1091</v>
      </c>
      <c r="D1842" s="230" t="s">
        <v>38</v>
      </c>
      <c r="E1842" s="247">
        <v>1</v>
      </c>
      <c r="F1842" s="232">
        <v>2783456</v>
      </c>
      <c r="G1842" s="232">
        <v>1563188</v>
      </c>
      <c r="H1842" s="138">
        <f>G1842+F1842</f>
        <v>4346644</v>
      </c>
      <c r="I1842" s="138">
        <f>H1842*E1842</f>
        <v>4346644</v>
      </c>
      <c r="J1842" s="47"/>
      <c r="K1842" s="15"/>
    </row>
    <row r="1843" spans="1:11" s="16" customFormat="1" ht="25.5" outlineLevel="3">
      <c r="A1843" s="14"/>
      <c r="B1843" s="35"/>
      <c r="C1843" s="241" t="s">
        <v>141</v>
      </c>
      <c r="D1843" s="230"/>
      <c r="E1843" s="247"/>
      <c r="F1843" s="232">
        <v>0</v>
      </c>
      <c r="G1843" s="232">
        <v>0</v>
      </c>
      <c r="H1843" s="295"/>
      <c r="I1843" s="180"/>
      <c r="J1843" s="47"/>
      <c r="K1843" s="15"/>
    </row>
    <row r="1844" spans="1:11" s="16" customFormat="1" ht="25.5" outlineLevel="3">
      <c r="A1844" s="14"/>
      <c r="B1844" s="35"/>
      <c r="C1844" s="314" t="s">
        <v>1082</v>
      </c>
      <c r="D1844" s="230" t="s">
        <v>28</v>
      </c>
      <c r="E1844" s="247">
        <v>1</v>
      </c>
      <c r="F1844" s="232">
        <v>0</v>
      </c>
      <c r="G1844" s="232">
        <v>0</v>
      </c>
      <c r="H1844" s="138">
        <f>G1844+F1844</f>
        <v>0</v>
      </c>
      <c r="I1844" s="138">
        <f>H1844*E1844</f>
        <v>0</v>
      </c>
      <c r="J1844" s="47"/>
      <c r="K1844" s="15"/>
    </row>
    <row r="1845" spans="1:11" s="16" customFormat="1" ht="25.5" outlineLevel="3">
      <c r="A1845" s="14"/>
      <c r="B1845" s="35"/>
      <c r="C1845" s="242" t="s">
        <v>94</v>
      </c>
      <c r="D1845" s="230" t="s">
        <v>28</v>
      </c>
      <c r="E1845" s="247">
        <v>1</v>
      </c>
      <c r="F1845" s="232">
        <v>0</v>
      </c>
      <c r="G1845" s="232">
        <v>0</v>
      </c>
      <c r="H1845" s="138">
        <f>G1845+F1845</f>
        <v>0</v>
      </c>
      <c r="I1845" s="138">
        <f>H1845*E1845</f>
        <v>0</v>
      </c>
      <c r="J1845" s="47"/>
      <c r="K1845" s="15"/>
    </row>
    <row r="1846" spans="1:11" s="16" customFormat="1" ht="25.5" outlineLevel="3">
      <c r="A1846" s="14"/>
      <c r="B1846" s="35"/>
      <c r="C1846" s="242" t="s">
        <v>95</v>
      </c>
      <c r="D1846" s="230" t="s">
        <v>28</v>
      </c>
      <c r="E1846" s="247">
        <v>1</v>
      </c>
      <c r="F1846" s="232">
        <v>0</v>
      </c>
      <c r="G1846" s="232">
        <v>0</v>
      </c>
      <c r="H1846" s="138">
        <f>G1846+F1846</f>
        <v>0</v>
      </c>
      <c r="I1846" s="138">
        <f>H1846*E1846</f>
        <v>0</v>
      </c>
      <c r="J1846" s="47"/>
      <c r="K1846" s="15"/>
    </row>
    <row r="1847" spans="1:11" s="16" customFormat="1" ht="25.5" outlineLevel="3">
      <c r="A1847" s="14"/>
      <c r="B1847" s="35"/>
      <c r="C1847" s="242" t="s">
        <v>96</v>
      </c>
      <c r="D1847" s="230" t="s">
        <v>28</v>
      </c>
      <c r="E1847" s="247">
        <v>1</v>
      </c>
      <c r="F1847" s="232">
        <v>0</v>
      </c>
      <c r="G1847" s="232">
        <v>0</v>
      </c>
      <c r="H1847" s="138">
        <f>G1847+F1847</f>
        <v>0</v>
      </c>
      <c r="I1847" s="138">
        <f>H1847*E1847</f>
        <v>0</v>
      </c>
      <c r="J1847" s="47"/>
      <c r="K1847" s="15"/>
    </row>
    <row r="1848" spans="1:11" s="16" customFormat="1" ht="25.5" outlineLevel="3">
      <c r="A1848" s="14"/>
      <c r="B1848" s="35"/>
      <c r="C1848" s="241" t="s">
        <v>148</v>
      </c>
      <c r="D1848" s="315"/>
      <c r="E1848" s="247"/>
      <c r="F1848" s="232">
        <v>0</v>
      </c>
      <c r="G1848" s="232">
        <v>0</v>
      </c>
      <c r="H1848" s="295"/>
      <c r="I1848" s="180"/>
      <c r="J1848" s="47"/>
      <c r="K1848" s="15"/>
    </row>
    <row r="1849" spans="1:11" s="16" customFormat="1" ht="25.5" outlineLevel="3">
      <c r="A1849" s="14"/>
      <c r="B1849" s="35"/>
      <c r="C1849" s="314" t="s">
        <v>170</v>
      </c>
      <c r="D1849" s="230" t="s">
        <v>28</v>
      </c>
      <c r="E1849" s="247">
        <v>2</v>
      </c>
      <c r="F1849" s="232">
        <v>0</v>
      </c>
      <c r="G1849" s="232">
        <v>0</v>
      </c>
      <c r="H1849" s="138">
        <f>G1849+F1849</f>
        <v>0</v>
      </c>
      <c r="I1849" s="138">
        <f>H1849*E1849</f>
        <v>0</v>
      </c>
      <c r="J1849" s="47"/>
      <c r="K1849" s="15"/>
    </row>
    <row r="1850" spans="1:11" s="16" customFormat="1" ht="25.5" outlineLevel="3">
      <c r="A1850" s="14"/>
      <c r="B1850" s="35"/>
      <c r="C1850" s="229" t="s">
        <v>139</v>
      </c>
      <c r="D1850" s="230" t="s">
        <v>38</v>
      </c>
      <c r="E1850" s="247">
        <v>1</v>
      </c>
      <c r="F1850" s="232">
        <v>0</v>
      </c>
      <c r="G1850" s="232">
        <v>0</v>
      </c>
      <c r="H1850" s="138">
        <f>G1850+F1850</f>
        <v>0</v>
      </c>
      <c r="I1850" s="138">
        <f>H1850*E1850</f>
        <v>0</v>
      </c>
      <c r="J1850" s="47"/>
      <c r="K1850" s="15"/>
    </row>
    <row r="1851" spans="1:11" s="16" customFormat="1" ht="25.5" outlineLevel="3">
      <c r="A1851" s="14"/>
      <c r="B1851" s="35">
        <f>MAXA(B$5:B1850)+1</f>
        <v>838</v>
      </c>
      <c r="C1851" s="242" t="s">
        <v>1092</v>
      </c>
      <c r="D1851" s="230" t="s">
        <v>38</v>
      </c>
      <c r="E1851" s="247">
        <v>1</v>
      </c>
      <c r="F1851" s="232">
        <v>26847522</v>
      </c>
      <c r="G1851" s="232">
        <v>1563188</v>
      </c>
      <c r="H1851" s="138">
        <f>G1851+F1851</f>
        <v>28410710</v>
      </c>
      <c r="I1851" s="138">
        <f>H1851*E1851</f>
        <v>28410710</v>
      </c>
      <c r="J1851" s="47"/>
      <c r="K1851" s="15"/>
    </row>
    <row r="1852" spans="1:11" s="16" customFormat="1" ht="25.5" outlineLevel="3">
      <c r="A1852" s="14"/>
      <c r="B1852" s="35"/>
      <c r="C1852" s="241" t="s">
        <v>141</v>
      </c>
      <c r="D1852" s="230"/>
      <c r="E1852" s="247"/>
      <c r="F1852" s="232">
        <v>0</v>
      </c>
      <c r="G1852" s="232">
        <v>0</v>
      </c>
      <c r="H1852" s="295"/>
      <c r="I1852" s="180"/>
      <c r="J1852" s="47"/>
      <c r="K1852" s="15"/>
    </row>
    <row r="1853" spans="1:11" s="16" customFormat="1" ht="25.5" outlineLevel="3">
      <c r="A1853" s="14"/>
      <c r="B1853" s="35"/>
      <c r="C1853" s="314" t="s">
        <v>207</v>
      </c>
      <c r="D1853" s="230" t="s">
        <v>28</v>
      </c>
      <c r="E1853" s="247">
        <v>1</v>
      </c>
      <c r="F1853" s="232">
        <v>0</v>
      </c>
      <c r="G1853" s="232">
        <v>0</v>
      </c>
      <c r="H1853" s="138">
        <f t="shared" ref="H1853:H1863" si="183">G1853+F1853</f>
        <v>0</v>
      </c>
      <c r="I1853" s="138">
        <f t="shared" ref="I1853:I1863" si="184">H1853*E1853</f>
        <v>0</v>
      </c>
      <c r="J1853" s="47"/>
      <c r="K1853" s="15"/>
    </row>
    <row r="1854" spans="1:11" s="16" customFormat="1" ht="25.5" outlineLevel="3">
      <c r="A1854" s="14"/>
      <c r="B1854" s="35"/>
      <c r="C1854" s="242" t="s">
        <v>94</v>
      </c>
      <c r="D1854" s="230" t="s">
        <v>28</v>
      </c>
      <c r="E1854" s="247">
        <v>9</v>
      </c>
      <c r="F1854" s="232">
        <v>0</v>
      </c>
      <c r="G1854" s="232">
        <v>0</v>
      </c>
      <c r="H1854" s="138">
        <f t="shared" si="183"/>
        <v>0</v>
      </c>
      <c r="I1854" s="138">
        <f t="shared" si="184"/>
        <v>0</v>
      </c>
      <c r="J1854" s="47"/>
      <c r="K1854" s="15"/>
    </row>
    <row r="1855" spans="1:11" s="16" customFormat="1" ht="25.5" outlineLevel="3">
      <c r="A1855" s="14"/>
      <c r="B1855" s="35"/>
      <c r="C1855" s="242" t="s">
        <v>95</v>
      </c>
      <c r="D1855" s="230" t="s">
        <v>28</v>
      </c>
      <c r="E1855" s="247">
        <v>9</v>
      </c>
      <c r="F1855" s="232">
        <v>0</v>
      </c>
      <c r="G1855" s="232">
        <v>0</v>
      </c>
      <c r="H1855" s="138">
        <f t="shared" si="183"/>
        <v>0</v>
      </c>
      <c r="I1855" s="138">
        <f t="shared" si="184"/>
        <v>0</v>
      </c>
      <c r="J1855" s="47"/>
      <c r="K1855" s="15"/>
    </row>
    <row r="1856" spans="1:11" s="16" customFormat="1" ht="25.5" outlineLevel="3">
      <c r="A1856" s="14"/>
      <c r="B1856" s="35"/>
      <c r="C1856" s="242" t="s">
        <v>96</v>
      </c>
      <c r="D1856" s="230" t="s">
        <v>28</v>
      </c>
      <c r="E1856" s="247">
        <v>2</v>
      </c>
      <c r="F1856" s="232">
        <v>0</v>
      </c>
      <c r="G1856" s="232">
        <v>0</v>
      </c>
      <c r="H1856" s="138">
        <f t="shared" si="183"/>
        <v>0</v>
      </c>
      <c r="I1856" s="138">
        <f t="shared" si="184"/>
        <v>0</v>
      </c>
      <c r="J1856" s="47"/>
      <c r="K1856" s="15"/>
    </row>
    <row r="1857" spans="1:11" s="16" customFormat="1" ht="25.5" outlineLevel="3">
      <c r="A1857" s="14"/>
      <c r="B1857" s="35"/>
      <c r="C1857" s="242" t="s">
        <v>97</v>
      </c>
      <c r="D1857" s="230" t="s">
        <v>28</v>
      </c>
      <c r="E1857" s="247">
        <v>2</v>
      </c>
      <c r="F1857" s="232">
        <v>0</v>
      </c>
      <c r="G1857" s="232">
        <v>0</v>
      </c>
      <c r="H1857" s="138">
        <f t="shared" si="183"/>
        <v>0</v>
      </c>
      <c r="I1857" s="138">
        <f t="shared" si="184"/>
        <v>0</v>
      </c>
      <c r="J1857" s="47"/>
      <c r="K1857" s="15"/>
    </row>
    <row r="1858" spans="1:11" s="16" customFormat="1" ht="25.5" outlineLevel="3">
      <c r="A1858" s="14"/>
      <c r="B1858" s="35"/>
      <c r="C1858" s="242" t="s">
        <v>98</v>
      </c>
      <c r="D1858" s="230" t="s">
        <v>28</v>
      </c>
      <c r="E1858" s="247">
        <v>2</v>
      </c>
      <c r="F1858" s="232">
        <v>0</v>
      </c>
      <c r="G1858" s="232">
        <v>0</v>
      </c>
      <c r="H1858" s="138">
        <f t="shared" si="183"/>
        <v>0</v>
      </c>
      <c r="I1858" s="138">
        <f t="shared" si="184"/>
        <v>0</v>
      </c>
      <c r="J1858" s="47"/>
      <c r="K1858" s="15"/>
    </row>
    <row r="1859" spans="1:11" s="16" customFormat="1" ht="25.5" outlineLevel="3">
      <c r="A1859" s="14"/>
      <c r="B1859" s="35"/>
      <c r="C1859" s="242" t="s">
        <v>143</v>
      </c>
      <c r="D1859" s="230" t="s">
        <v>28</v>
      </c>
      <c r="E1859" s="247">
        <v>1</v>
      </c>
      <c r="F1859" s="232">
        <v>0</v>
      </c>
      <c r="G1859" s="232">
        <v>0</v>
      </c>
      <c r="H1859" s="138">
        <f t="shared" si="183"/>
        <v>0</v>
      </c>
      <c r="I1859" s="138">
        <f t="shared" si="184"/>
        <v>0</v>
      </c>
      <c r="J1859" s="47"/>
      <c r="K1859" s="15"/>
    </row>
    <row r="1860" spans="1:11" s="16" customFormat="1" ht="25.5" outlineLevel="3">
      <c r="A1860" s="14"/>
      <c r="B1860" s="35"/>
      <c r="C1860" s="242" t="s">
        <v>144</v>
      </c>
      <c r="D1860" s="230" t="s">
        <v>28</v>
      </c>
      <c r="E1860" s="247">
        <v>1</v>
      </c>
      <c r="F1860" s="232">
        <v>0</v>
      </c>
      <c r="G1860" s="232">
        <v>0</v>
      </c>
      <c r="H1860" s="138">
        <f t="shared" si="183"/>
        <v>0</v>
      </c>
      <c r="I1860" s="138">
        <f t="shared" si="184"/>
        <v>0</v>
      </c>
      <c r="J1860" s="47"/>
      <c r="K1860" s="15"/>
    </row>
    <row r="1861" spans="1:11" s="16" customFormat="1" ht="25.5" outlineLevel="3">
      <c r="A1861" s="14"/>
      <c r="B1861" s="35"/>
      <c r="C1861" s="242" t="s">
        <v>233</v>
      </c>
      <c r="D1861" s="230" t="s">
        <v>28</v>
      </c>
      <c r="E1861" s="247">
        <v>1</v>
      </c>
      <c r="F1861" s="232">
        <v>0</v>
      </c>
      <c r="G1861" s="232">
        <v>0</v>
      </c>
      <c r="H1861" s="138">
        <f t="shared" si="183"/>
        <v>0</v>
      </c>
      <c r="I1861" s="138">
        <f t="shared" si="184"/>
        <v>0</v>
      </c>
      <c r="J1861" s="47"/>
      <c r="K1861" s="15"/>
    </row>
    <row r="1862" spans="1:11" s="16" customFormat="1" ht="25.5" outlineLevel="3">
      <c r="A1862" s="14"/>
      <c r="B1862" s="35"/>
      <c r="C1862" s="242" t="s">
        <v>146</v>
      </c>
      <c r="D1862" s="230" t="s">
        <v>28</v>
      </c>
      <c r="E1862" s="247">
        <v>1</v>
      </c>
      <c r="F1862" s="232">
        <v>0</v>
      </c>
      <c r="G1862" s="232">
        <v>0</v>
      </c>
      <c r="H1862" s="138">
        <f t="shared" si="183"/>
        <v>0</v>
      </c>
      <c r="I1862" s="138">
        <f t="shared" si="184"/>
        <v>0</v>
      </c>
      <c r="J1862" s="47"/>
      <c r="K1862" s="15"/>
    </row>
    <row r="1863" spans="1:11" s="16" customFormat="1" ht="25.5" outlineLevel="3">
      <c r="A1863" s="14"/>
      <c r="B1863" s="35"/>
      <c r="C1863" s="242" t="s">
        <v>234</v>
      </c>
      <c r="D1863" s="230" t="s">
        <v>28</v>
      </c>
      <c r="E1863" s="247">
        <v>3</v>
      </c>
      <c r="F1863" s="232">
        <v>0</v>
      </c>
      <c r="G1863" s="232">
        <v>0</v>
      </c>
      <c r="H1863" s="138">
        <f t="shared" si="183"/>
        <v>0</v>
      </c>
      <c r="I1863" s="138">
        <f t="shared" si="184"/>
        <v>0</v>
      </c>
      <c r="J1863" s="47"/>
      <c r="K1863" s="15"/>
    </row>
    <row r="1864" spans="1:11" s="16" customFormat="1" ht="25.5" outlineLevel="3">
      <c r="A1864" s="14"/>
      <c r="B1864" s="35"/>
      <c r="C1864" s="241" t="s">
        <v>148</v>
      </c>
      <c r="D1864" s="315"/>
      <c r="E1864" s="247"/>
      <c r="F1864" s="232">
        <v>0</v>
      </c>
      <c r="G1864" s="232">
        <v>0</v>
      </c>
      <c r="H1864" s="295"/>
      <c r="I1864" s="180"/>
      <c r="J1864" s="47"/>
      <c r="K1864" s="15"/>
    </row>
    <row r="1865" spans="1:11" s="16" customFormat="1" ht="25.5" outlineLevel="3">
      <c r="A1865" s="14"/>
      <c r="B1865" s="35"/>
      <c r="C1865" s="314" t="s">
        <v>149</v>
      </c>
      <c r="D1865" s="230" t="s">
        <v>28</v>
      </c>
      <c r="E1865" s="247">
        <v>6</v>
      </c>
      <c r="F1865" s="232">
        <v>0</v>
      </c>
      <c r="G1865" s="232">
        <v>0</v>
      </c>
      <c r="H1865" s="138">
        <f t="shared" ref="H1865:H1873" si="185">G1865+F1865</f>
        <v>0</v>
      </c>
      <c r="I1865" s="138">
        <f t="shared" ref="I1865:I1873" si="186">H1865*E1865</f>
        <v>0</v>
      </c>
      <c r="J1865" s="47"/>
      <c r="K1865" s="15"/>
    </row>
    <row r="1866" spans="1:11" s="16" customFormat="1" ht="25.5" outlineLevel="3">
      <c r="A1866" s="14"/>
      <c r="B1866" s="35"/>
      <c r="C1866" s="314" t="s">
        <v>1079</v>
      </c>
      <c r="D1866" s="230" t="s">
        <v>28</v>
      </c>
      <c r="E1866" s="247">
        <v>5</v>
      </c>
      <c r="F1866" s="232">
        <v>0</v>
      </c>
      <c r="G1866" s="232">
        <v>0</v>
      </c>
      <c r="H1866" s="138">
        <f t="shared" si="185"/>
        <v>0</v>
      </c>
      <c r="I1866" s="138">
        <f t="shared" si="186"/>
        <v>0</v>
      </c>
      <c r="J1866" s="47"/>
      <c r="K1866" s="15"/>
    </row>
    <row r="1867" spans="1:11" s="16" customFormat="1" ht="25.5" outlineLevel="3">
      <c r="A1867" s="14"/>
      <c r="B1867" s="35"/>
      <c r="C1867" s="314" t="s">
        <v>1093</v>
      </c>
      <c r="D1867" s="230" t="s">
        <v>28</v>
      </c>
      <c r="E1867" s="247">
        <v>1</v>
      </c>
      <c r="F1867" s="232">
        <v>0</v>
      </c>
      <c r="G1867" s="232">
        <v>0</v>
      </c>
      <c r="H1867" s="138">
        <f t="shared" si="185"/>
        <v>0</v>
      </c>
      <c r="I1867" s="138">
        <f t="shared" si="186"/>
        <v>0</v>
      </c>
      <c r="J1867" s="47"/>
      <c r="K1867" s="15"/>
    </row>
    <row r="1868" spans="1:11" s="16" customFormat="1" ht="25.5" outlineLevel="3">
      <c r="A1868" s="14"/>
      <c r="B1868" s="35"/>
      <c r="C1868" s="314" t="s">
        <v>151</v>
      </c>
      <c r="D1868" s="230" t="s">
        <v>28</v>
      </c>
      <c r="E1868" s="247">
        <v>1</v>
      </c>
      <c r="F1868" s="232">
        <v>0</v>
      </c>
      <c r="G1868" s="232">
        <v>0</v>
      </c>
      <c r="H1868" s="138">
        <f t="shared" si="185"/>
        <v>0</v>
      </c>
      <c r="I1868" s="138">
        <f t="shared" si="186"/>
        <v>0</v>
      </c>
      <c r="J1868" s="47"/>
      <c r="K1868" s="15"/>
    </row>
    <row r="1869" spans="1:11" s="16" customFormat="1" ht="25.5" outlineLevel="3">
      <c r="A1869" s="14"/>
      <c r="B1869" s="35"/>
      <c r="C1869" s="314" t="s">
        <v>153</v>
      </c>
      <c r="D1869" s="230" t="s">
        <v>28</v>
      </c>
      <c r="E1869" s="247">
        <v>1</v>
      </c>
      <c r="F1869" s="232">
        <v>0</v>
      </c>
      <c r="G1869" s="232">
        <v>0</v>
      </c>
      <c r="H1869" s="138">
        <f t="shared" si="185"/>
        <v>0</v>
      </c>
      <c r="I1869" s="138">
        <f t="shared" si="186"/>
        <v>0</v>
      </c>
      <c r="J1869" s="47"/>
      <c r="K1869" s="15"/>
    </row>
    <row r="1870" spans="1:11" s="16" customFormat="1" ht="25.5" outlineLevel="3">
      <c r="A1870" s="14"/>
      <c r="B1870" s="35"/>
      <c r="C1870" s="314" t="s">
        <v>203</v>
      </c>
      <c r="D1870" s="230" t="s">
        <v>28</v>
      </c>
      <c r="E1870" s="247">
        <v>1</v>
      </c>
      <c r="F1870" s="232">
        <v>0</v>
      </c>
      <c r="G1870" s="232">
        <v>0</v>
      </c>
      <c r="H1870" s="138">
        <f t="shared" si="185"/>
        <v>0</v>
      </c>
      <c r="I1870" s="138">
        <f t="shared" si="186"/>
        <v>0</v>
      </c>
      <c r="J1870" s="47"/>
      <c r="K1870" s="15"/>
    </row>
    <row r="1871" spans="1:11" s="16" customFormat="1" ht="25.5" outlineLevel="3">
      <c r="A1871" s="14"/>
      <c r="B1871" s="35"/>
      <c r="C1871" s="242" t="s">
        <v>161</v>
      </c>
      <c r="D1871" s="230" t="s">
        <v>194</v>
      </c>
      <c r="E1871" s="247">
        <v>1</v>
      </c>
      <c r="F1871" s="232">
        <v>0</v>
      </c>
      <c r="G1871" s="232">
        <v>0</v>
      </c>
      <c r="H1871" s="138">
        <f t="shared" si="185"/>
        <v>0</v>
      </c>
      <c r="I1871" s="138">
        <f t="shared" si="186"/>
        <v>0</v>
      </c>
      <c r="J1871" s="47"/>
      <c r="K1871" s="15"/>
    </row>
    <row r="1872" spans="1:11" s="16" customFormat="1" ht="25.5" outlineLevel="3">
      <c r="A1872" s="14"/>
      <c r="B1872" s="35"/>
      <c r="C1872" s="229" t="s">
        <v>139</v>
      </c>
      <c r="D1872" s="230" t="s">
        <v>38</v>
      </c>
      <c r="E1872" s="247">
        <v>1</v>
      </c>
      <c r="F1872" s="232">
        <v>0</v>
      </c>
      <c r="G1872" s="232">
        <v>0</v>
      </c>
      <c r="H1872" s="138">
        <f t="shared" si="185"/>
        <v>0</v>
      </c>
      <c r="I1872" s="138">
        <f t="shared" si="186"/>
        <v>0</v>
      </c>
      <c r="J1872" s="47"/>
      <c r="K1872" s="15"/>
    </row>
    <row r="1873" spans="1:11" s="16" customFormat="1" ht="25.5" outlineLevel="3">
      <c r="A1873" s="14"/>
      <c r="B1873" s="35">
        <f>MAXA(B$5:B1872)+1</f>
        <v>839</v>
      </c>
      <c r="C1873" s="242" t="s">
        <v>1094</v>
      </c>
      <c r="D1873" s="230" t="s">
        <v>38</v>
      </c>
      <c r="E1873" s="247">
        <v>1</v>
      </c>
      <c r="F1873" s="232">
        <v>2783456</v>
      </c>
      <c r="G1873" s="232">
        <v>1563188</v>
      </c>
      <c r="H1873" s="138">
        <f t="shared" si="185"/>
        <v>4346644</v>
      </c>
      <c r="I1873" s="138">
        <f t="shared" si="186"/>
        <v>4346644</v>
      </c>
      <c r="J1873" s="47"/>
      <c r="K1873" s="15"/>
    </row>
    <row r="1874" spans="1:11" s="16" customFormat="1" ht="25.5" outlineLevel="3">
      <c r="A1874" s="14"/>
      <c r="B1874" s="35"/>
      <c r="C1874" s="241" t="s">
        <v>141</v>
      </c>
      <c r="D1874" s="230"/>
      <c r="E1874" s="247"/>
      <c r="F1874" s="232">
        <v>0</v>
      </c>
      <c r="G1874" s="232">
        <v>0</v>
      </c>
      <c r="H1874" s="295"/>
      <c r="I1874" s="180"/>
      <c r="J1874" s="47"/>
      <c r="K1874" s="15"/>
    </row>
    <row r="1875" spans="1:11" s="16" customFormat="1" ht="25.5" outlineLevel="3">
      <c r="A1875" s="14"/>
      <c r="B1875" s="35"/>
      <c r="C1875" s="314" t="s">
        <v>1082</v>
      </c>
      <c r="D1875" s="230" t="s">
        <v>28</v>
      </c>
      <c r="E1875" s="247">
        <v>1</v>
      </c>
      <c r="F1875" s="232">
        <v>0</v>
      </c>
      <c r="G1875" s="232">
        <v>0</v>
      </c>
      <c r="H1875" s="138">
        <f>G1875+F1875</f>
        <v>0</v>
      </c>
      <c r="I1875" s="138">
        <f>H1875*E1875</f>
        <v>0</v>
      </c>
      <c r="J1875" s="47"/>
      <c r="K1875" s="15"/>
    </row>
    <row r="1876" spans="1:11" s="16" customFormat="1" ht="25.5" outlineLevel="3">
      <c r="A1876" s="14"/>
      <c r="B1876" s="35"/>
      <c r="C1876" s="242" t="s">
        <v>94</v>
      </c>
      <c r="D1876" s="230" t="s">
        <v>28</v>
      </c>
      <c r="E1876" s="247">
        <v>1</v>
      </c>
      <c r="F1876" s="232">
        <v>0</v>
      </c>
      <c r="G1876" s="232">
        <v>0</v>
      </c>
      <c r="H1876" s="138">
        <f>G1876+F1876</f>
        <v>0</v>
      </c>
      <c r="I1876" s="138">
        <f>H1876*E1876</f>
        <v>0</v>
      </c>
      <c r="J1876" s="47"/>
      <c r="K1876" s="15"/>
    </row>
    <row r="1877" spans="1:11" s="16" customFormat="1" ht="25.5" outlineLevel="3">
      <c r="A1877" s="14"/>
      <c r="B1877" s="35"/>
      <c r="C1877" s="242" t="s">
        <v>95</v>
      </c>
      <c r="D1877" s="230" t="s">
        <v>28</v>
      </c>
      <c r="E1877" s="247">
        <v>1</v>
      </c>
      <c r="F1877" s="232">
        <v>0</v>
      </c>
      <c r="G1877" s="232">
        <v>0</v>
      </c>
      <c r="H1877" s="138">
        <f>G1877+F1877</f>
        <v>0</v>
      </c>
      <c r="I1877" s="138">
        <f>H1877*E1877</f>
        <v>0</v>
      </c>
      <c r="J1877" s="47"/>
      <c r="K1877" s="15"/>
    </row>
    <row r="1878" spans="1:11" s="16" customFormat="1" ht="25.5" outlineLevel="3">
      <c r="A1878" s="14"/>
      <c r="B1878" s="35"/>
      <c r="C1878" s="242" t="s">
        <v>96</v>
      </c>
      <c r="D1878" s="230" t="s">
        <v>28</v>
      </c>
      <c r="E1878" s="247">
        <v>1</v>
      </c>
      <c r="F1878" s="232">
        <v>0</v>
      </c>
      <c r="G1878" s="232">
        <v>0</v>
      </c>
      <c r="H1878" s="138">
        <f>G1878+F1878</f>
        <v>0</v>
      </c>
      <c r="I1878" s="138">
        <f>H1878*E1878</f>
        <v>0</v>
      </c>
      <c r="J1878" s="47"/>
      <c r="K1878" s="15"/>
    </row>
    <row r="1879" spans="1:11" s="16" customFormat="1" ht="25.5" outlineLevel="3">
      <c r="A1879" s="14"/>
      <c r="B1879" s="35"/>
      <c r="C1879" s="241" t="s">
        <v>148</v>
      </c>
      <c r="D1879" s="315"/>
      <c r="E1879" s="247"/>
      <c r="F1879" s="232">
        <v>0</v>
      </c>
      <c r="G1879" s="232">
        <v>0</v>
      </c>
      <c r="H1879" s="295"/>
      <c r="I1879" s="180"/>
      <c r="J1879" s="47"/>
      <c r="K1879" s="15"/>
    </row>
    <row r="1880" spans="1:11" s="16" customFormat="1" ht="25.5" outlineLevel="3">
      <c r="A1880" s="14"/>
      <c r="B1880" s="35"/>
      <c r="C1880" s="314" t="s">
        <v>171</v>
      </c>
      <c r="D1880" s="230" t="s">
        <v>28</v>
      </c>
      <c r="E1880" s="247">
        <v>2</v>
      </c>
      <c r="F1880" s="232">
        <v>0</v>
      </c>
      <c r="G1880" s="232">
        <v>0</v>
      </c>
      <c r="H1880" s="138">
        <f>G1880+F1880</f>
        <v>0</v>
      </c>
      <c r="I1880" s="138">
        <f>H1880*E1880</f>
        <v>0</v>
      </c>
      <c r="J1880" s="47"/>
      <c r="K1880" s="15"/>
    </row>
    <row r="1881" spans="1:11" s="16" customFormat="1" ht="25.5" outlineLevel="3">
      <c r="A1881" s="14"/>
      <c r="B1881" s="35"/>
      <c r="C1881" s="229" t="s">
        <v>139</v>
      </c>
      <c r="D1881" s="230" t="s">
        <v>38</v>
      </c>
      <c r="E1881" s="247">
        <v>1</v>
      </c>
      <c r="F1881" s="232">
        <v>0</v>
      </c>
      <c r="G1881" s="232">
        <v>0</v>
      </c>
      <c r="H1881" s="138">
        <f>G1881+F1881</f>
        <v>0</v>
      </c>
      <c r="I1881" s="138">
        <f>H1881*E1881</f>
        <v>0</v>
      </c>
      <c r="J1881" s="47"/>
      <c r="K1881" s="15"/>
    </row>
    <row r="1882" spans="1:11" s="16" customFormat="1" ht="25.5" outlineLevel="3">
      <c r="A1882" s="14"/>
      <c r="B1882" s="35">
        <f>MAXA(B$5:B1881)+1</f>
        <v>840</v>
      </c>
      <c r="C1882" s="242" t="s">
        <v>1095</v>
      </c>
      <c r="D1882" s="230" t="s">
        <v>38</v>
      </c>
      <c r="E1882" s="247">
        <v>1</v>
      </c>
      <c r="F1882" s="232">
        <v>3031958</v>
      </c>
      <c r="G1882" s="232">
        <v>1563188</v>
      </c>
      <c r="H1882" s="138">
        <f>G1882+F1882</f>
        <v>4595146</v>
      </c>
      <c r="I1882" s="138">
        <f>H1882*E1882</f>
        <v>4595146</v>
      </c>
      <c r="J1882" s="47"/>
      <c r="K1882" s="15"/>
    </row>
    <row r="1883" spans="1:11" s="16" customFormat="1" ht="25.5" outlineLevel="3">
      <c r="A1883" s="14"/>
      <c r="B1883" s="35"/>
      <c r="C1883" s="241" t="s">
        <v>141</v>
      </c>
      <c r="D1883" s="230"/>
      <c r="E1883" s="247"/>
      <c r="F1883" s="232">
        <v>0</v>
      </c>
      <c r="G1883" s="232">
        <v>0</v>
      </c>
      <c r="H1883" s="295"/>
      <c r="I1883" s="180"/>
      <c r="J1883" s="47"/>
      <c r="K1883" s="15"/>
    </row>
    <row r="1884" spans="1:11" s="16" customFormat="1" ht="25.5" outlineLevel="3">
      <c r="A1884" s="14"/>
      <c r="B1884" s="35"/>
      <c r="C1884" s="314" t="s">
        <v>169</v>
      </c>
      <c r="D1884" s="230" t="s">
        <v>28</v>
      </c>
      <c r="E1884" s="247">
        <v>1</v>
      </c>
      <c r="F1884" s="232">
        <v>0</v>
      </c>
      <c r="G1884" s="232">
        <v>0</v>
      </c>
      <c r="H1884" s="138">
        <f>G1884+F1884</f>
        <v>0</v>
      </c>
      <c r="I1884" s="138">
        <f>H1884*E1884</f>
        <v>0</v>
      </c>
      <c r="J1884" s="47"/>
      <c r="K1884" s="15"/>
    </row>
    <row r="1885" spans="1:11" s="16" customFormat="1" ht="25.5" outlineLevel="3">
      <c r="A1885" s="14"/>
      <c r="B1885" s="35"/>
      <c r="C1885" s="242" t="s">
        <v>94</v>
      </c>
      <c r="D1885" s="230" t="s">
        <v>28</v>
      </c>
      <c r="E1885" s="247">
        <v>1</v>
      </c>
      <c r="F1885" s="232">
        <v>0</v>
      </c>
      <c r="G1885" s="232">
        <v>0</v>
      </c>
      <c r="H1885" s="138">
        <f>G1885+F1885</f>
        <v>0</v>
      </c>
      <c r="I1885" s="138">
        <f>H1885*E1885</f>
        <v>0</v>
      </c>
      <c r="J1885" s="47"/>
      <c r="K1885" s="15"/>
    </row>
    <row r="1886" spans="1:11" s="16" customFormat="1" ht="25.5" outlineLevel="3">
      <c r="A1886" s="14"/>
      <c r="B1886" s="35"/>
      <c r="C1886" s="242" t="s">
        <v>95</v>
      </c>
      <c r="D1886" s="230" t="s">
        <v>28</v>
      </c>
      <c r="E1886" s="247">
        <v>1</v>
      </c>
      <c r="F1886" s="232">
        <v>0</v>
      </c>
      <c r="G1886" s="232">
        <v>0</v>
      </c>
      <c r="H1886" s="138">
        <f>G1886+F1886</f>
        <v>0</v>
      </c>
      <c r="I1886" s="138">
        <f>H1886*E1886</f>
        <v>0</v>
      </c>
      <c r="J1886" s="47"/>
      <c r="K1886" s="15"/>
    </row>
    <row r="1887" spans="1:11" s="16" customFormat="1" ht="25.5" outlineLevel="3">
      <c r="A1887" s="14"/>
      <c r="B1887" s="35"/>
      <c r="C1887" s="242" t="s">
        <v>96</v>
      </c>
      <c r="D1887" s="230" t="s">
        <v>28</v>
      </c>
      <c r="E1887" s="247">
        <v>1</v>
      </c>
      <c r="F1887" s="232">
        <v>0</v>
      </c>
      <c r="G1887" s="232">
        <v>0</v>
      </c>
      <c r="H1887" s="138">
        <f>G1887+F1887</f>
        <v>0</v>
      </c>
      <c r="I1887" s="138">
        <f>H1887*E1887</f>
        <v>0</v>
      </c>
      <c r="J1887" s="47"/>
      <c r="K1887" s="15"/>
    </row>
    <row r="1888" spans="1:11" s="16" customFormat="1" ht="25.5" outlineLevel="3">
      <c r="A1888" s="14"/>
      <c r="B1888" s="35"/>
      <c r="C1888" s="241" t="s">
        <v>148</v>
      </c>
      <c r="D1888" s="315"/>
      <c r="E1888" s="247"/>
      <c r="F1888" s="232">
        <v>0</v>
      </c>
      <c r="G1888" s="232">
        <v>0</v>
      </c>
      <c r="H1888" s="295"/>
      <c r="I1888" s="180"/>
      <c r="J1888" s="47"/>
      <c r="K1888" s="15"/>
    </row>
    <row r="1889" spans="1:11" s="16" customFormat="1" ht="25.5" outlineLevel="3">
      <c r="A1889" s="14"/>
      <c r="B1889" s="35"/>
      <c r="C1889" s="314" t="s">
        <v>170</v>
      </c>
      <c r="D1889" s="230" t="s">
        <v>28</v>
      </c>
      <c r="E1889" s="247">
        <v>4</v>
      </c>
      <c r="F1889" s="232">
        <v>0</v>
      </c>
      <c r="G1889" s="232">
        <v>0</v>
      </c>
      <c r="H1889" s="138">
        <f>G1889+F1889</f>
        <v>0</v>
      </c>
      <c r="I1889" s="138">
        <f>H1889*E1889</f>
        <v>0</v>
      </c>
      <c r="J1889" s="47"/>
      <c r="K1889" s="15"/>
    </row>
    <row r="1890" spans="1:11" s="16" customFormat="1" ht="25.5" outlineLevel="3">
      <c r="A1890" s="14"/>
      <c r="B1890" s="35"/>
      <c r="C1890" s="229" t="s">
        <v>139</v>
      </c>
      <c r="D1890" s="230" t="s">
        <v>38</v>
      </c>
      <c r="E1890" s="247">
        <v>1</v>
      </c>
      <c r="F1890" s="232">
        <v>0</v>
      </c>
      <c r="G1890" s="232">
        <v>0</v>
      </c>
      <c r="H1890" s="138">
        <f>G1890+F1890</f>
        <v>0</v>
      </c>
      <c r="I1890" s="138">
        <f>H1890*E1890</f>
        <v>0</v>
      </c>
      <c r="J1890" s="47"/>
      <c r="K1890" s="15"/>
    </row>
    <row r="1891" spans="1:11" s="16" customFormat="1" ht="25.5" outlineLevel="3">
      <c r="A1891" s="14"/>
      <c r="B1891" s="35">
        <f>MAXA(B$5:B1890)+1</f>
        <v>841</v>
      </c>
      <c r="C1891" s="242" t="s">
        <v>1096</v>
      </c>
      <c r="D1891" s="230" t="s">
        <v>38</v>
      </c>
      <c r="E1891" s="247">
        <v>1</v>
      </c>
      <c r="F1891" s="232">
        <v>3156210</v>
      </c>
      <c r="G1891" s="232">
        <v>1563188</v>
      </c>
      <c r="H1891" s="138">
        <f>G1891+F1891</f>
        <v>4719398</v>
      </c>
      <c r="I1891" s="138">
        <f>H1891*E1891</f>
        <v>4719398</v>
      </c>
      <c r="J1891" s="47"/>
      <c r="K1891" s="15"/>
    </row>
    <row r="1892" spans="1:11" s="16" customFormat="1" ht="25.5" outlineLevel="3">
      <c r="A1892" s="14"/>
      <c r="B1892" s="35"/>
      <c r="C1892" s="241" t="s">
        <v>141</v>
      </c>
      <c r="D1892" s="230"/>
      <c r="E1892" s="247"/>
      <c r="F1892" s="232">
        <v>0</v>
      </c>
      <c r="G1892" s="232">
        <v>0</v>
      </c>
      <c r="H1892" s="295"/>
      <c r="I1892" s="180"/>
      <c r="J1892" s="47"/>
      <c r="K1892" s="15"/>
    </row>
    <row r="1893" spans="1:11" s="16" customFormat="1" ht="25.5" outlineLevel="3">
      <c r="A1893" s="14"/>
      <c r="B1893" s="35"/>
      <c r="C1893" s="314" t="s">
        <v>1082</v>
      </c>
      <c r="D1893" s="230" t="s">
        <v>28</v>
      </c>
      <c r="E1893" s="247">
        <v>1</v>
      </c>
      <c r="F1893" s="232">
        <v>0</v>
      </c>
      <c r="G1893" s="232">
        <v>0</v>
      </c>
      <c r="H1893" s="138">
        <f>G1893+F1893</f>
        <v>0</v>
      </c>
      <c r="I1893" s="138">
        <f>H1893*E1893</f>
        <v>0</v>
      </c>
      <c r="J1893" s="47"/>
      <c r="K1893" s="15"/>
    </row>
    <row r="1894" spans="1:11" s="16" customFormat="1" ht="25.5" outlineLevel="3">
      <c r="A1894" s="14"/>
      <c r="B1894" s="35"/>
      <c r="C1894" s="242" t="s">
        <v>94</v>
      </c>
      <c r="D1894" s="230" t="s">
        <v>28</v>
      </c>
      <c r="E1894" s="247">
        <v>1</v>
      </c>
      <c r="F1894" s="232">
        <v>0</v>
      </c>
      <c r="G1894" s="232">
        <v>0</v>
      </c>
      <c r="H1894" s="138">
        <f>G1894+F1894</f>
        <v>0</v>
      </c>
      <c r="I1894" s="138">
        <f>H1894*E1894</f>
        <v>0</v>
      </c>
      <c r="J1894" s="47"/>
      <c r="K1894" s="15"/>
    </row>
    <row r="1895" spans="1:11" s="16" customFormat="1" ht="25.5" outlineLevel="3">
      <c r="A1895" s="14"/>
      <c r="B1895" s="35"/>
      <c r="C1895" s="242" t="s">
        <v>95</v>
      </c>
      <c r="D1895" s="230" t="s">
        <v>28</v>
      </c>
      <c r="E1895" s="247">
        <v>1</v>
      </c>
      <c r="F1895" s="232">
        <v>0</v>
      </c>
      <c r="G1895" s="232">
        <v>0</v>
      </c>
      <c r="H1895" s="138">
        <f>G1895+F1895</f>
        <v>0</v>
      </c>
      <c r="I1895" s="138">
        <f>H1895*E1895</f>
        <v>0</v>
      </c>
      <c r="J1895" s="47"/>
      <c r="K1895" s="15"/>
    </row>
    <row r="1896" spans="1:11" s="16" customFormat="1" ht="25.5" outlineLevel="3">
      <c r="A1896" s="14"/>
      <c r="B1896" s="35"/>
      <c r="C1896" s="242" t="s">
        <v>96</v>
      </c>
      <c r="D1896" s="230" t="s">
        <v>28</v>
      </c>
      <c r="E1896" s="247">
        <v>1</v>
      </c>
      <c r="F1896" s="232">
        <v>0</v>
      </c>
      <c r="G1896" s="232">
        <v>0</v>
      </c>
      <c r="H1896" s="138">
        <f>G1896+F1896</f>
        <v>0</v>
      </c>
      <c r="I1896" s="138">
        <f>H1896*E1896</f>
        <v>0</v>
      </c>
      <c r="J1896" s="47"/>
      <c r="K1896" s="15"/>
    </row>
    <row r="1897" spans="1:11" s="16" customFormat="1" ht="25.5" outlineLevel="3">
      <c r="A1897" s="14"/>
      <c r="B1897" s="35"/>
      <c r="C1897" s="241" t="s">
        <v>148</v>
      </c>
      <c r="D1897" s="315"/>
      <c r="E1897" s="247"/>
      <c r="F1897" s="232">
        <v>0</v>
      </c>
      <c r="G1897" s="232">
        <v>0</v>
      </c>
      <c r="H1897" s="295"/>
      <c r="I1897" s="180"/>
      <c r="J1897" s="47"/>
      <c r="K1897" s="15"/>
    </row>
    <row r="1898" spans="1:11" s="16" customFormat="1" ht="25.5" outlineLevel="3">
      <c r="A1898" s="14"/>
      <c r="B1898" s="35"/>
      <c r="C1898" s="314" t="s">
        <v>170</v>
      </c>
      <c r="D1898" s="230" t="s">
        <v>28</v>
      </c>
      <c r="E1898" s="247">
        <v>5</v>
      </c>
      <c r="F1898" s="232">
        <v>0</v>
      </c>
      <c r="G1898" s="232">
        <v>0</v>
      </c>
      <c r="H1898" s="138">
        <f>G1898+F1898</f>
        <v>0</v>
      </c>
      <c r="I1898" s="138">
        <f>H1898*E1898</f>
        <v>0</v>
      </c>
      <c r="J1898" s="47"/>
      <c r="K1898" s="15"/>
    </row>
    <row r="1899" spans="1:11" s="16" customFormat="1" ht="25.5" outlineLevel="3">
      <c r="A1899" s="14"/>
      <c r="B1899" s="35"/>
      <c r="C1899" s="229" t="s">
        <v>139</v>
      </c>
      <c r="D1899" s="230" t="s">
        <v>38</v>
      </c>
      <c r="E1899" s="247">
        <v>1</v>
      </c>
      <c r="F1899" s="232">
        <v>0</v>
      </c>
      <c r="G1899" s="232">
        <v>0</v>
      </c>
      <c r="H1899" s="138">
        <f>G1899+F1899</f>
        <v>0</v>
      </c>
      <c r="I1899" s="138">
        <f>H1899*E1899</f>
        <v>0</v>
      </c>
      <c r="J1899" s="47"/>
      <c r="K1899" s="15"/>
    </row>
    <row r="1900" spans="1:11" s="16" customFormat="1" ht="25.5" outlineLevel="3">
      <c r="A1900" s="14"/>
      <c r="B1900" s="35">
        <f>MAXA(B$5:B1899)+1</f>
        <v>842</v>
      </c>
      <c r="C1900" s="242" t="s">
        <v>1097</v>
      </c>
      <c r="D1900" s="230" t="s">
        <v>38</v>
      </c>
      <c r="E1900" s="247">
        <v>1</v>
      </c>
      <c r="F1900" s="232">
        <v>3031958</v>
      </c>
      <c r="G1900" s="232">
        <v>1563188</v>
      </c>
      <c r="H1900" s="138">
        <f>G1900+F1900</f>
        <v>4595146</v>
      </c>
      <c r="I1900" s="138">
        <f>H1900*E1900</f>
        <v>4595146</v>
      </c>
      <c r="J1900" s="47"/>
      <c r="K1900" s="15"/>
    </row>
    <row r="1901" spans="1:11" s="16" customFormat="1" ht="25.5" outlineLevel="3">
      <c r="A1901" s="14"/>
      <c r="B1901" s="35"/>
      <c r="C1901" s="241" t="s">
        <v>141</v>
      </c>
      <c r="D1901" s="230"/>
      <c r="E1901" s="247"/>
      <c r="F1901" s="232">
        <v>0</v>
      </c>
      <c r="G1901" s="232">
        <v>0</v>
      </c>
      <c r="H1901" s="295"/>
      <c r="I1901" s="180"/>
      <c r="J1901" s="47"/>
      <c r="K1901" s="15"/>
    </row>
    <row r="1902" spans="1:11" s="16" customFormat="1" ht="25.5" outlineLevel="3">
      <c r="A1902" s="14"/>
      <c r="B1902" s="35"/>
      <c r="C1902" s="314" t="s">
        <v>169</v>
      </c>
      <c r="D1902" s="230" t="s">
        <v>28</v>
      </c>
      <c r="E1902" s="247">
        <v>1</v>
      </c>
      <c r="F1902" s="232">
        <v>0</v>
      </c>
      <c r="G1902" s="232">
        <v>0</v>
      </c>
      <c r="H1902" s="138">
        <f>G1902+F1902</f>
        <v>0</v>
      </c>
      <c r="I1902" s="138">
        <f>H1902*E1902</f>
        <v>0</v>
      </c>
      <c r="J1902" s="47"/>
      <c r="K1902" s="15"/>
    </row>
    <row r="1903" spans="1:11" s="16" customFormat="1" ht="25.5" outlineLevel="3">
      <c r="A1903" s="14"/>
      <c r="B1903" s="35"/>
      <c r="C1903" s="242" t="s">
        <v>94</v>
      </c>
      <c r="D1903" s="230" t="s">
        <v>28</v>
      </c>
      <c r="E1903" s="247">
        <v>1</v>
      </c>
      <c r="F1903" s="232">
        <v>0</v>
      </c>
      <c r="G1903" s="232">
        <v>0</v>
      </c>
      <c r="H1903" s="138">
        <f>G1903+F1903</f>
        <v>0</v>
      </c>
      <c r="I1903" s="138">
        <f>H1903*E1903</f>
        <v>0</v>
      </c>
      <c r="J1903" s="47"/>
      <c r="K1903" s="15"/>
    </row>
    <row r="1904" spans="1:11" s="16" customFormat="1" ht="25.5" outlineLevel="3">
      <c r="A1904" s="14"/>
      <c r="B1904" s="35"/>
      <c r="C1904" s="242" t="s">
        <v>95</v>
      </c>
      <c r="D1904" s="230" t="s">
        <v>28</v>
      </c>
      <c r="E1904" s="247">
        <v>1</v>
      </c>
      <c r="F1904" s="232">
        <v>0</v>
      </c>
      <c r="G1904" s="232">
        <v>0</v>
      </c>
      <c r="H1904" s="138">
        <f>G1904+F1904</f>
        <v>0</v>
      </c>
      <c r="I1904" s="138">
        <f>H1904*E1904</f>
        <v>0</v>
      </c>
      <c r="J1904" s="47"/>
      <c r="K1904" s="15"/>
    </row>
    <row r="1905" spans="1:11" s="16" customFormat="1" ht="25.5" outlineLevel="3">
      <c r="A1905" s="14"/>
      <c r="B1905" s="35"/>
      <c r="C1905" s="242" t="s">
        <v>96</v>
      </c>
      <c r="D1905" s="230" t="s">
        <v>28</v>
      </c>
      <c r="E1905" s="247">
        <v>1</v>
      </c>
      <c r="F1905" s="232">
        <v>0</v>
      </c>
      <c r="G1905" s="232">
        <v>0</v>
      </c>
      <c r="H1905" s="138">
        <f>G1905+F1905</f>
        <v>0</v>
      </c>
      <c r="I1905" s="138">
        <f>H1905*E1905</f>
        <v>0</v>
      </c>
      <c r="J1905" s="47"/>
      <c r="K1905" s="15"/>
    </row>
    <row r="1906" spans="1:11" s="16" customFormat="1" ht="25.5" outlineLevel="3">
      <c r="A1906" s="14"/>
      <c r="B1906" s="35"/>
      <c r="C1906" s="241" t="s">
        <v>148</v>
      </c>
      <c r="D1906" s="315"/>
      <c r="E1906" s="247"/>
      <c r="F1906" s="232">
        <v>0</v>
      </c>
      <c r="G1906" s="232">
        <v>0</v>
      </c>
      <c r="H1906" s="295"/>
      <c r="I1906" s="180"/>
      <c r="J1906" s="47"/>
      <c r="K1906" s="15"/>
    </row>
    <row r="1907" spans="1:11" s="16" customFormat="1" ht="25.5" outlineLevel="3">
      <c r="A1907" s="14"/>
      <c r="B1907" s="35"/>
      <c r="C1907" s="314" t="s">
        <v>170</v>
      </c>
      <c r="D1907" s="230" t="s">
        <v>28</v>
      </c>
      <c r="E1907" s="247">
        <v>4</v>
      </c>
      <c r="F1907" s="232">
        <v>0</v>
      </c>
      <c r="G1907" s="232">
        <v>0</v>
      </c>
      <c r="H1907" s="138">
        <f>G1907+F1907</f>
        <v>0</v>
      </c>
      <c r="I1907" s="138">
        <f>H1907*E1907</f>
        <v>0</v>
      </c>
      <c r="J1907" s="47"/>
      <c r="K1907" s="15"/>
    </row>
    <row r="1908" spans="1:11" s="16" customFormat="1" ht="25.5" outlineLevel="3">
      <c r="A1908" s="14"/>
      <c r="B1908" s="35"/>
      <c r="C1908" s="229" t="s">
        <v>139</v>
      </c>
      <c r="D1908" s="230" t="s">
        <v>38</v>
      </c>
      <c r="E1908" s="247">
        <v>1</v>
      </c>
      <c r="F1908" s="232">
        <v>0</v>
      </c>
      <c r="G1908" s="232">
        <v>0</v>
      </c>
      <c r="H1908" s="138">
        <f>G1908+F1908</f>
        <v>0</v>
      </c>
      <c r="I1908" s="138">
        <f>H1908*E1908</f>
        <v>0</v>
      </c>
      <c r="J1908" s="47"/>
      <c r="K1908" s="15"/>
    </row>
    <row r="1909" spans="1:11" s="16" customFormat="1" ht="25.5" outlineLevel="3">
      <c r="A1909" s="14"/>
      <c r="B1909" s="35">
        <f>MAXA(B$5:B1908)+1</f>
        <v>843</v>
      </c>
      <c r="C1909" s="242" t="s">
        <v>1098</v>
      </c>
      <c r="D1909" s="230" t="s">
        <v>38</v>
      </c>
      <c r="E1909" s="247">
        <v>1</v>
      </c>
      <c r="F1909" s="232">
        <v>2907707</v>
      </c>
      <c r="G1909" s="232">
        <v>1563188</v>
      </c>
      <c r="H1909" s="138">
        <f>G1909+F1909</f>
        <v>4470895</v>
      </c>
      <c r="I1909" s="138">
        <f>H1909*E1909</f>
        <v>4470895</v>
      </c>
      <c r="J1909" s="47"/>
      <c r="K1909" s="15"/>
    </row>
    <row r="1910" spans="1:11" s="16" customFormat="1" ht="25.5" outlineLevel="3">
      <c r="A1910" s="14"/>
      <c r="B1910" s="35"/>
      <c r="C1910" s="241" t="s">
        <v>141</v>
      </c>
      <c r="D1910" s="230"/>
      <c r="E1910" s="247"/>
      <c r="F1910" s="232">
        <v>0</v>
      </c>
      <c r="G1910" s="232">
        <v>0</v>
      </c>
      <c r="H1910" s="295"/>
      <c r="I1910" s="180"/>
      <c r="J1910" s="47"/>
      <c r="K1910" s="15"/>
    </row>
    <row r="1911" spans="1:11" s="16" customFormat="1" ht="25.5" outlineLevel="3">
      <c r="A1911" s="14"/>
      <c r="B1911" s="35"/>
      <c r="C1911" s="314" t="s">
        <v>169</v>
      </c>
      <c r="D1911" s="230" t="s">
        <v>28</v>
      </c>
      <c r="E1911" s="247">
        <v>1</v>
      </c>
      <c r="F1911" s="232">
        <v>0</v>
      </c>
      <c r="G1911" s="232">
        <v>0</v>
      </c>
      <c r="H1911" s="138">
        <f>G1911+F1911</f>
        <v>0</v>
      </c>
      <c r="I1911" s="138">
        <f>H1911*E1911</f>
        <v>0</v>
      </c>
      <c r="J1911" s="47"/>
      <c r="K1911" s="15"/>
    </row>
    <row r="1912" spans="1:11" s="16" customFormat="1" ht="25.5" outlineLevel="3">
      <c r="A1912" s="14"/>
      <c r="B1912" s="35"/>
      <c r="C1912" s="242" t="s">
        <v>94</v>
      </c>
      <c r="D1912" s="230" t="s">
        <v>28</v>
      </c>
      <c r="E1912" s="247">
        <v>1</v>
      </c>
      <c r="F1912" s="232">
        <v>0</v>
      </c>
      <c r="G1912" s="232">
        <v>0</v>
      </c>
      <c r="H1912" s="138">
        <f>G1912+F1912</f>
        <v>0</v>
      </c>
      <c r="I1912" s="138">
        <f>H1912*E1912</f>
        <v>0</v>
      </c>
      <c r="J1912" s="47"/>
      <c r="K1912" s="15"/>
    </row>
    <row r="1913" spans="1:11" s="16" customFormat="1" ht="25.5" outlineLevel="3">
      <c r="A1913" s="14"/>
      <c r="B1913" s="35"/>
      <c r="C1913" s="242" t="s">
        <v>95</v>
      </c>
      <c r="D1913" s="230" t="s">
        <v>28</v>
      </c>
      <c r="E1913" s="247">
        <v>1</v>
      </c>
      <c r="F1913" s="232">
        <v>0</v>
      </c>
      <c r="G1913" s="232">
        <v>0</v>
      </c>
      <c r="H1913" s="138">
        <f>G1913+F1913</f>
        <v>0</v>
      </c>
      <c r="I1913" s="138">
        <f>H1913*E1913</f>
        <v>0</v>
      </c>
      <c r="J1913" s="47"/>
      <c r="K1913" s="15"/>
    </row>
    <row r="1914" spans="1:11" s="16" customFormat="1" ht="25.5" outlineLevel="3">
      <c r="A1914" s="14"/>
      <c r="B1914" s="35"/>
      <c r="C1914" s="242" t="s">
        <v>96</v>
      </c>
      <c r="D1914" s="230" t="s">
        <v>28</v>
      </c>
      <c r="E1914" s="247">
        <v>1</v>
      </c>
      <c r="F1914" s="232">
        <v>0</v>
      </c>
      <c r="G1914" s="232">
        <v>0</v>
      </c>
      <c r="H1914" s="138">
        <f>G1914+F1914</f>
        <v>0</v>
      </c>
      <c r="I1914" s="138">
        <f>H1914*E1914</f>
        <v>0</v>
      </c>
      <c r="J1914" s="47"/>
      <c r="K1914" s="15"/>
    </row>
    <row r="1915" spans="1:11" s="16" customFormat="1" ht="25.5" outlineLevel="3">
      <c r="A1915" s="14"/>
      <c r="B1915" s="35"/>
      <c r="C1915" s="241" t="s">
        <v>148</v>
      </c>
      <c r="D1915" s="315"/>
      <c r="E1915" s="247"/>
      <c r="F1915" s="232">
        <v>0</v>
      </c>
      <c r="G1915" s="232">
        <v>0</v>
      </c>
      <c r="H1915" s="295"/>
      <c r="I1915" s="180"/>
      <c r="J1915" s="47"/>
      <c r="K1915" s="15"/>
    </row>
    <row r="1916" spans="1:11" s="16" customFormat="1" ht="25.5" outlineLevel="3">
      <c r="A1916" s="14"/>
      <c r="B1916" s="35"/>
      <c r="C1916" s="314" t="s">
        <v>171</v>
      </c>
      <c r="D1916" s="230" t="s">
        <v>28</v>
      </c>
      <c r="E1916" s="247">
        <v>3</v>
      </c>
      <c r="F1916" s="232">
        <v>0</v>
      </c>
      <c r="G1916" s="232">
        <v>0</v>
      </c>
      <c r="H1916" s="138">
        <f>G1916+F1916</f>
        <v>0</v>
      </c>
      <c r="I1916" s="138">
        <f>H1916*E1916</f>
        <v>0</v>
      </c>
      <c r="J1916" s="47"/>
      <c r="K1916" s="15"/>
    </row>
    <row r="1917" spans="1:11" s="16" customFormat="1" ht="25.5" outlineLevel="3">
      <c r="A1917" s="14"/>
      <c r="B1917" s="35"/>
      <c r="C1917" s="229" t="s">
        <v>139</v>
      </c>
      <c r="D1917" s="230" t="s">
        <v>38</v>
      </c>
      <c r="E1917" s="247">
        <v>1</v>
      </c>
      <c r="F1917" s="232">
        <v>0</v>
      </c>
      <c r="G1917" s="232">
        <v>0</v>
      </c>
      <c r="H1917" s="138">
        <f>G1917+F1917</f>
        <v>0</v>
      </c>
      <c r="I1917" s="138">
        <f>H1917*E1917</f>
        <v>0</v>
      </c>
      <c r="J1917" s="47"/>
      <c r="K1917" s="15"/>
    </row>
    <row r="1918" spans="1:11" s="16" customFormat="1" ht="25.5" outlineLevel="3">
      <c r="A1918" s="14"/>
      <c r="B1918" s="35">
        <f>MAXA(B$5:B1917)+1</f>
        <v>844</v>
      </c>
      <c r="C1918" s="242" t="s">
        <v>1099</v>
      </c>
      <c r="D1918" s="230" t="s">
        <v>38</v>
      </c>
      <c r="E1918" s="247">
        <v>1</v>
      </c>
      <c r="F1918" s="232">
        <v>26497993</v>
      </c>
      <c r="G1918" s="232">
        <v>1563188</v>
      </c>
      <c r="H1918" s="138">
        <f>G1918+F1918</f>
        <v>28061181</v>
      </c>
      <c r="I1918" s="138">
        <f>H1918*E1918</f>
        <v>28061181</v>
      </c>
      <c r="J1918" s="47"/>
      <c r="K1918" s="15"/>
    </row>
    <row r="1919" spans="1:11" s="16" customFormat="1" ht="25.5" outlineLevel="3">
      <c r="A1919" s="14"/>
      <c r="B1919" s="35"/>
      <c r="C1919" s="241" t="s">
        <v>141</v>
      </c>
      <c r="D1919" s="230"/>
      <c r="E1919" s="247"/>
      <c r="F1919" s="232">
        <v>0</v>
      </c>
      <c r="G1919" s="232">
        <v>0</v>
      </c>
      <c r="H1919" s="295"/>
      <c r="I1919" s="180"/>
      <c r="J1919" s="47"/>
      <c r="K1919" s="15"/>
    </row>
    <row r="1920" spans="1:11" s="16" customFormat="1" ht="25.5" outlineLevel="3">
      <c r="A1920" s="14"/>
      <c r="B1920" s="35"/>
      <c r="C1920" s="314" t="s">
        <v>200</v>
      </c>
      <c r="D1920" s="230" t="s">
        <v>28</v>
      </c>
      <c r="E1920" s="247">
        <v>1</v>
      </c>
      <c r="F1920" s="232">
        <v>0</v>
      </c>
      <c r="G1920" s="232">
        <v>0</v>
      </c>
      <c r="H1920" s="138">
        <f t="shared" ref="H1920:H1930" si="187">G1920+F1920</f>
        <v>0</v>
      </c>
      <c r="I1920" s="138">
        <f t="shared" ref="I1920:I1930" si="188">H1920*E1920</f>
        <v>0</v>
      </c>
      <c r="J1920" s="47"/>
      <c r="K1920" s="15"/>
    </row>
    <row r="1921" spans="1:11" s="16" customFormat="1" ht="25.5" outlineLevel="3">
      <c r="A1921" s="14"/>
      <c r="B1921" s="35"/>
      <c r="C1921" s="242" t="s">
        <v>94</v>
      </c>
      <c r="D1921" s="230" t="s">
        <v>28</v>
      </c>
      <c r="E1921" s="247">
        <v>9</v>
      </c>
      <c r="F1921" s="232">
        <v>0</v>
      </c>
      <c r="G1921" s="232">
        <v>0</v>
      </c>
      <c r="H1921" s="138">
        <f t="shared" si="187"/>
        <v>0</v>
      </c>
      <c r="I1921" s="138">
        <f t="shared" si="188"/>
        <v>0</v>
      </c>
      <c r="J1921" s="47"/>
      <c r="K1921" s="15"/>
    </row>
    <row r="1922" spans="1:11" s="16" customFormat="1" ht="25.5" outlineLevel="3">
      <c r="A1922" s="14"/>
      <c r="B1922" s="35"/>
      <c r="C1922" s="242" t="s">
        <v>95</v>
      </c>
      <c r="D1922" s="230" t="s">
        <v>28</v>
      </c>
      <c r="E1922" s="247">
        <v>9</v>
      </c>
      <c r="F1922" s="232">
        <v>0</v>
      </c>
      <c r="G1922" s="232">
        <v>0</v>
      </c>
      <c r="H1922" s="138">
        <f t="shared" si="187"/>
        <v>0</v>
      </c>
      <c r="I1922" s="138">
        <f t="shared" si="188"/>
        <v>0</v>
      </c>
      <c r="J1922" s="47"/>
      <c r="K1922" s="15"/>
    </row>
    <row r="1923" spans="1:11" s="16" customFormat="1" ht="25.5" outlineLevel="3">
      <c r="A1923" s="14"/>
      <c r="B1923" s="35"/>
      <c r="C1923" s="242" t="s">
        <v>96</v>
      </c>
      <c r="D1923" s="230" t="s">
        <v>28</v>
      </c>
      <c r="E1923" s="247">
        <v>2</v>
      </c>
      <c r="F1923" s="232">
        <v>0</v>
      </c>
      <c r="G1923" s="232">
        <v>0</v>
      </c>
      <c r="H1923" s="138">
        <f t="shared" si="187"/>
        <v>0</v>
      </c>
      <c r="I1923" s="138">
        <f t="shared" si="188"/>
        <v>0</v>
      </c>
      <c r="J1923" s="47"/>
      <c r="K1923" s="15"/>
    </row>
    <row r="1924" spans="1:11" s="16" customFormat="1" ht="25.5" outlineLevel="3">
      <c r="A1924" s="14"/>
      <c r="B1924" s="35"/>
      <c r="C1924" s="242" t="s">
        <v>97</v>
      </c>
      <c r="D1924" s="230" t="s">
        <v>28</v>
      </c>
      <c r="E1924" s="247">
        <v>2</v>
      </c>
      <c r="F1924" s="232">
        <v>0</v>
      </c>
      <c r="G1924" s="232">
        <v>0</v>
      </c>
      <c r="H1924" s="138">
        <f t="shared" si="187"/>
        <v>0</v>
      </c>
      <c r="I1924" s="138">
        <f t="shared" si="188"/>
        <v>0</v>
      </c>
      <c r="J1924" s="47"/>
      <c r="K1924" s="15"/>
    </row>
    <row r="1925" spans="1:11" s="16" customFormat="1" ht="25.5" outlineLevel="3">
      <c r="A1925" s="14"/>
      <c r="B1925" s="35"/>
      <c r="C1925" s="242" t="s">
        <v>98</v>
      </c>
      <c r="D1925" s="230" t="s">
        <v>28</v>
      </c>
      <c r="E1925" s="247">
        <v>2</v>
      </c>
      <c r="F1925" s="232">
        <v>0</v>
      </c>
      <c r="G1925" s="232">
        <v>0</v>
      </c>
      <c r="H1925" s="138">
        <f t="shared" si="187"/>
        <v>0</v>
      </c>
      <c r="I1925" s="138">
        <f t="shared" si="188"/>
        <v>0</v>
      </c>
      <c r="J1925" s="47"/>
      <c r="K1925" s="15"/>
    </row>
    <row r="1926" spans="1:11" s="16" customFormat="1" ht="25.5" outlineLevel="3">
      <c r="A1926" s="14"/>
      <c r="B1926" s="35"/>
      <c r="C1926" s="242" t="s">
        <v>143</v>
      </c>
      <c r="D1926" s="230" t="s">
        <v>28</v>
      </c>
      <c r="E1926" s="247">
        <v>1</v>
      </c>
      <c r="F1926" s="232">
        <v>0</v>
      </c>
      <c r="G1926" s="232">
        <v>0</v>
      </c>
      <c r="H1926" s="138">
        <f t="shared" si="187"/>
        <v>0</v>
      </c>
      <c r="I1926" s="138">
        <f t="shared" si="188"/>
        <v>0</v>
      </c>
      <c r="J1926" s="47"/>
      <c r="K1926" s="15"/>
    </row>
    <row r="1927" spans="1:11" s="16" customFormat="1" ht="25.5" outlineLevel="3">
      <c r="A1927" s="14"/>
      <c r="B1927" s="35"/>
      <c r="C1927" s="242" t="s">
        <v>144</v>
      </c>
      <c r="D1927" s="230" t="s">
        <v>28</v>
      </c>
      <c r="E1927" s="247">
        <v>1</v>
      </c>
      <c r="F1927" s="232">
        <v>0</v>
      </c>
      <c r="G1927" s="232">
        <v>0</v>
      </c>
      <c r="H1927" s="138">
        <f t="shared" si="187"/>
        <v>0</v>
      </c>
      <c r="I1927" s="138">
        <f t="shared" si="188"/>
        <v>0</v>
      </c>
      <c r="J1927" s="47"/>
      <c r="K1927" s="15"/>
    </row>
    <row r="1928" spans="1:11" s="16" customFormat="1" ht="25.5" outlineLevel="3">
      <c r="A1928" s="14"/>
      <c r="B1928" s="35"/>
      <c r="C1928" s="242" t="s">
        <v>201</v>
      </c>
      <c r="D1928" s="230" t="s">
        <v>28</v>
      </c>
      <c r="E1928" s="247">
        <v>1</v>
      </c>
      <c r="F1928" s="232">
        <v>0</v>
      </c>
      <c r="G1928" s="232">
        <v>0</v>
      </c>
      <c r="H1928" s="138">
        <f t="shared" si="187"/>
        <v>0</v>
      </c>
      <c r="I1928" s="138">
        <f t="shared" si="188"/>
        <v>0</v>
      </c>
      <c r="J1928" s="47"/>
      <c r="K1928" s="15"/>
    </row>
    <row r="1929" spans="1:11" s="16" customFormat="1" ht="25.5" outlineLevel="3">
      <c r="A1929" s="14"/>
      <c r="B1929" s="35"/>
      <c r="C1929" s="242" t="s">
        <v>146</v>
      </c>
      <c r="D1929" s="230" t="s">
        <v>28</v>
      </c>
      <c r="E1929" s="247">
        <v>1</v>
      </c>
      <c r="F1929" s="232">
        <v>0</v>
      </c>
      <c r="G1929" s="232">
        <v>0</v>
      </c>
      <c r="H1929" s="138">
        <f t="shared" si="187"/>
        <v>0</v>
      </c>
      <c r="I1929" s="138">
        <f t="shared" si="188"/>
        <v>0</v>
      </c>
      <c r="J1929" s="47"/>
      <c r="K1929" s="15"/>
    </row>
    <row r="1930" spans="1:11" s="16" customFormat="1" ht="25.5" outlineLevel="3">
      <c r="A1930" s="14"/>
      <c r="B1930" s="35"/>
      <c r="C1930" s="229" t="s">
        <v>202</v>
      </c>
      <c r="D1930" s="230" t="s">
        <v>28</v>
      </c>
      <c r="E1930" s="247">
        <v>3</v>
      </c>
      <c r="F1930" s="232">
        <v>0</v>
      </c>
      <c r="G1930" s="232">
        <v>0</v>
      </c>
      <c r="H1930" s="138">
        <f t="shared" si="187"/>
        <v>0</v>
      </c>
      <c r="I1930" s="138">
        <f t="shared" si="188"/>
        <v>0</v>
      </c>
      <c r="J1930" s="47"/>
      <c r="K1930" s="15"/>
    </row>
    <row r="1931" spans="1:11" s="16" customFormat="1" ht="25.5" outlineLevel="3">
      <c r="A1931" s="14"/>
      <c r="B1931" s="35"/>
      <c r="C1931" s="241" t="s">
        <v>148</v>
      </c>
      <c r="D1931" s="315"/>
      <c r="E1931" s="247"/>
      <c r="F1931" s="232">
        <v>0</v>
      </c>
      <c r="G1931" s="232">
        <v>0</v>
      </c>
      <c r="H1931" s="295"/>
      <c r="I1931" s="180"/>
      <c r="J1931" s="47"/>
      <c r="K1931" s="15"/>
    </row>
    <row r="1932" spans="1:11" s="16" customFormat="1" ht="25.5" outlineLevel="3">
      <c r="A1932" s="14"/>
      <c r="B1932" s="35"/>
      <c r="C1932" s="314" t="s">
        <v>149</v>
      </c>
      <c r="D1932" s="230" t="s">
        <v>28</v>
      </c>
      <c r="E1932" s="247">
        <v>8</v>
      </c>
      <c r="F1932" s="232">
        <v>0</v>
      </c>
      <c r="G1932" s="232">
        <v>0</v>
      </c>
      <c r="H1932" s="138">
        <f t="shared" ref="H1932:H1938" si="189">G1932+F1932</f>
        <v>0</v>
      </c>
      <c r="I1932" s="138">
        <f t="shared" ref="I1932:I1938" si="190">H1932*E1932</f>
        <v>0</v>
      </c>
      <c r="J1932" s="47"/>
      <c r="K1932" s="15"/>
    </row>
    <row r="1933" spans="1:11" s="16" customFormat="1" ht="25.5" outlineLevel="3">
      <c r="A1933" s="14"/>
      <c r="B1933" s="35"/>
      <c r="C1933" s="314" t="s">
        <v>1079</v>
      </c>
      <c r="D1933" s="230" t="s">
        <v>28</v>
      </c>
      <c r="E1933" s="247">
        <v>4</v>
      </c>
      <c r="F1933" s="232">
        <v>0</v>
      </c>
      <c r="G1933" s="232">
        <v>0</v>
      </c>
      <c r="H1933" s="138">
        <f t="shared" si="189"/>
        <v>0</v>
      </c>
      <c r="I1933" s="138">
        <f t="shared" si="190"/>
        <v>0</v>
      </c>
      <c r="J1933" s="47"/>
      <c r="K1933" s="15"/>
    </row>
    <row r="1934" spans="1:11" s="16" customFormat="1" ht="25.5" outlineLevel="3">
      <c r="A1934" s="14"/>
      <c r="B1934" s="35"/>
      <c r="C1934" s="314" t="s">
        <v>151</v>
      </c>
      <c r="D1934" s="230" t="s">
        <v>28</v>
      </c>
      <c r="E1934" s="247">
        <v>3</v>
      </c>
      <c r="F1934" s="232">
        <v>0</v>
      </c>
      <c r="G1934" s="232">
        <v>0</v>
      </c>
      <c r="H1934" s="138">
        <f t="shared" si="189"/>
        <v>0</v>
      </c>
      <c r="I1934" s="138">
        <f t="shared" si="190"/>
        <v>0</v>
      </c>
      <c r="J1934" s="47"/>
      <c r="K1934" s="15"/>
    </row>
    <row r="1935" spans="1:11" s="16" customFormat="1" ht="25.5" outlineLevel="3">
      <c r="A1935" s="14"/>
      <c r="B1935" s="35"/>
      <c r="C1935" s="314" t="s">
        <v>203</v>
      </c>
      <c r="D1935" s="230" t="s">
        <v>28</v>
      </c>
      <c r="E1935" s="247">
        <v>1</v>
      </c>
      <c r="F1935" s="232">
        <v>0</v>
      </c>
      <c r="G1935" s="232">
        <v>0</v>
      </c>
      <c r="H1935" s="138">
        <f t="shared" si="189"/>
        <v>0</v>
      </c>
      <c r="I1935" s="138">
        <f t="shared" si="190"/>
        <v>0</v>
      </c>
      <c r="J1935" s="47"/>
      <c r="K1935" s="15"/>
    </row>
    <row r="1936" spans="1:11" s="16" customFormat="1" ht="25.5" outlineLevel="3">
      <c r="A1936" s="14"/>
      <c r="B1936" s="35"/>
      <c r="C1936" s="242" t="s">
        <v>161</v>
      </c>
      <c r="D1936" s="230" t="s">
        <v>194</v>
      </c>
      <c r="E1936" s="247">
        <v>1</v>
      </c>
      <c r="F1936" s="232">
        <v>0</v>
      </c>
      <c r="G1936" s="232">
        <v>0</v>
      </c>
      <c r="H1936" s="138">
        <f t="shared" si="189"/>
        <v>0</v>
      </c>
      <c r="I1936" s="138">
        <f t="shared" si="190"/>
        <v>0</v>
      </c>
      <c r="J1936" s="47"/>
      <c r="K1936" s="15"/>
    </row>
    <row r="1937" spans="1:11" s="16" customFormat="1" ht="25.5" outlineLevel="3">
      <c r="A1937" s="14"/>
      <c r="B1937" s="35"/>
      <c r="C1937" s="229" t="s">
        <v>139</v>
      </c>
      <c r="D1937" s="230" t="s">
        <v>38</v>
      </c>
      <c r="E1937" s="247">
        <v>1</v>
      </c>
      <c r="F1937" s="232">
        <v>0</v>
      </c>
      <c r="G1937" s="232">
        <v>0</v>
      </c>
      <c r="H1937" s="138">
        <f t="shared" si="189"/>
        <v>0</v>
      </c>
      <c r="I1937" s="138">
        <f t="shared" si="190"/>
        <v>0</v>
      </c>
      <c r="J1937" s="47"/>
      <c r="K1937" s="15"/>
    </row>
    <row r="1938" spans="1:11" s="16" customFormat="1" ht="25.5" outlineLevel="3">
      <c r="A1938" s="14"/>
      <c r="B1938" s="35">
        <f>MAXA(B$5:B1937)+1</f>
        <v>845</v>
      </c>
      <c r="C1938" s="242" t="s">
        <v>1100</v>
      </c>
      <c r="D1938" s="230" t="s">
        <v>38</v>
      </c>
      <c r="E1938" s="247">
        <v>1</v>
      </c>
      <c r="F1938" s="232">
        <v>2783456</v>
      </c>
      <c r="G1938" s="232">
        <v>1563188</v>
      </c>
      <c r="H1938" s="138">
        <f t="shared" si="189"/>
        <v>4346644</v>
      </c>
      <c r="I1938" s="138">
        <f t="shared" si="190"/>
        <v>4346644</v>
      </c>
      <c r="J1938" s="47"/>
      <c r="K1938" s="15"/>
    </row>
    <row r="1939" spans="1:11" s="16" customFormat="1" ht="25.5" outlineLevel="3">
      <c r="A1939" s="14"/>
      <c r="B1939" s="35"/>
      <c r="C1939" s="241" t="s">
        <v>141</v>
      </c>
      <c r="D1939" s="230"/>
      <c r="E1939" s="247"/>
      <c r="F1939" s="232">
        <v>0</v>
      </c>
      <c r="G1939" s="232">
        <v>0</v>
      </c>
      <c r="H1939" s="295"/>
      <c r="I1939" s="180"/>
      <c r="J1939" s="47"/>
      <c r="K1939" s="15"/>
    </row>
    <row r="1940" spans="1:11" s="16" customFormat="1" ht="25.5" outlineLevel="3">
      <c r="A1940" s="14"/>
      <c r="B1940" s="35"/>
      <c r="C1940" s="314" t="s">
        <v>1082</v>
      </c>
      <c r="D1940" s="230" t="s">
        <v>28</v>
      </c>
      <c r="E1940" s="247">
        <v>1</v>
      </c>
      <c r="F1940" s="232">
        <v>0</v>
      </c>
      <c r="G1940" s="232">
        <v>0</v>
      </c>
      <c r="H1940" s="138">
        <f>G1940+F1940</f>
        <v>0</v>
      </c>
      <c r="I1940" s="138">
        <f>H1940*E1940</f>
        <v>0</v>
      </c>
      <c r="J1940" s="47"/>
      <c r="K1940" s="15"/>
    </row>
    <row r="1941" spans="1:11" s="16" customFormat="1" ht="25.5" outlineLevel="3">
      <c r="A1941" s="14"/>
      <c r="B1941" s="35"/>
      <c r="C1941" s="242" t="s">
        <v>94</v>
      </c>
      <c r="D1941" s="230" t="s">
        <v>28</v>
      </c>
      <c r="E1941" s="247">
        <v>1</v>
      </c>
      <c r="F1941" s="232">
        <v>0</v>
      </c>
      <c r="G1941" s="232">
        <v>0</v>
      </c>
      <c r="H1941" s="138">
        <f>G1941+F1941</f>
        <v>0</v>
      </c>
      <c r="I1941" s="138">
        <f>H1941*E1941</f>
        <v>0</v>
      </c>
      <c r="J1941" s="47"/>
      <c r="K1941" s="15"/>
    </row>
    <row r="1942" spans="1:11" s="16" customFormat="1" ht="25.5" outlineLevel="3">
      <c r="A1942" s="14"/>
      <c r="B1942" s="35"/>
      <c r="C1942" s="242" t="s">
        <v>95</v>
      </c>
      <c r="D1942" s="230" t="s">
        <v>28</v>
      </c>
      <c r="E1942" s="247">
        <v>1</v>
      </c>
      <c r="F1942" s="232">
        <v>0</v>
      </c>
      <c r="G1942" s="232">
        <v>0</v>
      </c>
      <c r="H1942" s="138">
        <f>G1942+F1942</f>
        <v>0</v>
      </c>
      <c r="I1942" s="138">
        <f>H1942*E1942</f>
        <v>0</v>
      </c>
      <c r="J1942" s="47"/>
      <c r="K1942" s="15"/>
    </row>
    <row r="1943" spans="1:11" s="16" customFormat="1" ht="25.5" outlineLevel="3">
      <c r="A1943" s="14"/>
      <c r="B1943" s="35"/>
      <c r="C1943" s="242" t="s">
        <v>96</v>
      </c>
      <c r="D1943" s="230" t="s">
        <v>28</v>
      </c>
      <c r="E1943" s="247">
        <v>1</v>
      </c>
      <c r="F1943" s="232">
        <v>0</v>
      </c>
      <c r="G1943" s="232">
        <v>0</v>
      </c>
      <c r="H1943" s="138">
        <f>G1943+F1943</f>
        <v>0</v>
      </c>
      <c r="I1943" s="138">
        <f>H1943*E1943</f>
        <v>0</v>
      </c>
      <c r="J1943" s="47"/>
      <c r="K1943" s="15"/>
    </row>
    <row r="1944" spans="1:11" s="16" customFormat="1" ht="25.5" outlineLevel="3">
      <c r="A1944" s="14"/>
      <c r="B1944" s="35"/>
      <c r="C1944" s="241" t="s">
        <v>148</v>
      </c>
      <c r="D1944" s="315"/>
      <c r="E1944" s="247"/>
      <c r="F1944" s="232">
        <v>0</v>
      </c>
      <c r="G1944" s="232">
        <v>0</v>
      </c>
      <c r="H1944" s="295"/>
      <c r="I1944" s="180"/>
      <c r="J1944" s="47"/>
      <c r="K1944" s="15"/>
    </row>
    <row r="1945" spans="1:11" s="16" customFormat="1" ht="25.5" outlineLevel="3">
      <c r="A1945" s="14"/>
      <c r="B1945" s="35"/>
      <c r="C1945" s="314" t="s">
        <v>170</v>
      </c>
      <c r="D1945" s="230" t="s">
        <v>28</v>
      </c>
      <c r="E1945" s="247">
        <v>2</v>
      </c>
      <c r="F1945" s="232">
        <v>0</v>
      </c>
      <c r="G1945" s="232">
        <v>0</v>
      </c>
      <c r="H1945" s="138">
        <f>G1945+F1945</f>
        <v>0</v>
      </c>
      <c r="I1945" s="138">
        <f>H1945*E1945</f>
        <v>0</v>
      </c>
      <c r="J1945" s="47"/>
      <c r="K1945" s="15"/>
    </row>
    <row r="1946" spans="1:11" s="16" customFormat="1" ht="25.5" outlineLevel="3">
      <c r="A1946" s="14"/>
      <c r="B1946" s="35"/>
      <c r="C1946" s="229" t="s">
        <v>139</v>
      </c>
      <c r="D1946" s="230" t="s">
        <v>38</v>
      </c>
      <c r="E1946" s="247">
        <v>1</v>
      </c>
      <c r="F1946" s="232">
        <v>0</v>
      </c>
      <c r="G1946" s="232">
        <v>0</v>
      </c>
      <c r="H1946" s="138">
        <f>G1946+F1946</f>
        <v>0</v>
      </c>
      <c r="I1946" s="138">
        <f>H1946*E1946</f>
        <v>0</v>
      </c>
      <c r="J1946" s="47"/>
      <c r="K1946" s="15"/>
    </row>
    <row r="1947" spans="1:11" s="16" customFormat="1" ht="25.5" outlineLevel="3">
      <c r="A1947" s="14"/>
      <c r="B1947" s="35">
        <f>MAXA(B$5:B1946)+1</f>
        <v>846</v>
      </c>
      <c r="C1947" s="242" t="s">
        <v>1101</v>
      </c>
      <c r="D1947" s="230" t="s">
        <v>38</v>
      </c>
      <c r="E1947" s="247">
        <v>1</v>
      </c>
      <c r="F1947" s="232">
        <v>2783456</v>
      </c>
      <c r="G1947" s="232">
        <v>1563188</v>
      </c>
      <c r="H1947" s="138">
        <f>G1947+F1947</f>
        <v>4346644</v>
      </c>
      <c r="I1947" s="138">
        <f>H1947*E1947</f>
        <v>4346644</v>
      </c>
      <c r="J1947" s="47"/>
      <c r="K1947" s="15"/>
    </row>
    <row r="1948" spans="1:11" s="16" customFormat="1" ht="25.5" outlineLevel="3">
      <c r="A1948" s="14"/>
      <c r="B1948" s="35"/>
      <c r="C1948" s="241" t="s">
        <v>141</v>
      </c>
      <c r="D1948" s="230"/>
      <c r="E1948" s="247"/>
      <c r="F1948" s="232">
        <v>0</v>
      </c>
      <c r="G1948" s="232">
        <v>0</v>
      </c>
      <c r="H1948" s="295"/>
      <c r="I1948" s="180"/>
      <c r="J1948" s="47"/>
      <c r="K1948" s="15"/>
    </row>
    <row r="1949" spans="1:11" s="16" customFormat="1" ht="25.5" outlineLevel="3">
      <c r="A1949" s="14"/>
      <c r="B1949" s="35"/>
      <c r="C1949" s="314" t="s">
        <v>1082</v>
      </c>
      <c r="D1949" s="230" t="s">
        <v>28</v>
      </c>
      <c r="E1949" s="247">
        <v>1</v>
      </c>
      <c r="F1949" s="232">
        <v>0</v>
      </c>
      <c r="G1949" s="232">
        <v>0</v>
      </c>
      <c r="H1949" s="138">
        <f>G1949+F1949</f>
        <v>0</v>
      </c>
      <c r="I1949" s="138">
        <f>H1949*E1949</f>
        <v>0</v>
      </c>
      <c r="J1949" s="47"/>
      <c r="K1949" s="15"/>
    </row>
    <row r="1950" spans="1:11" s="16" customFormat="1" ht="25.5" outlineLevel="3">
      <c r="A1950" s="14"/>
      <c r="B1950" s="35"/>
      <c r="C1950" s="242" t="s">
        <v>94</v>
      </c>
      <c r="D1950" s="230" t="s">
        <v>28</v>
      </c>
      <c r="E1950" s="247">
        <v>1</v>
      </c>
      <c r="F1950" s="232">
        <v>0</v>
      </c>
      <c r="G1950" s="232">
        <v>0</v>
      </c>
      <c r="H1950" s="138">
        <f>G1950+F1950</f>
        <v>0</v>
      </c>
      <c r="I1950" s="138">
        <f>H1950*E1950</f>
        <v>0</v>
      </c>
      <c r="J1950" s="47"/>
      <c r="K1950" s="15"/>
    </row>
    <row r="1951" spans="1:11" s="16" customFormat="1" ht="25.5" outlineLevel="3">
      <c r="A1951" s="14"/>
      <c r="B1951" s="35"/>
      <c r="C1951" s="242" t="s">
        <v>95</v>
      </c>
      <c r="D1951" s="230" t="s">
        <v>28</v>
      </c>
      <c r="E1951" s="247">
        <v>1</v>
      </c>
      <c r="F1951" s="232">
        <v>0</v>
      </c>
      <c r="G1951" s="232">
        <v>0</v>
      </c>
      <c r="H1951" s="138">
        <f>G1951+F1951</f>
        <v>0</v>
      </c>
      <c r="I1951" s="138">
        <f>H1951*E1951</f>
        <v>0</v>
      </c>
      <c r="J1951" s="47"/>
      <c r="K1951" s="15"/>
    </row>
    <row r="1952" spans="1:11" s="16" customFormat="1" ht="25.5" outlineLevel="3">
      <c r="A1952" s="14"/>
      <c r="B1952" s="35"/>
      <c r="C1952" s="242" t="s">
        <v>96</v>
      </c>
      <c r="D1952" s="230" t="s">
        <v>28</v>
      </c>
      <c r="E1952" s="247">
        <v>1</v>
      </c>
      <c r="F1952" s="232">
        <v>0</v>
      </c>
      <c r="G1952" s="232">
        <v>0</v>
      </c>
      <c r="H1952" s="138">
        <f>G1952+F1952</f>
        <v>0</v>
      </c>
      <c r="I1952" s="138">
        <f>H1952*E1952</f>
        <v>0</v>
      </c>
      <c r="J1952" s="47"/>
      <c r="K1952" s="15"/>
    </row>
    <row r="1953" spans="1:11" s="16" customFormat="1" ht="25.5" outlineLevel="3">
      <c r="A1953" s="14"/>
      <c r="B1953" s="35"/>
      <c r="C1953" s="241" t="s">
        <v>148</v>
      </c>
      <c r="D1953" s="315"/>
      <c r="E1953" s="247"/>
      <c r="F1953" s="232">
        <v>0</v>
      </c>
      <c r="G1953" s="232">
        <v>0</v>
      </c>
      <c r="H1953" s="295"/>
      <c r="I1953" s="180"/>
      <c r="J1953" s="47"/>
      <c r="K1953" s="15"/>
    </row>
    <row r="1954" spans="1:11" s="16" customFormat="1" ht="25.5" outlineLevel="3">
      <c r="A1954" s="14"/>
      <c r="B1954" s="35"/>
      <c r="C1954" s="314" t="s">
        <v>170</v>
      </c>
      <c r="D1954" s="230" t="s">
        <v>28</v>
      </c>
      <c r="E1954" s="247">
        <v>2</v>
      </c>
      <c r="F1954" s="232">
        <v>0</v>
      </c>
      <c r="G1954" s="232">
        <v>0</v>
      </c>
      <c r="H1954" s="138">
        <f>G1954+F1954</f>
        <v>0</v>
      </c>
      <c r="I1954" s="138">
        <f>H1954*E1954</f>
        <v>0</v>
      </c>
      <c r="J1954" s="47"/>
      <c r="K1954" s="15"/>
    </row>
    <row r="1955" spans="1:11" s="16" customFormat="1" ht="25.5" outlineLevel="3">
      <c r="A1955" s="14"/>
      <c r="B1955" s="35"/>
      <c r="C1955" s="229" t="s">
        <v>139</v>
      </c>
      <c r="D1955" s="230" t="s">
        <v>38</v>
      </c>
      <c r="E1955" s="247">
        <v>1</v>
      </c>
      <c r="F1955" s="232">
        <v>0</v>
      </c>
      <c r="G1955" s="232">
        <v>0</v>
      </c>
      <c r="H1955" s="138">
        <f>G1955+F1955</f>
        <v>0</v>
      </c>
      <c r="I1955" s="138">
        <f>H1955*E1955</f>
        <v>0</v>
      </c>
      <c r="J1955" s="47"/>
      <c r="K1955" s="15"/>
    </row>
    <row r="1956" spans="1:11" s="16" customFormat="1" ht="25.5" outlineLevel="3">
      <c r="A1956" s="14"/>
      <c r="B1956" s="35">
        <f>MAXA(B$5:B1955)+1</f>
        <v>847</v>
      </c>
      <c r="C1956" s="242" t="s">
        <v>1102</v>
      </c>
      <c r="D1956" s="230" t="s">
        <v>38</v>
      </c>
      <c r="E1956" s="247">
        <v>1</v>
      </c>
      <c r="F1956" s="232">
        <v>2783456</v>
      </c>
      <c r="G1956" s="232">
        <v>1563188</v>
      </c>
      <c r="H1956" s="138">
        <f>G1956+F1956</f>
        <v>4346644</v>
      </c>
      <c r="I1956" s="138">
        <f>H1956*E1956</f>
        <v>4346644</v>
      </c>
      <c r="J1956" s="47"/>
      <c r="K1956" s="15"/>
    </row>
    <row r="1957" spans="1:11" s="16" customFormat="1" ht="25.5" outlineLevel="3">
      <c r="A1957" s="14"/>
      <c r="B1957" s="35"/>
      <c r="C1957" s="241" t="s">
        <v>141</v>
      </c>
      <c r="D1957" s="230"/>
      <c r="E1957" s="247"/>
      <c r="F1957" s="232">
        <v>0</v>
      </c>
      <c r="G1957" s="232">
        <v>0</v>
      </c>
      <c r="H1957" s="295"/>
      <c r="I1957" s="180"/>
      <c r="J1957" s="47"/>
      <c r="K1957" s="15"/>
    </row>
    <row r="1958" spans="1:11" s="16" customFormat="1" ht="25.5" outlineLevel="3">
      <c r="A1958" s="14"/>
      <c r="B1958" s="35"/>
      <c r="C1958" s="314" t="s">
        <v>1082</v>
      </c>
      <c r="D1958" s="230" t="s">
        <v>28</v>
      </c>
      <c r="E1958" s="247">
        <v>1</v>
      </c>
      <c r="F1958" s="232">
        <v>0</v>
      </c>
      <c r="G1958" s="232">
        <v>0</v>
      </c>
      <c r="H1958" s="138">
        <f>G1958+F1958</f>
        <v>0</v>
      </c>
      <c r="I1958" s="138">
        <f>H1958*E1958</f>
        <v>0</v>
      </c>
      <c r="J1958" s="47"/>
      <c r="K1958" s="15"/>
    </row>
    <row r="1959" spans="1:11" s="16" customFormat="1" ht="25.5" outlineLevel="3">
      <c r="A1959" s="14"/>
      <c r="B1959" s="35"/>
      <c r="C1959" s="242" t="s">
        <v>94</v>
      </c>
      <c r="D1959" s="230" t="s">
        <v>28</v>
      </c>
      <c r="E1959" s="247">
        <v>1</v>
      </c>
      <c r="F1959" s="232">
        <v>0</v>
      </c>
      <c r="G1959" s="232">
        <v>0</v>
      </c>
      <c r="H1959" s="138">
        <f>G1959+F1959</f>
        <v>0</v>
      </c>
      <c r="I1959" s="138">
        <f>H1959*E1959</f>
        <v>0</v>
      </c>
      <c r="J1959" s="47"/>
      <c r="K1959" s="15"/>
    </row>
    <row r="1960" spans="1:11" s="16" customFormat="1" ht="25.5" outlineLevel="3">
      <c r="A1960" s="14"/>
      <c r="B1960" s="35"/>
      <c r="C1960" s="242" t="s">
        <v>95</v>
      </c>
      <c r="D1960" s="230" t="s">
        <v>28</v>
      </c>
      <c r="E1960" s="247">
        <v>1</v>
      </c>
      <c r="F1960" s="232">
        <v>0</v>
      </c>
      <c r="G1960" s="232">
        <v>0</v>
      </c>
      <c r="H1960" s="138">
        <f>G1960+F1960</f>
        <v>0</v>
      </c>
      <c r="I1960" s="138">
        <f>H1960*E1960</f>
        <v>0</v>
      </c>
      <c r="J1960" s="47"/>
      <c r="K1960" s="15"/>
    </row>
    <row r="1961" spans="1:11" s="16" customFormat="1" ht="25.5" outlineLevel="3">
      <c r="A1961" s="14"/>
      <c r="B1961" s="35"/>
      <c r="C1961" s="242" t="s">
        <v>96</v>
      </c>
      <c r="D1961" s="230" t="s">
        <v>28</v>
      </c>
      <c r="E1961" s="247">
        <v>1</v>
      </c>
      <c r="F1961" s="232">
        <v>0</v>
      </c>
      <c r="G1961" s="232">
        <v>0</v>
      </c>
      <c r="H1961" s="138">
        <f>G1961+F1961</f>
        <v>0</v>
      </c>
      <c r="I1961" s="138">
        <f>H1961*E1961</f>
        <v>0</v>
      </c>
      <c r="J1961" s="47"/>
      <c r="K1961" s="15"/>
    </row>
    <row r="1962" spans="1:11" s="16" customFormat="1" ht="25.5" outlineLevel="3">
      <c r="A1962" s="14"/>
      <c r="B1962" s="35"/>
      <c r="C1962" s="241" t="s">
        <v>148</v>
      </c>
      <c r="D1962" s="315"/>
      <c r="E1962" s="247"/>
      <c r="F1962" s="232">
        <v>0</v>
      </c>
      <c r="G1962" s="232">
        <v>0</v>
      </c>
      <c r="H1962" s="295"/>
      <c r="I1962" s="180"/>
      <c r="J1962" s="47"/>
      <c r="K1962" s="15"/>
    </row>
    <row r="1963" spans="1:11" s="16" customFormat="1" ht="25.5" outlineLevel="3">
      <c r="A1963" s="14"/>
      <c r="B1963" s="35"/>
      <c r="C1963" s="314" t="s">
        <v>170</v>
      </c>
      <c r="D1963" s="230" t="s">
        <v>28</v>
      </c>
      <c r="E1963" s="247">
        <v>2</v>
      </c>
      <c r="F1963" s="232">
        <v>0</v>
      </c>
      <c r="G1963" s="232">
        <v>0</v>
      </c>
      <c r="H1963" s="138">
        <f>G1963+F1963</f>
        <v>0</v>
      </c>
      <c r="I1963" s="138">
        <f>H1963*E1963</f>
        <v>0</v>
      </c>
      <c r="J1963" s="47"/>
      <c r="K1963" s="15"/>
    </row>
    <row r="1964" spans="1:11" s="16" customFormat="1" ht="25.5" outlineLevel="3">
      <c r="A1964" s="14"/>
      <c r="B1964" s="35"/>
      <c r="C1964" s="229" t="s">
        <v>139</v>
      </c>
      <c r="D1964" s="230" t="s">
        <v>38</v>
      </c>
      <c r="E1964" s="247">
        <v>1</v>
      </c>
      <c r="F1964" s="232">
        <v>0</v>
      </c>
      <c r="G1964" s="232">
        <v>0</v>
      </c>
      <c r="H1964" s="138">
        <f>G1964+F1964</f>
        <v>0</v>
      </c>
      <c r="I1964" s="138">
        <f>H1964*E1964</f>
        <v>0</v>
      </c>
      <c r="J1964" s="47"/>
      <c r="K1964" s="15"/>
    </row>
    <row r="1965" spans="1:11" s="16" customFormat="1" ht="25.5" outlineLevel="3">
      <c r="A1965" s="14"/>
      <c r="B1965" s="35">
        <f>MAXA(B$5:B1964)+1</f>
        <v>848</v>
      </c>
      <c r="C1965" s="242" t="s">
        <v>1103</v>
      </c>
      <c r="D1965" s="230" t="s">
        <v>38</v>
      </c>
      <c r="E1965" s="247">
        <v>1</v>
      </c>
      <c r="F1965" s="232">
        <v>2907707</v>
      </c>
      <c r="G1965" s="232">
        <v>1563188</v>
      </c>
      <c r="H1965" s="138">
        <f>G1965+F1965</f>
        <v>4470895</v>
      </c>
      <c r="I1965" s="138">
        <f>H1965*E1965</f>
        <v>4470895</v>
      </c>
      <c r="J1965" s="47"/>
      <c r="K1965" s="15"/>
    </row>
    <row r="1966" spans="1:11" s="16" customFormat="1" ht="25.5" outlineLevel="3">
      <c r="A1966" s="14"/>
      <c r="B1966" s="35"/>
      <c r="C1966" s="241" t="s">
        <v>141</v>
      </c>
      <c r="D1966" s="230"/>
      <c r="E1966" s="247"/>
      <c r="F1966" s="232">
        <v>0</v>
      </c>
      <c r="G1966" s="232">
        <v>0</v>
      </c>
      <c r="H1966" s="295"/>
      <c r="I1966" s="180"/>
      <c r="J1966" s="47"/>
      <c r="K1966" s="15"/>
    </row>
    <row r="1967" spans="1:11" s="16" customFormat="1" ht="25.5" outlineLevel="3">
      <c r="A1967" s="14"/>
      <c r="B1967" s="35"/>
      <c r="C1967" s="314" t="s">
        <v>1082</v>
      </c>
      <c r="D1967" s="230" t="s">
        <v>28</v>
      </c>
      <c r="E1967" s="247">
        <v>1</v>
      </c>
      <c r="F1967" s="232">
        <v>0</v>
      </c>
      <c r="G1967" s="232">
        <v>0</v>
      </c>
      <c r="H1967" s="138">
        <f>G1967+F1967</f>
        <v>0</v>
      </c>
      <c r="I1967" s="138">
        <f>H1967*E1967</f>
        <v>0</v>
      </c>
      <c r="J1967" s="47"/>
      <c r="K1967" s="15"/>
    </row>
    <row r="1968" spans="1:11" s="16" customFormat="1" ht="25.5" outlineLevel="3">
      <c r="A1968" s="14"/>
      <c r="B1968" s="35"/>
      <c r="C1968" s="242" t="s">
        <v>94</v>
      </c>
      <c r="D1968" s="230" t="s">
        <v>28</v>
      </c>
      <c r="E1968" s="247">
        <v>1</v>
      </c>
      <c r="F1968" s="232">
        <v>0</v>
      </c>
      <c r="G1968" s="232">
        <v>0</v>
      </c>
      <c r="H1968" s="138">
        <f>G1968+F1968</f>
        <v>0</v>
      </c>
      <c r="I1968" s="138">
        <f>H1968*E1968</f>
        <v>0</v>
      </c>
      <c r="J1968" s="47"/>
      <c r="K1968" s="15"/>
    </row>
    <row r="1969" spans="1:11" s="16" customFormat="1" ht="25.5" outlineLevel="3">
      <c r="A1969" s="14"/>
      <c r="B1969" s="35"/>
      <c r="C1969" s="242" t="s">
        <v>95</v>
      </c>
      <c r="D1969" s="230" t="s">
        <v>28</v>
      </c>
      <c r="E1969" s="247">
        <v>1</v>
      </c>
      <c r="F1969" s="232">
        <v>0</v>
      </c>
      <c r="G1969" s="232">
        <v>0</v>
      </c>
      <c r="H1969" s="138">
        <f>G1969+F1969</f>
        <v>0</v>
      </c>
      <c r="I1969" s="138">
        <f>H1969*E1969</f>
        <v>0</v>
      </c>
      <c r="J1969" s="47"/>
      <c r="K1969" s="15"/>
    </row>
    <row r="1970" spans="1:11" s="16" customFormat="1" ht="25.5" outlineLevel="3">
      <c r="A1970" s="14"/>
      <c r="B1970" s="35"/>
      <c r="C1970" s="242" t="s">
        <v>96</v>
      </c>
      <c r="D1970" s="230" t="s">
        <v>28</v>
      </c>
      <c r="E1970" s="247">
        <v>1</v>
      </c>
      <c r="F1970" s="232">
        <v>0</v>
      </c>
      <c r="G1970" s="232">
        <v>0</v>
      </c>
      <c r="H1970" s="138">
        <f>G1970+F1970</f>
        <v>0</v>
      </c>
      <c r="I1970" s="138">
        <f>H1970*E1970</f>
        <v>0</v>
      </c>
      <c r="J1970" s="47"/>
      <c r="K1970" s="15"/>
    </row>
    <row r="1971" spans="1:11" s="16" customFormat="1" ht="25.5" outlineLevel="3">
      <c r="A1971" s="14"/>
      <c r="B1971" s="35"/>
      <c r="C1971" s="241" t="s">
        <v>148</v>
      </c>
      <c r="D1971" s="315"/>
      <c r="E1971" s="247"/>
      <c r="F1971" s="232">
        <v>0</v>
      </c>
      <c r="G1971" s="232">
        <v>0</v>
      </c>
      <c r="H1971" s="295"/>
      <c r="I1971" s="180"/>
      <c r="J1971" s="47"/>
      <c r="K1971" s="15"/>
    </row>
    <row r="1972" spans="1:11" s="16" customFormat="1" ht="25.5" outlineLevel="3">
      <c r="A1972" s="14"/>
      <c r="B1972" s="35"/>
      <c r="C1972" s="314" t="s">
        <v>170</v>
      </c>
      <c r="D1972" s="230" t="s">
        <v>28</v>
      </c>
      <c r="E1972" s="247">
        <v>3</v>
      </c>
      <c r="F1972" s="232">
        <v>0</v>
      </c>
      <c r="G1972" s="232">
        <v>0</v>
      </c>
      <c r="H1972" s="138">
        <f>G1972+F1972</f>
        <v>0</v>
      </c>
      <c r="I1972" s="138">
        <f>H1972*E1972</f>
        <v>0</v>
      </c>
      <c r="J1972" s="47"/>
      <c r="K1972" s="15"/>
    </row>
    <row r="1973" spans="1:11" s="16" customFormat="1" ht="25.5" outlineLevel="3">
      <c r="A1973" s="14"/>
      <c r="B1973" s="35"/>
      <c r="C1973" s="229" t="s">
        <v>139</v>
      </c>
      <c r="D1973" s="230" t="s">
        <v>38</v>
      </c>
      <c r="E1973" s="247">
        <v>1</v>
      </c>
      <c r="F1973" s="232">
        <v>0</v>
      </c>
      <c r="G1973" s="232">
        <v>0</v>
      </c>
      <c r="H1973" s="138">
        <f>G1973+F1973</f>
        <v>0</v>
      </c>
      <c r="I1973" s="138">
        <f>H1973*E1973</f>
        <v>0</v>
      </c>
      <c r="J1973" s="47"/>
      <c r="K1973" s="15"/>
    </row>
    <row r="1974" spans="1:11" s="16" customFormat="1" ht="25.5" outlineLevel="3">
      <c r="A1974" s="14"/>
      <c r="B1974" s="35">
        <f>MAXA(B$5:B1973)+1</f>
        <v>849</v>
      </c>
      <c r="C1974" s="242" t="s">
        <v>1104</v>
      </c>
      <c r="D1974" s="230" t="s">
        <v>38</v>
      </c>
      <c r="E1974" s="247">
        <v>1</v>
      </c>
      <c r="F1974" s="232">
        <v>2907707</v>
      </c>
      <c r="G1974" s="232">
        <v>1563188</v>
      </c>
      <c r="H1974" s="138">
        <f>G1974+F1974</f>
        <v>4470895</v>
      </c>
      <c r="I1974" s="138">
        <f>H1974*E1974</f>
        <v>4470895</v>
      </c>
      <c r="J1974" s="47"/>
      <c r="K1974" s="15"/>
    </row>
    <row r="1975" spans="1:11" s="16" customFormat="1" ht="25.5" outlineLevel="3">
      <c r="A1975" s="14"/>
      <c r="B1975" s="35"/>
      <c r="C1975" s="241" t="s">
        <v>141</v>
      </c>
      <c r="D1975" s="230"/>
      <c r="E1975" s="247"/>
      <c r="F1975" s="232">
        <v>0</v>
      </c>
      <c r="G1975" s="232">
        <v>0</v>
      </c>
      <c r="H1975" s="295"/>
      <c r="I1975" s="180"/>
      <c r="J1975" s="47"/>
      <c r="K1975" s="15"/>
    </row>
    <row r="1976" spans="1:11" s="16" customFormat="1" ht="25.5" outlineLevel="3">
      <c r="A1976" s="14"/>
      <c r="B1976" s="35"/>
      <c r="C1976" s="314" t="s">
        <v>1082</v>
      </c>
      <c r="D1976" s="230" t="s">
        <v>28</v>
      </c>
      <c r="E1976" s="247">
        <v>1</v>
      </c>
      <c r="F1976" s="232">
        <v>0</v>
      </c>
      <c r="G1976" s="232">
        <v>0</v>
      </c>
      <c r="H1976" s="138">
        <f>G1976+F1976</f>
        <v>0</v>
      </c>
      <c r="I1976" s="138">
        <f>H1976*E1976</f>
        <v>0</v>
      </c>
      <c r="J1976" s="47"/>
      <c r="K1976" s="15"/>
    </row>
    <row r="1977" spans="1:11" s="16" customFormat="1" ht="25.5" outlineLevel="3">
      <c r="A1977" s="14"/>
      <c r="B1977" s="35"/>
      <c r="C1977" s="242" t="s">
        <v>94</v>
      </c>
      <c r="D1977" s="230" t="s">
        <v>28</v>
      </c>
      <c r="E1977" s="247">
        <v>1</v>
      </c>
      <c r="F1977" s="232">
        <v>0</v>
      </c>
      <c r="G1977" s="232">
        <v>0</v>
      </c>
      <c r="H1977" s="138">
        <f>G1977+F1977</f>
        <v>0</v>
      </c>
      <c r="I1977" s="138">
        <f>H1977*E1977</f>
        <v>0</v>
      </c>
      <c r="J1977" s="47"/>
      <c r="K1977" s="15"/>
    </row>
    <row r="1978" spans="1:11" s="16" customFormat="1" ht="25.5" outlineLevel="3">
      <c r="A1978" s="14"/>
      <c r="B1978" s="35"/>
      <c r="C1978" s="242" t="s">
        <v>95</v>
      </c>
      <c r="D1978" s="230" t="s">
        <v>28</v>
      </c>
      <c r="E1978" s="247">
        <v>1</v>
      </c>
      <c r="F1978" s="232">
        <v>0</v>
      </c>
      <c r="G1978" s="232">
        <v>0</v>
      </c>
      <c r="H1978" s="138">
        <f>G1978+F1978</f>
        <v>0</v>
      </c>
      <c r="I1978" s="138">
        <f>H1978*E1978</f>
        <v>0</v>
      </c>
      <c r="J1978" s="47"/>
      <c r="K1978" s="15"/>
    </row>
    <row r="1979" spans="1:11" s="16" customFormat="1" ht="25.5" outlineLevel="3">
      <c r="A1979" s="14"/>
      <c r="B1979" s="35"/>
      <c r="C1979" s="242" t="s">
        <v>96</v>
      </c>
      <c r="D1979" s="230" t="s">
        <v>28</v>
      </c>
      <c r="E1979" s="247">
        <v>1</v>
      </c>
      <c r="F1979" s="232">
        <v>0</v>
      </c>
      <c r="G1979" s="232">
        <v>0</v>
      </c>
      <c r="H1979" s="138">
        <f>G1979+F1979</f>
        <v>0</v>
      </c>
      <c r="I1979" s="138">
        <f>H1979*E1979</f>
        <v>0</v>
      </c>
      <c r="J1979" s="47"/>
      <c r="K1979" s="15"/>
    </row>
    <row r="1980" spans="1:11" s="16" customFormat="1" ht="25.5" outlineLevel="3">
      <c r="A1980" s="14"/>
      <c r="B1980" s="35"/>
      <c r="C1980" s="241" t="s">
        <v>148</v>
      </c>
      <c r="D1980" s="315"/>
      <c r="E1980" s="247"/>
      <c r="F1980" s="232">
        <v>0</v>
      </c>
      <c r="G1980" s="232">
        <v>0</v>
      </c>
      <c r="H1980" s="295"/>
      <c r="I1980" s="180"/>
      <c r="J1980" s="47"/>
      <c r="K1980" s="15"/>
    </row>
    <row r="1981" spans="1:11" s="16" customFormat="1" ht="25.5" outlineLevel="3">
      <c r="A1981" s="14"/>
      <c r="B1981" s="35"/>
      <c r="C1981" s="314" t="s">
        <v>170</v>
      </c>
      <c r="D1981" s="230" t="s">
        <v>28</v>
      </c>
      <c r="E1981" s="247">
        <v>3</v>
      </c>
      <c r="F1981" s="232">
        <v>0</v>
      </c>
      <c r="G1981" s="232">
        <v>0</v>
      </c>
      <c r="H1981" s="138">
        <f>G1981+F1981</f>
        <v>0</v>
      </c>
      <c r="I1981" s="138">
        <f>H1981*E1981</f>
        <v>0</v>
      </c>
      <c r="J1981" s="47"/>
      <c r="K1981" s="15"/>
    </row>
    <row r="1982" spans="1:11" s="16" customFormat="1" ht="25.5" outlineLevel="3">
      <c r="A1982" s="14"/>
      <c r="B1982" s="35"/>
      <c r="C1982" s="229" t="s">
        <v>139</v>
      </c>
      <c r="D1982" s="230" t="s">
        <v>38</v>
      </c>
      <c r="E1982" s="247">
        <v>1</v>
      </c>
      <c r="F1982" s="232">
        <v>0</v>
      </c>
      <c r="G1982" s="232">
        <v>0</v>
      </c>
      <c r="H1982" s="138">
        <f>G1982+F1982</f>
        <v>0</v>
      </c>
      <c r="I1982" s="138">
        <f>H1982*E1982</f>
        <v>0</v>
      </c>
      <c r="J1982" s="47"/>
      <c r="K1982" s="15"/>
    </row>
    <row r="1983" spans="1:11" s="16" customFormat="1" ht="25.5" outlineLevel="3">
      <c r="A1983" s="14"/>
      <c r="B1983" s="35">
        <f>MAXA(B$5:B1982)+1</f>
        <v>850</v>
      </c>
      <c r="C1983" s="242" t="s">
        <v>1105</v>
      </c>
      <c r="D1983" s="230" t="s">
        <v>38</v>
      </c>
      <c r="E1983" s="247">
        <v>1</v>
      </c>
      <c r="F1983" s="232">
        <v>3156210</v>
      </c>
      <c r="G1983" s="232">
        <v>1563188</v>
      </c>
      <c r="H1983" s="138">
        <f>G1983+F1983</f>
        <v>4719398</v>
      </c>
      <c r="I1983" s="138">
        <f>H1983*E1983</f>
        <v>4719398</v>
      </c>
      <c r="J1983" s="47"/>
      <c r="K1983" s="15"/>
    </row>
    <row r="1984" spans="1:11" s="16" customFormat="1" ht="25.5" outlineLevel="3">
      <c r="A1984" s="14"/>
      <c r="B1984" s="35"/>
      <c r="C1984" s="241" t="s">
        <v>141</v>
      </c>
      <c r="D1984" s="230"/>
      <c r="E1984" s="247"/>
      <c r="F1984" s="232">
        <v>0</v>
      </c>
      <c r="G1984" s="232">
        <v>0</v>
      </c>
      <c r="H1984" s="295"/>
      <c r="I1984" s="180"/>
      <c r="J1984" s="47"/>
      <c r="K1984" s="15"/>
    </row>
    <row r="1985" spans="1:11" s="16" customFormat="1" ht="25.5" outlineLevel="3">
      <c r="A1985" s="14"/>
      <c r="B1985" s="35"/>
      <c r="C1985" s="314" t="s">
        <v>169</v>
      </c>
      <c r="D1985" s="230" t="s">
        <v>28</v>
      </c>
      <c r="E1985" s="247">
        <v>1</v>
      </c>
      <c r="F1985" s="232">
        <v>0</v>
      </c>
      <c r="G1985" s="232">
        <v>0</v>
      </c>
      <c r="H1985" s="138">
        <f>G1985+F1985</f>
        <v>0</v>
      </c>
      <c r="I1985" s="138">
        <f>H1985*E1985</f>
        <v>0</v>
      </c>
      <c r="J1985" s="47"/>
      <c r="K1985" s="15"/>
    </row>
    <row r="1986" spans="1:11" s="16" customFormat="1" ht="25.5" outlineLevel="3">
      <c r="A1986" s="14"/>
      <c r="B1986" s="35"/>
      <c r="C1986" s="242" t="s">
        <v>94</v>
      </c>
      <c r="D1986" s="230" t="s">
        <v>28</v>
      </c>
      <c r="E1986" s="247">
        <v>1</v>
      </c>
      <c r="F1986" s="232">
        <v>0</v>
      </c>
      <c r="G1986" s="232">
        <v>0</v>
      </c>
      <c r="H1986" s="138">
        <f>G1986+F1986</f>
        <v>0</v>
      </c>
      <c r="I1986" s="138">
        <f>H1986*E1986</f>
        <v>0</v>
      </c>
      <c r="J1986" s="47"/>
      <c r="K1986" s="15"/>
    </row>
    <row r="1987" spans="1:11" s="16" customFormat="1" ht="25.5" outlineLevel="3">
      <c r="A1987" s="14"/>
      <c r="B1987" s="35"/>
      <c r="C1987" s="242" t="s">
        <v>95</v>
      </c>
      <c r="D1987" s="230" t="s">
        <v>28</v>
      </c>
      <c r="E1987" s="247">
        <v>1</v>
      </c>
      <c r="F1987" s="232">
        <v>0</v>
      </c>
      <c r="G1987" s="232">
        <v>0</v>
      </c>
      <c r="H1987" s="138">
        <f>G1987+F1987</f>
        <v>0</v>
      </c>
      <c r="I1987" s="138">
        <f>H1987*E1987</f>
        <v>0</v>
      </c>
      <c r="J1987" s="47"/>
      <c r="K1987" s="15"/>
    </row>
    <row r="1988" spans="1:11" s="16" customFormat="1" ht="25.5" outlineLevel="3">
      <c r="A1988" s="14"/>
      <c r="B1988" s="35"/>
      <c r="C1988" s="242" t="s">
        <v>96</v>
      </c>
      <c r="D1988" s="230" t="s">
        <v>28</v>
      </c>
      <c r="E1988" s="247">
        <v>1</v>
      </c>
      <c r="F1988" s="232">
        <v>0</v>
      </c>
      <c r="G1988" s="232">
        <v>0</v>
      </c>
      <c r="H1988" s="138">
        <f>G1988+F1988</f>
        <v>0</v>
      </c>
      <c r="I1988" s="138">
        <f>H1988*E1988</f>
        <v>0</v>
      </c>
      <c r="J1988" s="47"/>
      <c r="K1988" s="15"/>
    </row>
    <row r="1989" spans="1:11" s="16" customFormat="1" ht="25.5" outlineLevel="3">
      <c r="A1989" s="14"/>
      <c r="B1989" s="35"/>
      <c r="C1989" s="241" t="s">
        <v>148</v>
      </c>
      <c r="D1989" s="315"/>
      <c r="E1989" s="247"/>
      <c r="F1989" s="232">
        <v>0</v>
      </c>
      <c r="G1989" s="232">
        <v>0</v>
      </c>
      <c r="H1989" s="295"/>
      <c r="I1989" s="180"/>
      <c r="J1989" s="47"/>
      <c r="K1989" s="15"/>
    </row>
    <row r="1990" spans="1:11" s="16" customFormat="1" ht="25.5" outlineLevel="3">
      <c r="A1990" s="14"/>
      <c r="B1990" s="35"/>
      <c r="C1990" s="314" t="s">
        <v>170</v>
      </c>
      <c r="D1990" s="230" t="s">
        <v>28</v>
      </c>
      <c r="E1990" s="247">
        <v>5</v>
      </c>
      <c r="F1990" s="232">
        <v>0</v>
      </c>
      <c r="G1990" s="232">
        <v>0</v>
      </c>
      <c r="H1990" s="138">
        <f>G1990+F1990</f>
        <v>0</v>
      </c>
      <c r="I1990" s="138">
        <f>H1990*E1990</f>
        <v>0</v>
      </c>
      <c r="J1990" s="47"/>
      <c r="K1990" s="15"/>
    </row>
    <row r="1991" spans="1:11" s="16" customFormat="1" ht="25.5" outlineLevel="3">
      <c r="A1991" s="14"/>
      <c r="B1991" s="35"/>
      <c r="C1991" s="229" t="s">
        <v>139</v>
      </c>
      <c r="D1991" s="230" t="s">
        <v>38</v>
      </c>
      <c r="E1991" s="247">
        <v>1</v>
      </c>
      <c r="F1991" s="232">
        <v>0</v>
      </c>
      <c r="G1991" s="232">
        <v>0</v>
      </c>
      <c r="H1991" s="138">
        <f>G1991+F1991</f>
        <v>0</v>
      </c>
      <c r="I1991" s="138">
        <f>H1991*E1991</f>
        <v>0</v>
      </c>
      <c r="J1991" s="47"/>
      <c r="K1991" s="15"/>
    </row>
    <row r="1992" spans="1:11" s="16" customFormat="1" ht="25.5" outlineLevel="3">
      <c r="A1992" s="14"/>
      <c r="B1992" s="35">
        <f>MAXA(B$5:B1991)+1</f>
        <v>851</v>
      </c>
      <c r="C1992" s="242" t="s">
        <v>1106</v>
      </c>
      <c r="D1992" s="230" t="s">
        <v>38</v>
      </c>
      <c r="E1992" s="247">
        <v>1</v>
      </c>
      <c r="F1992" s="232">
        <v>2907707</v>
      </c>
      <c r="G1992" s="232">
        <v>1563188</v>
      </c>
      <c r="H1992" s="138">
        <f>G1992+F1992</f>
        <v>4470895</v>
      </c>
      <c r="I1992" s="138">
        <f>H1992*E1992</f>
        <v>4470895</v>
      </c>
      <c r="J1992" s="47"/>
      <c r="K1992" s="15"/>
    </row>
    <row r="1993" spans="1:11" s="16" customFormat="1" ht="25.5" outlineLevel="3">
      <c r="A1993" s="14"/>
      <c r="B1993" s="35"/>
      <c r="C1993" s="241" t="s">
        <v>141</v>
      </c>
      <c r="D1993" s="230"/>
      <c r="E1993" s="247"/>
      <c r="F1993" s="232">
        <v>0</v>
      </c>
      <c r="G1993" s="232">
        <v>0</v>
      </c>
      <c r="H1993" s="295"/>
      <c r="I1993" s="180"/>
      <c r="J1993" s="47"/>
      <c r="K1993" s="15"/>
    </row>
    <row r="1994" spans="1:11" s="16" customFormat="1" ht="25.5" outlineLevel="3">
      <c r="A1994" s="14"/>
      <c r="B1994" s="35"/>
      <c r="C1994" s="314" t="s">
        <v>1082</v>
      </c>
      <c r="D1994" s="230" t="s">
        <v>28</v>
      </c>
      <c r="E1994" s="247">
        <v>1</v>
      </c>
      <c r="F1994" s="232">
        <v>0</v>
      </c>
      <c r="G1994" s="232">
        <v>0</v>
      </c>
      <c r="H1994" s="138">
        <f>G1994+F1994</f>
        <v>0</v>
      </c>
      <c r="I1994" s="138">
        <f>H1994*E1994</f>
        <v>0</v>
      </c>
      <c r="J1994" s="47"/>
      <c r="K1994" s="15"/>
    </row>
    <row r="1995" spans="1:11" s="16" customFormat="1" ht="25.5" outlineLevel="3">
      <c r="A1995" s="14"/>
      <c r="B1995" s="35"/>
      <c r="C1995" s="242" t="s">
        <v>94</v>
      </c>
      <c r="D1995" s="230" t="s">
        <v>28</v>
      </c>
      <c r="E1995" s="247">
        <v>1</v>
      </c>
      <c r="F1995" s="232">
        <v>0</v>
      </c>
      <c r="G1995" s="232">
        <v>0</v>
      </c>
      <c r="H1995" s="138">
        <f>G1995+F1995</f>
        <v>0</v>
      </c>
      <c r="I1995" s="138">
        <f>H1995*E1995</f>
        <v>0</v>
      </c>
      <c r="J1995" s="47"/>
      <c r="K1995" s="15"/>
    </row>
    <row r="1996" spans="1:11" s="16" customFormat="1" ht="25.5" outlineLevel="3">
      <c r="A1996" s="14"/>
      <c r="B1996" s="35"/>
      <c r="C1996" s="242" t="s">
        <v>95</v>
      </c>
      <c r="D1996" s="230" t="s">
        <v>28</v>
      </c>
      <c r="E1996" s="247">
        <v>1</v>
      </c>
      <c r="F1996" s="232">
        <v>0</v>
      </c>
      <c r="G1996" s="232">
        <v>0</v>
      </c>
      <c r="H1996" s="138">
        <f>G1996+F1996</f>
        <v>0</v>
      </c>
      <c r="I1996" s="138">
        <f>H1996*E1996</f>
        <v>0</v>
      </c>
      <c r="J1996" s="47"/>
      <c r="K1996" s="15"/>
    </row>
    <row r="1997" spans="1:11" s="16" customFormat="1" ht="25.5" outlineLevel="3">
      <c r="A1997" s="14"/>
      <c r="B1997" s="35"/>
      <c r="C1997" s="242" t="s">
        <v>96</v>
      </c>
      <c r="D1997" s="230" t="s">
        <v>28</v>
      </c>
      <c r="E1997" s="247">
        <v>1</v>
      </c>
      <c r="F1997" s="232">
        <v>0</v>
      </c>
      <c r="G1997" s="232">
        <v>0</v>
      </c>
      <c r="H1997" s="138">
        <f>G1997+F1997</f>
        <v>0</v>
      </c>
      <c r="I1997" s="138">
        <f>H1997*E1997</f>
        <v>0</v>
      </c>
      <c r="J1997" s="47"/>
      <c r="K1997" s="15"/>
    </row>
    <row r="1998" spans="1:11" s="16" customFormat="1" ht="25.5" outlineLevel="3">
      <c r="A1998" s="14"/>
      <c r="B1998" s="35"/>
      <c r="C1998" s="241" t="s">
        <v>148</v>
      </c>
      <c r="D1998" s="315"/>
      <c r="E1998" s="247"/>
      <c r="F1998" s="232">
        <v>0</v>
      </c>
      <c r="G1998" s="232">
        <v>0</v>
      </c>
      <c r="H1998" s="295"/>
      <c r="I1998" s="180"/>
      <c r="J1998" s="47"/>
      <c r="K1998" s="15"/>
    </row>
    <row r="1999" spans="1:11" s="16" customFormat="1" ht="25.5" outlineLevel="3">
      <c r="A1999" s="14"/>
      <c r="B1999" s="35"/>
      <c r="C1999" s="314" t="s">
        <v>170</v>
      </c>
      <c r="D1999" s="230" t="s">
        <v>28</v>
      </c>
      <c r="E1999" s="247">
        <v>3</v>
      </c>
      <c r="F1999" s="232">
        <v>0</v>
      </c>
      <c r="G1999" s="232">
        <v>0</v>
      </c>
      <c r="H1999" s="138">
        <f>G1999+F1999</f>
        <v>0</v>
      </c>
      <c r="I1999" s="138">
        <f>H1999*E1999</f>
        <v>0</v>
      </c>
      <c r="J1999" s="47"/>
      <c r="K1999" s="15"/>
    </row>
    <row r="2000" spans="1:11" s="16" customFormat="1" ht="25.5" outlineLevel="3">
      <c r="A2000" s="14"/>
      <c r="B2000" s="35"/>
      <c r="C2000" s="229" t="s">
        <v>139</v>
      </c>
      <c r="D2000" s="230" t="s">
        <v>38</v>
      </c>
      <c r="E2000" s="247">
        <v>1</v>
      </c>
      <c r="F2000" s="232">
        <v>0</v>
      </c>
      <c r="G2000" s="232">
        <v>0</v>
      </c>
      <c r="H2000" s="138">
        <f>G2000+F2000</f>
        <v>0</v>
      </c>
      <c r="I2000" s="138">
        <f>H2000*E2000</f>
        <v>0</v>
      </c>
      <c r="J2000" s="47"/>
      <c r="K2000" s="15"/>
    </row>
    <row r="2001" spans="1:11" s="16" customFormat="1" ht="25.5" outlineLevel="3">
      <c r="A2001" s="14"/>
      <c r="B2001" s="35">
        <f>MAXA(B$5:B2000)+1</f>
        <v>852</v>
      </c>
      <c r="C2001" s="242" t="s">
        <v>1107</v>
      </c>
      <c r="D2001" s="230" t="s">
        <v>38</v>
      </c>
      <c r="E2001" s="247">
        <v>1</v>
      </c>
      <c r="F2001" s="232">
        <v>2907707</v>
      </c>
      <c r="G2001" s="232">
        <v>1563188</v>
      </c>
      <c r="H2001" s="138">
        <f>G2001+F2001</f>
        <v>4470895</v>
      </c>
      <c r="I2001" s="138">
        <f>H2001*E2001</f>
        <v>4470895</v>
      </c>
      <c r="J2001" s="47"/>
      <c r="K2001" s="15"/>
    </row>
    <row r="2002" spans="1:11" s="16" customFormat="1" ht="25.5" outlineLevel="3">
      <c r="A2002" s="14"/>
      <c r="B2002" s="35"/>
      <c r="C2002" s="241" t="s">
        <v>141</v>
      </c>
      <c r="D2002" s="230"/>
      <c r="E2002" s="247"/>
      <c r="F2002" s="232">
        <v>0</v>
      </c>
      <c r="G2002" s="232">
        <v>0</v>
      </c>
      <c r="H2002" s="295"/>
      <c r="I2002" s="180"/>
      <c r="J2002" s="47"/>
      <c r="K2002" s="15"/>
    </row>
    <row r="2003" spans="1:11" s="16" customFormat="1" ht="25.5" outlineLevel="3">
      <c r="A2003" s="14"/>
      <c r="B2003" s="35"/>
      <c r="C2003" s="314" t="s">
        <v>1082</v>
      </c>
      <c r="D2003" s="230" t="s">
        <v>28</v>
      </c>
      <c r="E2003" s="247">
        <v>1</v>
      </c>
      <c r="F2003" s="232">
        <v>0</v>
      </c>
      <c r="G2003" s="232">
        <v>0</v>
      </c>
      <c r="H2003" s="138">
        <f>G2003+F2003</f>
        <v>0</v>
      </c>
      <c r="I2003" s="138">
        <f>H2003*E2003</f>
        <v>0</v>
      </c>
      <c r="J2003" s="47"/>
      <c r="K2003" s="15"/>
    </row>
    <row r="2004" spans="1:11" s="16" customFormat="1" ht="25.5" outlineLevel="3">
      <c r="A2004" s="14"/>
      <c r="B2004" s="35"/>
      <c r="C2004" s="242" t="s">
        <v>94</v>
      </c>
      <c r="D2004" s="230" t="s">
        <v>28</v>
      </c>
      <c r="E2004" s="247">
        <v>1</v>
      </c>
      <c r="F2004" s="232">
        <v>0</v>
      </c>
      <c r="G2004" s="232">
        <v>0</v>
      </c>
      <c r="H2004" s="138">
        <f>G2004+F2004</f>
        <v>0</v>
      </c>
      <c r="I2004" s="138">
        <f>H2004*E2004</f>
        <v>0</v>
      </c>
      <c r="J2004" s="47"/>
      <c r="K2004" s="15"/>
    </row>
    <row r="2005" spans="1:11" s="16" customFormat="1" ht="25.5" outlineLevel="3">
      <c r="A2005" s="14"/>
      <c r="B2005" s="35"/>
      <c r="C2005" s="242" t="s">
        <v>95</v>
      </c>
      <c r="D2005" s="230" t="s">
        <v>28</v>
      </c>
      <c r="E2005" s="247">
        <v>1</v>
      </c>
      <c r="F2005" s="232">
        <v>0</v>
      </c>
      <c r="G2005" s="232">
        <v>0</v>
      </c>
      <c r="H2005" s="138">
        <f>G2005+F2005</f>
        <v>0</v>
      </c>
      <c r="I2005" s="138">
        <f>H2005*E2005</f>
        <v>0</v>
      </c>
      <c r="J2005" s="47"/>
      <c r="K2005" s="15"/>
    </row>
    <row r="2006" spans="1:11" s="16" customFormat="1" ht="25.5" outlineLevel="3">
      <c r="A2006" s="14"/>
      <c r="B2006" s="35"/>
      <c r="C2006" s="242" t="s">
        <v>96</v>
      </c>
      <c r="D2006" s="230" t="s">
        <v>28</v>
      </c>
      <c r="E2006" s="247">
        <v>1</v>
      </c>
      <c r="F2006" s="232">
        <v>0</v>
      </c>
      <c r="G2006" s="232">
        <v>0</v>
      </c>
      <c r="H2006" s="138">
        <f>G2006+F2006</f>
        <v>0</v>
      </c>
      <c r="I2006" s="138">
        <f>H2006*E2006</f>
        <v>0</v>
      </c>
      <c r="J2006" s="47"/>
      <c r="K2006" s="15"/>
    </row>
    <row r="2007" spans="1:11" s="16" customFormat="1" ht="25.5" outlineLevel="3">
      <c r="A2007" s="14"/>
      <c r="B2007" s="35"/>
      <c r="C2007" s="241" t="s">
        <v>148</v>
      </c>
      <c r="D2007" s="315"/>
      <c r="E2007" s="247"/>
      <c r="F2007" s="232">
        <v>0</v>
      </c>
      <c r="G2007" s="232">
        <v>0</v>
      </c>
      <c r="H2007" s="295"/>
      <c r="I2007" s="180"/>
      <c r="J2007" s="47"/>
      <c r="K2007" s="15"/>
    </row>
    <row r="2008" spans="1:11" s="16" customFormat="1" ht="25.5" outlineLevel="3">
      <c r="A2008" s="14"/>
      <c r="B2008" s="35"/>
      <c r="C2008" s="314" t="s">
        <v>170</v>
      </c>
      <c r="D2008" s="230" t="s">
        <v>28</v>
      </c>
      <c r="E2008" s="247">
        <v>3</v>
      </c>
      <c r="F2008" s="232">
        <v>0</v>
      </c>
      <c r="G2008" s="232">
        <v>0</v>
      </c>
      <c r="H2008" s="138">
        <f>G2008+F2008</f>
        <v>0</v>
      </c>
      <c r="I2008" s="138">
        <f>H2008*E2008</f>
        <v>0</v>
      </c>
      <c r="J2008" s="47"/>
      <c r="K2008" s="15"/>
    </row>
    <row r="2009" spans="1:11" s="16" customFormat="1" ht="25.5" outlineLevel="3">
      <c r="A2009" s="14"/>
      <c r="B2009" s="35"/>
      <c r="C2009" s="229" t="s">
        <v>139</v>
      </c>
      <c r="D2009" s="230" t="s">
        <v>38</v>
      </c>
      <c r="E2009" s="247">
        <v>1</v>
      </c>
      <c r="F2009" s="232">
        <v>0</v>
      </c>
      <c r="G2009" s="232">
        <v>0</v>
      </c>
      <c r="H2009" s="138">
        <f>G2009+F2009</f>
        <v>0</v>
      </c>
      <c r="I2009" s="138">
        <f>H2009*E2009</f>
        <v>0</v>
      </c>
      <c r="J2009" s="47"/>
      <c r="K2009" s="15"/>
    </row>
    <row r="2010" spans="1:11" s="16" customFormat="1" ht="25.5" outlineLevel="3">
      <c r="A2010" s="14"/>
      <c r="B2010" s="35">
        <f>MAXA(B$5:B2009)+1</f>
        <v>853</v>
      </c>
      <c r="C2010" s="242" t="s">
        <v>1108</v>
      </c>
      <c r="D2010" s="230" t="s">
        <v>38</v>
      </c>
      <c r="E2010" s="247">
        <v>1</v>
      </c>
      <c r="F2010" s="232">
        <v>2907707</v>
      </c>
      <c r="G2010" s="232">
        <v>1563188</v>
      </c>
      <c r="H2010" s="138">
        <f>G2010+F2010</f>
        <v>4470895</v>
      </c>
      <c r="I2010" s="138">
        <f>H2010*E2010</f>
        <v>4470895</v>
      </c>
      <c r="J2010" s="47"/>
      <c r="K2010" s="15"/>
    </row>
    <row r="2011" spans="1:11" s="16" customFormat="1" ht="25.5" outlineLevel="3">
      <c r="A2011" s="14"/>
      <c r="B2011" s="35"/>
      <c r="C2011" s="241" t="s">
        <v>141</v>
      </c>
      <c r="D2011" s="230"/>
      <c r="E2011" s="247"/>
      <c r="F2011" s="232">
        <v>0</v>
      </c>
      <c r="G2011" s="232">
        <v>0</v>
      </c>
      <c r="H2011" s="295"/>
      <c r="I2011" s="180"/>
      <c r="J2011" s="47"/>
      <c r="K2011" s="15"/>
    </row>
    <row r="2012" spans="1:11" s="16" customFormat="1" ht="25.5" outlineLevel="3">
      <c r="A2012" s="14"/>
      <c r="B2012" s="35"/>
      <c r="C2012" s="314" t="s">
        <v>1082</v>
      </c>
      <c r="D2012" s="230" t="s">
        <v>28</v>
      </c>
      <c r="E2012" s="247">
        <v>1</v>
      </c>
      <c r="F2012" s="232">
        <v>0</v>
      </c>
      <c r="G2012" s="232">
        <v>0</v>
      </c>
      <c r="H2012" s="138">
        <f>G2012+F2012</f>
        <v>0</v>
      </c>
      <c r="I2012" s="138">
        <f>H2012*E2012</f>
        <v>0</v>
      </c>
      <c r="J2012" s="47"/>
      <c r="K2012" s="15"/>
    </row>
    <row r="2013" spans="1:11" s="16" customFormat="1" ht="25.5" outlineLevel="3">
      <c r="A2013" s="14"/>
      <c r="B2013" s="35"/>
      <c r="C2013" s="242" t="s">
        <v>94</v>
      </c>
      <c r="D2013" s="230" t="s">
        <v>28</v>
      </c>
      <c r="E2013" s="247">
        <v>1</v>
      </c>
      <c r="F2013" s="232">
        <v>0</v>
      </c>
      <c r="G2013" s="232">
        <v>0</v>
      </c>
      <c r="H2013" s="138">
        <f>G2013+F2013</f>
        <v>0</v>
      </c>
      <c r="I2013" s="138">
        <f>H2013*E2013</f>
        <v>0</v>
      </c>
      <c r="J2013" s="47"/>
      <c r="K2013" s="15"/>
    </row>
    <row r="2014" spans="1:11" s="16" customFormat="1" ht="25.5" outlineLevel="3">
      <c r="A2014" s="14"/>
      <c r="B2014" s="35"/>
      <c r="C2014" s="242" t="s">
        <v>95</v>
      </c>
      <c r="D2014" s="230" t="s">
        <v>28</v>
      </c>
      <c r="E2014" s="247">
        <v>1</v>
      </c>
      <c r="F2014" s="232">
        <v>0</v>
      </c>
      <c r="G2014" s="232">
        <v>0</v>
      </c>
      <c r="H2014" s="138">
        <f>G2014+F2014</f>
        <v>0</v>
      </c>
      <c r="I2014" s="138">
        <f>H2014*E2014</f>
        <v>0</v>
      </c>
      <c r="J2014" s="47"/>
      <c r="K2014" s="15"/>
    </row>
    <row r="2015" spans="1:11" s="16" customFormat="1" ht="25.5" outlineLevel="3">
      <c r="A2015" s="14"/>
      <c r="B2015" s="35"/>
      <c r="C2015" s="242" t="s">
        <v>96</v>
      </c>
      <c r="D2015" s="230" t="s">
        <v>28</v>
      </c>
      <c r="E2015" s="247">
        <v>1</v>
      </c>
      <c r="F2015" s="232">
        <v>0</v>
      </c>
      <c r="G2015" s="232">
        <v>0</v>
      </c>
      <c r="H2015" s="138">
        <f>G2015+F2015</f>
        <v>0</v>
      </c>
      <c r="I2015" s="138">
        <f>H2015*E2015</f>
        <v>0</v>
      </c>
      <c r="J2015" s="47"/>
      <c r="K2015" s="15"/>
    </row>
    <row r="2016" spans="1:11" s="16" customFormat="1" ht="25.5" outlineLevel="3">
      <c r="A2016" s="14"/>
      <c r="B2016" s="35"/>
      <c r="C2016" s="241" t="s">
        <v>148</v>
      </c>
      <c r="D2016" s="315"/>
      <c r="E2016" s="247"/>
      <c r="F2016" s="232">
        <v>0</v>
      </c>
      <c r="G2016" s="232">
        <v>0</v>
      </c>
      <c r="H2016" s="295"/>
      <c r="I2016" s="180"/>
      <c r="J2016" s="47"/>
      <c r="K2016" s="15"/>
    </row>
    <row r="2017" spans="1:11" s="16" customFormat="1" ht="25.5" outlineLevel="3">
      <c r="A2017" s="14"/>
      <c r="B2017" s="35"/>
      <c r="C2017" s="314" t="s">
        <v>170</v>
      </c>
      <c r="D2017" s="230" t="s">
        <v>28</v>
      </c>
      <c r="E2017" s="247">
        <v>3</v>
      </c>
      <c r="F2017" s="232">
        <v>0</v>
      </c>
      <c r="G2017" s="232">
        <v>0</v>
      </c>
      <c r="H2017" s="138">
        <f>G2017+F2017</f>
        <v>0</v>
      </c>
      <c r="I2017" s="138">
        <f>H2017*E2017</f>
        <v>0</v>
      </c>
      <c r="J2017" s="47"/>
      <c r="K2017" s="15"/>
    </row>
    <row r="2018" spans="1:11" s="16" customFormat="1" ht="25.5" outlineLevel="3">
      <c r="A2018" s="14"/>
      <c r="B2018" s="35"/>
      <c r="C2018" s="229" t="s">
        <v>139</v>
      </c>
      <c r="D2018" s="230" t="s">
        <v>38</v>
      </c>
      <c r="E2018" s="247">
        <v>1</v>
      </c>
      <c r="F2018" s="232">
        <v>0</v>
      </c>
      <c r="G2018" s="232">
        <v>0</v>
      </c>
      <c r="H2018" s="138">
        <f>G2018+F2018</f>
        <v>0</v>
      </c>
      <c r="I2018" s="138">
        <f>H2018*E2018</f>
        <v>0</v>
      </c>
      <c r="J2018" s="47"/>
      <c r="K2018" s="15"/>
    </row>
    <row r="2019" spans="1:11" s="16" customFormat="1" ht="25.5" outlineLevel="3">
      <c r="A2019" s="14"/>
      <c r="B2019" s="35">
        <f>MAXA(B$5:B2018)+1</f>
        <v>854</v>
      </c>
      <c r="C2019" s="242" t="s">
        <v>1109</v>
      </c>
      <c r="D2019" s="230" t="s">
        <v>38</v>
      </c>
      <c r="E2019" s="247">
        <v>1</v>
      </c>
      <c r="F2019" s="232">
        <v>2907707</v>
      </c>
      <c r="G2019" s="232">
        <v>1563188</v>
      </c>
      <c r="H2019" s="138">
        <f>G2019+F2019</f>
        <v>4470895</v>
      </c>
      <c r="I2019" s="138">
        <f>H2019*E2019</f>
        <v>4470895</v>
      </c>
      <c r="J2019" s="47"/>
      <c r="K2019" s="15"/>
    </row>
    <row r="2020" spans="1:11" s="16" customFormat="1" ht="25.5" outlineLevel="3">
      <c r="A2020" s="14"/>
      <c r="B2020" s="35"/>
      <c r="C2020" s="241" t="s">
        <v>141</v>
      </c>
      <c r="D2020" s="230"/>
      <c r="E2020" s="247"/>
      <c r="F2020" s="232">
        <v>0</v>
      </c>
      <c r="G2020" s="232">
        <v>0</v>
      </c>
      <c r="H2020" s="295"/>
      <c r="I2020" s="180"/>
      <c r="J2020" s="47"/>
      <c r="K2020" s="15"/>
    </row>
    <row r="2021" spans="1:11" s="16" customFormat="1" ht="25.5" outlineLevel="3">
      <c r="A2021" s="14"/>
      <c r="B2021" s="35"/>
      <c r="C2021" s="314" t="s">
        <v>1082</v>
      </c>
      <c r="D2021" s="230" t="s">
        <v>28</v>
      </c>
      <c r="E2021" s="247">
        <v>1</v>
      </c>
      <c r="F2021" s="232">
        <v>0</v>
      </c>
      <c r="G2021" s="232">
        <v>0</v>
      </c>
      <c r="H2021" s="138">
        <f>G2021+F2021</f>
        <v>0</v>
      </c>
      <c r="I2021" s="138">
        <f>H2021*E2021</f>
        <v>0</v>
      </c>
      <c r="J2021" s="47"/>
      <c r="K2021" s="15"/>
    </row>
    <row r="2022" spans="1:11" s="16" customFormat="1" ht="25.5" outlineLevel="3">
      <c r="A2022" s="14"/>
      <c r="B2022" s="35"/>
      <c r="C2022" s="242" t="s">
        <v>94</v>
      </c>
      <c r="D2022" s="230" t="s">
        <v>28</v>
      </c>
      <c r="E2022" s="247">
        <v>1</v>
      </c>
      <c r="F2022" s="232">
        <v>0</v>
      </c>
      <c r="G2022" s="232">
        <v>0</v>
      </c>
      <c r="H2022" s="138">
        <f>G2022+F2022</f>
        <v>0</v>
      </c>
      <c r="I2022" s="138">
        <f>H2022*E2022</f>
        <v>0</v>
      </c>
      <c r="J2022" s="47"/>
      <c r="K2022" s="15"/>
    </row>
    <row r="2023" spans="1:11" s="16" customFormat="1" ht="25.5" outlineLevel="3">
      <c r="A2023" s="14"/>
      <c r="B2023" s="35"/>
      <c r="C2023" s="242" t="s">
        <v>95</v>
      </c>
      <c r="D2023" s="230" t="s">
        <v>28</v>
      </c>
      <c r="E2023" s="247">
        <v>1</v>
      </c>
      <c r="F2023" s="232">
        <v>0</v>
      </c>
      <c r="G2023" s="232">
        <v>0</v>
      </c>
      <c r="H2023" s="138">
        <f>G2023+F2023</f>
        <v>0</v>
      </c>
      <c r="I2023" s="138">
        <f>H2023*E2023</f>
        <v>0</v>
      </c>
      <c r="J2023" s="47"/>
      <c r="K2023" s="15"/>
    </row>
    <row r="2024" spans="1:11" s="16" customFormat="1" ht="25.5" outlineLevel="3">
      <c r="A2024" s="14"/>
      <c r="B2024" s="35"/>
      <c r="C2024" s="242" t="s">
        <v>96</v>
      </c>
      <c r="D2024" s="230" t="s">
        <v>28</v>
      </c>
      <c r="E2024" s="247">
        <v>1</v>
      </c>
      <c r="F2024" s="232">
        <v>0</v>
      </c>
      <c r="G2024" s="232">
        <v>0</v>
      </c>
      <c r="H2024" s="138">
        <f>G2024+F2024</f>
        <v>0</v>
      </c>
      <c r="I2024" s="138">
        <f>H2024*E2024</f>
        <v>0</v>
      </c>
      <c r="J2024" s="47"/>
      <c r="K2024" s="15"/>
    </row>
    <row r="2025" spans="1:11" s="16" customFormat="1" ht="25.5" outlineLevel="3">
      <c r="A2025" s="14"/>
      <c r="B2025" s="35"/>
      <c r="C2025" s="241" t="s">
        <v>148</v>
      </c>
      <c r="D2025" s="315"/>
      <c r="E2025" s="247"/>
      <c r="F2025" s="232">
        <v>0</v>
      </c>
      <c r="G2025" s="232">
        <v>0</v>
      </c>
      <c r="H2025" s="295"/>
      <c r="I2025" s="180"/>
      <c r="J2025" s="47"/>
      <c r="K2025" s="15"/>
    </row>
    <row r="2026" spans="1:11" s="16" customFormat="1" ht="25.5" outlineLevel="3">
      <c r="A2026" s="14"/>
      <c r="B2026" s="35"/>
      <c r="C2026" s="314" t="s">
        <v>170</v>
      </c>
      <c r="D2026" s="230" t="s">
        <v>28</v>
      </c>
      <c r="E2026" s="247">
        <v>3</v>
      </c>
      <c r="F2026" s="232">
        <v>0</v>
      </c>
      <c r="G2026" s="232">
        <v>0</v>
      </c>
      <c r="H2026" s="138">
        <f>G2026+F2026</f>
        <v>0</v>
      </c>
      <c r="I2026" s="138">
        <f>H2026*E2026</f>
        <v>0</v>
      </c>
      <c r="J2026" s="47"/>
      <c r="K2026" s="15"/>
    </row>
    <row r="2027" spans="1:11" s="16" customFormat="1" ht="25.5" outlineLevel="3">
      <c r="A2027" s="14"/>
      <c r="B2027" s="35"/>
      <c r="C2027" s="229" t="s">
        <v>139</v>
      </c>
      <c r="D2027" s="230" t="s">
        <v>38</v>
      </c>
      <c r="E2027" s="247">
        <v>1</v>
      </c>
      <c r="F2027" s="232">
        <v>0</v>
      </c>
      <c r="G2027" s="232">
        <v>0</v>
      </c>
      <c r="H2027" s="138">
        <f>G2027+F2027</f>
        <v>0</v>
      </c>
      <c r="I2027" s="138">
        <f>H2027*E2027</f>
        <v>0</v>
      </c>
      <c r="J2027" s="47"/>
      <c r="K2027" s="15"/>
    </row>
    <row r="2028" spans="1:11" s="16" customFormat="1" ht="25.5" outlineLevel="3">
      <c r="A2028" s="14"/>
      <c r="B2028" s="35">
        <f>MAXA(B$5:B2027)+1</f>
        <v>855</v>
      </c>
      <c r="C2028" s="242" t="s">
        <v>1110</v>
      </c>
      <c r="D2028" s="230" t="s">
        <v>38</v>
      </c>
      <c r="E2028" s="247">
        <v>1</v>
      </c>
      <c r="F2028" s="232">
        <v>2907707</v>
      </c>
      <c r="G2028" s="232">
        <v>1563188</v>
      </c>
      <c r="H2028" s="138">
        <f>G2028+F2028</f>
        <v>4470895</v>
      </c>
      <c r="I2028" s="138">
        <f>H2028*E2028</f>
        <v>4470895</v>
      </c>
      <c r="J2028" s="47"/>
      <c r="K2028" s="15"/>
    </row>
    <row r="2029" spans="1:11" s="16" customFormat="1" ht="25.5" outlineLevel="3">
      <c r="A2029" s="14"/>
      <c r="B2029" s="35"/>
      <c r="C2029" s="241" t="s">
        <v>141</v>
      </c>
      <c r="D2029" s="230"/>
      <c r="E2029" s="247"/>
      <c r="F2029" s="232">
        <v>0</v>
      </c>
      <c r="G2029" s="232">
        <v>0</v>
      </c>
      <c r="H2029" s="295"/>
      <c r="I2029" s="180"/>
      <c r="J2029" s="47"/>
      <c r="K2029" s="15"/>
    </row>
    <row r="2030" spans="1:11" s="16" customFormat="1" ht="25.5" outlineLevel="3">
      <c r="A2030" s="14"/>
      <c r="B2030" s="35"/>
      <c r="C2030" s="314" t="s">
        <v>1082</v>
      </c>
      <c r="D2030" s="230" t="s">
        <v>28</v>
      </c>
      <c r="E2030" s="247">
        <v>1</v>
      </c>
      <c r="F2030" s="232">
        <v>0</v>
      </c>
      <c r="G2030" s="232">
        <v>0</v>
      </c>
      <c r="H2030" s="138">
        <f>G2030+F2030</f>
        <v>0</v>
      </c>
      <c r="I2030" s="138">
        <f>H2030*E2030</f>
        <v>0</v>
      </c>
      <c r="J2030" s="47"/>
      <c r="K2030" s="15"/>
    </row>
    <row r="2031" spans="1:11" s="16" customFormat="1" ht="25.5" outlineLevel="3">
      <c r="A2031" s="14"/>
      <c r="B2031" s="35"/>
      <c r="C2031" s="242" t="s">
        <v>94</v>
      </c>
      <c r="D2031" s="230" t="s">
        <v>28</v>
      </c>
      <c r="E2031" s="247">
        <v>1</v>
      </c>
      <c r="F2031" s="232">
        <v>0</v>
      </c>
      <c r="G2031" s="232">
        <v>0</v>
      </c>
      <c r="H2031" s="138">
        <f>G2031+F2031</f>
        <v>0</v>
      </c>
      <c r="I2031" s="138">
        <f>H2031*E2031</f>
        <v>0</v>
      </c>
      <c r="J2031" s="47"/>
      <c r="K2031" s="15"/>
    </row>
    <row r="2032" spans="1:11" s="16" customFormat="1" ht="25.5" outlineLevel="3">
      <c r="A2032" s="14"/>
      <c r="B2032" s="35"/>
      <c r="C2032" s="242" t="s">
        <v>95</v>
      </c>
      <c r="D2032" s="230" t="s">
        <v>28</v>
      </c>
      <c r="E2032" s="247">
        <v>1</v>
      </c>
      <c r="F2032" s="232">
        <v>0</v>
      </c>
      <c r="G2032" s="232">
        <v>0</v>
      </c>
      <c r="H2032" s="138">
        <f>G2032+F2032</f>
        <v>0</v>
      </c>
      <c r="I2032" s="138">
        <f>H2032*E2032</f>
        <v>0</v>
      </c>
      <c r="J2032" s="47"/>
      <c r="K2032" s="15"/>
    </row>
    <row r="2033" spans="1:11" s="16" customFormat="1" ht="25.5" outlineLevel="3">
      <c r="A2033" s="14"/>
      <c r="B2033" s="35"/>
      <c r="C2033" s="242" t="s">
        <v>96</v>
      </c>
      <c r="D2033" s="230" t="s">
        <v>28</v>
      </c>
      <c r="E2033" s="247">
        <v>1</v>
      </c>
      <c r="F2033" s="232">
        <v>0</v>
      </c>
      <c r="G2033" s="232">
        <v>0</v>
      </c>
      <c r="H2033" s="138">
        <f>G2033+F2033</f>
        <v>0</v>
      </c>
      <c r="I2033" s="138">
        <f>H2033*E2033</f>
        <v>0</v>
      </c>
      <c r="J2033" s="47"/>
      <c r="K2033" s="15"/>
    </row>
    <row r="2034" spans="1:11" s="16" customFormat="1" ht="25.5" outlineLevel="3">
      <c r="A2034" s="14"/>
      <c r="B2034" s="35"/>
      <c r="C2034" s="241" t="s">
        <v>148</v>
      </c>
      <c r="D2034" s="315"/>
      <c r="E2034" s="247"/>
      <c r="F2034" s="232">
        <v>0</v>
      </c>
      <c r="G2034" s="232">
        <v>0</v>
      </c>
      <c r="H2034" s="295"/>
      <c r="I2034" s="180"/>
      <c r="J2034" s="47"/>
      <c r="K2034" s="15"/>
    </row>
    <row r="2035" spans="1:11" s="16" customFormat="1" ht="25.5" outlineLevel="3">
      <c r="A2035" s="14"/>
      <c r="B2035" s="35"/>
      <c r="C2035" s="314" t="s">
        <v>170</v>
      </c>
      <c r="D2035" s="230" t="s">
        <v>28</v>
      </c>
      <c r="E2035" s="247">
        <v>3</v>
      </c>
      <c r="F2035" s="232">
        <v>0</v>
      </c>
      <c r="G2035" s="232">
        <v>0</v>
      </c>
      <c r="H2035" s="138">
        <f>G2035+F2035</f>
        <v>0</v>
      </c>
      <c r="I2035" s="138">
        <f>H2035*E2035</f>
        <v>0</v>
      </c>
      <c r="J2035" s="47"/>
      <c r="K2035" s="15"/>
    </row>
    <row r="2036" spans="1:11" s="16" customFormat="1" ht="25.5" outlineLevel="3">
      <c r="A2036" s="14"/>
      <c r="B2036" s="35"/>
      <c r="C2036" s="229" t="s">
        <v>139</v>
      </c>
      <c r="D2036" s="230" t="s">
        <v>38</v>
      </c>
      <c r="E2036" s="247">
        <v>1</v>
      </c>
      <c r="F2036" s="232">
        <v>0</v>
      </c>
      <c r="G2036" s="232">
        <v>0</v>
      </c>
      <c r="H2036" s="138">
        <f>G2036+F2036</f>
        <v>0</v>
      </c>
      <c r="I2036" s="138">
        <f>H2036*E2036</f>
        <v>0</v>
      </c>
      <c r="J2036" s="47"/>
      <c r="K2036" s="15"/>
    </row>
    <row r="2037" spans="1:11" s="16" customFormat="1" ht="25.5" outlineLevel="3">
      <c r="A2037" s="14"/>
      <c r="B2037" s="35">
        <f>MAXA(B$5:B2036)+1</f>
        <v>856</v>
      </c>
      <c r="C2037" s="242" t="s">
        <v>1111</v>
      </c>
      <c r="D2037" s="230" t="s">
        <v>38</v>
      </c>
      <c r="E2037" s="247">
        <v>1</v>
      </c>
      <c r="F2037" s="232">
        <v>32199608</v>
      </c>
      <c r="G2037" s="232">
        <v>1563188</v>
      </c>
      <c r="H2037" s="138">
        <f>G2037+F2037</f>
        <v>33762796</v>
      </c>
      <c r="I2037" s="138">
        <f>H2037*E2037</f>
        <v>33762796</v>
      </c>
      <c r="J2037" s="47"/>
      <c r="K2037" s="15"/>
    </row>
    <row r="2038" spans="1:11" s="16" customFormat="1" ht="25.5" outlineLevel="3">
      <c r="A2038" s="14"/>
      <c r="B2038" s="35"/>
      <c r="C2038" s="241" t="s">
        <v>141</v>
      </c>
      <c r="D2038" s="230"/>
      <c r="E2038" s="247"/>
      <c r="F2038" s="232">
        <v>0</v>
      </c>
      <c r="G2038" s="232">
        <v>0</v>
      </c>
      <c r="H2038" s="295"/>
      <c r="I2038" s="180"/>
      <c r="J2038" s="47"/>
      <c r="K2038" s="15"/>
    </row>
    <row r="2039" spans="1:11" s="16" customFormat="1" ht="25.5" outlineLevel="3">
      <c r="A2039" s="14"/>
      <c r="B2039" s="35"/>
      <c r="C2039" s="314" t="s">
        <v>200</v>
      </c>
      <c r="D2039" s="230" t="s">
        <v>28</v>
      </c>
      <c r="E2039" s="247">
        <v>1</v>
      </c>
      <c r="F2039" s="232">
        <v>0</v>
      </c>
      <c r="G2039" s="232">
        <v>0</v>
      </c>
      <c r="H2039" s="138">
        <f t="shared" ref="H2039:H2049" si="191">G2039+F2039</f>
        <v>0</v>
      </c>
      <c r="I2039" s="138">
        <f t="shared" ref="I2039:I2049" si="192">H2039*E2039</f>
        <v>0</v>
      </c>
      <c r="J2039" s="47"/>
      <c r="K2039" s="15"/>
    </row>
    <row r="2040" spans="1:11" s="16" customFormat="1" ht="25.5" outlineLevel="3">
      <c r="A2040" s="14"/>
      <c r="B2040" s="35"/>
      <c r="C2040" s="242" t="s">
        <v>94</v>
      </c>
      <c r="D2040" s="230" t="s">
        <v>28</v>
      </c>
      <c r="E2040" s="247">
        <v>9</v>
      </c>
      <c r="F2040" s="232">
        <v>0</v>
      </c>
      <c r="G2040" s="232">
        <v>0</v>
      </c>
      <c r="H2040" s="138">
        <f t="shared" si="191"/>
        <v>0</v>
      </c>
      <c r="I2040" s="138">
        <f t="shared" si="192"/>
        <v>0</v>
      </c>
      <c r="J2040" s="47"/>
      <c r="K2040" s="15"/>
    </row>
    <row r="2041" spans="1:11" s="16" customFormat="1" ht="25.5" outlineLevel="3">
      <c r="A2041" s="14"/>
      <c r="B2041" s="35"/>
      <c r="C2041" s="242" t="s">
        <v>95</v>
      </c>
      <c r="D2041" s="230" t="s">
        <v>28</v>
      </c>
      <c r="E2041" s="247">
        <v>9</v>
      </c>
      <c r="F2041" s="232">
        <v>0</v>
      </c>
      <c r="G2041" s="232">
        <v>0</v>
      </c>
      <c r="H2041" s="138">
        <f t="shared" si="191"/>
        <v>0</v>
      </c>
      <c r="I2041" s="138">
        <f t="shared" si="192"/>
        <v>0</v>
      </c>
      <c r="J2041" s="47"/>
      <c r="K2041" s="15"/>
    </row>
    <row r="2042" spans="1:11" s="16" customFormat="1" ht="25.5" outlineLevel="3">
      <c r="A2042" s="14"/>
      <c r="B2042" s="35"/>
      <c r="C2042" s="242" t="s">
        <v>96</v>
      </c>
      <c r="D2042" s="230" t="s">
        <v>28</v>
      </c>
      <c r="E2042" s="247">
        <v>2</v>
      </c>
      <c r="F2042" s="232">
        <v>0</v>
      </c>
      <c r="G2042" s="232">
        <v>0</v>
      </c>
      <c r="H2042" s="138">
        <f t="shared" si="191"/>
        <v>0</v>
      </c>
      <c r="I2042" s="138">
        <f t="shared" si="192"/>
        <v>0</v>
      </c>
      <c r="J2042" s="47"/>
      <c r="K2042" s="15"/>
    </row>
    <row r="2043" spans="1:11" s="16" customFormat="1" ht="25.5" outlineLevel="3">
      <c r="A2043" s="14"/>
      <c r="B2043" s="35"/>
      <c r="C2043" s="242" t="s">
        <v>97</v>
      </c>
      <c r="D2043" s="230" t="s">
        <v>28</v>
      </c>
      <c r="E2043" s="247">
        <v>2</v>
      </c>
      <c r="F2043" s="232">
        <v>0</v>
      </c>
      <c r="G2043" s="232">
        <v>0</v>
      </c>
      <c r="H2043" s="138">
        <f t="shared" si="191"/>
        <v>0</v>
      </c>
      <c r="I2043" s="138">
        <f t="shared" si="192"/>
        <v>0</v>
      </c>
      <c r="J2043" s="47"/>
      <c r="K2043" s="15"/>
    </row>
    <row r="2044" spans="1:11" s="16" customFormat="1" ht="25.5" outlineLevel="3">
      <c r="A2044" s="14"/>
      <c r="B2044" s="35"/>
      <c r="C2044" s="242" t="s">
        <v>98</v>
      </c>
      <c r="D2044" s="230" t="s">
        <v>28</v>
      </c>
      <c r="E2044" s="247">
        <v>2</v>
      </c>
      <c r="F2044" s="232">
        <v>0</v>
      </c>
      <c r="G2044" s="232">
        <v>0</v>
      </c>
      <c r="H2044" s="138">
        <f t="shared" si="191"/>
        <v>0</v>
      </c>
      <c r="I2044" s="138">
        <f t="shared" si="192"/>
        <v>0</v>
      </c>
      <c r="J2044" s="47"/>
      <c r="K2044" s="15"/>
    </row>
    <row r="2045" spans="1:11" s="16" customFormat="1" ht="25.5" outlineLevel="3">
      <c r="A2045" s="14"/>
      <c r="B2045" s="35"/>
      <c r="C2045" s="242" t="s">
        <v>143</v>
      </c>
      <c r="D2045" s="230" t="s">
        <v>28</v>
      </c>
      <c r="E2045" s="247">
        <v>1</v>
      </c>
      <c r="F2045" s="232">
        <v>0</v>
      </c>
      <c r="G2045" s="232">
        <v>0</v>
      </c>
      <c r="H2045" s="138">
        <f t="shared" si="191"/>
        <v>0</v>
      </c>
      <c r="I2045" s="138">
        <f t="shared" si="192"/>
        <v>0</v>
      </c>
      <c r="J2045" s="47"/>
      <c r="K2045" s="15"/>
    </row>
    <row r="2046" spans="1:11" s="16" customFormat="1" ht="25.5" outlineLevel="3">
      <c r="A2046" s="14"/>
      <c r="B2046" s="35"/>
      <c r="C2046" s="242" t="s">
        <v>144</v>
      </c>
      <c r="D2046" s="230" t="s">
        <v>28</v>
      </c>
      <c r="E2046" s="247">
        <v>1</v>
      </c>
      <c r="F2046" s="232">
        <v>0</v>
      </c>
      <c r="G2046" s="232">
        <v>0</v>
      </c>
      <c r="H2046" s="138">
        <f t="shared" si="191"/>
        <v>0</v>
      </c>
      <c r="I2046" s="138">
        <f t="shared" si="192"/>
        <v>0</v>
      </c>
      <c r="J2046" s="47"/>
      <c r="K2046" s="15"/>
    </row>
    <row r="2047" spans="1:11" s="16" customFormat="1" ht="25.5" outlineLevel="3">
      <c r="A2047" s="14"/>
      <c r="B2047" s="35"/>
      <c r="C2047" s="242" t="s">
        <v>201</v>
      </c>
      <c r="D2047" s="230" t="s">
        <v>28</v>
      </c>
      <c r="E2047" s="247">
        <v>1</v>
      </c>
      <c r="F2047" s="232">
        <v>0</v>
      </c>
      <c r="G2047" s="232">
        <v>0</v>
      </c>
      <c r="H2047" s="138">
        <f t="shared" si="191"/>
        <v>0</v>
      </c>
      <c r="I2047" s="138">
        <f t="shared" si="192"/>
        <v>0</v>
      </c>
      <c r="J2047" s="47"/>
      <c r="K2047" s="15"/>
    </row>
    <row r="2048" spans="1:11" s="16" customFormat="1" ht="25.5" outlineLevel="3">
      <c r="A2048" s="14"/>
      <c r="B2048" s="35"/>
      <c r="C2048" s="242" t="s">
        <v>146</v>
      </c>
      <c r="D2048" s="230" t="s">
        <v>28</v>
      </c>
      <c r="E2048" s="247">
        <v>1</v>
      </c>
      <c r="F2048" s="232">
        <v>0</v>
      </c>
      <c r="G2048" s="232">
        <v>0</v>
      </c>
      <c r="H2048" s="138">
        <f t="shared" si="191"/>
        <v>0</v>
      </c>
      <c r="I2048" s="138">
        <f t="shared" si="192"/>
        <v>0</v>
      </c>
      <c r="J2048" s="47"/>
      <c r="K2048" s="15"/>
    </row>
    <row r="2049" spans="1:11" s="16" customFormat="1" ht="25.5" outlineLevel="3">
      <c r="A2049" s="14"/>
      <c r="B2049" s="35"/>
      <c r="C2049" s="229" t="s">
        <v>202</v>
      </c>
      <c r="D2049" s="230" t="s">
        <v>28</v>
      </c>
      <c r="E2049" s="247">
        <v>3</v>
      </c>
      <c r="F2049" s="232">
        <v>0</v>
      </c>
      <c r="G2049" s="232">
        <v>0</v>
      </c>
      <c r="H2049" s="138">
        <f t="shared" si="191"/>
        <v>0</v>
      </c>
      <c r="I2049" s="138">
        <f t="shared" si="192"/>
        <v>0</v>
      </c>
      <c r="J2049" s="47"/>
      <c r="K2049" s="15"/>
    </row>
    <row r="2050" spans="1:11" s="16" customFormat="1" ht="25.5" outlineLevel="3">
      <c r="A2050" s="14"/>
      <c r="B2050" s="35"/>
      <c r="C2050" s="241" t="s">
        <v>148</v>
      </c>
      <c r="D2050" s="315"/>
      <c r="E2050" s="247"/>
      <c r="F2050" s="232">
        <v>0</v>
      </c>
      <c r="G2050" s="232">
        <v>0</v>
      </c>
      <c r="H2050" s="295"/>
      <c r="I2050" s="180"/>
      <c r="J2050" s="47"/>
      <c r="K2050" s="15"/>
    </row>
    <row r="2051" spans="1:11" s="16" customFormat="1" ht="25.5" outlineLevel="3">
      <c r="A2051" s="14"/>
      <c r="B2051" s="35"/>
      <c r="C2051" s="314" t="s">
        <v>149</v>
      </c>
      <c r="D2051" s="230" t="s">
        <v>28</v>
      </c>
      <c r="E2051" s="247">
        <v>6</v>
      </c>
      <c r="F2051" s="232">
        <v>0</v>
      </c>
      <c r="G2051" s="232">
        <v>0</v>
      </c>
      <c r="H2051" s="138">
        <f t="shared" ref="H2051:H2057" si="193">G2051+F2051</f>
        <v>0</v>
      </c>
      <c r="I2051" s="138">
        <f t="shared" ref="I2051:I2057" si="194">H2051*E2051</f>
        <v>0</v>
      </c>
      <c r="J2051" s="47"/>
      <c r="K2051" s="15"/>
    </row>
    <row r="2052" spans="1:11" s="16" customFormat="1" ht="25.5" outlineLevel="3">
      <c r="A2052" s="14"/>
      <c r="B2052" s="35"/>
      <c r="C2052" s="314" t="s">
        <v>1079</v>
      </c>
      <c r="D2052" s="230" t="s">
        <v>28</v>
      </c>
      <c r="E2052" s="247">
        <v>12</v>
      </c>
      <c r="F2052" s="232">
        <v>0</v>
      </c>
      <c r="G2052" s="232">
        <v>0</v>
      </c>
      <c r="H2052" s="138">
        <f t="shared" si="193"/>
        <v>0</v>
      </c>
      <c r="I2052" s="138">
        <f t="shared" si="194"/>
        <v>0</v>
      </c>
      <c r="J2052" s="47"/>
      <c r="K2052" s="15"/>
    </row>
    <row r="2053" spans="1:11" s="16" customFormat="1" ht="25.5" outlineLevel="3">
      <c r="A2053" s="14"/>
      <c r="B2053" s="35"/>
      <c r="C2053" s="314" t="s">
        <v>151</v>
      </c>
      <c r="D2053" s="230" t="s">
        <v>28</v>
      </c>
      <c r="E2053" s="247">
        <v>1</v>
      </c>
      <c r="F2053" s="232">
        <v>0</v>
      </c>
      <c r="G2053" s="232">
        <v>0</v>
      </c>
      <c r="H2053" s="138">
        <f t="shared" si="193"/>
        <v>0</v>
      </c>
      <c r="I2053" s="138">
        <f t="shared" si="194"/>
        <v>0</v>
      </c>
      <c r="J2053" s="47"/>
      <c r="K2053" s="15"/>
    </row>
    <row r="2054" spans="1:11" s="16" customFormat="1" ht="25.5" outlineLevel="3">
      <c r="A2054" s="14"/>
      <c r="B2054" s="35"/>
      <c r="C2054" s="314" t="s">
        <v>203</v>
      </c>
      <c r="D2054" s="230" t="s">
        <v>28</v>
      </c>
      <c r="E2054" s="247">
        <v>1</v>
      </c>
      <c r="F2054" s="232">
        <v>0</v>
      </c>
      <c r="G2054" s="232">
        <v>0</v>
      </c>
      <c r="H2054" s="138">
        <f t="shared" si="193"/>
        <v>0</v>
      </c>
      <c r="I2054" s="138">
        <f t="shared" si="194"/>
        <v>0</v>
      </c>
      <c r="J2054" s="47"/>
      <c r="K2054" s="15"/>
    </row>
    <row r="2055" spans="1:11" s="16" customFormat="1" ht="25.5" outlineLevel="3">
      <c r="A2055" s="14"/>
      <c r="B2055" s="35"/>
      <c r="C2055" s="242" t="s">
        <v>161</v>
      </c>
      <c r="D2055" s="230" t="s">
        <v>194</v>
      </c>
      <c r="E2055" s="247">
        <v>1</v>
      </c>
      <c r="F2055" s="232">
        <v>0</v>
      </c>
      <c r="G2055" s="232">
        <v>0</v>
      </c>
      <c r="H2055" s="138">
        <f t="shared" si="193"/>
        <v>0</v>
      </c>
      <c r="I2055" s="138">
        <f t="shared" si="194"/>
        <v>0</v>
      </c>
      <c r="J2055" s="47"/>
      <c r="K2055" s="15"/>
    </row>
    <row r="2056" spans="1:11" s="16" customFormat="1" ht="25.5" outlineLevel="3">
      <c r="A2056" s="14"/>
      <c r="B2056" s="35"/>
      <c r="C2056" s="229" t="s">
        <v>139</v>
      </c>
      <c r="D2056" s="230" t="s">
        <v>38</v>
      </c>
      <c r="E2056" s="247">
        <v>1</v>
      </c>
      <c r="F2056" s="232">
        <v>0</v>
      </c>
      <c r="G2056" s="232">
        <v>0</v>
      </c>
      <c r="H2056" s="138">
        <f t="shared" si="193"/>
        <v>0</v>
      </c>
      <c r="I2056" s="138">
        <f t="shared" si="194"/>
        <v>0</v>
      </c>
      <c r="J2056" s="47"/>
      <c r="K2056" s="15"/>
    </row>
    <row r="2057" spans="1:11" s="16" customFormat="1" ht="25.5" outlineLevel="3">
      <c r="A2057" s="14"/>
      <c r="B2057" s="35">
        <f>MAXA(B$5:B2056)+1</f>
        <v>857</v>
      </c>
      <c r="C2057" s="242" t="s">
        <v>1112</v>
      </c>
      <c r="D2057" s="230" t="s">
        <v>38</v>
      </c>
      <c r="E2057" s="247">
        <v>1</v>
      </c>
      <c r="F2057" s="232">
        <v>2783456</v>
      </c>
      <c r="G2057" s="232">
        <v>1563188</v>
      </c>
      <c r="H2057" s="138">
        <f t="shared" si="193"/>
        <v>4346644</v>
      </c>
      <c r="I2057" s="138">
        <f t="shared" si="194"/>
        <v>4346644</v>
      </c>
      <c r="J2057" s="47"/>
      <c r="K2057" s="15"/>
    </row>
    <row r="2058" spans="1:11" s="16" customFormat="1" ht="25.5" outlineLevel="3">
      <c r="A2058" s="14"/>
      <c r="B2058" s="35"/>
      <c r="C2058" s="241" t="s">
        <v>141</v>
      </c>
      <c r="D2058" s="230"/>
      <c r="E2058" s="247"/>
      <c r="F2058" s="232">
        <v>0</v>
      </c>
      <c r="G2058" s="232">
        <v>0</v>
      </c>
      <c r="H2058" s="295"/>
      <c r="I2058" s="180"/>
      <c r="J2058" s="47"/>
      <c r="K2058" s="15"/>
    </row>
    <row r="2059" spans="1:11" s="16" customFormat="1" ht="25.5" outlineLevel="3">
      <c r="A2059" s="14"/>
      <c r="B2059" s="35"/>
      <c r="C2059" s="314" t="s">
        <v>1082</v>
      </c>
      <c r="D2059" s="230" t="s">
        <v>28</v>
      </c>
      <c r="E2059" s="247">
        <v>1</v>
      </c>
      <c r="F2059" s="232">
        <v>0</v>
      </c>
      <c r="G2059" s="232">
        <v>0</v>
      </c>
      <c r="H2059" s="138">
        <f>G2059+F2059</f>
        <v>0</v>
      </c>
      <c r="I2059" s="138">
        <f>H2059*E2059</f>
        <v>0</v>
      </c>
      <c r="J2059" s="47"/>
      <c r="K2059" s="15"/>
    </row>
    <row r="2060" spans="1:11" s="16" customFormat="1" ht="25.5" outlineLevel="3">
      <c r="A2060" s="14"/>
      <c r="B2060" s="35"/>
      <c r="C2060" s="242" t="s">
        <v>94</v>
      </c>
      <c r="D2060" s="230" t="s">
        <v>28</v>
      </c>
      <c r="E2060" s="247">
        <v>1</v>
      </c>
      <c r="F2060" s="232">
        <v>0</v>
      </c>
      <c r="G2060" s="232">
        <v>0</v>
      </c>
      <c r="H2060" s="138">
        <f>G2060+F2060</f>
        <v>0</v>
      </c>
      <c r="I2060" s="138">
        <f>H2060*E2060</f>
        <v>0</v>
      </c>
      <c r="J2060" s="47"/>
      <c r="K2060" s="15"/>
    </row>
    <row r="2061" spans="1:11" s="16" customFormat="1" ht="25.5" outlineLevel="3">
      <c r="A2061" s="14"/>
      <c r="B2061" s="35"/>
      <c r="C2061" s="242" t="s">
        <v>95</v>
      </c>
      <c r="D2061" s="230" t="s">
        <v>28</v>
      </c>
      <c r="E2061" s="247">
        <v>1</v>
      </c>
      <c r="F2061" s="232">
        <v>0</v>
      </c>
      <c r="G2061" s="232">
        <v>0</v>
      </c>
      <c r="H2061" s="138">
        <f>G2061+F2061</f>
        <v>0</v>
      </c>
      <c r="I2061" s="138">
        <f>H2061*E2061</f>
        <v>0</v>
      </c>
      <c r="J2061" s="47"/>
      <c r="K2061" s="15"/>
    </row>
    <row r="2062" spans="1:11" s="16" customFormat="1" ht="25.5" outlineLevel="3">
      <c r="A2062" s="14"/>
      <c r="B2062" s="35"/>
      <c r="C2062" s="242" t="s">
        <v>96</v>
      </c>
      <c r="D2062" s="230" t="s">
        <v>28</v>
      </c>
      <c r="E2062" s="247">
        <v>1</v>
      </c>
      <c r="F2062" s="232">
        <v>0</v>
      </c>
      <c r="G2062" s="232">
        <v>0</v>
      </c>
      <c r="H2062" s="138">
        <f>G2062+F2062</f>
        <v>0</v>
      </c>
      <c r="I2062" s="138">
        <f>H2062*E2062</f>
        <v>0</v>
      </c>
      <c r="J2062" s="47"/>
      <c r="K2062" s="15"/>
    </row>
    <row r="2063" spans="1:11" s="16" customFormat="1" ht="25.5" outlineLevel="3">
      <c r="A2063" s="14"/>
      <c r="B2063" s="35"/>
      <c r="C2063" s="241" t="s">
        <v>148</v>
      </c>
      <c r="D2063" s="315"/>
      <c r="E2063" s="247"/>
      <c r="F2063" s="232">
        <v>0</v>
      </c>
      <c r="G2063" s="232">
        <v>0</v>
      </c>
      <c r="H2063" s="295"/>
      <c r="I2063" s="180"/>
      <c r="J2063" s="47"/>
      <c r="K2063" s="15"/>
    </row>
    <row r="2064" spans="1:11" s="16" customFormat="1" ht="25.5" outlineLevel="3">
      <c r="A2064" s="14"/>
      <c r="B2064" s="35"/>
      <c r="C2064" s="314" t="s">
        <v>170</v>
      </c>
      <c r="D2064" s="230" t="s">
        <v>28</v>
      </c>
      <c r="E2064" s="247">
        <v>2</v>
      </c>
      <c r="F2064" s="232">
        <v>0</v>
      </c>
      <c r="G2064" s="232">
        <v>0</v>
      </c>
      <c r="H2064" s="138">
        <f>G2064+F2064</f>
        <v>0</v>
      </c>
      <c r="I2064" s="138">
        <f>H2064*E2064</f>
        <v>0</v>
      </c>
      <c r="J2064" s="47"/>
      <c r="K2064" s="15"/>
    </row>
    <row r="2065" spans="1:11" s="16" customFormat="1" ht="25.5" outlineLevel="3">
      <c r="A2065" s="14"/>
      <c r="B2065" s="35"/>
      <c r="C2065" s="229" t="s">
        <v>139</v>
      </c>
      <c r="D2065" s="230" t="s">
        <v>38</v>
      </c>
      <c r="E2065" s="247">
        <v>1</v>
      </c>
      <c r="F2065" s="232">
        <v>0</v>
      </c>
      <c r="G2065" s="232">
        <v>0</v>
      </c>
      <c r="H2065" s="138">
        <f>G2065+F2065</f>
        <v>0</v>
      </c>
      <c r="I2065" s="138">
        <f>H2065*E2065</f>
        <v>0</v>
      </c>
      <c r="J2065" s="47"/>
      <c r="K2065" s="15"/>
    </row>
    <row r="2066" spans="1:11" s="16" customFormat="1" ht="25.5" outlineLevel="3">
      <c r="A2066" s="14"/>
      <c r="B2066" s="35">
        <f>MAXA(B$5:B2065)+1</f>
        <v>858</v>
      </c>
      <c r="C2066" s="242" t="s">
        <v>1113</v>
      </c>
      <c r="D2066" s="230" t="s">
        <v>38</v>
      </c>
      <c r="E2066" s="247">
        <v>1</v>
      </c>
      <c r="F2066" s="232">
        <v>2783456</v>
      </c>
      <c r="G2066" s="232">
        <v>1563188</v>
      </c>
      <c r="H2066" s="138">
        <f>G2066+F2066</f>
        <v>4346644</v>
      </c>
      <c r="I2066" s="138">
        <f>H2066*E2066</f>
        <v>4346644</v>
      </c>
      <c r="J2066" s="47"/>
      <c r="K2066" s="15"/>
    </row>
    <row r="2067" spans="1:11" s="16" customFormat="1" ht="25.5" outlineLevel="3">
      <c r="A2067" s="14"/>
      <c r="B2067" s="35"/>
      <c r="C2067" s="241" t="s">
        <v>141</v>
      </c>
      <c r="D2067" s="230"/>
      <c r="E2067" s="247"/>
      <c r="F2067" s="232">
        <v>0</v>
      </c>
      <c r="G2067" s="232">
        <v>0</v>
      </c>
      <c r="H2067" s="295"/>
      <c r="I2067" s="180"/>
      <c r="J2067" s="47"/>
      <c r="K2067" s="15"/>
    </row>
    <row r="2068" spans="1:11" s="16" customFormat="1" ht="25.5" outlineLevel="3">
      <c r="A2068" s="14"/>
      <c r="B2068" s="35"/>
      <c r="C2068" s="314" t="s">
        <v>1082</v>
      </c>
      <c r="D2068" s="230" t="s">
        <v>28</v>
      </c>
      <c r="E2068" s="247">
        <v>1</v>
      </c>
      <c r="F2068" s="232">
        <v>0</v>
      </c>
      <c r="G2068" s="232">
        <v>0</v>
      </c>
      <c r="H2068" s="138">
        <f>G2068+F2068</f>
        <v>0</v>
      </c>
      <c r="I2068" s="138">
        <f>H2068*E2068</f>
        <v>0</v>
      </c>
      <c r="J2068" s="47"/>
      <c r="K2068" s="15"/>
    </row>
    <row r="2069" spans="1:11" s="16" customFormat="1" ht="25.5" outlineLevel="3">
      <c r="A2069" s="14"/>
      <c r="B2069" s="35"/>
      <c r="C2069" s="242" t="s">
        <v>94</v>
      </c>
      <c r="D2069" s="230" t="s">
        <v>28</v>
      </c>
      <c r="E2069" s="247">
        <v>1</v>
      </c>
      <c r="F2069" s="232">
        <v>0</v>
      </c>
      <c r="G2069" s="232">
        <v>0</v>
      </c>
      <c r="H2069" s="138">
        <f>G2069+F2069</f>
        <v>0</v>
      </c>
      <c r="I2069" s="138">
        <f>H2069*E2069</f>
        <v>0</v>
      </c>
      <c r="J2069" s="47"/>
      <c r="K2069" s="15"/>
    </row>
    <row r="2070" spans="1:11" s="16" customFormat="1" ht="25.5" outlineLevel="3">
      <c r="A2070" s="14"/>
      <c r="B2070" s="35"/>
      <c r="C2070" s="242" t="s">
        <v>95</v>
      </c>
      <c r="D2070" s="230" t="s">
        <v>28</v>
      </c>
      <c r="E2070" s="247">
        <v>1</v>
      </c>
      <c r="F2070" s="232">
        <v>0</v>
      </c>
      <c r="G2070" s="232">
        <v>0</v>
      </c>
      <c r="H2070" s="138">
        <f>G2070+F2070</f>
        <v>0</v>
      </c>
      <c r="I2070" s="138">
        <f>H2070*E2070</f>
        <v>0</v>
      </c>
      <c r="J2070" s="47"/>
      <c r="K2070" s="15"/>
    </row>
    <row r="2071" spans="1:11" s="16" customFormat="1" ht="25.5" outlineLevel="3">
      <c r="A2071" s="14"/>
      <c r="B2071" s="35"/>
      <c r="C2071" s="242" t="s">
        <v>96</v>
      </c>
      <c r="D2071" s="230" t="s">
        <v>28</v>
      </c>
      <c r="E2071" s="247">
        <v>1</v>
      </c>
      <c r="F2071" s="232">
        <v>0</v>
      </c>
      <c r="G2071" s="232">
        <v>0</v>
      </c>
      <c r="H2071" s="138">
        <f>G2071+F2071</f>
        <v>0</v>
      </c>
      <c r="I2071" s="138">
        <f>H2071*E2071</f>
        <v>0</v>
      </c>
      <c r="J2071" s="47"/>
      <c r="K2071" s="15"/>
    </row>
    <row r="2072" spans="1:11" s="16" customFormat="1" ht="25.5" outlineLevel="3">
      <c r="A2072" s="14"/>
      <c r="B2072" s="35"/>
      <c r="C2072" s="241" t="s">
        <v>148</v>
      </c>
      <c r="D2072" s="315"/>
      <c r="E2072" s="247"/>
      <c r="F2072" s="232">
        <v>0</v>
      </c>
      <c r="G2072" s="232">
        <v>0</v>
      </c>
      <c r="H2072" s="295"/>
      <c r="I2072" s="180"/>
      <c r="J2072" s="47"/>
      <c r="K2072" s="15"/>
    </row>
    <row r="2073" spans="1:11" s="16" customFormat="1" ht="25.5" outlineLevel="3">
      <c r="A2073" s="14"/>
      <c r="B2073" s="35"/>
      <c r="C2073" s="314" t="s">
        <v>170</v>
      </c>
      <c r="D2073" s="230" t="s">
        <v>28</v>
      </c>
      <c r="E2073" s="247">
        <v>2</v>
      </c>
      <c r="F2073" s="232">
        <v>0</v>
      </c>
      <c r="G2073" s="232">
        <v>0</v>
      </c>
      <c r="H2073" s="138">
        <f>G2073+F2073</f>
        <v>0</v>
      </c>
      <c r="I2073" s="138">
        <f>H2073*E2073</f>
        <v>0</v>
      </c>
      <c r="J2073" s="47"/>
      <c r="K2073" s="15"/>
    </row>
    <row r="2074" spans="1:11" s="16" customFormat="1" ht="25.5" outlineLevel="3">
      <c r="A2074" s="14"/>
      <c r="B2074" s="35"/>
      <c r="C2074" s="229" t="s">
        <v>139</v>
      </c>
      <c r="D2074" s="230" t="s">
        <v>38</v>
      </c>
      <c r="E2074" s="247">
        <v>1</v>
      </c>
      <c r="F2074" s="232">
        <v>0</v>
      </c>
      <c r="G2074" s="232">
        <v>0</v>
      </c>
      <c r="H2074" s="138">
        <f>G2074+F2074</f>
        <v>0</v>
      </c>
      <c r="I2074" s="138">
        <f>H2074*E2074</f>
        <v>0</v>
      </c>
      <c r="J2074" s="47"/>
      <c r="K2074" s="15"/>
    </row>
    <row r="2075" spans="1:11" s="16" customFormat="1" ht="25.5" outlineLevel="3">
      <c r="A2075" s="14"/>
      <c r="B2075" s="35">
        <f>MAXA(B$5:B2074)+1</f>
        <v>859</v>
      </c>
      <c r="C2075" s="242" t="s">
        <v>1114</v>
      </c>
      <c r="D2075" s="230" t="s">
        <v>38</v>
      </c>
      <c r="E2075" s="247">
        <v>1</v>
      </c>
      <c r="F2075" s="232">
        <v>2783456</v>
      </c>
      <c r="G2075" s="232">
        <v>1563188</v>
      </c>
      <c r="H2075" s="138">
        <f>G2075+F2075</f>
        <v>4346644</v>
      </c>
      <c r="I2075" s="138">
        <f>H2075*E2075</f>
        <v>4346644</v>
      </c>
      <c r="J2075" s="47"/>
      <c r="K2075" s="15"/>
    </row>
    <row r="2076" spans="1:11" s="16" customFormat="1" ht="25.5" outlineLevel="3">
      <c r="A2076" s="14"/>
      <c r="B2076" s="35"/>
      <c r="C2076" s="241" t="s">
        <v>141</v>
      </c>
      <c r="D2076" s="230"/>
      <c r="E2076" s="247"/>
      <c r="F2076" s="232">
        <v>0</v>
      </c>
      <c r="G2076" s="232">
        <v>0</v>
      </c>
      <c r="H2076" s="295"/>
      <c r="I2076" s="180"/>
      <c r="J2076" s="47"/>
      <c r="K2076" s="15"/>
    </row>
    <row r="2077" spans="1:11" s="16" customFormat="1" ht="25.5" outlineLevel="3">
      <c r="A2077" s="14"/>
      <c r="B2077" s="35"/>
      <c r="C2077" s="314" t="s">
        <v>1082</v>
      </c>
      <c r="D2077" s="230" t="s">
        <v>28</v>
      </c>
      <c r="E2077" s="247">
        <v>1</v>
      </c>
      <c r="F2077" s="232">
        <v>0</v>
      </c>
      <c r="G2077" s="232">
        <v>0</v>
      </c>
      <c r="H2077" s="138">
        <f>G2077+F2077</f>
        <v>0</v>
      </c>
      <c r="I2077" s="138">
        <f>H2077*E2077</f>
        <v>0</v>
      </c>
      <c r="J2077" s="47"/>
      <c r="K2077" s="15"/>
    </row>
    <row r="2078" spans="1:11" s="16" customFormat="1" ht="25.5" outlineLevel="3">
      <c r="A2078" s="14"/>
      <c r="B2078" s="35"/>
      <c r="C2078" s="242" t="s">
        <v>94</v>
      </c>
      <c r="D2078" s="230" t="s">
        <v>28</v>
      </c>
      <c r="E2078" s="247">
        <v>1</v>
      </c>
      <c r="F2078" s="232">
        <v>0</v>
      </c>
      <c r="G2078" s="232">
        <v>0</v>
      </c>
      <c r="H2078" s="138">
        <f>G2078+F2078</f>
        <v>0</v>
      </c>
      <c r="I2078" s="138">
        <f>H2078*E2078</f>
        <v>0</v>
      </c>
      <c r="J2078" s="47"/>
      <c r="K2078" s="15"/>
    </row>
    <row r="2079" spans="1:11" s="16" customFormat="1" ht="25.5" outlineLevel="3">
      <c r="A2079" s="14"/>
      <c r="B2079" s="35"/>
      <c r="C2079" s="242" t="s">
        <v>95</v>
      </c>
      <c r="D2079" s="230" t="s">
        <v>28</v>
      </c>
      <c r="E2079" s="247">
        <v>1</v>
      </c>
      <c r="F2079" s="232">
        <v>0</v>
      </c>
      <c r="G2079" s="232">
        <v>0</v>
      </c>
      <c r="H2079" s="138">
        <f>G2079+F2079</f>
        <v>0</v>
      </c>
      <c r="I2079" s="138">
        <f>H2079*E2079</f>
        <v>0</v>
      </c>
      <c r="J2079" s="47"/>
      <c r="K2079" s="15"/>
    </row>
    <row r="2080" spans="1:11" s="16" customFormat="1" ht="25.5" outlineLevel="3">
      <c r="A2080" s="14"/>
      <c r="B2080" s="35"/>
      <c r="C2080" s="242" t="s">
        <v>96</v>
      </c>
      <c r="D2080" s="230" t="s">
        <v>28</v>
      </c>
      <c r="E2080" s="247">
        <v>1</v>
      </c>
      <c r="F2080" s="232">
        <v>0</v>
      </c>
      <c r="G2080" s="232">
        <v>0</v>
      </c>
      <c r="H2080" s="138">
        <f>G2080+F2080</f>
        <v>0</v>
      </c>
      <c r="I2080" s="138">
        <f>H2080*E2080</f>
        <v>0</v>
      </c>
      <c r="J2080" s="47"/>
      <c r="K2080" s="15"/>
    </row>
    <row r="2081" spans="1:11" s="16" customFormat="1" ht="25.5" outlineLevel="3">
      <c r="A2081" s="14"/>
      <c r="B2081" s="35"/>
      <c r="C2081" s="241" t="s">
        <v>148</v>
      </c>
      <c r="D2081" s="315"/>
      <c r="E2081" s="247"/>
      <c r="F2081" s="232">
        <v>0</v>
      </c>
      <c r="G2081" s="232">
        <v>0</v>
      </c>
      <c r="H2081" s="295"/>
      <c r="I2081" s="180"/>
      <c r="J2081" s="47"/>
      <c r="K2081" s="15"/>
    </row>
    <row r="2082" spans="1:11" s="16" customFormat="1" ht="25.5" outlineLevel="3">
      <c r="A2082" s="14"/>
      <c r="B2082" s="35"/>
      <c r="C2082" s="314" t="s">
        <v>170</v>
      </c>
      <c r="D2082" s="230" t="s">
        <v>28</v>
      </c>
      <c r="E2082" s="247">
        <v>2</v>
      </c>
      <c r="F2082" s="232">
        <v>0</v>
      </c>
      <c r="G2082" s="232">
        <v>0</v>
      </c>
      <c r="H2082" s="138">
        <f>G2082+F2082</f>
        <v>0</v>
      </c>
      <c r="I2082" s="138">
        <f>H2082*E2082</f>
        <v>0</v>
      </c>
      <c r="J2082" s="47"/>
      <c r="K2082" s="15"/>
    </row>
    <row r="2083" spans="1:11" s="16" customFormat="1" ht="25.5" outlineLevel="3">
      <c r="A2083" s="14"/>
      <c r="B2083" s="35"/>
      <c r="C2083" s="229" t="s">
        <v>139</v>
      </c>
      <c r="D2083" s="230" t="s">
        <v>38</v>
      </c>
      <c r="E2083" s="247">
        <v>1</v>
      </c>
      <c r="F2083" s="232">
        <v>0</v>
      </c>
      <c r="G2083" s="232">
        <v>0</v>
      </c>
      <c r="H2083" s="138">
        <f>G2083+F2083</f>
        <v>0</v>
      </c>
      <c r="I2083" s="138">
        <f>H2083*E2083</f>
        <v>0</v>
      </c>
      <c r="J2083" s="47"/>
      <c r="K2083" s="15"/>
    </row>
    <row r="2084" spans="1:11" s="16" customFormat="1" ht="25.5" outlineLevel="3">
      <c r="A2084" s="14"/>
      <c r="B2084" s="35">
        <f>MAXA(B$5:B2083)+1</f>
        <v>860</v>
      </c>
      <c r="C2084" s="242" t="s">
        <v>1115</v>
      </c>
      <c r="D2084" s="230" t="s">
        <v>38</v>
      </c>
      <c r="E2084" s="247">
        <v>1</v>
      </c>
      <c r="F2084" s="232">
        <v>3391938</v>
      </c>
      <c r="G2084" s="232">
        <v>1563188</v>
      </c>
      <c r="H2084" s="138">
        <f>G2084+F2084</f>
        <v>4955126</v>
      </c>
      <c r="I2084" s="138">
        <f>H2084*E2084</f>
        <v>4955126</v>
      </c>
      <c r="J2084" s="47"/>
      <c r="K2084" s="15"/>
    </row>
    <row r="2085" spans="1:11" s="16" customFormat="1" ht="25.5" outlineLevel="3">
      <c r="A2085" s="14"/>
      <c r="B2085" s="35"/>
      <c r="C2085" s="241" t="s">
        <v>141</v>
      </c>
      <c r="D2085" s="230"/>
      <c r="E2085" s="247"/>
      <c r="F2085" s="232">
        <v>0</v>
      </c>
      <c r="G2085" s="232">
        <v>0</v>
      </c>
      <c r="H2085" s="295"/>
      <c r="I2085" s="180"/>
      <c r="J2085" s="47"/>
      <c r="K2085" s="15"/>
    </row>
    <row r="2086" spans="1:11" s="16" customFormat="1" ht="25.5" outlineLevel="3">
      <c r="A2086" s="14"/>
      <c r="B2086" s="35"/>
      <c r="C2086" s="314" t="s">
        <v>226</v>
      </c>
      <c r="D2086" s="230" t="s">
        <v>28</v>
      </c>
      <c r="E2086" s="247">
        <v>1</v>
      </c>
      <c r="F2086" s="232">
        <v>0</v>
      </c>
      <c r="G2086" s="232">
        <v>0</v>
      </c>
      <c r="H2086" s="138">
        <f>G2086+F2086</f>
        <v>0</v>
      </c>
      <c r="I2086" s="138">
        <f>H2086*E2086</f>
        <v>0</v>
      </c>
      <c r="J2086" s="47"/>
      <c r="K2086" s="15"/>
    </row>
    <row r="2087" spans="1:11" s="16" customFormat="1" ht="25.5" outlineLevel="3">
      <c r="A2087" s="14"/>
      <c r="B2087" s="35"/>
      <c r="C2087" s="242" t="s">
        <v>94</v>
      </c>
      <c r="D2087" s="230" t="s">
        <v>28</v>
      </c>
      <c r="E2087" s="247">
        <v>1</v>
      </c>
      <c r="F2087" s="232">
        <v>0</v>
      </c>
      <c r="G2087" s="232">
        <v>0</v>
      </c>
      <c r="H2087" s="138">
        <f>G2087+F2087</f>
        <v>0</v>
      </c>
      <c r="I2087" s="138">
        <f>H2087*E2087</f>
        <v>0</v>
      </c>
      <c r="J2087" s="47"/>
      <c r="K2087" s="15"/>
    </row>
    <row r="2088" spans="1:11" s="16" customFormat="1" ht="25.5" outlineLevel="3">
      <c r="A2088" s="14"/>
      <c r="B2088" s="35"/>
      <c r="C2088" s="242" t="s">
        <v>95</v>
      </c>
      <c r="D2088" s="230" t="s">
        <v>28</v>
      </c>
      <c r="E2088" s="247">
        <v>1</v>
      </c>
      <c r="F2088" s="232">
        <v>0</v>
      </c>
      <c r="G2088" s="232">
        <v>0</v>
      </c>
      <c r="H2088" s="138">
        <f>G2088+F2088</f>
        <v>0</v>
      </c>
      <c r="I2088" s="138">
        <f>H2088*E2088</f>
        <v>0</v>
      </c>
      <c r="J2088" s="47"/>
      <c r="K2088" s="15"/>
    </row>
    <row r="2089" spans="1:11" s="16" customFormat="1" ht="25.5" outlineLevel="3">
      <c r="A2089" s="14"/>
      <c r="B2089" s="35"/>
      <c r="C2089" s="242" t="s">
        <v>96</v>
      </c>
      <c r="D2089" s="230" t="s">
        <v>28</v>
      </c>
      <c r="E2089" s="247">
        <v>1</v>
      </c>
      <c r="F2089" s="232">
        <v>0</v>
      </c>
      <c r="G2089" s="232">
        <v>0</v>
      </c>
      <c r="H2089" s="138">
        <f>G2089+F2089</f>
        <v>0</v>
      </c>
      <c r="I2089" s="138">
        <f>H2089*E2089</f>
        <v>0</v>
      </c>
      <c r="J2089" s="47"/>
      <c r="K2089" s="15"/>
    </row>
    <row r="2090" spans="1:11" s="16" customFormat="1" ht="25.5" outlineLevel="3">
      <c r="A2090" s="14"/>
      <c r="B2090" s="35"/>
      <c r="C2090" s="241" t="s">
        <v>148</v>
      </c>
      <c r="D2090" s="315"/>
      <c r="E2090" s="247"/>
      <c r="F2090" s="232">
        <v>0</v>
      </c>
      <c r="G2090" s="232">
        <v>0</v>
      </c>
      <c r="H2090" s="295"/>
      <c r="I2090" s="180"/>
      <c r="J2090" s="47"/>
      <c r="K2090" s="15"/>
    </row>
    <row r="2091" spans="1:11" s="16" customFormat="1" ht="25.5" outlineLevel="3">
      <c r="A2091" s="14"/>
      <c r="B2091" s="35"/>
      <c r="C2091" s="314" t="s">
        <v>171</v>
      </c>
      <c r="D2091" s="230" t="s">
        <v>28</v>
      </c>
      <c r="E2091" s="247">
        <v>5</v>
      </c>
      <c r="F2091" s="232">
        <v>0</v>
      </c>
      <c r="G2091" s="232">
        <v>0</v>
      </c>
      <c r="H2091" s="138">
        <f>G2091+F2091</f>
        <v>0</v>
      </c>
      <c r="I2091" s="138">
        <f>H2091*E2091</f>
        <v>0</v>
      </c>
      <c r="J2091" s="47"/>
      <c r="K2091" s="15"/>
    </row>
    <row r="2092" spans="1:11" s="16" customFormat="1" ht="25.5" outlineLevel="3">
      <c r="A2092" s="14"/>
      <c r="B2092" s="35"/>
      <c r="C2092" s="229" t="s">
        <v>139</v>
      </c>
      <c r="D2092" s="230" t="s">
        <v>38</v>
      </c>
      <c r="E2092" s="247">
        <v>1</v>
      </c>
      <c r="F2092" s="232">
        <v>0</v>
      </c>
      <c r="G2092" s="232">
        <v>0</v>
      </c>
      <c r="H2092" s="138">
        <f>G2092+F2092</f>
        <v>0</v>
      </c>
      <c r="I2092" s="138">
        <f>H2092*E2092</f>
        <v>0</v>
      </c>
      <c r="J2092" s="47"/>
      <c r="K2092" s="15"/>
    </row>
    <row r="2093" spans="1:11" s="16" customFormat="1" ht="25.5" outlineLevel="3">
      <c r="A2093" s="14"/>
      <c r="B2093" s="35">
        <f>MAXA(B$5:B2092)+1</f>
        <v>861</v>
      </c>
      <c r="C2093" s="242" t="s">
        <v>1116</v>
      </c>
      <c r="D2093" s="230" t="s">
        <v>38</v>
      </c>
      <c r="E2093" s="247">
        <v>1</v>
      </c>
      <c r="F2093" s="232">
        <v>3156210</v>
      </c>
      <c r="G2093" s="232">
        <v>1563188</v>
      </c>
      <c r="H2093" s="138">
        <f>G2093+F2093</f>
        <v>4719398</v>
      </c>
      <c r="I2093" s="138">
        <f>H2093*E2093</f>
        <v>4719398</v>
      </c>
      <c r="J2093" s="47"/>
      <c r="K2093" s="15"/>
    </row>
    <row r="2094" spans="1:11" s="16" customFormat="1" ht="25.5" outlineLevel="3">
      <c r="A2094" s="14"/>
      <c r="B2094" s="35"/>
      <c r="C2094" s="241" t="s">
        <v>141</v>
      </c>
      <c r="D2094" s="230"/>
      <c r="E2094" s="247"/>
      <c r="F2094" s="232">
        <v>0</v>
      </c>
      <c r="G2094" s="232">
        <v>0</v>
      </c>
      <c r="H2094" s="295"/>
      <c r="I2094" s="180"/>
      <c r="J2094" s="47"/>
      <c r="K2094" s="15"/>
    </row>
    <row r="2095" spans="1:11" s="16" customFormat="1" ht="25.5" outlineLevel="3">
      <c r="A2095" s="14"/>
      <c r="B2095" s="35"/>
      <c r="C2095" s="314" t="s">
        <v>169</v>
      </c>
      <c r="D2095" s="230" t="s">
        <v>28</v>
      </c>
      <c r="E2095" s="247">
        <v>1</v>
      </c>
      <c r="F2095" s="232">
        <v>0</v>
      </c>
      <c r="G2095" s="232">
        <v>0</v>
      </c>
      <c r="H2095" s="138">
        <f>G2095+F2095</f>
        <v>0</v>
      </c>
      <c r="I2095" s="138">
        <f>H2095*E2095</f>
        <v>0</v>
      </c>
      <c r="J2095" s="47"/>
      <c r="K2095" s="15"/>
    </row>
    <row r="2096" spans="1:11" s="16" customFormat="1" ht="25.5" outlineLevel="3">
      <c r="A2096" s="14"/>
      <c r="B2096" s="35"/>
      <c r="C2096" s="242" t="s">
        <v>94</v>
      </c>
      <c r="D2096" s="230" t="s">
        <v>28</v>
      </c>
      <c r="E2096" s="247">
        <v>1</v>
      </c>
      <c r="F2096" s="232">
        <v>0</v>
      </c>
      <c r="G2096" s="232">
        <v>0</v>
      </c>
      <c r="H2096" s="138">
        <f>G2096+F2096</f>
        <v>0</v>
      </c>
      <c r="I2096" s="138">
        <f>H2096*E2096</f>
        <v>0</v>
      </c>
      <c r="J2096" s="47"/>
      <c r="K2096" s="15"/>
    </row>
    <row r="2097" spans="1:11" s="16" customFormat="1" ht="25.5" outlineLevel="3">
      <c r="A2097" s="14"/>
      <c r="B2097" s="35"/>
      <c r="C2097" s="242" t="s">
        <v>95</v>
      </c>
      <c r="D2097" s="230" t="s">
        <v>28</v>
      </c>
      <c r="E2097" s="247">
        <v>1</v>
      </c>
      <c r="F2097" s="232">
        <v>0</v>
      </c>
      <c r="G2097" s="232">
        <v>0</v>
      </c>
      <c r="H2097" s="138">
        <f>G2097+F2097</f>
        <v>0</v>
      </c>
      <c r="I2097" s="138">
        <f>H2097*E2097</f>
        <v>0</v>
      </c>
      <c r="J2097" s="47"/>
      <c r="K2097" s="15"/>
    </row>
    <row r="2098" spans="1:11" s="16" customFormat="1" ht="25.5" outlineLevel="3">
      <c r="A2098" s="14"/>
      <c r="B2098" s="35"/>
      <c r="C2098" s="242" t="s">
        <v>96</v>
      </c>
      <c r="D2098" s="230" t="s">
        <v>28</v>
      </c>
      <c r="E2098" s="247">
        <v>1</v>
      </c>
      <c r="F2098" s="232">
        <v>0</v>
      </c>
      <c r="G2098" s="232">
        <v>0</v>
      </c>
      <c r="H2098" s="138">
        <f>G2098+F2098</f>
        <v>0</v>
      </c>
      <c r="I2098" s="138">
        <f>H2098*E2098</f>
        <v>0</v>
      </c>
      <c r="J2098" s="47"/>
      <c r="K2098" s="15"/>
    </row>
    <row r="2099" spans="1:11" s="16" customFormat="1" ht="25.5" outlineLevel="3">
      <c r="A2099" s="14"/>
      <c r="B2099" s="35"/>
      <c r="C2099" s="241" t="s">
        <v>148</v>
      </c>
      <c r="D2099" s="315"/>
      <c r="E2099" s="247"/>
      <c r="F2099" s="232">
        <v>0</v>
      </c>
      <c r="G2099" s="232">
        <v>0</v>
      </c>
      <c r="H2099" s="295"/>
      <c r="I2099" s="180"/>
      <c r="J2099" s="47"/>
      <c r="K2099" s="15"/>
    </row>
    <row r="2100" spans="1:11" s="16" customFormat="1" ht="25.5" outlineLevel="3">
      <c r="A2100" s="14"/>
      <c r="B2100" s="35"/>
      <c r="C2100" s="314" t="s">
        <v>171</v>
      </c>
      <c r="D2100" s="230" t="s">
        <v>28</v>
      </c>
      <c r="E2100" s="247">
        <v>5</v>
      </c>
      <c r="F2100" s="232">
        <v>0</v>
      </c>
      <c r="G2100" s="232">
        <v>0</v>
      </c>
      <c r="H2100" s="138">
        <f>G2100+F2100</f>
        <v>0</v>
      </c>
      <c r="I2100" s="138">
        <f>H2100*E2100</f>
        <v>0</v>
      </c>
      <c r="J2100" s="47"/>
      <c r="K2100" s="15"/>
    </row>
    <row r="2101" spans="1:11" s="16" customFormat="1" ht="25.5" outlineLevel="3">
      <c r="A2101" s="14"/>
      <c r="B2101" s="35"/>
      <c r="C2101" s="229" t="s">
        <v>139</v>
      </c>
      <c r="D2101" s="230" t="s">
        <v>38</v>
      </c>
      <c r="E2101" s="247">
        <v>1</v>
      </c>
      <c r="F2101" s="232">
        <v>0</v>
      </c>
      <c r="G2101" s="232">
        <v>0</v>
      </c>
      <c r="H2101" s="138">
        <f>G2101+F2101</f>
        <v>0</v>
      </c>
      <c r="I2101" s="138">
        <f>H2101*E2101</f>
        <v>0</v>
      </c>
      <c r="J2101" s="47"/>
      <c r="K2101" s="15"/>
    </row>
    <row r="2102" spans="1:11" s="16" customFormat="1" ht="25.5" outlineLevel="3">
      <c r="A2102" s="14"/>
      <c r="B2102" s="35">
        <f>MAXA(B$5:B2101)+1</f>
        <v>862</v>
      </c>
      <c r="C2102" s="242" t="s">
        <v>1117</v>
      </c>
      <c r="D2102" s="230" t="s">
        <v>38</v>
      </c>
      <c r="E2102" s="247">
        <v>1</v>
      </c>
      <c r="F2102" s="232">
        <v>3156210</v>
      </c>
      <c r="G2102" s="232">
        <v>1563188</v>
      </c>
      <c r="H2102" s="138">
        <f>G2102+F2102</f>
        <v>4719398</v>
      </c>
      <c r="I2102" s="138">
        <f>H2102*E2102</f>
        <v>4719398</v>
      </c>
      <c r="J2102" s="47"/>
      <c r="K2102" s="15"/>
    </row>
    <row r="2103" spans="1:11" s="16" customFormat="1" ht="25.5" outlineLevel="3">
      <c r="A2103" s="14"/>
      <c r="B2103" s="35"/>
      <c r="C2103" s="241" t="s">
        <v>141</v>
      </c>
      <c r="D2103" s="230"/>
      <c r="E2103" s="247"/>
      <c r="F2103" s="232">
        <v>0</v>
      </c>
      <c r="G2103" s="232">
        <v>0</v>
      </c>
      <c r="H2103" s="295"/>
      <c r="I2103" s="180"/>
      <c r="J2103" s="47"/>
      <c r="K2103" s="15"/>
    </row>
    <row r="2104" spans="1:11" s="16" customFormat="1" ht="25.5" outlineLevel="3">
      <c r="A2104" s="14"/>
      <c r="B2104" s="35"/>
      <c r="C2104" s="314" t="s">
        <v>169</v>
      </c>
      <c r="D2104" s="230" t="s">
        <v>28</v>
      </c>
      <c r="E2104" s="247">
        <v>1</v>
      </c>
      <c r="F2104" s="232">
        <v>0</v>
      </c>
      <c r="G2104" s="232">
        <v>0</v>
      </c>
      <c r="H2104" s="138">
        <f>G2104+F2104</f>
        <v>0</v>
      </c>
      <c r="I2104" s="138">
        <f>H2104*E2104</f>
        <v>0</v>
      </c>
      <c r="J2104" s="47"/>
      <c r="K2104" s="15"/>
    </row>
    <row r="2105" spans="1:11" s="16" customFormat="1" ht="25.5" outlineLevel="3">
      <c r="A2105" s="14"/>
      <c r="B2105" s="35"/>
      <c r="C2105" s="242" t="s">
        <v>94</v>
      </c>
      <c r="D2105" s="230" t="s">
        <v>28</v>
      </c>
      <c r="E2105" s="247">
        <v>1</v>
      </c>
      <c r="F2105" s="232">
        <v>0</v>
      </c>
      <c r="G2105" s="232">
        <v>0</v>
      </c>
      <c r="H2105" s="138">
        <f>G2105+F2105</f>
        <v>0</v>
      </c>
      <c r="I2105" s="138">
        <f>H2105*E2105</f>
        <v>0</v>
      </c>
      <c r="J2105" s="47"/>
      <c r="K2105" s="15"/>
    </row>
    <row r="2106" spans="1:11" s="16" customFormat="1" ht="25.5" outlineLevel="3">
      <c r="A2106" s="14"/>
      <c r="B2106" s="35"/>
      <c r="C2106" s="242" t="s">
        <v>95</v>
      </c>
      <c r="D2106" s="230" t="s">
        <v>28</v>
      </c>
      <c r="E2106" s="247">
        <v>1</v>
      </c>
      <c r="F2106" s="232">
        <v>0</v>
      </c>
      <c r="G2106" s="232">
        <v>0</v>
      </c>
      <c r="H2106" s="138">
        <f>G2106+F2106</f>
        <v>0</v>
      </c>
      <c r="I2106" s="138">
        <f>H2106*E2106</f>
        <v>0</v>
      </c>
      <c r="J2106" s="47"/>
      <c r="K2106" s="15"/>
    </row>
    <row r="2107" spans="1:11" s="16" customFormat="1" ht="25.5" outlineLevel="3">
      <c r="A2107" s="14"/>
      <c r="B2107" s="35"/>
      <c r="C2107" s="242" t="s">
        <v>96</v>
      </c>
      <c r="D2107" s="230" t="s">
        <v>28</v>
      </c>
      <c r="E2107" s="247">
        <v>1</v>
      </c>
      <c r="F2107" s="232">
        <v>0</v>
      </c>
      <c r="G2107" s="232">
        <v>0</v>
      </c>
      <c r="H2107" s="138">
        <f>G2107+F2107</f>
        <v>0</v>
      </c>
      <c r="I2107" s="138">
        <f>H2107*E2107</f>
        <v>0</v>
      </c>
      <c r="J2107" s="47"/>
      <c r="K2107" s="15"/>
    </row>
    <row r="2108" spans="1:11" s="16" customFormat="1" ht="25.5" outlineLevel="3">
      <c r="A2108" s="14"/>
      <c r="B2108" s="35"/>
      <c r="C2108" s="241" t="s">
        <v>148</v>
      </c>
      <c r="D2108" s="315"/>
      <c r="E2108" s="247"/>
      <c r="F2108" s="232">
        <v>0</v>
      </c>
      <c r="G2108" s="232">
        <v>0</v>
      </c>
      <c r="H2108" s="295"/>
      <c r="I2108" s="180"/>
      <c r="J2108" s="47"/>
      <c r="K2108" s="15"/>
    </row>
    <row r="2109" spans="1:11" s="16" customFormat="1" ht="25.5" outlineLevel="3">
      <c r="A2109" s="14"/>
      <c r="B2109" s="35"/>
      <c r="C2109" s="314" t="s">
        <v>171</v>
      </c>
      <c r="D2109" s="230" t="s">
        <v>28</v>
      </c>
      <c r="E2109" s="247">
        <v>5</v>
      </c>
      <c r="F2109" s="232">
        <v>0</v>
      </c>
      <c r="G2109" s="232">
        <v>0</v>
      </c>
      <c r="H2109" s="138">
        <f>G2109+F2109</f>
        <v>0</v>
      </c>
      <c r="I2109" s="138">
        <f>H2109*E2109</f>
        <v>0</v>
      </c>
      <c r="J2109" s="47"/>
      <c r="K2109" s="15"/>
    </row>
    <row r="2110" spans="1:11" s="16" customFormat="1" ht="25.5" outlineLevel="3">
      <c r="A2110" s="14"/>
      <c r="B2110" s="35"/>
      <c r="C2110" s="229" t="s">
        <v>139</v>
      </c>
      <c r="D2110" s="230" t="s">
        <v>38</v>
      </c>
      <c r="E2110" s="247">
        <v>1</v>
      </c>
      <c r="F2110" s="232">
        <v>0</v>
      </c>
      <c r="G2110" s="232">
        <v>0</v>
      </c>
      <c r="H2110" s="138">
        <f>G2110+F2110</f>
        <v>0</v>
      </c>
      <c r="I2110" s="138">
        <f>H2110*E2110</f>
        <v>0</v>
      </c>
      <c r="J2110" s="47"/>
      <c r="K2110" s="15"/>
    </row>
    <row r="2111" spans="1:11" s="16" customFormat="1" ht="25.5" outlineLevel="3">
      <c r="A2111" s="14"/>
      <c r="B2111" s="35">
        <f>MAXA(B$5:B2110)+1</f>
        <v>863</v>
      </c>
      <c r="C2111" s="242" t="s">
        <v>1118</v>
      </c>
      <c r="D2111" s="230" t="s">
        <v>38</v>
      </c>
      <c r="E2111" s="247">
        <v>1</v>
      </c>
      <c r="F2111" s="232">
        <v>2783456</v>
      </c>
      <c r="G2111" s="232">
        <v>1563188</v>
      </c>
      <c r="H2111" s="138">
        <f>G2111+F2111</f>
        <v>4346644</v>
      </c>
      <c r="I2111" s="138">
        <f>H2111*E2111</f>
        <v>4346644</v>
      </c>
      <c r="J2111" s="47"/>
      <c r="K2111" s="15"/>
    </row>
    <row r="2112" spans="1:11" s="16" customFormat="1" ht="25.5" outlineLevel="3">
      <c r="A2112" s="14"/>
      <c r="B2112" s="35"/>
      <c r="C2112" s="241" t="s">
        <v>141</v>
      </c>
      <c r="D2112" s="230"/>
      <c r="E2112" s="247"/>
      <c r="F2112" s="232">
        <v>0</v>
      </c>
      <c r="G2112" s="232">
        <v>0</v>
      </c>
      <c r="H2112" s="295"/>
      <c r="I2112" s="180"/>
      <c r="J2112" s="47"/>
      <c r="K2112" s="15"/>
    </row>
    <row r="2113" spans="1:11" s="16" customFormat="1" ht="25.5" outlineLevel="3">
      <c r="A2113" s="14"/>
      <c r="B2113" s="35"/>
      <c r="C2113" s="314" t="s">
        <v>1082</v>
      </c>
      <c r="D2113" s="230" t="s">
        <v>28</v>
      </c>
      <c r="E2113" s="247">
        <v>1</v>
      </c>
      <c r="F2113" s="232">
        <v>0</v>
      </c>
      <c r="G2113" s="232">
        <v>0</v>
      </c>
      <c r="H2113" s="138">
        <f>G2113+F2113</f>
        <v>0</v>
      </c>
      <c r="I2113" s="138">
        <f>H2113*E2113</f>
        <v>0</v>
      </c>
      <c r="J2113" s="47"/>
      <c r="K2113" s="15"/>
    </row>
    <row r="2114" spans="1:11" s="16" customFormat="1" ht="25.5" outlineLevel="3">
      <c r="A2114" s="14"/>
      <c r="B2114" s="35"/>
      <c r="C2114" s="242" t="s">
        <v>94</v>
      </c>
      <c r="D2114" s="230" t="s">
        <v>28</v>
      </c>
      <c r="E2114" s="247">
        <v>1</v>
      </c>
      <c r="F2114" s="232">
        <v>0</v>
      </c>
      <c r="G2114" s="232">
        <v>0</v>
      </c>
      <c r="H2114" s="138">
        <f>G2114+F2114</f>
        <v>0</v>
      </c>
      <c r="I2114" s="138">
        <f>H2114*E2114</f>
        <v>0</v>
      </c>
      <c r="J2114" s="47"/>
      <c r="K2114" s="15"/>
    </row>
    <row r="2115" spans="1:11" s="16" customFormat="1" ht="25.5" outlineLevel="3">
      <c r="A2115" s="14"/>
      <c r="B2115" s="35"/>
      <c r="C2115" s="242" t="s">
        <v>95</v>
      </c>
      <c r="D2115" s="230" t="s">
        <v>28</v>
      </c>
      <c r="E2115" s="247">
        <v>1</v>
      </c>
      <c r="F2115" s="232">
        <v>0</v>
      </c>
      <c r="G2115" s="232">
        <v>0</v>
      </c>
      <c r="H2115" s="138">
        <f>G2115+F2115</f>
        <v>0</v>
      </c>
      <c r="I2115" s="138">
        <f>H2115*E2115</f>
        <v>0</v>
      </c>
      <c r="J2115" s="47"/>
      <c r="K2115" s="15"/>
    </row>
    <row r="2116" spans="1:11" s="16" customFormat="1" ht="25.5" outlineLevel="3">
      <c r="A2116" s="14"/>
      <c r="B2116" s="35"/>
      <c r="C2116" s="242" t="s">
        <v>96</v>
      </c>
      <c r="D2116" s="230" t="s">
        <v>28</v>
      </c>
      <c r="E2116" s="247">
        <v>1</v>
      </c>
      <c r="F2116" s="232">
        <v>0</v>
      </c>
      <c r="G2116" s="232">
        <v>0</v>
      </c>
      <c r="H2116" s="138">
        <f>G2116+F2116</f>
        <v>0</v>
      </c>
      <c r="I2116" s="138">
        <f>H2116*E2116</f>
        <v>0</v>
      </c>
      <c r="J2116" s="47"/>
      <c r="K2116" s="15"/>
    </row>
    <row r="2117" spans="1:11" s="16" customFormat="1" ht="25.5" outlineLevel="3">
      <c r="A2117" s="14"/>
      <c r="B2117" s="35"/>
      <c r="C2117" s="241" t="s">
        <v>148</v>
      </c>
      <c r="D2117" s="315"/>
      <c r="E2117" s="247"/>
      <c r="F2117" s="232">
        <v>0</v>
      </c>
      <c r="G2117" s="232">
        <v>0</v>
      </c>
      <c r="H2117" s="295"/>
      <c r="I2117" s="180"/>
      <c r="J2117" s="47"/>
      <c r="K2117" s="15"/>
    </row>
    <row r="2118" spans="1:11" s="16" customFormat="1" ht="25.5" outlineLevel="3">
      <c r="A2118" s="14"/>
      <c r="B2118" s="35"/>
      <c r="C2118" s="314" t="s">
        <v>170</v>
      </c>
      <c r="D2118" s="230" t="s">
        <v>28</v>
      </c>
      <c r="E2118" s="247">
        <v>2</v>
      </c>
      <c r="F2118" s="232">
        <v>0</v>
      </c>
      <c r="G2118" s="232">
        <v>0</v>
      </c>
      <c r="H2118" s="138">
        <f>G2118+F2118</f>
        <v>0</v>
      </c>
      <c r="I2118" s="138">
        <f>H2118*E2118</f>
        <v>0</v>
      </c>
      <c r="J2118" s="47"/>
      <c r="K2118" s="15"/>
    </row>
    <row r="2119" spans="1:11" s="16" customFormat="1" ht="25.5" outlineLevel="3">
      <c r="A2119" s="14"/>
      <c r="B2119" s="35"/>
      <c r="C2119" s="229" t="s">
        <v>139</v>
      </c>
      <c r="D2119" s="230" t="s">
        <v>38</v>
      </c>
      <c r="E2119" s="247">
        <v>1</v>
      </c>
      <c r="F2119" s="232">
        <v>0</v>
      </c>
      <c r="G2119" s="232">
        <v>0</v>
      </c>
      <c r="H2119" s="138">
        <f>G2119+F2119</f>
        <v>0</v>
      </c>
      <c r="I2119" s="138">
        <f>H2119*E2119</f>
        <v>0</v>
      </c>
      <c r="J2119" s="47"/>
      <c r="K2119" s="15"/>
    </row>
    <row r="2120" spans="1:11" s="16" customFormat="1" ht="25.5" outlineLevel="3">
      <c r="A2120" s="14"/>
      <c r="B2120" s="35">
        <f>MAXA(B$5:B2119)+1</f>
        <v>864</v>
      </c>
      <c r="C2120" s="242" t="s">
        <v>1119</v>
      </c>
      <c r="D2120" s="230" t="s">
        <v>38</v>
      </c>
      <c r="E2120" s="247">
        <v>1</v>
      </c>
      <c r="F2120" s="232">
        <v>3156210</v>
      </c>
      <c r="G2120" s="232">
        <v>1563188</v>
      </c>
      <c r="H2120" s="138">
        <f>G2120+F2120</f>
        <v>4719398</v>
      </c>
      <c r="I2120" s="138">
        <f>H2120*E2120</f>
        <v>4719398</v>
      </c>
      <c r="J2120" s="47"/>
      <c r="K2120" s="15"/>
    </row>
    <row r="2121" spans="1:11" s="16" customFormat="1" ht="25.5" outlineLevel="3">
      <c r="A2121" s="14"/>
      <c r="B2121" s="35"/>
      <c r="C2121" s="241" t="s">
        <v>141</v>
      </c>
      <c r="D2121" s="230"/>
      <c r="E2121" s="247"/>
      <c r="F2121" s="232">
        <v>0</v>
      </c>
      <c r="G2121" s="232">
        <v>0</v>
      </c>
      <c r="H2121" s="295"/>
      <c r="I2121" s="180"/>
      <c r="J2121" s="47"/>
      <c r="K2121" s="15"/>
    </row>
    <row r="2122" spans="1:11" s="16" customFormat="1" ht="25.5" outlineLevel="3">
      <c r="A2122" s="14"/>
      <c r="B2122" s="35"/>
      <c r="C2122" s="314" t="s">
        <v>1082</v>
      </c>
      <c r="D2122" s="230" t="s">
        <v>28</v>
      </c>
      <c r="E2122" s="247">
        <v>1</v>
      </c>
      <c r="F2122" s="232">
        <v>0</v>
      </c>
      <c r="G2122" s="232">
        <v>0</v>
      </c>
      <c r="H2122" s="138">
        <f>G2122+F2122</f>
        <v>0</v>
      </c>
      <c r="I2122" s="138">
        <f>H2122*E2122</f>
        <v>0</v>
      </c>
      <c r="J2122" s="47"/>
      <c r="K2122" s="15"/>
    </row>
    <row r="2123" spans="1:11" s="16" customFormat="1" ht="25.5" outlineLevel="3">
      <c r="A2123" s="14"/>
      <c r="B2123" s="35"/>
      <c r="C2123" s="242" t="s">
        <v>94</v>
      </c>
      <c r="D2123" s="230" t="s">
        <v>28</v>
      </c>
      <c r="E2123" s="247">
        <v>1</v>
      </c>
      <c r="F2123" s="232">
        <v>0</v>
      </c>
      <c r="G2123" s="232">
        <v>0</v>
      </c>
      <c r="H2123" s="138">
        <f>G2123+F2123</f>
        <v>0</v>
      </c>
      <c r="I2123" s="138">
        <f>H2123*E2123</f>
        <v>0</v>
      </c>
      <c r="J2123" s="47"/>
      <c r="K2123" s="15"/>
    </row>
    <row r="2124" spans="1:11" s="16" customFormat="1" ht="25.5" outlineLevel="3">
      <c r="A2124" s="14"/>
      <c r="B2124" s="35"/>
      <c r="C2124" s="242" t="s">
        <v>95</v>
      </c>
      <c r="D2124" s="230" t="s">
        <v>28</v>
      </c>
      <c r="E2124" s="247">
        <v>1</v>
      </c>
      <c r="F2124" s="232">
        <v>0</v>
      </c>
      <c r="G2124" s="232">
        <v>0</v>
      </c>
      <c r="H2124" s="138">
        <f>G2124+F2124</f>
        <v>0</v>
      </c>
      <c r="I2124" s="138">
        <f>H2124*E2124</f>
        <v>0</v>
      </c>
      <c r="J2124" s="47"/>
      <c r="K2124" s="15"/>
    </row>
    <row r="2125" spans="1:11" s="16" customFormat="1" ht="25.5" outlineLevel="3">
      <c r="A2125" s="14"/>
      <c r="B2125" s="35"/>
      <c r="C2125" s="242" t="s">
        <v>96</v>
      </c>
      <c r="D2125" s="230" t="s">
        <v>28</v>
      </c>
      <c r="E2125" s="247">
        <v>1</v>
      </c>
      <c r="F2125" s="232">
        <v>0</v>
      </c>
      <c r="G2125" s="232">
        <v>0</v>
      </c>
      <c r="H2125" s="138">
        <f>G2125+F2125</f>
        <v>0</v>
      </c>
      <c r="I2125" s="138">
        <f>H2125*E2125</f>
        <v>0</v>
      </c>
      <c r="J2125" s="47"/>
      <c r="K2125" s="15"/>
    </row>
    <row r="2126" spans="1:11" s="16" customFormat="1" ht="25.5" outlineLevel="3">
      <c r="A2126" s="14"/>
      <c r="B2126" s="35"/>
      <c r="C2126" s="241" t="s">
        <v>148</v>
      </c>
      <c r="D2126" s="315"/>
      <c r="E2126" s="247"/>
      <c r="F2126" s="232">
        <v>0</v>
      </c>
      <c r="G2126" s="232">
        <v>0</v>
      </c>
      <c r="H2126" s="295"/>
      <c r="I2126" s="180"/>
      <c r="J2126" s="47"/>
      <c r="K2126" s="15"/>
    </row>
    <row r="2127" spans="1:11" s="16" customFormat="1" ht="25.5" outlineLevel="3">
      <c r="A2127" s="14"/>
      <c r="B2127" s="35"/>
      <c r="C2127" s="314" t="s">
        <v>170</v>
      </c>
      <c r="D2127" s="230" t="s">
        <v>28</v>
      </c>
      <c r="E2127" s="247">
        <v>5</v>
      </c>
      <c r="F2127" s="232">
        <v>0</v>
      </c>
      <c r="G2127" s="232">
        <v>0</v>
      </c>
      <c r="H2127" s="138">
        <f>G2127+F2127</f>
        <v>0</v>
      </c>
      <c r="I2127" s="138">
        <f>H2127*E2127</f>
        <v>0</v>
      </c>
      <c r="J2127" s="47"/>
      <c r="K2127" s="15"/>
    </row>
    <row r="2128" spans="1:11" s="16" customFormat="1" ht="25.5" outlineLevel="3">
      <c r="A2128" s="14"/>
      <c r="B2128" s="35"/>
      <c r="C2128" s="229" t="s">
        <v>139</v>
      </c>
      <c r="D2128" s="230" t="s">
        <v>38</v>
      </c>
      <c r="E2128" s="247">
        <v>1</v>
      </c>
      <c r="F2128" s="232">
        <v>0</v>
      </c>
      <c r="G2128" s="232">
        <v>0</v>
      </c>
      <c r="H2128" s="138">
        <f>G2128+F2128</f>
        <v>0</v>
      </c>
      <c r="I2128" s="138">
        <f>H2128*E2128</f>
        <v>0</v>
      </c>
      <c r="J2128" s="47"/>
      <c r="K2128" s="15"/>
    </row>
    <row r="2129" spans="1:11" s="16" customFormat="1" ht="25.5" outlineLevel="3">
      <c r="A2129" s="14"/>
      <c r="B2129" s="35">
        <f>MAXA(B$5:B2128)+1</f>
        <v>865</v>
      </c>
      <c r="C2129" s="242" t="s">
        <v>1120</v>
      </c>
      <c r="D2129" s="230" t="s">
        <v>38</v>
      </c>
      <c r="E2129" s="247">
        <v>1</v>
      </c>
      <c r="F2129" s="232">
        <v>2907707</v>
      </c>
      <c r="G2129" s="232">
        <v>1563188</v>
      </c>
      <c r="H2129" s="138">
        <f>G2129+F2129</f>
        <v>4470895</v>
      </c>
      <c r="I2129" s="138">
        <f>H2129*E2129</f>
        <v>4470895</v>
      </c>
      <c r="J2129" s="47"/>
      <c r="K2129" s="15"/>
    </row>
    <row r="2130" spans="1:11" s="16" customFormat="1" ht="25.5" outlineLevel="3">
      <c r="A2130" s="14"/>
      <c r="B2130" s="35"/>
      <c r="C2130" s="241" t="s">
        <v>141</v>
      </c>
      <c r="D2130" s="230"/>
      <c r="E2130" s="247"/>
      <c r="F2130" s="232">
        <v>0</v>
      </c>
      <c r="G2130" s="232">
        <v>0</v>
      </c>
      <c r="H2130" s="295"/>
      <c r="I2130" s="180"/>
      <c r="J2130" s="47"/>
      <c r="K2130" s="15"/>
    </row>
    <row r="2131" spans="1:11" s="16" customFormat="1" ht="25.5" outlineLevel="3">
      <c r="A2131" s="14"/>
      <c r="B2131" s="35"/>
      <c r="C2131" s="314" t="s">
        <v>1082</v>
      </c>
      <c r="D2131" s="230" t="s">
        <v>28</v>
      </c>
      <c r="E2131" s="247">
        <v>1</v>
      </c>
      <c r="F2131" s="232">
        <v>0</v>
      </c>
      <c r="G2131" s="232">
        <v>0</v>
      </c>
      <c r="H2131" s="138">
        <f>G2131+F2131</f>
        <v>0</v>
      </c>
      <c r="I2131" s="138">
        <f>H2131*E2131</f>
        <v>0</v>
      </c>
      <c r="J2131" s="47"/>
      <c r="K2131" s="15"/>
    </row>
    <row r="2132" spans="1:11" s="16" customFormat="1" ht="25.5" outlineLevel="3">
      <c r="A2132" s="14"/>
      <c r="B2132" s="35"/>
      <c r="C2132" s="242" t="s">
        <v>94</v>
      </c>
      <c r="D2132" s="230" t="s">
        <v>28</v>
      </c>
      <c r="E2132" s="247">
        <v>1</v>
      </c>
      <c r="F2132" s="232">
        <v>0</v>
      </c>
      <c r="G2132" s="232">
        <v>0</v>
      </c>
      <c r="H2132" s="138">
        <f>G2132+F2132</f>
        <v>0</v>
      </c>
      <c r="I2132" s="138">
        <f>H2132*E2132</f>
        <v>0</v>
      </c>
      <c r="J2132" s="47"/>
      <c r="K2132" s="15"/>
    </row>
    <row r="2133" spans="1:11" s="16" customFormat="1" ht="25.5" outlineLevel="3">
      <c r="A2133" s="14"/>
      <c r="B2133" s="35"/>
      <c r="C2133" s="242" t="s">
        <v>95</v>
      </c>
      <c r="D2133" s="230" t="s">
        <v>28</v>
      </c>
      <c r="E2133" s="247">
        <v>1</v>
      </c>
      <c r="F2133" s="232">
        <v>0</v>
      </c>
      <c r="G2133" s="232">
        <v>0</v>
      </c>
      <c r="H2133" s="138">
        <f>G2133+F2133</f>
        <v>0</v>
      </c>
      <c r="I2133" s="138">
        <f>H2133*E2133</f>
        <v>0</v>
      </c>
      <c r="J2133" s="47"/>
      <c r="K2133" s="15"/>
    </row>
    <row r="2134" spans="1:11" s="16" customFormat="1" ht="25.5" outlineLevel="3">
      <c r="A2134" s="14"/>
      <c r="B2134" s="35"/>
      <c r="C2134" s="242" t="s">
        <v>96</v>
      </c>
      <c r="D2134" s="230" t="s">
        <v>28</v>
      </c>
      <c r="E2134" s="247">
        <v>1</v>
      </c>
      <c r="F2134" s="232">
        <v>0</v>
      </c>
      <c r="G2134" s="232">
        <v>0</v>
      </c>
      <c r="H2134" s="138">
        <f>G2134+F2134</f>
        <v>0</v>
      </c>
      <c r="I2134" s="138">
        <f>H2134*E2134</f>
        <v>0</v>
      </c>
      <c r="J2134" s="47"/>
      <c r="K2134" s="15"/>
    </row>
    <row r="2135" spans="1:11" s="16" customFormat="1" ht="25.5" outlineLevel="3">
      <c r="A2135" s="14"/>
      <c r="B2135" s="35"/>
      <c r="C2135" s="241" t="s">
        <v>148</v>
      </c>
      <c r="D2135" s="315"/>
      <c r="E2135" s="247"/>
      <c r="F2135" s="232">
        <v>0</v>
      </c>
      <c r="G2135" s="232">
        <v>0</v>
      </c>
      <c r="H2135" s="295"/>
      <c r="I2135" s="180"/>
      <c r="J2135" s="47"/>
      <c r="K2135" s="15"/>
    </row>
    <row r="2136" spans="1:11" s="16" customFormat="1" ht="25.5" outlineLevel="3">
      <c r="A2136" s="14"/>
      <c r="B2136" s="35"/>
      <c r="C2136" s="314" t="s">
        <v>170</v>
      </c>
      <c r="D2136" s="230" t="s">
        <v>28</v>
      </c>
      <c r="E2136" s="247">
        <v>3</v>
      </c>
      <c r="F2136" s="232">
        <v>0</v>
      </c>
      <c r="G2136" s="232">
        <v>0</v>
      </c>
      <c r="H2136" s="138">
        <f>G2136+F2136</f>
        <v>0</v>
      </c>
      <c r="I2136" s="138">
        <f>H2136*E2136</f>
        <v>0</v>
      </c>
      <c r="J2136" s="47"/>
      <c r="K2136" s="15"/>
    </row>
    <row r="2137" spans="1:11" s="16" customFormat="1" ht="25.5" outlineLevel="3">
      <c r="A2137" s="14"/>
      <c r="B2137" s="35"/>
      <c r="C2137" s="229" t="s">
        <v>139</v>
      </c>
      <c r="D2137" s="230" t="s">
        <v>38</v>
      </c>
      <c r="E2137" s="247">
        <v>1</v>
      </c>
      <c r="F2137" s="232">
        <v>0</v>
      </c>
      <c r="G2137" s="232">
        <v>0</v>
      </c>
      <c r="H2137" s="138">
        <f>G2137+F2137</f>
        <v>0</v>
      </c>
      <c r="I2137" s="138">
        <f>H2137*E2137</f>
        <v>0</v>
      </c>
      <c r="J2137" s="47"/>
      <c r="K2137" s="15"/>
    </row>
    <row r="2138" spans="1:11" s="16" customFormat="1" ht="25.5" outlineLevel="3">
      <c r="A2138" s="14"/>
      <c r="B2138" s="35">
        <f>MAXA(B$5:B2137)+1</f>
        <v>866</v>
      </c>
      <c r="C2138" s="242" t="s">
        <v>1121</v>
      </c>
      <c r="D2138" s="230" t="s">
        <v>38</v>
      </c>
      <c r="E2138" s="247">
        <v>1</v>
      </c>
      <c r="F2138" s="232">
        <v>26442254</v>
      </c>
      <c r="G2138" s="232">
        <v>1563188</v>
      </c>
      <c r="H2138" s="138">
        <f>G2138+F2138</f>
        <v>28005442</v>
      </c>
      <c r="I2138" s="138">
        <f>H2138*E2138</f>
        <v>28005442</v>
      </c>
      <c r="J2138" s="47"/>
      <c r="K2138" s="15"/>
    </row>
    <row r="2139" spans="1:11" s="16" customFormat="1" ht="25.5" outlineLevel="3">
      <c r="A2139" s="14"/>
      <c r="B2139" s="35"/>
      <c r="C2139" s="241" t="s">
        <v>141</v>
      </c>
      <c r="D2139" s="230"/>
      <c r="E2139" s="247"/>
      <c r="F2139" s="232">
        <v>0</v>
      </c>
      <c r="G2139" s="232">
        <v>0</v>
      </c>
      <c r="H2139" s="295"/>
      <c r="I2139" s="180"/>
      <c r="J2139" s="47"/>
      <c r="K2139" s="15"/>
    </row>
    <row r="2140" spans="1:11" s="16" customFormat="1" ht="25.5" outlineLevel="3">
      <c r="A2140" s="14"/>
      <c r="B2140" s="35"/>
      <c r="C2140" s="314" t="s">
        <v>1122</v>
      </c>
      <c r="D2140" s="230" t="s">
        <v>28</v>
      </c>
      <c r="E2140" s="247">
        <v>1</v>
      </c>
      <c r="F2140" s="232">
        <v>0</v>
      </c>
      <c r="G2140" s="232">
        <v>0</v>
      </c>
      <c r="H2140" s="138">
        <f t="shared" ref="H2140:H2150" si="195">G2140+F2140</f>
        <v>0</v>
      </c>
      <c r="I2140" s="138">
        <f t="shared" ref="I2140:I2150" si="196">H2140*E2140</f>
        <v>0</v>
      </c>
      <c r="J2140" s="47"/>
      <c r="K2140" s="15"/>
    </row>
    <row r="2141" spans="1:11" s="16" customFormat="1" ht="25.5" outlineLevel="3">
      <c r="A2141" s="14"/>
      <c r="B2141" s="35"/>
      <c r="C2141" s="242" t="s">
        <v>94</v>
      </c>
      <c r="D2141" s="230" t="s">
        <v>28</v>
      </c>
      <c r="E2141" s="247">
        <v>9</v>
      </c>
      <c r="F2141" s="232">
        <v>0</v>
      </c>
      <c r="G2141" s="232">
        <v>0</v>
      </c>
      <c r="H2141" s="138">
        <f t="shared" si="195"/>
        <v>0</v>
      </c>
      <c r="I2141" s="138">
        <f t="shared" si="196"/>
        <v>0</v>
      </c>
      <c r="J2141" s="47"/>
      <c r="K2141" s="15"/>
    </row>
    <row r="2142" spans="1:11" s="16" customFormat="1" ht="25.5" outlineLevel="3">
      <c r="A2142" s="14"/>
      <c r="B2142" s="35"/>
      <c r="C2142" s="242" t="s">
        <v>95</v>
      </c>
      <c r="D2142" s="230" t="s">
        <v>28</v>
      </c>
      <c r="E2142" s="247">
        <v>9</v>
      </c>
      <c r="F2142" s="232">
        <v>0</v>
      </c>
      <c r="G2142" s="232">
        <v>0</v>
      </c>
      <c r="H2142" s="138">
        <f t="shared" si="195"/>
        <v>0</v>
      </c>
      <c r="I2142" s="138">
        <f t="shared" si="196"/>
        <v>0</v>
      </c>
      <c r="J2142" s="47"/>
      <c r="K2142" s="15"/>
    </row>
    <row r="2143" spans="1:11" s="16" customFormat="1" ht="25.5" outlineLevel="3">
      <c r="A2143" s="14"/>
      <c r="B2143" s="35"/>
      <c r="C2143" s="242" t="s">
        <v>96</v>
      </c>
      <c r="D2143" s="230" t="s">
        <v>28</v>
      </c>
      <c r="E2143" s="247">
        <v>2</v>
      </c>
      <c r="F2143" s="232">
        <v>0</v>
      </c>
      <c r="G2143" s="232">
        <v>0</v>
      </c>
      <c r="H2143" s="138">
        <f t="shared" si="195"/>
        <v>0</v>
      </c>
      <c r="I2143" s="138">
        <f t="shared" si="196"/>
        <v>0</v>
      </c>
      <c r="J2143" s="47"/>
      <c r="K2143" s="15"/>
    </row>
    <row r="2144" spans="1:11" s="16" customFormat="1" ht="25.5" outlineLevel="3">
      <c r="A2144" s="14"/>
      <c r="B2144" s="35"/>
      <c r="C2144" s="242" t="s">
        <v>97</v>
      </c>
      <c r="D2144" s="230" t="s">
        <v>28</v>
      </c>
      <c r="E2144" s="247">
        <v>2</v>
      </c>
      <c r="F2144" s="232">
        <v>0</v>
      </c>
      <c r="G2144" s="232">
        <v>0</v>
      </c>
      <c r="H2144" s="138">
        <f t="shared" si="195"/>
        <v>0</v>
      </c>
      <c r="I2144" s="138">
        <f t="shared" si="196"/>
        <v>0</v>
      </c>
      <c r="J2144" s="47"/>
      <c r="K2144" s="15"/>
    </row>
    <row r="2145" spans="1:11" s="16" customFormat="1" ht="25.5" outlineLevel="3">
      <c r="A2145" s="14"/>
      <c r="B2145" s="35"/>
      <c r="C2145" s="242" t="s">
        <v>98</v>
      </c>
      <c r="D2145" s="230" t="s">
        <v>28</v>
      </c>
      <c r="E2145" s="247">
        <v>2</v>
      </c>
      <c r="F2145" s="232">
        <v>0</v>
      </c>
      <c r="G2145" s="232">
        <v>0</v>
      </c>
      <c r="H2145" s="138">
        <f t="shared" si="195"/>
        <v>0</v>
      </c>
      <c r="I2145" s="138">
        <f t="shared" si="196"/>
        <v>0</v>
      </c>
      <c r="J2145" s="47"/>
      <c r="K2145" s="15"/>
    </row>
    <row r="2146" spans="1:11" s="16" customFormat="1" ht="25.5" outlineLevel="3">
      <c r="A2146" s="14"/>
      <c r="B2146" s="35"/>
      <c r="C2146" s="242" t="s">
        <v>143</v>
      </c>
      <c r="D2146" s="230" t="s">
        <v>28</v>
      </c>
      <c r="E2146" s="247">
        <v>1</v>
      </c>
      <c r="F2146" s="232">
        <v>0</v>
      </c>
      <c r="G2146" s="232">
        <v>0</v>
      </c>
      <c r="H2146" s="138">
        <f t="shared" si="195"/>
        <v>0</v>
      </c>
      <c r="I2146" s="138">
        <f t="shared" si="196"/>
        <v>0</v>
      </c>
      <c r="J2146" s="47"/>
      <c r="K2146" s="15"/>
    </row>
    <row r="2147" spans="1:11" s="16" customFormat="1" ht="25.5" outlineLevel="3">
      <c r="A2147" s="14"/>
      <c r="B2147" s="35"/>
      <c r="C2147" s="242" t="s">
        <v>144</v>
      </c>
      <c r="D2147" s="230" t="s">
        <v>28</v>
      </c>
      <c r="E2147" s="247">
        <v>1</v>
      </c>
      <c r="F2147" s="232">
        <v>0</v>
      </c>
      <c r="G2147" s="232">
        <v>0</v>
      </c>
      <c r="H2147" s="138">
        <f t="shared" si="195"/>
        <v>0</v>
      </c>
      <c r="I2147" s="138">
        <f t="shared" si="196"/>
        <v>0</v>
      </c>
      <c r="J2147" s="47"/>
      <c r="K2147" s="15"/>
    </row>
    <row r="2148" spans="1:11" s="16" customFormat="1" ht="25.5" outlineLevel="3">
      <c r="A2148" s="14"/>
      <c r="B2148" s="35"/>
      <c r="C2148" s="242" t="s">
        <v>1123</v>
      </c>
      <c r="D2148" s="230" t="s">
        <v>28</v>
      </c>
      <c r="E2148" s="247">
        <v>1</v>
      </c>
      <c r="F2148" s="232">
        <v>0</v>
      </c>
      <c r="G2148" s="232">
        <v>0</v>
      </c>
      <c r="H2148" s="138">
        <f t="shared" si="195"/>
        <v>0</v>
      </c>
      <c r="I2148" s="138">
        <f t="shared" si="196"/>
        <v>0</v>
      </c>
      <c r="J2148" s="47"/>
      <c r="K2148" s="15"/>
    </row>
    <row r="2149" spans="1:11" s="16" customFormat="1" ht="25.5" outlineLevel="3">
      <c r="A2149" s="14"/>
      <c r="B2149" s="35"/>
      <c r="C2149" s="242" t="s">
        <v>146</v>
      </c>
      <c r="D2149" s="230" t="s">
        <v>28</v>
      </c>
      <c r="E2149" s="247">
        <v>1</v>
      </c>
      <c r="F2149" s="232">
        <v>0</v>
      </c>
      <c r="G2149" s="232">
        <v>0</v>
      </c>
      <c r="H2149" s="138">
        <f t="shared" si="195"/>
        <v>0</v>
      </c>
      <c r="I2149" s="138">
        <f t="shared" si="196"/>
        <v>0</v>
      </c>
      <c r="J2149" s="47"/>
      <c r="K2149" s="15"/>
    </row>
    <row r="2150" spans="1:11" s="16" customFormat="1" ht="25.5" outlineLevel="3">
      <c r="A2150" s="14"/>
      <c r="B2150" s="35"/>
      <c r="C2150" s="242" t="s">
        <v>234</v>
      </c>
      <c r="D2150" s="230" t="s">
        <v>28</v>
      </c>
      <c r="E2150" s="247">
        <v>3</v>
      </c>
      <c r="F2150" s="232">
        <v>0</v>
      </c>
      <c r="G2150" s="232">
        <v>0</v>
      </c>
      <c r="H2150" s="138">
        <f t="shared" si="195"/>
        <v>0</v>
      </c>
      <c r="I2150" s="138">
        <f t="shared" si="196"/>
        <v>0</v>
      </c>
      <c r="J2150" s="47"/>
      <c r="K2150" s="15"/>
    </row>
    <row r="2151" spans="1:11" s="16" customFormat="1" ht="25.5" outlineLevel="3">
      <c r="A2151" s="14"/>
      <c r="B2151" s="35"/>
      <c r="C2151" s="241" t="s">
        <v>148</v>
      </c>
      <c r="D2151" s="315"/>
      <c r="E2151" s="247"/>
      <c r="F2151" s="232">
        <v>0</v>
      </c>
      <c r="G2151" s="232">
        <v>0</v>
      </c>
      <c r="H2151" s="295"/>
      <c r="I2151" s="180"/>
      <c r="J2151" s="47"/>
      <c r="K2151" s="15"/>
    </row>
    <row r="2152" spans="1:11" s="16" customFormat="1" ht="25.5" outlineLevel="3">
      <c r="A2152" s="14"/>
      <c r="B2152" s="35"/>
      <c r="C2152" s="314" t="s">
        <v>149</v>
      </c>
      <c r="D2152" s="230" t="s">
        <v>28</v>
      </c>
      <c r="E2152" s="247">
        <v>6</v>
      </c>
      <c r="F2152" s="232">
        <v>0</v>
      </c>
      <c r="G2152" s="232">
        <v>0</v>
      </c>
      <c r="H2152" s="138">
        <f t="shared" ref="H2152:H2159" si="197">G2152+F2152</f>
        <v>0</v>
      </c>
      <c r="I2152" s="138">
        <f t="shared" ref="I2152:I2159" si="198">H2152*E2152</f>
        <v>0</v>
      </c>
      <c r="J2152" s="47"/>
      <c r="K2152" s="15"/>
    </row>
    <row r="2153" spans="1:11" s="16" customFormat="1" ht="25.5" outlineLevel="3">
      <c r="A2153" s="14"/>
      <c r="B2153" s="35"/>
      <c r="C2153" s="314" t="s">
        <v>1079</v>
      </c>
      <c r="D2153" s="230" t="s">
        <v>28</v>
      </c>
      <c r="E2153" s="247">
        <v>7</v>
      </c>
      <c r="F2153" s="232">
        <v>0</v>
      </c>
      <c r="G2153" s="232">
        <v>0</v>
      </c>
      <c r="H2153" s="138">
        <f t="shared" si="197"/>
        <v>0</v>
      </c>
      <c r="I2153" s="138">
        <f t="shared" si="198"/>
        <v>0</v>
      </c>
      <c r="J2153" s="47"/>
      <c r="K2153" s="15"/>
    </row>
    <row r="2154" spans="1:11" s="16" customFormat="1" ht="25.5" outlineLevel="3">
      <c r="A2154" s="14"/>
      <c r="B2154" s="35"/>
      <c r="C2154" s="314" t="s">
        <v>151</v>
      </c>
      <c r="D2154" s="230" t="s">
        <v>28</v>
      </c>
      <c r="E2154" s="247">
        <v>3</v>
      </c>
      <c r="F2154" s="232">
        <v>0</v>
      </c>
      <c r="G2154" s="232">
        <v>0</v>
      </c>
      <c r="H2154" s="138">
        <f t="shared" si="197"/>
        <v>0</v>
      </c>
      <c r="I2154" s="138">
        <f t="shared" si="198"/>
        <v>0</v>
      </c>
      <c r="J2154" s="47"/>
      <c r="K2154" s="15"/>
    </row>
    <row r="2155" spans="1:11" s="16" customFormat="1" ht="25.5" outlineLevel="3">
      <c r="A2155" s="14"/>
      <c r="B2155" s="35"/>
      <c r="C2155" s="314" t="s">
        <v>153</v>
      </c>
      <c r="D2155" s="230" t="s">
        <v>28</v>
      </c>
      <c r="E2155" s="247">
        <v>1</v>
      </c>
      <c r="F2155" s="232">
        <v>0</v>
      </c>
      <c r="G2155" s="232">
        <v>0</v>
      </c>
      <c r="H2155" s="138">
        <f t="shared" si="197"/>
        <v>0</v>
      </c>
      <c r="I2155" s="138">
        <f t="shared" si="198"/>
        <v>0</v>
      </c>
      <c r="J2155" s="47"/>
      <c r="K2155" s="15"/>
    </row>
    <row r="2156" spans="1:11" s="16" customFormat="1" ht="25.5" outlineLevel="3">
      <c r="A2156" s="14"/>
      <c r="B2156" s="35"/>
      <c r="C2156" s="314" t="s">
        <v>203</v>
      </c>
      <c r="D2156" s="230" t="s">
        <v>28</v>
      </c>
      <c r="E2156" s="247">
        <v>1</v>
      </c>
      <c r="F2156" s="232">
        <v>0</v>
      </c>
      <c r="G2156" s="232">
        <v>0</v>
      </c>
      <c r="H2156" s="138">
        <f t="shared" si="197"/>
        <v>0</v>
      </c>
      <c r="I2156" s="138">
        <f t="shared" si="198"/>
        <v>0</v>
      </c>
      <c r="J2156" s="47"/>
      <c r="K2156" s="15"/>
    </row>
    <row r="2157" spans="1:11" s="16" customFormat="1" ht="25.5" outlineLevel="3">
      <c r="A2157" s="14"/>
      <c r="B2157" s="35"/>
      <c r="C2157" s="242" t="s">
        <v>161</v>
      </c>
      <c r="D2157" s="230" t="s">
        <v>122</v>
      </c>
      <c r="E2157" s="247">
        <v>1</v>
      </c>
      <c r="F2157" s="232">
        <v>0</v>
      </c>
      <c r="G2157" s="232">
        <v>0</v>
      </c>
      <c r="H2157" s="138">
        <f t="shared" si="197"/>
        <v>0</v>
      </c>
      <c r="I2157" s="138">
        <f t="shared" si="198"/>
        <v>0</v>
      </c>
      <c r="J2157" s="47"/>
      <c r="K2157" s="15"/>
    </row>
    <row r="2158" spans="1:11" s="16" customFormat="1" ht="25.5" outlineLevel="3">
      <c r="A2158" s="14"/>
      <c r="B2158" s="35"/>
      <c r="C2158" s="229" t="s">
        <v>139</v>
      </c>
      <c r="D2158" s="230" t="s">
        <v>38</v>
      </c>
      <c r="E2158" s="247">
        <v>1</v>
      </c>
      <c r="F2158" s="232">
        <v>0</v>
      </c>
      <c r="G2158" s="232">
        <v>0</v>
      </c>
      <c r="H2158" s="138">
        <f t="shared" si="197"/>
        <v>0</v>
      </c>
      <c r="I2158" s="138">
        <f t="shared" si="198"/>
        <v>0</v>
      </c>
      <c r="J2158" s="47"/>
      <c r="K2158" s="15"/>
    </row>
    <row r="2159" spans="1:11" s="16" customFormat="1" ht="25.5" outlineLevel="3">
      <c r="A2159" s="14"/>
      <c r="B2159" s="35">
        <f>MAXA(B$5:B2158)+1</f>
        <v>867</v>
      </c>
      <c r="C2159" s="242" t="s">
        <v>1124</v>
      </c>
      <c r="D2159" s="230" t="s">
        <v>38</v>
      </c>
      <c r="E2159" s="247">
        <v>1</v>
      </c>
      <c r="F2159" s="232">
        <v>34366454</v>
      </c>
      <c r="G2159" s="232">
        <v>1563188</v>
      </c>
      <c r="H2159" s="138">
        <f t="shared" si="197"/>
        <v>35929642</v>
      </c>
      <c r="I2159" s="138">
        <f t="shared" si="198"/>
        <v>35929642</v>
      </c>
      <c r="J2159" s="47"/>
      <c r="K2159" s="15"/>
    </row>
    <row r="2160" spans="1:11" s="16" customFormat="1" ht="25.5" outlineLevel="3">
      <c r="A2160" s="14"/>
      <c r="B2160" s="35"/>
      <c r="C2160" s="241" t="s">
        <v>141</v>
      </c>
      <c r="D2160" s="230"/>
      <c r="E2160" s="247"/>
      <c r="F2160" s="232">
        <v>0</v>
      </c>
      <c r="G2160" s="232">
        <v>0</v>
      </c>
      <c r="H2160" s="295"/>
      <c r="I2160" s="180"/>
      <c r="J2160" s="47"/>
      <c r="K2160" s="15"/>
    </row>
    <row r="2161" spans="1:11" s="16" customFormat="1" ht="25.5" outlineLevel="3">
      <c r="A2161" s="14"/>
      <c r="B2161" s="35"/>
      <c r="C2161" s="314" t="s">
        <v>200</v>
      </c>
      <c r="D2161" s="230" t="s">
        <v>28</v>
      </c>
      <c r="E2161" s="247">
        <v>1</v>
      </c>
      <c r="F2161" s="232">
        <v>0</v>
      </c>
      <c r="G2161" s="232">
        <v>0</v>
      </c>
      <c r="H2161" s="138">
        <f t="shared" ref="H2161:H2166" si="199">G2161+F2161</f>
        <v>0</v>
      </c>
      <c r="I2161" s="138">
        <f t="shared" ref="I2161:I2166" si="200">H2161*E2161</f>
        <v>0</v>
      </c>
      <c r="J2161" s="47"/>
      <c r="K2161" s="15"/>
    </row>
    <row r="2162" spans="1:11" s="16" customFormat="1" ht="25.5" outlineLevel="3">
      <c r="A2162" s="14"/>
      <c r="B2162" s="35"/>
      <c r="C2162" s="242" t="s">
        <v>94</v>
      </c>
      <c r="D2162" s="230" t="s">
        <v>28</v>
      </c>
      <c r="E2162" s="247">
        <v>3</v>
      </c>
      <c r="F2162" s="232">
        <v>0</v>
      </c>
      <c r="G2162" s="232">
        <v>0</v>
      </c>
      <c r="H2162" s="138">
        <f t="shared" si="199"/>
        <v>0</v>
      </c>
      <c r="I2162" s="138">
        <f t="shared" si="200"/>
        <v>0</v>
      </c>
      <c r="J2162" s="47"/>
      <c r="K2162" s="15"/>
    </row>
    <row r="2163" spans="1:11" s="16" customFormat="1" ht="25.5" outlineLevel="3">
      <c r="A2163" s="14"/>
      <c r="B2163" s="35"/>
      <c r="C2163" s="242" t="s">
        <v>95</v>
      </c>
      <c r="D2163" s="230" t="s">
        <v>28</v>
      </c>
      <c r="E2163" s="247">
        <v>3</v>
      </c>
      <c r="F2163" s="232">
        <v>0</v>
      </c>
      <c r="G2163" s="232">
        <v>0</v>
      </c>
      <c r="H2163" s="138">
        <f t="shared" si="199"/>
        <v>0</v>
      </c>
      <c r="I2163" s="138">
        <f t="shared" si="200"/>
        <v>0</v>
      </c>
      <c r="J2163" s="47"/>
      <c r="K2163" s="15"/>
    </row>
    <row r="2164" spans="1:11" s="16" customFormat="1" ht="25.5" outlineLevel="3">
      <c r="A2164" s="14"/>
      <c r="B2164" s="35"/>
      <c r="C2164" s="242" t="s">
        <v>96</v>
      </c>
      <c r="D2164" s="230" t="s">
        <v>28</v>
      </c>
      <c r="E2164" s="247">
        <v>1</v>
      </c>
      <c r="F2164" s="232">
        <v>0</v>
      </c>
      <c r="G2164" s="232">
        <v>0</v>
      </c>
      <c r="H2164" s="138">
        <f t="shared" si="199"/>
        <v>0</v>
      </c>
      <c r="I2164" s="138">
        <f t="shared" si="200"/>
        <v>0</v>
      </c>
      <c r="J2164" s="47"/>
      <c r="K2164" s="15"/>
    </row>
    <row r="2165" spans="1:11" s="16" customFormat="1" ht="25.5" outlineLevel="3">
      <c r="A2165" s="14"/>
      <c r="B2165" s="35"/>
      <c r="C2165" s="242" t="s">
        <v>97</v>
      </c>
      <c r="D2165" s="230" t="s">
        <v>28</v>
      </c>
      <c r="E2165" s="247">
        <v>1</v>
      </c>
      <c r="F2165" s="232">
        <v>0</v>
      </c>
      <c r="G2165" s="232">
        <v>0</v>
      </c>
      <c r="H2165" s="138">
        <f t="shared" si="199"/>
        <v>0</v>
      </c>
      <c r="I2165" s="138">
        <f t="shared" si="200"/>
        <v>0</v>
      </c>
      <c r="J2165" s="47"/>
      <c r="K2165" s="15"/>
    </row>
    <row r="2166" spans="1:11" s="16" customFormat="1" ht="25.5" outlineLevel="3">
      <c r="A2166" s="14"/>
      <c r="B2166" s="35"/>
      <c r="C2166" s="242" t="s">
        <v>98</v>
      </c>
      <c r="D2166" s="230" t="s">
        <v>28</v>
      </c>
      <c r="E2166" s="247">
        <v>1</v>
      </c>
      <c r="F2166" s="232">
        <v>0</v>
      </c>
      <c r="G2166" s="232">
        <v>0</v>
      </c>
      <c r="H2166" s="138">
        <f t="shared" si="199"/>
        <v>0</v>
      </c>
      <c r="I2166" s="138">
        <f t="shared" si="200"/>
        <v>0</v>
      </c>
      <c r="J2166" s="47"/>
      <c r="K2166" s="15"/>
    </row>
    <row r="2167" spans="1:11" s="16" customFormat="1" ht="25.5" outlineLevel="3">
      <c r="A2167" s="14"/>
      <c r="B2167" s="35"/>
      <c r="C2167" s="241" t="s">
        <v>148</v>
      </c>
      <c r="D2167" s="315"/>
      <c r="E2167" s="247"/>
      <c r="F2167" s="232">
        <v>0</v>
      </c>
      <c r="G2167" s="232">
        <v>0</v>
      </c>
      <c r="H2167" s="295"/>
      <c r="I2167" s="180"/>
      <c r="J2167" s="47"/>
      <c r="K2167" s="15"/>
    </row>
    <row r="2168" spans="1:11" s="16" customFormat="1" ht="25.5" outlineLevel="3">
      <c r="A2168" s="14"/>
      <c r="B2168" s="35"/>
      <c r="C2168" s="314" t="s">
        <v>158</v>
      </c>
      <c r="D2168" s="230" t="s">
        <v>28</v>
      </c>
      <c r="E2168" s="247">
        <v>1</v>
      </c>
      <c r="F2168" s="232">
        <v>0</v>
      </c>
      <c r="G2168" s="232">
        <v>0</v>
      </c>
      <c r="H2168" s="138">
        <f t="shared" ref="H2168:H2174" si="201">G2168+F2168</f>
        <v>0</v>
      </c>
      <c r="I2168" s="138">
        <f t="shared" ref="I2168:I2174" si="202">H2168*E2168</f>
        <v>0</v>
      </c>
      <c r="J2168" s="47"/>
      <c r="K2168" s="15"/>
    </row>
    <row r="2169" spans="1:11" s="16" customFormat="1" ht="25.5" outlineLevel="3">
      <c r="A2169" s="14"/>
      <c r="B2169" s="35"/>
      <c r="C2169" s="314" t="s">
        <v>150</v>
      </c>
      <c r="D2169" s="230" t="s">
        <v>28</v>
      </c>
      <c r="E2169" s="247">
        <v>1</v>
      </c>
      <c r="F2169" s="232">
        <v>0</v>
      </c>
      <c r="G2169" s="232">
        <v>0</v>
      </c>
      <c r="H2169" s="138">
        <f t="shared" si="201"/>
        <v>0</v>
      </c>
      <c r="I2169" s="138">
        <f t="shared" si="202"/>
        <v>0</v>
      </c>
      <c r="J2169" s="47"/>
      <c r="K2169" s="15"/>
    </row>
    <row r="2170" spans="1:11" s="16" customFormat="1" ht="25.5" outlineLevel="3">
      <c r="A2170" s="14"/>
      <c r="B2170" s="35"/>
      <c r="C2170" s="314" t="s">
        <v>188</v>
      </c>
      <c r="D2170" s="230" t="s">
        <v>28</v>
      </c>
      <c r="E2170" s="247">
        <v>4</v>
      </c>
      <c r="F2170" s="232">
        <v>0</v>
      </c>
      <c r="G2170" s="232">
        <v>0</v>
      </c>
      <c r="H2170" s="138">
        <f t="shared" si="201"/>
        <v>0</v>
      </c>
      <c r="I2170" s="138">
        <f t="shared" si="202"/>
        <v>0</v>
      </c>
      <c r="J2170" s="47"/>
      <c r="K2170" s="15"/>
    </row>
    <row r="2171" spans="1:11" s="16" customFormat="1" ht="25.5" outlineLevel="3">
      <c r="A2171" s="14"/>
      <c r="B2171" s="35"/>
      <c r="C2171" s="314" t="s">
        <v>272</v>
      </c>
      <c r="D2171" s="230" t="s">
        <v>28</v>
      </c>
      <c r="E2171" s="247">
        <v>1</v>
      </c>
      <c r="F2171" s="232">
        <v>0</v>
      </c>
      <c r="G2171" s="232">
        <v>0</v>
      </c>
      <c r="H2171" s="138">
        <f t="shared" si="201"/>
        <v>0</v>
      </c>
      <c r="I2171" s="138">
        <f t="shared" si="202"/>
        <v>0</v>
      </c>
      <c r="J2171" s="47"/>
      <c r="K2171" s="15"/>
    </row>
    <row r="2172" spans="1:11" s="16" customFormat="1" ht="25.5" outlineLevel="3">
      <c r="A2172" s="14"/>
      <c r="B2172" s="35"/>
      <c r="C2172" s="314" t="s">
        <v>165</v>
      </c>
      <c r="D2172" s="230" t="s">
        <v>28</v>
      </c>
      <c r="E2172" s="247">
        <v>4</v>
      </c>
      <c r="F2172" s="232">
        <v>0</v>
      </c>
      <c r="G2172" s="232">
        <v>0</v>
      </c>
      <c r="H2172" s="138">
        <f t="shared" si="201"/>
        <v>0</v>
      </c>
      <c r="I2172" s="138">
        <f t="shared" si="202"/>
        <v>0</v>
      </c>
      <c r="J2172" s="47"/>
      <c r="K2172" s="15"/>
    </row>
    <row r="2173" spans="1:11" s="16" customFormat="1" ht="25.5" outlineLevel="3">
      <c r="A2173" s="14"/>
      <c r="B2173" s="35"/>
      <c r="C2173" s="314" t="s">
        <v>203</v>
      </c>
      <c r="D2173" s="230" t="s">
        <v>28</v>
      </c>
      <c r="E2173" s="247">
        <v>1</v>
      </c>
      <c r="F2173" s="232">
        <v>0</v>
      </c>
      <c r="G2173" s="232">
        <v>0</v>
      </c>
      <c r="H2173" s="138">
        <f t="shared" si="201"/>
        <v>0</v>
      </c>
      <c r="I2173" s="138">
        <f t="shared" si="202"/>
        <v>0</v>
      </c>
      <c r="J2173" s="47"/>
      <c r="K2173" s="15"/>
    </row>
    <row r="2174" spans="1:11" s="16" customFormat="1" ht="25.5" outlineLevel="3">
      <c r="A2174" s="14"/>
      <c r="B2174" s="35"/>
      <c r="C2174" s="242" t="s">
        <v>161</v>
      </c>
      <c r="D2174" s="230" t="s">
        <v>162</v>
      </c>
      <c r="E2174" s="247">
        <v>1</v>
      </c>
      <c r="F2174" s="232">
        <v>0</v>
      </c>
      <c r="G2174" s="232">
        <v>0</v>
      </c>
      <c r="H2174" s="138">
        <f t="shared" si="201"/>
        <v>0</v>
      </c>
      <c r="I2174" s="138">
        <f t="shared" si="202"/>
        <v>0</v>
      </c>
      <c r="J2174" s="47"/>
      <c r="K2174" s="15"/>
    </row>
    <row r="2175" spans="1:11" s="16" customFormat="1" ht="25.5" outlineLevel="3">
      <c r="A2175" s="14"/>
      <c r="B2175" s="35"/>
      <c r="C2175" s="316" t="s">
        <v>1125</v>
      </c>
      <c r="D2175" s="230"/>
      <c r="E2175" s="247"/>
      <c r="F2175" s="232">
        <v>0</v>
      </c>
      <c r="G2175" s="232">
        <v>0</v>
      </c>
      <c r="H2175" s="295"/>
      <c r="I2175" s="180"/>
      <c r="J2175" s="47"/>
      <c r="K2175" s="15"/>
    </row>
    <row r="2176" spans="1:11" s="16" customFormat="1" ht="25.5" outlineLevel="3">
      <c r="A2176" s="14"/>
      <c r="B2176" s="35"/>
      <c r="C2176" s="314" t="s">
        <v>1126</v>
      </c>
      <c r="D2176" s="230" t="s">
        <v>28</v>
      </c>
      <c r="E2176" s="247">
        <v>3</v>
      </c>
      <c r="F2176" s="232">
        <v>0</v>
      </c>
      <c r="G2176" s="232">
        <v>0</v>
      </c>
      <c r="H2176" s="138">
        <f t="shared" ref="H2176:H2181" si="203">G2176+F2176</f>
        <v>0</v>
      </c>
      <c r="I2176" s="138">
        <f t="shared" ref="I2176:I2181" si="204">H2176*E2176</f>
        <v>0</v>
      </c>
      <c r="J2176" s="47"/>
      <c r="K2176" s="15"/>
    </row>
    <row r="2177" spans="1:11" s="16" customFormat="1" ht="25.5" outlineLevel="3">
      <c r="A2177" s="14"/>
      <c r="B2177" s="35"/>
      <c r="C2177" s="242" t="s">
        <v>266</v>
      </c>
      <c r="D2177" s="230" t="s">
        <v>28</v>
      </c>
      <c r="E2177" s="247">
        <v>3</v>
      </c>
      <c r="F2177" s="232">
        <v>0</v>
      </c>
      <c r="G2177" s="232">
        <v>0</v>
      </c>
      <c r="H2177" s="138">
        <f t="shared" si="203"/>
        <v>0</v>
      </c>
      <c r="I2177" s="138">
        <f t="shared" si="204"/>
        <v>0</v>
      </c>
      <c r="J2177" s="47"/>
      <c r="K2177" s="15"/>
    </row>
    <row r="2178" spans="1:11" s="16" customFormat="1" ht="25.5" outlineLevel="3">
      <c r="A2178" s="14"/>
      <c r="B2178" s="35"/>
      <c r="C2178" s="242" t="s">
        <v>1127</v>
      </c>
      <c r="D2178" s="230" t="s">
        <v>28</v>
      </c>
      <c r="E2178" s="247">
        <v>1</v>
      </c>
      <c r="F2178" s="232">
        <v>0</v>
      </c>
      <c r="G2178" s="232">
        <v>0</v>
      </c>
      <c r="H2178" s="138">
        <f t="shared" si="203"/>
        <v>0</v>
      </c>
      <c r="I2178" s="138">
        <f t="shared" si="204"/>
        <v>0</v>
      </c>
      <c r="J2178" s="47"/>
      <c r="K2178" s="15"/>
    </row>
    <row r="2179" spans="1:11" s="16" customFormat="1" ht="25.5" outlineLevel="3">
      <c r="A2179" s="14"/>
      <c r="B2179" s="35"/>
      <c r="C2179" s="274" t="s">
        <v>1128</v>
      </c>
      <c r="D2179" s="230" t="s">
        <v>38</v>
      </c>
      <c r="E2179" s="247">
        <v>1</v>
      </c>
      <c r="F2179" s="232">
        <v>0</v>
      </c>
      <c r="G2179" s="232">
        <v>0</v>
      </c>
      <c r="H2179" s="138">
        <f t="shared" si="203"/>
        <v>0</v>
      </c>
      <c r="I2179" s="138">
        <f t="shared" si="204"/>
        <v>0</v>
      </c>
      <c r="J2179" s="47"/>
      <c r="K2179" s="15"/>
    </row>
    <row r="2180" spans="1:11" s="16" customFormat="1" ht="25.5" outlineLevel="3">
      <c r="A2180" s="14"/>
      <c r="B2180" s="35"/>
      <c r="C2180" s="229" t="s">
        <v>139</v>
      </c>
      <c r="D2180" s="230" t="s">
        <v>38</v>
      </c>
      <c r="E2180" s="247">
        <v>1</v>
      </c>
      <c r="F2180" s="232">
        <v>0</v>
      </c>
      <c r="G2180" s="232">
        <v>0</v>
      </c>
      <c r="H2180" s="138">
        <f t="shared" si="203"/>
        <v>0</v>
      </c>
      <c r="I2180" s="138">
        <f t="shared" si="204"/>
        <v>0</v>
      </c>
      <c r="J2180" s="47"/>
      <c r="K2180" s="15"/>
    </row>
    <row r="2181" spans="1:11" s="16" customFormat="1" ht="25.5" outlineLevel="3">
      <c r="A2181" s="14"/>
      <c r="B2181" s="35">
        <f>MAXA(B$5:B2180)+1</f>
        <v>868</v>
      </c>
      <c r="C2181" s="242" t="s">
        <v>1129</v>
      </c>
      <c r="D2181" s="230" t="s">
        <v>38</v>
      </c>
      <c r="E2181" s="247">
        <v>1</v>
      </c>
      <c r="F2181" s="232">
        <v>86474103</v>
      </c>
      <c r="G2181" s="232">
        <v>1563188</v>
      </c>
      <c r="H2181" s="138">
        <f t="shared" si="203"/>
        <v>88037291</v>
      </c>
      <c r="I2181" s="138">
        <f t="shared" si="204"/>
        <v>88037291</v>
      </c>
      <c r="J2181" s="47"/>
      <c r="K2181" s="15"/>
    </row>
    <row r="2182" spans="1:11" s="16" customFormat="1" ht="25.5" outlineLevel="3">
      <c r="A2182" s="14"/>
      <c r="B2182" s="35"/>
      <c r="C2182" s="241" t="s">
        <v>141</v>
      </c>
      <c r="D2182" s="230"/>
      <c r="E2182" s="247"/>
      <c r="F2182" s="232">
        <v>0</v>
      </c>
      <c r="G2182" s="232">
        <v>0</v>
      </c>
      <c r="H2182" s="295"/>
      <c r="I2182" s="180"/>
      <c r="J2182" s="47"/>
      <c r="K2182" s="15"/>
    </row>
    <row r="2183" spans="1:11" s="16" customFormat="1" ht="25.5" outlineLevel="3">
      <c r="A2183" s="14"/>
      <c r="B2183" s="35"/>
      <c r="C2183" s="314" t="s">
        <v>159</v>
      </c>
      <c r="D2183" s="230" t="s">
        <v>28</v>
      </c>
      <c r="E2183" s="247">
        <v>1</v>
      </c>
      <c r="F2183" s="232">
        <v>0</v>
      </c>
      <c r="G2183" s="232">
        <v>0</v>
      </c>
      <c r="H2183" s="138">
        <f t="shared" ref="H2183:H2188" si="205">G2183+F2183</f>
        <v>0</v>
      </c>
      <c r="I2183" s="138">
        <f t="shared" ref="I2183:I2188" si="206">H2183*E2183</f>
        <v>0</v>
      </c>
      <c r="J2183" s="47"/>
      <c r="K2183" s="15"/>
    </row>
    <row r="2184" spans="1:11" s="16" customFormat="1" ht="25.5" outlineLevel="3">
      <c r="A2184" s="14"/>
      <c r="B2184" s="35"/>
      <c r="C2184" s="242" t="s">
        <v>94</v>
      </c>
      <c r="D2184" s="230" t="s">
        <v>28</v>
      </c>
      <c r="E2184" s="247">
        <v>3</v>
      </c>
      <c r="F2184" s="232">
        <v>0</v>
      </c>
      <c r="G2184" s="232">
        <v>0</v>
      </c>
      <c r="H2184" s="138">
        <f t="shared" si="205"/>
        <v>0</v>
      </c>
      <c r="I2184" s="138">
        <f t="shared" si="206"/>
        <v>0</v>
      </c>
      <c r="J2184" s="47"/>
      <c r="K2184" s="15"/>
    </row>
    <row r="2185" spans="1:11" s="16" customFormat="1" ht="25.5" outlineLevel="3">
      <c r="A2185" s="14"/>
      <c r="B2185" s="35"/>
      <c r="C2185" s="242" t="s">
        <v>95</v>
      </c>
      <c r="D2185" s="230" t="s">
        <v>28</v>
      </c>
      <c r="E2185" s="247">
        <v>3</v>
      </c>
      <c r="F2185" s="232">
        <v>0</v>
      </c>
      <c r="G2185" s="232">
        <v>0</v>
      </c>
      <c r="H2185" s="138">
        <f t="shared" si="205"/>
        <v>0</v>
      </c>
      <c r="I2185" s="138">
        <f t="shared" si="206"/>
        <v>0</v>
      </c>
      <c r="J2185" s="47"/>
      <c r="K2185" s="15"/>
    </row>
    <row r="2186" spans="1:11" s="16" customFormat="1" ht="25.5" outlineLevel="3">
      <c r="A2186" s="14"/>
      <c r="B2186" s="35"/>
      <c r="C2186" s="242" t="s">
        <v>96</v>
      </c>
      <c r="D2186" s="230" t="s">
        <v>28</v>
      </c>
      <c r="E2186" s="247">
        <v>1</v>
      </c>
      <c r="F2186" s="232">
        <v>0</v>
      </c>
      <c r="G2186" s="232">
        <v>0</v>
      </c>
      <c r="H2186" s="138">
        <f t="shared" si="205"/>
        <v>0</v>
      </c>
      <c r="I2186" s="138">
        <f t="shared" si="206"/>
        <v>0</v>
      </c>
      <c r="J2186" s="47"/>
      <c r="K2186" s="15"/>
    </row>
    <row r="2187" spans="1:11" s="16" customFormat="1" ht="25.5" outlineLevel="3">
      <c r="A2187" s="14"/>
      <c r="B2187" s="35"/>
      <c r="C2187" s="242" t="s">
        <v>97</v>
      </c>
      <c r="D2187" s="230" t="s">
        <v>28</v>
      </c>
      <c r="E2187" s="247">
        <v>1</v>
      </c>
      <c r="F2187" s="232">
        <v>0</v>
      </c>
      <c r="G2187" s="232">
        <v>0</v>
      </c>
      <c r="H2187" s="138">
        <f t="shared" si="205"/>
        <v>0</v>
      </c>
      <c r="I2187" s="138">
        <f t="shared" si="206"/>
        <v>0</v>
      </c>
      <c r="J2187" s="47"/>
      <c r="K2187" s="15"/>
    </row>
    <row r="2188" spans="1:11" s="16" customFormat="1" ht="25.5" outlineLevel="3">
      <c r="A2188" s="14"/>
      <c r="B2188" s="35"/>
      <c r="C2188" s="242" t="s">
        <v>98</v>
      </c>
      <c r="D2188" s="230" t="s">
        <v>28</v>
      </c>
      <c r="E2188" s="247">
        <v>1</v>
      </c>
      <c r="F2188" s="232">
        <v>0</v>
      </c>
      <c r="G2188" s="232">
        <v>0</v>
      </c>
      <c r="H2188" s="138">
        <f t="shared" si="205"/>
        <v>0</v>
      </c>
      <c r="I2188" s="138">
        <f t="shared" si="206"/>
        <v>0</v>
      </c>
      <c r="J2188" s="47"/>
      <c r="K2188" s="15"/>
    </row>
    <row r="2189" spans="1:11" s="16" customFormat="1" ht="25.5" outlineLevel="3">
      <c r="A2189" s="14"/>
      <c r="B2189" s="35"/>
      <c r="C2189" s="241" t="s">
        <v>148</v>
      </c>
      <c r="D2189" s="315"/>
      <c r="E2189" s="247"/>
      <c r="F2189" s="232">
        <v>0</v>
      </c>
      <c r="G2189" s="232">
        <v>0</v>
      </c>
      <c r="H2189" s="295"/>
      <c r="I2189" s="180"/>
      <c r="J2189" s="47"/>
      <c r="K2189" s="15"/>
    </row>
    <row r="2190" spans="1:11" s="16" customFormat="1" ht="25.5" outlineLevel="3">
      <c r="A2190" s="14"/>
      <c r="B2190" s="35"/>
      <c r="C2190" s="314" t="s">
        <v>272</v>
      </c>
      <c r="D2190" s="230" t="s">
        <v>28</v>
      </c>
      <c r="E2190" s="247">
        <v>1</v>
      </c>
      <c r="F2190" s="232">
        <v>0</v>
      </c>
      <c r="G2190" s="232">
        <v>0</v>
      </c>
      <c r="H2190" s="138">
        <f t="shared" ref="H2190:H2195" si="207">G2190+F2190</f>
        <v>0</v>
      </c>
      <c r="I2190" s="138">
        <f t="shared" ref="I2190:I2195" si="208">H2190*E2190</f>
        <v>0</v>
      </c>
      <c r="J2190" s="47"/>
      <c r="K2190" s="15"/>
    </row>
    <row r="2191" spans="1:11" s="16" customFormat="1" ht="25.5" outlineLevel="3">
      <c r="A2191" s="14"/>
      <c r="B2191" s="35"/>
      <c r="C2191" s="314" t="s">
        <v>1130</v>
      </c>
      <c r="D2191" s="230" t="s">
        <v>28</v>
      </c>
      <c r="E2191" s="247">
        <v>9</v>
      </c>
      <c r="F2191" s="232">
        <v>0</v>
      </c>
      <c r="G2191" s="232">
        <v>0</v>
      </c>
      <c r="H2191" s="138">
        <f t="shared" si="207"/>
        <v>0</v>
      </c>
      <c r="I2191" s="138">
        <f t="shared" si="208"/>
        <v>0</v>
      </c>
      <c r="J2191" s="47"/>
      <c r="K2191" s="15"/>
    </row>
    <row r="2192" spans="1:11" s="16" customFormat="1" ht="25.5" outlineLevel="3">
      <c r="A2192" s="14"/>
      <c r="B2192" s="35"/>
      <c r="C2192" s="314" t="s">
        <v>150</v>
      </c>
      <c r="D2192" s="230" t="s">
        <v>28</v>
      </c>
      <c r="E2192" s="247">
        <v>1</v>
      </c>
      <c r="F2192" s="232">
        <v>0</v>
      </c>
      <c r="G2192" s="232">
        <v>0</v>
      </c>
      <c r="H2192" s="138">
        <f t="shared" si="207"/>
        <v>0</v>
      </c>
      <c r="I2192" s="138">
        <f t="shared" si="208"/>
        <v>0</v>
      </c>
      <c r="J2192" s="47"/>
      <c r="K2192" s="15"/>
    </row>
    <row r="2193" spans="1:11" s="16" customFormat="1" ht="25.5" outlineLevel="3">
      <c r="A2193" s="14"/>
      <c r="B2193" s="35"/>
      <c r="C2193" s="314" t="s">
        <v>203</v>
      </c>
      <c r="D2193" s="230" t="s">
        <v>28</v>
      </c>
      <c r="E2193" s="247">
        <v>1</v>
      </c>
      <c r="F2193" s="232">
        <v>0</v>
      </c>
      <c r="G2193" s="232">
        <v>0</v>
      </c>
      <c r="H2193" s="138">
        <f t="shared" si="207"/>
        <v>0</v>
      </c>
      <c r="I2193" s="138">
        <f t="shared" si="208"/>
        <v>0</v>
      </c>
      <c r="J2193" s="47"/>
      <c r="K2193" s="15"/>
    </row>
    <row r="2194" spans="1:11" s="16" customFormat="1" ht="25.5" outlineLevel="3">
      <c r="A2194" s="14"/>
      <c r="B2194" s="35"/>
      <c r="C2194" s="242" t="s">
        <v>161</v>
      </c>
      <c r="D2194" s="230" t="s">
        <v>122</v>
      </c>
      <c r="E2194" s="247">
        <v>1</v>
      </c>
      <c r="F2194" s="232">
        <v>0</v>
      </c>
      <c r="G2194" s="232">
        <v>0</v>
      </c>
      <c r="H2194" s="138">
        <f t="shared" si="207"/>
        <v>0</v>
      </c>
      <c r="I2194" s="138">
        <f t="shared" si="208"/>
        <v>0</v>
      </c>
      <c r="J2194" s="47"/>
      <c r="K2194" s="15"/>
    </row>
    <row r="2195" spans="1:11" s="16" customFormat="1" ht="25.5" outlineLevel="3">
      <c r="A2195" s="14"/>
      <c r="B2195" s="35"/>
      <c r="C2195" s="229" t="s">
        <v>166</v>
      </c>
      <c r="D2195" s="230" t="s">
        <v>28</v>
      </c>
      <c r="E2195" s="247">
        <v>2</v>
      </c>
      <c r="F2195" s="232">
        <v>0</v>
      </c>
      <c r="G2195" s="232">
        <v>0</v>
      </c>
      <c r="H2195" s="138">
        <f t="shared" si="207"/>
        <v>0</v>
      </c>
      <c r="I2195" s="138">
        <f t="shared" si="208"/>
        <v>0</v>
      </c>
      <c r="J2195" s="47"/>
      <c r="K2195" s="15"/>
    </row>
    <row r="2196" spans="1:11" s="16" customFormat="1" ht="25.5" outlineLevel="3">
      <c r="A2196" s="14"/>
      <c r="B2196" s="35"/>
      <c r="C2196" s="316" t="s">
        <v>1131</v>
      </c>
      <c r="D2196" s="230"/>
      <c r="E2196" s="247"/>
      <c r="F2196" s="232">
        <v>0</v>
      </c>
      <c r="G2196" s="232">
        <v>0</v>
      </c>
      <c r="H2196" s="295"/>
      <c r="I2196" s="180"/>
      <c r="J2196" s="47"/>
      <c r="K2196" s="15"/>
    </row>
    <row r="2197" spans="1:11" s="16" customFormat="1" ht="25.5" outlineLevel="3">
      <c r="A2197" s="14"/>
      <c r="B2197" s="35"/>
      <c r="C2197" s="314" t="s">
        <v>265</v>
      </c>
      <c r="D2197" s="230" t="s">
        <v>28</v>
      </c>
      <c r="E2197" s="247">
        <v>2</v>
      </c>
      <c r="F2197" s="232">
        <v>0</v>
      </c>
      <c r="G2197" s="232">
        <v>0</v>
      </c>
      <c r="H2197" s="138">
        <f>G2197+F2197</f>
        <v>0</v>
      </c>
      <c r="I2197" s="138">
        <f>H2197*E2197</f>
        <v>0</v>
      </c>
      <c r="J2197" s="47"/>
      <c r="K2197" s="15"/>
    </row>
    <row r="2198" spans="1:11" s="16" customFormat="1" ht="25.5" outlineLevel="3">
      <c r="A2198" s="14"/>
      <c r="B2198" s="35"/>
      <c r="C2198" s="242" t="s">
        <v>266</v>
      </c>
      <c r="D2198" s="230" t="s">
        <v>28</v>
      </c>
      <c r="E2198" s="247">
        <v>2</v>
      </c>
      <c r="F2198" s="232">
        <v>0</v>
      </c>
      <c r="G2198" s="232">
        <v>0</v>
      </c>
      <c r="H2198" s="138">
        <f>G2198+F2198</f>
        <v>0</v>
      </c>
      <c r="I2198" s="138">
        <f>H2198*E2198</f>
        <v>0</v>
      </c>
      <c r="J2198" s="47"/>
      <c r="K2198" s="15"/>
    </row>
    <row r="2199" spans="1:11" s="16" customFormat="1" ht="25.5" outlineLevel="3">
      <c r="A2199" s="14"/>
      <c r="B2199" s="35"/>
      <c r="C2199" s="242" t="s">
        <v>1132</v>
      </c>
      <c r="D2199" s="230" t="s">
        <v>28</v>
      </c>
      <c r="E2199" s="247">
        <v>2</v>
      </c>
      <c r="F2199" s="232">
        <v>0</v>
      </c>
      <c r="G2199" s="232">
        <v>0</v>
      </c>
      <c r="H2199" s="138">
        <f>G2199+F2199</f>
        <v>0</v>
      </c>
      <c r="I2199" s="138">
        <f>H2199*E2199</f>
        <v>0</v>
      </c>
      <c r="J2199" s="47"/>
      <c r="K2199" s="15"/>
    </row>
    <row r="2200" spans="1:11" s="16" customFormat="1" ht="25.5" outlineLevel="3">
      <c r="A2200" s="14"/>
      <c r="B2200" s="35"/>
      <c r="C2200" s="316" t="s">
        <v>1133</v>
      </c>
      <c r="D2200" s="230"/>
      <c r="E2200" s="247"/>
      <c r="F2200" s="232">
        <v>0</v>
      </c>
      <c r="G2200" s="232">
        <v>0</v>
      </c>
      <c r="H2200" s="295"/>
      <c r="I2200" s="180"/>
      <c r="J2200" s="47"/>
      <c r="K2200" s="15"/>
    </row>
    <row r="2201" spans="1:11" s="16" customFormat="1" ht="25.5" outlineLevel="3">
      <c r="A2201" s="14"/>
      <c r="B2201" s="35"/>
      <c r="C2201" s="314" t="s">
        <v>265</v>
      </c>
      <c r="D2201" s="230" t="s">
        <v>28</v>
      </c>
      <c r="E2201" s="247">
        <v>2</v>
      </c>
      <c r="F2201" s="232">
        <v>0</v>
      </c>
      <c r="G2201" s="232">
        <v>0</v>
      </c>
      <c r="H2201" s="138">
        <f>G2201+F2201</f>
        <v>0</v>
      </c>
      <c r="I2201" s="138">
        <f>H2201*E2201</f>
        <v>0</v>
      </c>
      <c r="J2201" s="47"/>
      <c r="K2201" s="15"/>
    </row>
    <row r="2202" spans="1:11" s="16" customFormat="1" ht="25.5" outlineLevel="3">
      <c r="A2202" s="14"/>
      <c r="B2202" s="35"/>
      <c r="C2202" s="242" t="s">
        <v>266</v>
      </c>
      <c r="D2202" s="230" t="s">
        <v>28</v>
      </c>
      <c r="E2202" s="247">
        <v>2</v>
      </c>
      <c r="F2202" s="232">
        <v>0</v>
      </c>
      <c r="G2202" s="232">
        <v>0</v>
      </c>
      <c r="H2202" s="138">
        <f>G2202+F2202</f>
        <v>0</v>
      </c>
      <c r="I2202" s="138">
        <f>H2202*E2202</f>
        <v>0</v>
      </c>
      <c r="J2202" s="47"/>
      <c r="K2202" s="15"/>
    </row>
    <row r="2203" spans="1:11" s="16" customFormat="1" ht="25.5" outlineLevel="3">
      <c r="A2203" s="14"/>
      <c r="B2203" s="35"/>
      <c r="C2203" s="242" t="s">
        <v>1134</v>
      </c>
      <c r="D2203" s="230" t="s">
        <v>28</v>
      </c>
      <c r="E2203" s="247">
        <v>2</v>
      </c>
      <c r="F2203" s="232">
        <v>0</v>
      </c>
      <c r="G2203" s="232">
        <v>0</v>
      </c>
      <c r="H2203" s="138">
        <f>G2203+F2203</f>
        <v>0</v>
      </c>
      <c r="I2203" s="138">
        <f>H2203*E2203</f>
        <v>0</v>
      </c>
      <c r="J2203" s="47"/>
      <c r="K2203" s="15"/>
    </row>
    <row r="2204" spans="1:11" s="16" customFormat="1" ht="25.5" outlineLevel="3">
      <c r="A2204" s="14"/>
      <c r="B2204" s="35"/>
      <c r="C2204" s="316" t="s">
        <v>1135</v>
      </c>
      <c r="D2204" s="230"/>
      <c r="E2204" s="247"/>
      <c r="F2204" s="232">
        <v>0</v>
      </c>
      <c r="G2204" s="232">
        <v>0</v>
      </c>
      <c r="H2204" s="295"/>
      <c r="I2204" s="180"/>
      <c r="J2204" s="47"/>
      <c r="K2204" s="15"/>
    </row>
    <row r="2205" spans="1:11" s="16" customFormat="1" ht="25.5" outlineLevel="3">
      <c r="A2205" s="14"/>
      <c r="B2205" s="35"/>
      <c r="C2205" s="314" t="s">
        <v>265</v>
      </c>
      <c r="D2205" s="230" t="s">
        <v>28</v>
      </c>
      <c r="E2205" s="247">
        <v>3</v>
      </c>
      <c r="F2205" s="232">
        <v>0</v>
      </c>
      <c r="G2205" s="232">
        <v>0</v>
      </c>
      <c r="H2205" s="138">
        <f>G2205+F2205</f>
        <v>0</v>
      </c>
      <c r="I2205" s="138">
        <f>H2205*E2205</f>
        <v>0</v>
      </c>
      <c r="J2205" s="47"/>
      <c r="K2205" s="15"/>
    </row>
    <row r="2206" spans="1:11" s="16" customFormat="1" ht="25.5" outlineLevel="3">
      <c r="A2206" s="14"/>
      <c r="B2206" s="35"/>
      <c r="C2206" s="242" t="s">
        <v>266</v>
      </c>
      <c r="D2206" s="230" t="s">
        <v>28</v>
      </c>
      <c r="E2206" s="247">
        <v>3</v>
      </c>
      <c r="F2206" s="232">
        <v>0</v>
      </c>
      <c r="G2206" s="232">
        <v>0</v>
      </c>
      <c r="H2206" s="138">
        <f>G2206+F2206</f>
        <v>0</v>
      </c>
      <c r="I2206" s="138">
        <f>H2206*E2206</f>
        <v>0</v>
      </c>
      <c r="J2206" s="47"/>
      <c r="K2206" s="15"/>
    </row>
    <row r="2207" spans="1:11" s="16" customFormat="1" ht="25.5" outlineLevel="3">
      <c r="A2207" s="14"/>
      <c r="B2207" s="35"/>
      <c r="C2207" s="242" t="s">
        <v>1136</v>
      </c>
      <c r="D2207" s="230" t="s">
        <v>28</v>
      </c>
      <c r="E2207" s="247">
        <v>3</v>
      </c>
      <c r="F2207" s="232">
        <v>0</v>
      </c>
      <c r="G2207" s="232">
        <v>0</v>
      </c>
      <c r="H2207" s="138">
        <f>G2207+F2207</f>
        <v>0</v>
      </c>
      <c r="I2207" s="138">
        <f>H2207*E2207</f>
        <v>0</v>
      </c>
      <c r="J2207" s="47"/>
      <c r="K2207" s="15"/>
    </row>
    <row r="2208" spans="1:11" s="16" customFormat="1" ht="25.5" outlineLevel="3">
      <c r="A2208" s="14"/>
      <c r="B2208" s="35"/>
      <c r="C2208" s="316" t="s">
        <v>1137</v>
      </c>
      <c r="D2208" s="230"/>
      <c r="E2208" s="247"/>
      <c r="F2208" s="232">
        <v>0</v>
      </c>
      <c r="G2208" s="232">
        <v>0</v>
      </c>
      <c r="H2208" s="295"/>
      <c r="I2208" s="180"/>
      <c r="J2208" s="47"/>
      <c r="K2208" s="15"/>
    </row>
    <row r="2209" spans="1:11" s="16" customFormat="1" ht="25.5" outlineLevel="3">
      <c r="A2209" s="14"/>
      <c r="B2209" s="35"/>
      <c r="C2209" s="314" t="s">
        <v>265</v>
      </c>
      <c r="D2209" s="230" t="s">
        <v>28</v>
      </c>
      <c r="E2209" s="247">
        <v>2</v>
      </c>
      <c r="F2209" s="232">
        <v>0</v>
      </c>
      <c r="G2209" s="232">
        <v>0</v>
      </c>
      <c r="H2209" s="138">
        <f t="shared" ref="H2209:H2214" si="209">G2209+F2209</f>
        <v>0</v>
      </c>
      <c r="I2209" s="138">
        <f t="shared" ref="I2209:I2214" si="210">H2209*E2209</f>
        <v>0</v>
      </c>
      <c r="J2209" s="47"/>
      <c r="K2209" s="15"/>
    </row>
    <row r="2210" spans="1:11" s="16" customFormat="1" ht="25.5" outlineLevel="3">
      <c r="A2210" s="14"/>
      <c r="B2210" s="35"/>
      <c r="C2210" s="242" t="s">
        <v>266</v>
      </c>
      <c r="D2210" s="230" t="s">
        <v>28</v>
      </c>
      <c r="E2210" s="247">
        <v>2</v>
      </c>
      <c r="F2210" s="232">
        <v>0</v>
      </c>
      <c r="G2210" s="232">
        <v>0</v>
      </c>
      <c r="H2210" s="138">
        <f t="shared" si="209"/>
        <v>0</v>
      </c>
      <c r="I2210" s="138">
        <f t="shared" si="210"/>
        <v>0</v>
      </c>
      <c r="J2210" s="47"/>
      <c r="K2210" s="15"/>
    </row>
    <row r="2211" spans="1:11" s="16" customFormat="1" ht="25.5" outlineLevel="3">
      <c r="A2211" s="14"/>
      <c r="B2211" s="35"/>
      <c r="C2211" s="242" t="s">
        <v>269</v>
      </c>
      <c r="D2211" s="230" t="s">
        <v>28</v>
      </c>
      <c r="E2211" s="247">
        <v>2</v>
      </c>
      <c r="F2211" s="232">
        <v>0</v>
      </c>
      <c r="G2211" s="232">
        <v>0</v>
      </c>
      <c r="H2211" s="138">
        <f t="shared" si="209"/>
        <v>0</v>
      </c>
      <c r="I2211" s="138">
        <f t="shared" si="210"/>
        <v>0</v>
      </c>
      <c r="J2211" s="47"/>
      <c r="K2211" s="15"/>
    </row>
    <row r="2212" spans="1:11" s="16" customFormat="1" ht="25.5" outlineLevel="3">
      <c r="A2212" s="14"/>
      <c r="B2212" s="35"/>
      <c r="C2212" s="274" t="s">
        <v>270</v>
      </c>
      <c r="D2212" s="230" t="s">
        <v>38</v>
      </c>
      <c r="E2212" s="247">
        <v>9</v>
      </c>
      <c r="F2212" s="232">
        <v>0</v>
      </c>
      <c r="G2212" s="232">
        <v>0</v>
      </c>
      <c r="H2212" s="138">
        <f t="shared" si="209"/>
        <v>0</v>
      </c>
      <c r="I2212" s="138">
        <f t="shared" si="210"/>
        <v>0</v>
      </c>
      <c r="J2212" s="47"/>
      <c r="K2212" s="15"/>
    </row>
    <row r="2213" spans="1:11" s="16" customFormat="1" ht="25.5" outlineLevel="3">
      <c r="A2213" s="14"/>
      <c r="B2213" s="35"/>
      <c r="C2213" s="229" t="s">
        <v>139</v>
      </c>
      <c r="D2213" s="230" t="s">
        <v>38</v>
      </c>
      <c r="E2213" s="247">
        <v>1</v>
      </c>
      <c r="F2213" s="232">
        <v>0</v>
      </c>
      <c r="G2213" s="232">
        <v>0</v>
      </c>
      <c r="H2213" s="138">
        <f t="shared" si="209"/>
        <v>0</v>
      </c>
      <c r="I2213" s="138">
        <f t="shared" si="210"/>
        <v>0</v>
      </c>
      <c r="J2213" s="47"/>
      <c r="K2213" s="15"/>
    </row>
    <row r="2214" spans="1:11" s="16" customFormat="1" ht="25.5" outlineLevel="3">
      <c r="A2214" s="14"/>
      <c r="B2214" s="35">
        <f>MAXA(B$5:B2213)+1</f>
        <v>869</v>
      </c>
      <c r="C2214" s="242" t="s">
        <v>1138</v>
      </c>
      <c r="D2214" s="230" t="s">
        <v>38</v>
      </c>
      <c r="E2214" s="247">
        <v>1</v>
      </c>
      <c r="F2214" s="232">
        <v>29819097</v>
      </c>
      <c r="G2214" s="232">
        <v>1563188</v>
      </c>
      <c r="H2214" s="138">
        <f t="shared" si="209"/>
        <v>31382285</v>
      </c>
      <c r="I2214" s="138">
        <f t="shared" si="210"/>
        <v>31382285</v>
      </c>
      <c r="J2214" s="47"/>
      <c r="K2214" s="15"/>
    </row>
    <row r="2215" spans="1:11" s="16" customFormat="1" ht="25.5" outlineLevel="3">
      <c r="A2215" s="14"/>
      <c r="B2215" s="35"/>
      <c r="C2215" s="241" t="s">
        <v>141</v>
      </c>
      <c r="D2215" s="230"/>
      <c r="E2215" s="247"/>
      <c r="F2215" s="232">
        <v>0</v>
      </c>
      <c r="G2215" s="232">
        <v>0</v>
      </c>
      <c r="H2215" s="295"/>
      <c r="I2215" s="180"/>
      <c r="J2215" s="47"/>
      <c r="K2215" s="15"/>
    </row>
    <row r="2216" spans="1:11" s="16" customFormat="1" ht="25.5" outlineLevel="3">
      <c r="A2216" s="14"/>
      <c r="B2216" s="35"/>
      <c r="C2216" s="314" t="s">
        <v>159</v>
      </c>
      <c r="D2216" s="230" t="s">
        <v>28</v>
      </c>
      <c r="E2216" s="247">
        <v>1</v>
      </c>
      <c r="F2216" s="232">
        <v>0</v>
      </c>
      <c r="G2216" s="232">
        <v>0</v>
      </c>
      <c r="H2216" s="138">
        <f t="shared" ref="H2216:H2221" si="211">G2216+F2216</f>
        <v>0</v>
      </c>
      <c r="I2216" s="138">
        <f t="shared" ref="I2216:I2221" si="212">H2216*E2216</f>
        <v>0</v>
      </c>
      <c r="J2216" s="47"/>
      <c r="K2216" s="15"/>
    </row>
    <row r="2217" spans="1:11" s="16" customFormat="1" ht="25.5" outlineLevel="3">
      <c r="A2217" s="14"/>
      <c r="B2217" s="35"/>
      <c r="C2217" s="242" t="s">
        <v>94</v>
      </c>
      <c r="D2217" s="230" t="s">
        <v>28</v>
      </c>
      <c r="E2217" s="247">
        <v>3</v>
      </c>
      <c r="F2217" s="232">
        <v>0</v>
      </c>
      <c r="G2217" s="232">
        <v>0</v>
      </c>
      <c r="H2217" s="138">
        <f t="shared" si="211"/>
        <v>0</v>
      </c>
      <c r="I2217" s="138">
        <f t="shared" si="212"/>
        <v>0</v>
      </c>
      <c r="J2217" s="47"/>
      <c r="K2217" s="15"/>
    </row>
    <row r="2218" spans="1:11" s="16" customFormat="1" ht="25.5" outlineLevel="3">
      <c r="A2218" s="14"/>
      <c r="B2218" s="35"/>
      <c r="C2218" s="242" t="s">
        <v>95</v>
      </c>
      <c r="D2218" s="230" t="s">
        <v>28</v>
      </c>
      <c r="E2218" s="247">
        <v>3</v>
      </c>
      <c r="F2218" s="232">
        <v>0</v>
      </c>
      <c r="G2218" s="232">
        <v>0</v>
      </c>
      <c r="H2218" s="138">
        <f t="shared" si="211"/>
        <v>0</v>
      </c>
      <c r="I2218" s="138">
        <f t="shared" si="212"/>
        <v>0</v>
      </c>
      <c r="J2218" s="47"/>
      <c r="K2218" s="15"/>
    </row>
    <row r="2219" spans="1:11" s="16" customFormat="1" ht="25.5" outlineLevel="3">
      <c r="A2219" s="14"/>
      <c r="B2219" s="35"/>
      <c r="C2219" s="242" t="s">
        <v>96</v>
      </c>
      <c r="D2219" s="230" t="s">
        <v>28</v>
      </c>
      <c r="E2219" s="247">
        <v>1</v>
      </c>
      <c r="F2219" s="232">
        <v>0</v>
      </c>
      <c r="G2219" s="232">
        <v>0</v>
      </c>
      <c r="H2219" s="138">
        <f t="shared" si="211"/>
        <v>0</v>
      </c>
      <c r="I2219" s="138">
        <f t="shared" si="212"/>
        <v>0</v>
      </c>
      <c r="J2219" s="47"/>
      <c r="K2219" s="15"/>
    </row>
    <row r="2220" spans="1:11" s="16" customFormat="1" ht="25.5" outlineLevel="3">
      <c r="A2220" s="14"/>
      <c r="B2220" s="35"/>
      <c r="C2220" s="242" t="s">
        <v>97</v>
      </c>
      <c r="D2220" s="230" t="s">
        <v>28</v>
      </c>
      <c r="E2220" s="247">
        <v>1</v>
      </c>
      <c r="F2220" s="232">
        <v>0</v>
      </c>
      <c r="G2220" s="232">
        <v>0</v>
      </c>
      <c r="H2220" s="138">
        <f t="shared" si="211"/>
        <v>0</v>
      </c>
      <c r="I2220" s="138">
        <f t="shared" si="212"/>
        <v>0</v>
      </c>
      <c r="J2220" s="47"/>
      <c r="K2220" s="15"/>
    </row>
    <row r="2221" spans="1:11" s="16" customFormat="1" ht="25.5" outlineLevel="3">
      <c r="A2221" s="14"/>
      <c r="B2221" s="35"/>
      <c r="C2221" s="242" t="s">
        <v>98</v>
      </c>
      <c r="D2221" s="230" t="s">
        <v>28</v>
      </c>
      <c r="E2221" s="247">
        <v>1</v>
      </c>
      <c r="F2221" s="232">
        <v>0</v>
      </c>
      <c r="G2221" s="232">
        <v>0</v>
      </c>
      <c r="H2221" s="138">
        <f t="shared" si="211"/>
        <v>0</v>
      </c>
      <c r="I2221" s="138">
        <f t="shared" si="212"/>
        <v>0</v>
      </c>
      <c r="J2221" s="47"/>
      <c r="K2221" s="15"/>
    </row>
    <row r="2222" spans="1:11" s="16" customFormat="1" ht="25.5" outlineLevel="3">
      <c r="A2222" s="14"/>
      <c r="B2222" s="35"/>
      <c r="C2222" s="241" t="s">
        <v>148</v>
      </c>
      <c r="D2222" s="315"/>
      <c r="E2222" s="247"/>
      <c r="F2222" s="232">
        <v>0</v>
      </c>
      <c r="G2222" s="232">
        <v>0</v>
      </c>
      <c r="H2222" s="295"/>
      <c r="I2222" s="180"/>
      <c r="J2222" s="47"/>
      <c r="K2222" s="15"/>
    </row>
    <row r="2223" spans="1:11" s="16" customFormat="1" ht="25.5" outlineLevel="3">
      <c r="A2223" s="14"/>
      <c r="B2223" s="35"/>
      <c r="C2223" s="314" t="s">
        <v>158</v>
      </c>
      <c r="D2223" s="230" t="s">
        <v>28</v>
      </c>
      <c r="E2223" s="247">
        <v>1</v>
      </c>
      <c r="F2223" s="232">
        <v>0</v>
      </c>
      <c r="G2223" s="232">
        <v>0</v>
      </c>
      <c r="H2223" s="138">
        <f t="shared" ref="H2223:H2228" si="213">G2223+F2223</f>
        <v>0</v>
      </c>
      <c r="I2223" s="138">
        <f t="shared" ref="I2223:I2228" si="214">H2223*E2223</f>
        <v>0</v>
      </c>
      <c r="J2223" s="47"/>
      <c r="K2223" s="15"/>
    </row>
    <row r="2224" spans="1:11" s="16" customFormat="1" ht="25.5" outlineLevel="3">
      <c r="A2224" s="14"/>
      <c r="B2224" s="35"/>
      <c r="C2224" s="314" t="s">
        <v>155</v>
      </c>
      <c r="D2224" s="230" t="s">
        <v>28</v>
      </c>
      <c r="E2224" s="247">
        <v>1</v>
      </c>
      <c r="F2224" s="232">
        <v>0</v>
      </c>
      <c r="G2224" s="232">
        <v>0</v>
      </c>
      <c r="H2224" s="138">
        <f t="shared" si="213"/>
        <v>0</v>
      </c>
      <c r="I2224" s="138">
        <f t="shared" si="214"/>
        <v>0</v>
      </c>
      <c r="J2224" s="47"/>
      <c r="K2224" s="15"/>
    </row>
    <row r="2225" spans="1:11" s="16" customFormat="1" ht="25.5" outlineLevel="3">
      <c r="A2225" s="14"/>
      <c r="B2225" s="35"/>
      <c r="C2225" s="314" t="s">
        <v>150</v>
      </c>
      <c r="D2225" s="230" t="s">
        <v>28</v>
      </c>
      <c r="E2225" s="247">
        <v>1</v>
      </c>
      <c r="F2225" s="232">
        <v>0</v>
      </c>
      <c r="G2225" s="232">
        <v>0</v>
      </c>
      <c r="H2225" s="138">
        <f t="shared" si="213"/>
        <v>0</v>
      </c>
      <c r="I2225" s="138">
        <f t="shared" si="214"/>
        <v>0</v>
      </c>
      <c r="J2225" s="47"/>
      <c r="K2225" s="15"/>
    </row>
    <row r="2226" spans="1:11" s="16" customFormat="1" ht="25.5" outlineLevel="3">
      <c r="A2226" s="14"/>
      <c r="B2226" s="35"/>
      <c r="C2226" s="314" t="s">
        <v>272</v>
      </c>
      <c r="D2226" s="230" t="s">
        <v>28</v>
      </c>
      <c r="E2226" s="247">
        <v>1</v>
      </c>
      <c r="F2226" s="232">
        <v>0</v>
      </c>
      <c r="G2226" s="232">
        <v>0</v>
      </c>
      <c r="H2226" s="138">
        <f t="shared" si="213"/>
        <v>0</v>
      </c>
      <c r="I2226" s="138">
        <f t="shared" si="214"/>
        <v>0</v>
      </c>
      <c r="J2226" s="47"/>
      <c r="K2226" s="15"/>
    </row>
    <row r="2227" spans="1:11" s="16" customFormat="1" ht="25.5" outlineLevel="3">
      <c r="A2227" s="14"/>
      <c r="B2227" s="35"/>
      <c r="C2227" s="314" t="s">
        <v>203</v>
      </c>
      <c r="D2227" s="230" t="s">
        <v>28</v>
      </c>
      <c r="E2227" s="247">
        <v>1</v>
      </c>
      <c r="F2227" s="232">
        <v>0</v>
      </c>
      <c r="G2227" s="232">
        <v>0</v>
      </c>
      <c r="H2227" s="138">
        <f t="shared" si="213"/>
        <v>0</v>
      </c>
      <c r="I2227" s="138">
        <f t="shared" si="214"/>
        <v>0</v>
      </c>
      <c r="J2227" s="47"/>
      <c r="K2227" s="15"/>
    </row>
    <row r="2228" spans="1:11" s="16" customFormat="1" ht="25.5" outlineLevel="3">
      <c r="A2228" s="14"/>
      <c r="B2228" s="35"/>
      <c r="C2228" s="242" t="s">
        <v>161</v>
      </c>
      <c r="D2228" s="230" t="s">
        <v>122</v>
      </c>
      <c r="E2228" s="247">
        <v>1</v>
      </c>
      <c r="F2228" s="232">
        <v>0</v>
      </c>
      <c r="G2228" s="232">
        <v>0</v>
      </c>
      <c r="H2228" s="138">
        <f t="shared" si="213"/>
        <v>0</v>
      </c>
      <c r="I2228" s="138">
        <f t="shared" si="214"/>
        <v>0</v>
      </c>
      <c r="J2228" s="47"/>
      <c r="K2228" s="15"/>
    </row>
    <row r="2229" spans="1:11" s="16" customFormat="1" ht="25.5" outlineLevel="3">
      <c r="A2229" s="14"/>
      <c r="B2229" s="35"/>
      <c r="C2229" s="316" t="s">
        <v>1139</v>
      </c>
      <c r="D2229" s="230"/>
      <c r="E2229" s="247"/>
      <c r="F2229" s="232">
        <v>0</v>
      </c>
      <c r="G2229" s="232">
        <v>0</v>
      </c>
      <c r="H2229" s="295"/>
      <c r="I2229" s="180"/>
      <c r="J2229" s="47"/>
      <c r="K2229" s="15"/>
    </row>
    <row r="2230" spans="1:11" s="16" customFormat="1" ht="25.5" outlineLevel="3">
      <c r="A2230" s="14"/>
      <c r="B2230" s="35"/>
      <c r="C2230" s="314" t="s">
        <v>1126</v>
      </c>
      <c r="D2230" s="230" t="s">
        <v>28</v>
      </c>
      <c r="E2230" s="247">
        <v>3</v>
      </c>
      <c r="F2230" s="232">
        <v>0</v>
      </c>
      <c r="G2230" s="232">
        <v>0</v>
      </c>
      <c r="H2230" s="138">
        <f>G2230+F2230</f>
        <v>0</v>
      </c>
      <c r="I2230" s="138">
        <f>H2230*E2230</f>
        <v>0</v>
      </c>
      <c r="J2230" s="47"/>
      <c r="K2230" s="15"/>
    </row>
    <row r="2231" spans="1:11" s="16" customFormat="1" ht="25.5" outlineLevel="3">
      <c r="A2231" s="14"/>
      <c r="B2231" s="35"/>
      <c r="C2231" s="242" t="s">
        <v>266</v>
      </c>
      <c r="D2231" s="230" t="s">
        <v>28</v>
      </c>
      <c r="E2231" s="247">
        <v>3</v>
      </c>
      <c r="F2231" s="232">
        <v>0</v>
      </c>
      <c r="G2231" s="232">
        <v>0</v>
      </c>
      <c r="H2231" s="138">
        <f>G2231+F2231</f>
        <v>0</v>
      </c>
      <c r="I2231" s="138">
        <f>H2231*E2231</f>
        <v>0</v>
      </c>
      <c r="J2231" s="47"/>
      <c r="K2231" s="15"/>
    </row>
    <row r="2232" spans="1:11" s="16" customFormat="1" ht="25.5" outlineLevel="3">
      <c r="A2232" s="14"/>
      <c r="B2232" s="35"/>
      <c r="C2232" s="242" t="s">
        <v>1127</v>
      </c>
      <c r="D2232" s="230" t="s">
        <v>28</v>
      </c>
      <c r="E2232" s="247">
        <v>1</v>
      </c>
      <c r="F2232" s="232">
        <v>0</v>
      </c>
      <c r="G2232" s="232">
        <v>0</v>
      </c>
      <c r="H2232" s="138">
        <f>G2232+F2232</f>
        <v>0</v>
      </c>
      <c r="I2232" s="138">
        <f>H2232*E2232</f>
        <v>0</v>
      </c>
      <c r="J2232" s="47"/>
      <c r="K2232" s="15"/>
    </row>
    <row r="2233" spans="1:11" s="16" customFormat="1" ht="25.5" outlineLevel="3">
      <c r="A2233" s="14"/>
      <c r="B2233" s="35"/>
      <c r="C2233" s="316" t="s">
        <v>1140</v>
      </c>
      <c r="D2233" s="230"/>
      <c r="E2233" s="247"/>
      <c r="F2233" s="232">
        <v>0</v>
      </c>
      <c r="G2233" s="232">
        <v>0</v>
      </c>
      <c r="H2233" s="295"/>
      <c r="I2233" s="180"/>
      <c r="J2233" s="47"/>
      <c r="K2233" s="15"/>
    </row>
    <row r="2234" spans="1:11" s="16" customFormat="1" ht="25.5" outlineLevel="3">
      <c r="A2234" s="14"/>
      <c r="B2234" s="35"/>
      <c r="C2234" s="314" t="s">
        <v>1141</v>
      </c>
      <c r="D2234" s="230" t="s">
        <v>28</v>
      </c>
      <c r="E2234" s="247">
        <v>3</v>
      </c>
      <c r="F2234" s="232">
        <v>0</v>
      </c>
      <c r="G2234" s="232">
        <v>0</v>
      </c>
      <c r="H2234" s="138">
        <f t="shared" ref="H2234:H2239" si="215">G2234+F2234</f>
        <v>0</v>
      </c>
      <c r="I2234" s="138">
        <f t="shared" ref="I2234:I2239" si="216">H2234*E2234</f>
        <v>0</v>
      </c>
      <c r="J2234" s="47"/>
      <c r="K2234" s="15"/>
    </row>
    <row r="2235" spans="1:11" s="16" customFormat="1" ht="25.5" outlineLevel="3">
      <c r="A2235" s="14"/>
      <c r="B2235" s="35"/>
      <c r="C2235" s="242" t="s">
        <v>266</v>
      </c>
      <c r="D2235" s="230" t="s">
        <v>28</v>
      </c>
      <c r="E2235" s="247">
        <v>3</v>
      </c>
      <c r="F2235" s="232">
        <v>0</v>
      </c>
      <c r="G2235" s="232">
        <v>0</v>
      </c>
      <c r="H2235" s="138">
        <f t="shared" si="215"/>
        <v>0</v>
      </c>
      <c r="I2235" s="138">
        <f t="shared" si="216"/>
        <v>0</v>
      </c>
      <c r="J2235" s="47"/>
      <c r="K2235" s="15"/>
    </row>
    <row r="2236" spans="1:11" s="16" customFormat="1" ht="25.5" outlineLevel="3">
      <c r="A2236" s="14"/>
      <c r="B2236" s="35"/>
      <c r="C2236" s="242" t="s">
        <v>1142</v>
      </c>
      <c r="D2236" s="230" t="s">
        <v>28</v>
      </c>
      <c r="E2236" s="247">
        <v>1</v>
      </c>
      <c r="F2236" s="232">
        <v>0</v>
      </c>
      <c r="G2236" s="232">
        <v>0</v>
      </c>
      <c r="H2236" s="138">
        <f t="shared" si="215"/>
        <v>0</v>
      </c>
      <c r="I2236" s="138">
        <f t="shared" si="216"/>
        <v>0</v>
      </c>
      <c r="J2236" s="47"/>
      <c r="K2236" s="15"/>
    </row>
    <row r="2237" spans="1:11" s="16" customFormat="1" ht="25.5" outlineLevel="3">
      <c r="A2237" s="14"/>
      <c r="B2237" s="35"/>
      <c r="C2237" s="274" t="s">
        <v>1128</v>
      </c>
      <c r="D2237" s="230" t="s">
        <v>38</v>
      </c>
      <c r="E2237" s="247">
        <v>2</v>
      </c>
      <c r="F2237" s="232">
        <v>0</v>
      </c>
      <c r="G2237" s="232">
        <v>0</v>
      </c>
      <c r="H2237" s="138">
        <f t="shared" si="215"/>
        <v>0</v>
      </c>
      <c r="I2237" s="138">
        <f t="shared" si="216"/>
        <v>0</v>
      </c>
      <c r="J2237" s="47"/>
      <c r="K2237" s="15"/>
    </row>
    <row r="2238" spans="1:11" s="16" customFormat="1" ht="25.5" outlineLevel="3">
      <c r="A2238" s="14"/>
      <c r="B2238" s="35"/>
      <c r="C2238" s="229" t="s">
        <v>139</v>
      </c>
      <c r="D2238" s="230" t="s">
        <v>38</v>
      </c>
      <c r="E2238" s="247">
        <v>1</v>
      </c>
      <c r="F2238" s="232">
        <v>0</v>
      </c>
      <c r="G2238" s="232">
        <v>0</v>
      </c>
      <c r="H2238" s="138">
        <f t="shared" si="215"/>
        <v>0</v>
      </c>
      <c r="I2238" s="138">
        <f t="shared" si="216"/>
        <v>0</v>
      </c>
      <c r="J2238" s="47"/>
      <c r="K2238" s="15"/>
    </row>
    <row r="2239" spans="1:11" s="16" customFormat="1" ht="25.5" outlineLevel="3">
      <c r="A2239" s="14"/>
      <c r="B2239" s="35">
        <f>MAXA(B$5:B2238)+1</f>
        <v>870</v>
      </c>
      <c r="C2239" s="242" t="s">
        <v>1143</v>
      </c>
      <c r="D2239" s="230" t="s">
        <v>38</v>
      </c>
      <c r="E2239" s="247">
        <v>1</v>
      </c>
      <c r="F2239" s="232">
        <v>47477845</v>
      </c>
      <c r="G2239" s="232">
        <v>1563188</v>
      </c>
      <c r="H2239" s="138">
        <f t="shared" si="215"/>
        <v>49041033</v>
      </c>
      <c r="I2239" s="138">
        <f t="shared" si="216"/>
        <v>49041033</v>
      </c>
      <c r="J2239" s="47"/>
      <c r="K2239" s="15"/>
    </row>
    <row r="2240" spans="1:11" s="16" customFormat="1" ht="25.5" outlineLevel="3">
      <c r="A2240" s="14"/>
      <c r="B2240" s="35"/>
      <c r="C2240" s="241" t="s">
        <v>141</v>
      </c>
      <c r="D2240" s="244"/>
      <c r="E2240" s="247"/>
      <c r="F2240" s="232">
        <v>0</v>
      </c>
      <c r="G2240" s="232">
        <v>0</v>
      </c>
      <c r="H2240" s="295"/>
      <c r="I2240" s="180"/>
      <c r="J2240" s="47"/>
      <c r="K2240" s="15"/>
    </row>
    <row r="2241" spans="1:11" s="16" customFormat="1" ht="25.5" outlineLevel="3">
      <c r="A2241" s="14"/>
      <c r="B2241" s="35"/>
      <c r="C2241" s="314" t="s">
        <v>158</v>
      </c>
      <c r="D2241" s="230" t="s">
        <v>28</v>
      </c>
      <c r="E2241" s="247">
        <v>1</v>
      </c>
      <c r="F2241" s="232">
        <v>0</v>
      </c>
      <c r="G2241" s="232">
        <v>0</v>
      </c>
      <c r="H2241" s="138">
        <f t="shared" ref="H2241:H2246" si="217">G2241+F2241</f>
        <v>0</v>
      </c>
      <c r="I2241" s="138">
        <f t="shared" ref="I2241:I2246" si="218">H2241*E2241</f>
        <v>0</v>
      </c>
      <c r="J2241" s="47"/>
      <c r="K2241" s="15"/>
    </row>
    <row r="2242" spans="1:11" s="16" customFormat="1" ht="25.5" outlineLevel="3">
      <c r="A2242" s="14"/>
      <c r="B2242" s="35"/>
      <c r="C2242" s="242" t="s">
        <v>94</v>
      </c>
      <c r="D2242" s="230" t="s">
        <v>28</v>
      </c>
      <c r="E2242" s="247">
        <v>3</v>
      </c>
      <c r="F2242" s="232">
        <v>0</v>
      </c>
      <c r="G2242" s="232">
        <v>0</v>
      </c>
      <c r="H2242" s="138">
        <f t="shared" si="217"/>
        <v>0</v>
      </c>
      <c r="I2242" s="138">
        <f t="shared" si="218"/>
        <v>0</v>
      </c>
      <c r="J2242" s="47"/>
      <c r="K2242" s="15"/>
    </row>
    <row r="2243" spans="1:11" s="16" customFormat="1" ht="25.5" outlineLevel="3">
      <c r="A2243" s="14"/>
      <c r="B2243" s="35"/>
      <c r="C2243" s="242" t="s">
        <v>95</v>
      </c>
      <c r="D2243" s="230" t="s">
        <v>28</v>
      </c>
      <c r="E2243" s="247">
        <v>3</v>
      </c>
      <c r="F2243" s="232">
        <v>0</v>
      </c>
      <c r="G2243" s="232">
        <v>0</v>
      </c>
      <c r="H2243" s="138">
        <f t="shared" si="217"/>
        <v>0</v>
      </c>
      <c r="I2243" s="138">
        <f t="shared" si="218"/>
        <v>0</v>
      </c>
      <c r="J2243" s="47"/>
      <c r="K2243" s="15"/>
    </row>
    <row r="2244" spans="1:11" s="16" customFormat="1" ht="25.5" outlineLevel="3">
      <c r="A2244" s="14"/>
      <c r="B2244" s="35"/>
      <c r="C2244" s="242" t="s">
        <v>96</v>
      </c>
      <c r="D2244" s="230" t="s">
        <v>28</v>
      </c>
      <c r="E2244" s="247">
        <v>1</v>
      </c>
      <c r="F2244" s="232">
        <v>0</v>
      </c>
      <c r="G2244" s="232">
        <v>0</v>
      </c>
      <c r="H2244" s="138">
        <f t="shared" si="217"/>
        <v>0</v>
      </c>
      <c r="I2244" s="138">
        <f t="shared" si="218"/>
        <v>0</v>
      </c>
      <c r="J2244" s="47"/>
      <c r="K2244" s="15"/>
    </row>
    <row r="2245" spans="1:11" s="16" customFormat="1" ht="25.5" outlineLevel="3">
      <c r="A2245" s="14"/>
      <c r="B2245" s="35"/>
      <c r="C2245" s="242" t="s">
        <v>97</v>
      </c>
      <c r="D2245" s="230" t="s">
        <v>28</v>
      </c>
      <c r="E2245" s="247">
        <v>1</v>
      </c>
      <c r="F2245" s="232">
        <v>0</v>
      </c>
      <c r="G2245" s="232">
        <v>0</v>
      </c>
      <c r="H2245" s="138">
        <f t="shared" si="217"/>
        <v>0</v>
      </c>
      <c r="I2245" s="138">
        <f t="shared" si="218"/>
        <v>0</v>
      </c>
      <c r="J2245" s="47"/>
      <c r="K2245" s="15"/>
    </row>
    <row r="2246" spans="1:11" s="16" customFormat="1" ht="25.5" outlineLevel="3">
      <c r="A2246" s="14"/>
      <c r="B2246" s="35"/>
      <c r="C2246" s="242" t="s">
        <v>98</v>
      </c>
      <c r="D2246" s="230" t="s">
        <v>28</v>
      </c>
      <c r="E2246" s="247">
        <v>1</v>
      </c>
      <c r="F2246" s="232">
        <v>0</v>
      </c>
      <c r="G2246" s="232">
        <v>0</v>
      </c>
      <c r="H2246" s="138">
        <f t="shared" si="217"/>
        <v>0</v>
      </c>
      <c r="I2246" s="138">
        <f t="shared" si="218"/>
        <v>0</v>
      </c>
      <c r="J2246" s="47"/>
      <c r="K2246" s="15"/>
    </row>
    <row r="2247" spans="1:11" s="16" customFormat="1" ht="25.5" outlineLevel="3">
      <c r="A2247" s="14"/>
      <c r="B2247" s="35"/>
      <c r="C2247" s="241" t="s">
        <v>148</v>
      </c>
      <c r="D2247" s="315"/>
      <c r="E2247" s="247"/>
      <c r="F2247" s="232">
        <v>0</v>
      </c>
      <c r="G2247" s="232">
        <v>0</v>
      </c>
      <c r="H2247" s="295"/>
      <c r="I2247" s="180"/>
      <c r="J2247" s="47"/>
      <c r="K2247" s="15"/>
    </row>
    <row r="2248" spans="1:11" s="16" customFormat="1" ht="25.5" outlineLevel="3">
      <c r="A2248" s="14"/>
      <c r="B2248" s="35"/>
      <c r="C2248" s="314" t="s">
        <v>150</v>
      </c>
      <c r="D2248" s="230" t="s">
        <v>28</v>
      </c>
      <c r="E2248" s="247">
        <v>1</v>
      </c>
      <c r="F2248" s="232">
        <v>0</v>
      </c>
      <c r="G2248" s="232">
        <v>0</v>
      </c>
      <c r="H2248" s="138">
        <f t="shared" ref="H2248:H2254" si="219">G2248+F2248</f>
        <v>0</v>
      </c>
      <c r="I2248" s="138">
        <f t="shared" ref="I2248:I2254" si="220">H2248*E2248</f>
        <v>0</v>
      </c>
      <c r="J2248" s="47"/>
      <c r="K2248" s="15"/>
    </row>
    <row r="2249" spans="1:11" s="16" customFormat="1" ht="25.5" outlineLevel="3">
      <c r="A2249" s="14"/>
      <c r="B2249" s="35"/>
      <c r="C2249" s="314" t="s">
        <v>272</v>
      </c>
      <c r="D2249" s="230" t="s">
        <v>28</v>
      </c>
      <c r="E2249" s="247">
        <v>1</v>
      </c>
      <c r="F2249" s="232">
        <v>0</v>
      </c>
      <c r="G2249" s="232">
        <v>0</v>
      </c>
      <c r="H2249" s="138">
        <f t="shared" si="219"/>
        <v>0</v>
      </c>
      <c r="I2249" s="138">
        <f t="shared" si="220"/>
        <v>0</v>
      </c>
      <c r="J2249" s="47"/>
      <c r="K2249" s="15"/>
    </row>
    <row r="2250" spans="1:11" s="16" customFormat="1" ht="25.5" outlineLevel="3">
      <c r="A2250" s="14"/>
      <c r="B2250" s="35"/>
      <c r="C2250" s="314" t="s">
        <v>1079</v>
      </c>
      <c r="D2250" s="230" t="s">
        <v>28</v>
      </c>
      <c r="E2250" s="247">
        <v>1</v>
      </c>
      <c r="F2250" s="232">
        <v>0</v>
      </c>
      <c r="G2250" s="232">
        <v>0</v>
      </c>
      <c r="H2250" s="138">
        <f t="shared" si="219"/>
        <v>0</v>
      </c>
      <c r="I2250" s="138">
        <f t="shared" si="220"/>
        <v>0</v>
      </c>
      <c r="J2250" s="47"/>
      <c r="K2250" s="15"/>
    </row>
    <row r="2251" spans="1:11" s="16" customFormat="1" ht="25.5" outlineLevel="3">
      <c r="A2251" s="14"/>
      <c r="B2251" s="35"/>
      <c r="C2251" s="314" t="s">
        <v>158</v>
      </c>
      <c r="D2251" s="230" t="s">
        <v>28</v>
      </c>
      <c r="E2251" s="247">
        <v>1</v>
      </c>
      <c r="F2251" s="232">
        <v>0</v>
      </c>
      <c r="G2251" s="232">
        <v>0</v>
      </c>
      <c r="H2251" s="138">
        <f t="shared" si="219"/>
        <v>0</v>
      </c>
      <c r="I2251" s="138">
        <f t="shared" si="220"/>
        <v>0</v>
      </c>
      <c r="J2251" s="47"/>
      <c r="K2251" s="15"/>
    </row>
    <row r="2252" spans="1:11" s="16" customFormat="1" ht="25.5" outlineLevel="3">
      <c r="A2252" s="14"/>
      <c r="B2252" s="35"/>
      <c r="C2252" s="314" t="s">
        <v>203</v>
      </c>
      <c r="D2252" s="230" t="s">
        <v>28</v>
      </c>
      <c r="E2252" s="247">
        <v>1</v>
      </c>
      <c r="F2252" s="232">
        <v>0</v>
      </c>
      <c r="G2252" s="232">
        <v>0</v>
      </c>
      <c r="H2252" s="138">
        <f t="shared" si="219"/>
        <v>0</v>
      </c>
      <c r="I2252" s="138">
        <f t="shared" si="220"/>
        <v>0</v>
      </c>
      <c r="J2252" s="47"/>
      <c r="K2252" s="15"/>
    </row>
    <row r="2253" spans="1:11" s="16" customFormat="1" ht="25.5" outlineLevel="3">
      <c r="A2253" s="14"/>
      <c r="B2253" s="35"/>
      <c r="C2253" s="242" t="s">
        <v>161</v>
      </c>
      <c r="D2253" s="230" t="s">
        <v>122</v>
      </c>
      <c r="E2253" s="247">
        <v>1</v>
      </c>
      <c r="F2253" s="232">
        <v>0</v>
      </c>
      <c r="G2253" s="232">
        <v>0</v>
      </c>
      <c r="H2253" s="138">
        <f t="shared" si="219"/>
        <v>0</v>
      </c>
      <c r="I2253" s="138">
        <f t="shared" si="220"/>
        <v>0</v>
      </c>
      <c r="J2253" s="47"/>
      <c r="K2253" s="15"/>
    </row>
    <row r="2254" spans="1:11" s="16" customFormat="1" ht="25.5" outlineLevel="3">
      <c r="A2254" s="14"/>
      <c r="B2254" s="35"/>
      <c r="C2254" s="242" t="s">
        <v>575</v>
      </c>
      <c r="D2254" s="230" t="s">
        <v>28</v>
      </c>
      <c r="E2254" s="247">
        <v>1</v>
      </c>
      <c r="F2254" s="232">
        <v>0</v>
      </c>
      <c r="G2254" s="232">
        <v>0</v>
      </c>
      <c r="H2254" s="138">
        <f t="shared" si="219"/>
        <v>0</v>
      </c>
      <c r="I2254" s="138">
        <f t="shared" si="220"/>
        <v>0</v>
      </c>
      <c r="J2254" s="47"/>
      <c r="K2254" s="15"/>
    </row>
    <row r="2255" spans="1:11" s="16" customFormat="1" ht="25.5" outlineLevel="3">
      <c r="A2255" s="14"/>
      <c r="B2255" s="35"/>
      <c r="C2255" s="316" t="s">
        <v>1144</v>
      </c>
      <c r="D2255" s="230"/>
      <c r="E2255" s="247"/>
      <c r="F2255" s="232">
        <v>0</v>
      </c>
      <c r="G2255" s="232">
        <v>0</v>
      </c>
      <c r="H2255" s="295"/>
      <c r="I2255" s="180"/>
      <c r="J2255" s="47"/>
      <c r="K2255" s="15"/>
    </row>
    <row r="2256" spans="1:11" s="16" customFormat="1" ht="25.5" outlineLevel="3">
      <c r="A2256" s="14"/>
      <c r="B2256" s="35"/>
      <c r="C2256" s="242" t="s">
        <v>1145</v>
      </c>
      <c r="D2256" s="230" t="s">
        <v>28</v>
      </c>
      <c r="E2256" s="247">
        <v>1</v>
      </c>
      <c r="F2256" s="232">
        <v>0</v>
      </c>
      <c r="G2256" s="232">
        <v>0</v>
      </c>
      <c r="H2256" s="138">
        <f>G2256+F2256</f>
        <v>0</v>
      </c>
      <c r="I2256" s="138">
        <f>H2256*E2256</f>
        <v>0</v>
      </c>
      <c r="J2256" s="47"/>
      <c r="K2256" s="15"/>
    </row>
    <row r="2257" spans="1:11" s="16" customFormat="1" ht="25.5" outlineLevel="3">
      <c r="A2257" s="14"/>
      <c r="B2257" s="35"/>
      <c r="C2257" s="274" t="s">
        <v>1146</v>
      </c>
      <c r="D2257" s="230" t="s">
        <v>38</v>
      </c>
      <c r="E2257" s="247">
        <v>1</v>
      </c>
      <c r="F2257" s="232">
        <v>0</v>
      </c>
      <c r="G2257" s="232">
        <v>0</v>
      </c>
      <c r="H2257" s="138">
        <f>G2257+F2257</f>
        <v>0</v>
      </c>
      <c r="I2257" s="138">
        <f>H2257*E2257</f>
        <v>0</v>
      </c>
      <c r="J2257" s="47"/>
      <c r="K2257" s="15"/>
    </row>
    <row r="2258" spans="1:11" s="16" customFormat="1" ht="25.5" outlineLevel="3">
      <c r="A2258" s="14"/>
      <c r="B2258" s="35"/>
      <c r="C2258" s="229" t="s">
        <v>139</v>
      </c>
      <c r="D2258" s="230" t="s">
        <v>38</v>
      </c>
      <c r="E2258" s="247">
        <v>1</v>
      </c>
      <c r="F2258" s="232">
        <v>0</v>
      </c>
      <c r="G2258" s="232">
        <v>0</v>
      </c>
      <c r="H2258" s="138">
        <f>G2258+F2258</f>
        <v>0</v>
      </c>
      <c r="I2258" s="138">
        <f>H2258*E2258</f>
        <v>0</v>
      </c>
      <c r="J2258" s="47"/>
      <c r="K2258" s="15"/>
    </row>
    <row r="2259" spans="1:11" s="16" customFormat="1" ht="25.5" outlineLevel="3">
      <c r="A2259" s="14"/>
      <c r="B2259" s="35">
        <f>MAXA(B$5:B2258)+1</f>
        <v>871</v>
      </c>
      <c r="C2259" s="242" t="s">
        <v>1147</v>
      </c>
      <c r="D2259" s="230" t="s">
        <v>38</v>
      </c>
      <c r="E2259" s="247">
        <v>1</v>
      </c>
      <c r="F2259" s="232">
        <v>27359622</v>
      </c>
      <c r="G2259" s="232">
        <v>1563188</v>
      </c>
      <c r="H2259" s="138">
        <f>G2259+F2259</f>
        <v>28922810</v>
      </c>
      <c r="I2259" s="138">
        <f>H2259*E2259</f>
        <v>28922810</v>
      </c>
      <c r="J2259" s="47"/>
      <c r="K2259" s="15"/>
    </row>
    <row r="2260" spans="1:11" s="16" customFormat="1" ht="25.5" outlineLevel="3">
      <c r="A2260" s="14"/>
      <c r="B2260" s="35"/>
      <c r="C2260" s="241" t="s">
        <v>141</v>
      </c>
      <c r="D2260" s="244"/>
      <c r="E2260" s="247"/>
      <c r="F2260" s="232">
        <v>0</v>
      </c>
      <c r="G2260" s="232">
        <v>0</v>
      </c>
      <c r="H2260" s="295"/>
      <c r="I2260" s="180"/>
      <c r="J2260" s="47"/>
      <c r="K2260" s="15"/>
    </row>
    <row r="2261" spans="1:11" s="16" customFormat="1" ht="25.5" outlineLevel="3">
      <c r="A2261" s="14"/>
      <c r="B2261" s="35"/>
      <c r="C2261" s="314" t="s">
        <v>200</v>
      </c>
      <c r="D2261" s="230" t="s">
        <v>28</v>
      </c>
      <c r="E2261" s="247">
        <v>1</v>
      </c>
      <c r="F2261" s="232">
        <v>0</v>
      </c>
      <c r="G2261" s="232">
        <v>0</v>
      </c>
      <c r="H2261" s="138">
        <f t="shared" ref="H2261:H2266" si="221">G2261+F2261</f>
        <v>0</v>
      </c>
      <c r="I2261" s="138">
        <f t="shared" ref="I2261:I2266" si="222">H2261*E2261</f>
        <v>0</v>
      </c>
      <c r="J2261" s="47"/>
      <c r="K2261" s="15"/>
    </row>
    <row r="2262" spans="1:11" s="16" customFormat="1" ht="25.5" outlineLevel="3">
      <c r="A2262" s="14"/>
      <c r="B2262" s="35"/>
      <c r="C2262" s="242" t="s">
        <v>94</v>
      </c>
      <c r="D2262" s="230" t="s">
        <v>28</v>
      </c>
      <c r="E2262" s="247">
        <v>3</v>
      </c>
      <c r="F2262" s="232">
        <v>0</v>
      </c>
      <c r="G2262" s="232">
        <v>0</v>
      </c>
      <c r="H2262" s="138">
        <f t="shared" si="221"/>
        <v>0</v>
      </c>
      <c r="I2262" s="138">
        <f t="shared" si="222"/>
        <v>0</v>
      </c>
      <c r="J2262" s="47"/>
      <c r="K2262" s="15"/>
    </row>
    <row r="2263" spans="1:11" s="16" customFormat="1" ht="25.5" outlineLevel="3">
      <c r="A2263" s="14"/>
      <c r="B2263" s="35"/>
      <c r="C2263" s="242" t="s">
        <v>95</v>
      </c>
      <c r="D2263" s="230" t="s">
        <v>28</v>
      </c>
      <c r="E2263" s="247">
        <v>3</v>
      </c>
      <c r="F2263" s="232">
        <v>0</v>
      </c>
      <c r="G2263" s="232">
        <v>0</v>
      </c>
      <c r="H2263" s="138">
        <f t="shared" si="221"/>
        <v>0</v>
      </c>
      <c r="I2263" s="138">
        <f t="shared" si="222"/>
        <v>0</v>
      </c>
      <c r="J2263" s="47"/>
      <c r="K2263" s="15"/>
    </row>
    <row r="2264" spans="1:11" s="16" customFormat="1" ht="25.5" outlineLevel="3">
      <c r="A2264" s="14"/>
      <c r="B2264" s="35"/>
      <c r="C2264" s="242" t="s">
        <v>96</v>
      </c>
      <c r="D2264" s="230" t="s">
        <v>28</v>
      </c>
      <c r="E2264" s="247">
        <v>1</v>
      </c>
      <c r="F2264" s="232">
        <v>0</v>
      </c>
      <c r="G2264" s="232">
        <v>0</v>
      </c>
      <c r="H2264" s="138">
        <f t="shared" si="221"/>
        <v>0</v>
      </c>
      <c r="I2264" s="138">
        <f t="shared" si="222"/>
        <v>0</v>
      </c>
      <c r="J2264" s="47"/>
      <c r="K2264" s="15"/>
    </row>
    <row r="2265" spans="1:11" s="16" customFormat="1" ht="25.5" outlineLevel="3">
      <c r="A2265" s="14"/>
      <c r="B2265" s="35"/>
      <c r="C2265" s="242" t="s">
        <v>97</v>
      </c>
      <c r="D2265" s="230" t="s">
        <v>28</v>
      </c>
      <c r="E2265" s="247">
        <v>1</v>
      </c>
      <c r="F2265" s="232">
        <v>0</v>
      </c>
      <c r="G2265" s="232">
        <v>0</v>
      </c>
      <c r="H2265" s="138">
        <f t="shared" si="221"/>
        <v>0</v>
      </c>
      <c r="I2265" s="138">
        <f t="shared" si="222"/>
        <v>0</v>
      </c>
      <c r="J2265" s="47"/>
      <c r="K2265" s="15"/>
    </row>
    <row r="2266" spans="1:11" s="16" customFormat="1" ht="25.5" outlineLevel="3">
      <c r="A2266" s="14"/>
      <c r="B2266" s="35"/>
      <c r="C2266" s="242" t="s">
        <v>98</v>
      </c>
      <c r="D2266" s="230" t="s">
        <v>28</v>
      </c>
      <c r="E2266" s="247">
        <v>1</v>
      </c>
      <c r="F2266" s="232">
        <v>0</v>
      </c>
      <c r="G2266" s="232">
        <v>0</v>
      </c>
      <c r="H2266" s="138">
        <f t="shared" si="221"/>
        <v>0</v>
      </c>
      <c r="I2266" s="138">
        <f t="shared" si="222"/>
        <v>0</v>
      </c>
      <c r="J2266" s="47"/>
      <c r="K2266" s="15"/>
    </row>
    <row r="2267" spans="1:11" s="16" customFormat="1" ht="25.5" outlineLevel="3">
      <c r="A2267" s="14"/>
      <c r="B2267" s="35"/>
      <c r="C2267" s="241" t="s">
        <v>148</v>
      </c>
      <c r="D2267" s="315"/>
      <c r="E2267" s="247"/>
      <c r="F2267" s="232">
        <v>0</v>
      </c>
      <c r="G2267" s="232">
        <v>0</v>
      </c>
      <c r="H2267" s="295"/>
      <c r="I2267" s="180"/>
      <c r="J2267" s="47"/>
      <c r="K2267" s="15"/>
    </row>
    <row r="2268" spans="1:11" s="16" customFormat="1" ht="25.5" outlineLevel="3">
      <c r="A2268" s="14"/>
      <c r="B2268" s="35"/>
      <c r="C2268" s="314" t="s">
        <v>155</v>
      </c>
      <c r="D2268" s="230" t="s">
        <v>28</v>
      </c>
      <c r="E2268" s="247">
        <v>2</v>
      </c>
      <c r="F2268" s="232">
        <v>0</v>
      </c>
      <c r="G2268" s="232">
        <v>0</v>
      </c>
      <c r="H2268" s="138">
        <f>G2268+F2268</f>
        <v>0</v>
      </c>
      <c r="I2268" s="138">
        <f>H2268*E2268</f>
        <v>0</v>
      </c>
      <c r="J2268" s="47"/>
      <c r="K2268" s="15"/>
    </row>
    <row r="2269" spans="1:11" s="16" customFormat="1" ht="25.5" outlineLevel="3">
      <c r="A2269" s="14"/>
      <c r="B2269" s="35"/>
      <c r="C2269" s="314" t="s">
        <v>150</v>
      </c>
      <c r="D2269" s="230" t="s">
        <v>28</v>
      </c>
      <c r="E2269" s="247">
        <v>1</v>
      </c>
      <c r="F2269" s="232">
        <v>0</v>
      </c>
      <c r="G2269" s="232">
        <v>0</v>
      </c>
      <c r="H2269" s="138">
        <f>G2269+F2269</f>
        <v>0</v>
      </c>
      <c r="I2269" s="138">
        <f>H2269*E2269</f>
        <v>0</v>
      </c>
      <c r="J2269" s="47"/>
      <c r="K2269" s="15"/>
    </row>
    <row r="2270" spans="1:11" s="16" customFormat="1" ht="25.5" outlineLevel="3">
      <c r="A2270" s="14"/>
      <c r="B2270" s="35"/>
      <c r="C2270" s="314" t="s">
        <v>272</v>
      </c>
      <c r="D2270" s="230" t="s">
        <v>28</v>
      </c>
      <c r="E2270" s="247">
        <v>1</v>
      </c>
      <c r="F2270" s="232">
        <v>0</v>
      </c>
      <c r="G2270" s="232">
        <v>0</v>
      </c>
      <c r="H2270" s="138">
        <f>G2270+F2270</f>
        <v>0</v>
      </c>
      <c r="I2270" s="138">
        <f>H2270*E2270</f>
        <v>0</v>
      </c>
      <c r="J2270" s="47"/>
      <c r="K2270" s="15"/>
    </row>
    <row r="2271" spans="1:11" s="16" customFormat="1" ht="25.5" outlineLevel="3">
      <c r="A2271" s="14"/>
      <c r="B2271" s="35"/>
      <c r="C2271" s="314" t="s">
        <v>203</v>
      </c>
      <c r="D2271" s="230" t="s">
        <v>28</v>
      </c>
      <c r="E2271" s="247">
        <v>1</v>
      </c>
      <c r="F2271" s="232">
        <v>0</v>
      </c>
      <c r="G2271" s="232">
        <v>0</v>
      </c>
      <c r="H2271" s="138">
        <f>G2271+F2271</f>
        <v>0</v>
      </c>
      <c r="I2271" s="138">
        <f>H2271*E2271</f>
        <v>0</v>
      </c>
      <c r="J2271" s="47"/>
      <c r="K2271" s="15"/>
    </row>
    <row r="2272" spans="1:11" s="16" customFormat="1" ht="25.5" outlineLevel="3">
      <c r="A2272" s="14"/>
      <c r="B2272" s="35"/>
      <c r="C2272" s="242" t="s">
        <v>161</v>
      </c>
      <c r="D2272" s="230" t="s">
        <v>122</v>
      </c>
      <c r="E2272" s="247">
        <v>1</v>
      </c>
      <c r="F2272" s="232">
        <v>0</v>
      </c>
      <c r="G2272" s="232">
        <v>0</v>
      </c>
      <c r="H2272" s="138">
        <f>G2272+F2272</f>
        <v>0</v>
      </c>
      <c r="I2272" s="138">
        <f>H2272*E2272</f>
        <v>0</v>
      </c>
      <c r="J2272" s="47"/>
      <c r="K2272" s="15"/>
    </row>
    <row r="2273" spans="1:11" s="16" customFormat="1" ht="25.5" outlineLevel="3">
      <c r="A2273" s="14"/>
      <c r="B2273" s="35"/>
      <c r="C2273" s="316" t="s">
        <v>1148</v>
      </c>
      <c r="D2273" s="230"/>
      <c r="E2273" s="247"/>
      <c r="F2273" s="232">
        <v>0</v>
      </c>
      <c r="G2273" s="232">
        <v>0</v>
      </c>
      <c r="H2273" s="295"/>
      <c r="I2273" s="180"/>
      <c r="J2273" s="47"/>
      <c r="K2273" s="15"/>
    </row>
    <row r="2274" spans="1:11" s="16" customFormat="1" ht="25.5" outlineLevel="3">
      <c r="A2274" s="14"/>
      <c r="B2274" s="35"/>
      <c r="C2274" s="314" t="s">
        <v>1126</v>
      </c>
      <c r="D2274" s="230" t="s">
        <v>28</v>
      </c>
      <c r="E2274" s="247">
        <v>6</v>
      </c>
      <c r="F2274" s="232">
        <v>0</v>
      </c>
      <c r="G2274" s="232">
        <v>0</v>
      </c>
      <c r="H2274" s="138">
        <f t="shared" ref="H2274:H2279" si="223">G2274+F2274</f>
        <v>0</v>
      </c>
      <c r="I2274" s="138">
        <f t="shared" ref="I2274:I2279" si="224">H2274*E2274</f>
        <v>0</v>
      </c>
      <c r="J2274" s="47"/>
      <c r="K2274" s="15"/>
    </row>
    <row r="2275" spans="1:11" s="16" customFormat="1" ht="25.5" outlineLevel="3">
      <c r="A2275" s="14"/>
      <c r="B2275" s="35"/>
      <c r="C2275" s="242" t="s">
        <v>266</v>
      </c>
      <c r="D2275" s="230" t="s">
        <v>28</v>
      </c>
      <c r="E2275" s="247">
        <v>6</v>
      </c>
      <c r="F2275" s="232">
        <v>0</v>
      </c>
      <c r="G2275" s="232">
        <v>0</v>
      </c>
      <c r="H2275" s="138">
        <f t="shared" si="223"/>
        <v>0</v>
      </c>
      <c r="I2275" s="138">
        <f t="shared" si="224"/>
        <v>0</v>
      </c>
      <c r="J2275" s="47"/>
      <c r="K2275" s="15"/>
    </row>
    <row r="2276" spans="1:11" s="16" customFormat="1" ht="25.5" outlineLevel="3">
      <c r="A2276" s="14"/>
      <c r="B2276" s="35"/>
      <c r="C2276" s="242" t="s">
        <v>1149</v>
      </c>
      <c r="D2276" s="230" t="s">
        <v>28</v>
      </c>
      <c r="E2276" s="247">
        <v>2</v>
      </c>
      <c r="F2276" s="232">
        <v>0</v>
      </c>
      <c r="G2276" s="232">
        <v>0</v>
      </c>
      <c r="H2276" s="138">
        <f t="shared" si="223"/>
        <v>0</v>
      </c>
      <c r="I2276" s="138">
        <f t="shared" si="224"/>
        <v>0</v>
      </c>
      <c r="J2276" s="47"/>
      <c r="K2276" s="15"/>
    </row>
    <row r="2277" spans="1:11" s="16" customFormat="1" ht="25.5" outlineLevel="3">
      <c r="A2277" s="14"/>
      <c r="B2277" s="35"/>
      <c r="C2277" s="274" t="s">
        <v>1128</v>
      </c>
      <c r="D2277" s="230" t="s">
        <v>38</v>
      </c>
      <c r="E2277" s="247">
        <v>2</v>
      </c>
      <c r="F2277" s="232">
        <v>0</v>
      </c>
      <c r="G2277" s="232">
        <v>0</v>
      </c>
      <c r="H2277" s="138">
        <f t="shared" si="223"/>
        <v>0</v>
      </c>
      <c r="I2277" s="138">
        <f t="shared" si="224"/>
        <v>0</v>
      </c>
      <c r="J2277" s="47"/>
      <c r="K2277" s="15"/>
    </row>
    <row r="2278" spans="1:11" s="16" customFormat="1" ht="25.5" outlineLevel="3">
      <c r="A2278" s="14"/>
      <c r="B2278" s="35"/>
      <c r="C2278" s="229" t="s">
        <v>139</v>
      </c>
      <c r="D2278" s="230" t="s">
        <v>38</v>
      </c>
      <c r="E2278" s="247">
        <v>1</v>
      </c>
      <c r="F2278" s="232">
        <v>0</v>
      </c>
      <c r="G2278" s="232">
        <v>0</v>
      </c>
      <c r="H2278" s="138">
        <f t="shared" si="223"/>
        <v>0</v>
      </c>
      <c r="I2278" s="138">
        <f t="shared" si="224"/>
        <v>0</v>
      </c>
      <c r="J2278" s="47"/>
      <c r="K2278" s="15"/>
    </row>
    <row r="2279" spans="1:11" s="16" customFormat="1" ht="25.5" outlineLevel="3">
      <c r="A2279" s="14"/>
      <c r="B2279" s="35">
        <f>MAXA(B$5:B2278)+1</f>
        <v>872</v>
      </c>
      <c r="C2279" s="242" t="s">
        <v>1150</v>
      </c>
      <c r="D2279" s="230" t="s">
        <v>38</v>
      </c>
      <c r="E2279" s="247">
        <v>1</v>
      </c>
      <c r="F2279" s="232">
        <v>212453081</v>
      </c>
      <c r="G2279" s="232">
        <v>10421250</v>
      </c>
      <c r="H2279" s="138">
        <f t="shared" si="223"/>
        <v>222874331</v>
      </c>
      <c r="I2279" s="138">
        <f t="shared" si="224"/>
        <v>222874331</v>
      </c>
      <c r="J2279" s="47"/>
      <c r="K2279" s="15"/>
    </row>
    <row r="2280" spans="1:11" s="16" customFormat="1" ht="25.5" outlineLevel="3">
      <c r="A2280" s="14"/>
      <c r="B2280" s="35"/>
      <c r="C2280" s="241" t="s">
        <v>141</v>
      </c>
      <c r="D2280" s="244"/>
      <c r="E2280" s="247"/>
      <c r="F2280" s="232">
        <v>0</v>
      </c>
      <c r="G2280" s="232">
        <v>0</v>
      </c>
      <c r="H2280" s="295"/>
      <c r="I2280" s="180"/>
      <c r="J2280" s="47"/>
      <c r="K2280" s="15"/>
    </row>
    <row r="2281" spans="1:11" s="16" customFormat="1" ht="25.5" outlineLevel="3">
      <c r="A2281" s="14"/>
      <c r="B2281" s="35"/>
      <c r="C2281" s="314" t="s">
        <v>1151</v>
      </c>
      <c r="D2281" s="230" t="s">
        <v>28</v>
      </c>
      <c r="E2281" s="247">
        <v>1</v>
      </c>
      <c r="F2281" s="232">
        <v>0</v>
      </c>
      <c r="G2281" s="232">
        <v>0</v>
      </c>
      <c r="H2281" s="138">
        <f t="shared" ref="H2281:H2291" si="225">G2281+F2281</f>
        <v>0</v>
      </c>
      <c r="I2281" s="138">
        <f t="shared" ref="I2281:I2291" si="226">H2281*E2281</f>
        <v>0</v>
      </c>
      <c r="J2281" s="47"/>
      <c r="K2281" s="15"/>
    </row>
    <row r="2282" spans="1:11" s="16" customFormat="1" ht="25.5" outlineLevel="3">
      <c r="A2282" s="14"/>
      <c r="B2282" s="35"/>
      <c r="C2282" s="242" t="s">
        <v>94</v>
      </c>
      <c r="D2282" s="230" t="s">
        <v>28</v>
      </c>
      <c r="E2282" s="247">
        <v>9</v>
      </c>
      <c r="F2282" s="232">
        <v>0</v>
      </c>
      <c r="G2282" s="232">
        <v>0</v>
      </c>
      <c r="H2282" s="138">
        <f t="shared" si="225"/>
        <v>0</v>
      </c>
      <c r="I2282" s="138">
        <f t="shared" si="226"/>
        <v>0</v>
      </c>
      <c r="J2282" s="47"/>
      <c r="K2282" s="15"/>
    </row>
    <row r="2283" spans="1:11" s="16" customFormat="1" ht="25.5" outlineLevel="3">
      <c r="A2283" s="14"/>
      <c r="B2283" s="35"/>
      <c r="C2283" s="242" t="s">
        <v>95</v>
      </c>
      <c r="D2283" s="230" t="s">
        <v>28</v>
      </c>
      <c r="E2283" s="247">
        <v>9</v>
      </c>
      <c r="F2283" s="232">
        <v>0</v>
      </c>
      <c r="G2283" s="232">
        <v>0</v>
      </c>
      <c r="H2283" s="138">
        <f t="shared" si="225"/>
        <v>0</v>
      </c>
      <c r="I2283" s="138">
        <f t="shared" si="226"/>
        <v>0</v>
      </c>
      <c r="J2283" s="47"/>
      <c r="K2283" s="15"/>
    </row>
    <row r="2284" spans="1:11" s="16" customFormat="1" ht="25.5" outlineLevel="3">
      <c r="A2284" s="14"/>
      <c r="B2284" s="35"/>
      <c r="C2284" s="242" t="s">
        <v>96</v>
      </c>
      <c r="D2284" s="230" t="s">
        <v>28</v>
      </c>
      <c r="E2284" s="247">
        <v>2</v>
      </c>
      <c r="F2284" s="232">
        <v>0</v>
      </c>
      <c r="G2284" s="232">
        <v>0</v>
      </c>
      <c r="H2284" s="138">
        <f t="shared" si="225"/>
        <v>0</v>
      </c>
      <c r="I2284" s="138">
        <f t="shared" si="226"/>
        <v>0</v>
      </c>
      <c r="J2284" s="47"/>
      <c r="K2284" s="15"/>
    </row>
    <row r="2285" spans="1:11" s="16" customFormat="1" ht="25.5" outlineLevel="3">
      <c r="A2285" s="14"/>
      <c r="B2285" s="35"/>
      <c r="C2285" s="242" t="s">
        <v>97</v>
      </c>
      <c r="D2285" s="230" t="s">
        <v>28</v>
      </c>
      <c r="E2285" s="247">
        <v>2</v>
      </c>
      <c r="F2285" s="232">
        <v>0</v>
      </c>
      <c r="G2285" s="232">
        <v>0</v>
      </c>
      <c r="H2285" s="138">
        <f t="shared" si="225"/>
        <v>0</v>
      </c>
      <c r="I2285" s="138">
        <f t="shared" si="226"/>
        <v>0</v>
      </c>
      <c r="J2285" s="47"/>
      <c r="K2285" s="15"/>
    </row>
    <row r="2286" spans="1:11" s="16" customFormat="1" ht="25.5" outlineLevel="3">
      <c r="A2286" s="14"/>
      <c r="B2286" s="35"/>
      <c r="C2286" s="242" t="s">
        <v>98</v>
      </c>
      <c r="D2286" s="230" t="s">
        <v>28</v>
      </c>
      <c r="E2286" s="247">
        <v>2</v>
      </c>
      <c r="F2286" s="232">
        <v>0</v>
      </c>
      <c r="G2286" s="232">
        <v>0</v>
      </c>
      <c r="H2286" s="138">
        <f t="shared" si="225"/>
        <v>0</v>
      </c>
      <c r="I2286" s="138">
        <f t="shared" si="226"/>
        <v>0</v>
      </c>
      <c r="J2286" s="47"/>
      <c r="K2286" s="15"/>
    </row>
    <row r="2287" spans="1:11" s="16" customFormat="1" ht="25.5" outlineLevel="3">
      <c r="A2287" s="14"/>
      <c r="B2287" s="35"/>
      <c r="C2287" s="242" t="s">
        <v>143</v>
      </c>
      <c r="D2287" s="230" t="s">
        <v>28</v>
      </c>
      <c r="E2287" s="247">
        <v>1</v>
      </c>
      <c r="F2287" s="232">
        <v>0</v>
      </c>
      <c r="G2287" s="232">
        <v>0</v>
      </c>
      <c r="H2287" s="138">
        <f t="shared" si="225"/>
        <v>0</v>
      </c>
      <c r="I2287" s="138">
        <f t="shared" si="226"/>
        <v>0</v>
      </c>
      <c r="J2287" s="47"/>
      <c r="K2287" s="15"/>
    </row>
    <row r="2288" spans="1:11" s="16" customFormat="1" ht="25.5" outlineLevel="3">
      <c r="A2288" s="14"/>
      <c r="B2288" s="35"/>
      <c r="C2288" s="242" t="s">
        <v>144</v>
      </c>
      <c r="D2288" s="230" t="s">
        <v>28</v>
      </c>
      <c r="E2288" s="247">
        <v>1</v>
      </c>
      <c r="F2288" s="232">
        <v>0</v>
      </c>
      <c r="G2288" s="232">
        <v>0</v>
      </c>
      <c r="H2288" s="138">
        <f t="shared" si="225"/>
        <v>0</v>
      </c>
      <c r="I2288" s="138">
        <f t="shared" si="226"/>
        <v>0</v>
      </c>
      <c r="J2288" s="47"/>
      <c r="K2288" s="15"/>
    </row>
    <row r="2289" spans="1:11" s="16" customFormat="1" ht="25.5" outlineLevel="3">
      <c r="A2289" s="14"/>
      <c r="B2289" s="35"/>
      <c r="C2289" s="242" t="s">
        <v>1152</v>
      </c>
      <c r="D2289" s="230" t="s">
        <v>28</v>
      </c>
      <c r="E2289" s="247">
        <v>1</v>
      </c>
      <c r="F2289" s="232">
        <v>0</v>
      </c>
      <c r="G2289" s="232">
        <v>0</v>
      </c>
      <c r="H2289" s="138">
        <f t="shared" si="225"/>
        <v>0</v>
      </c>
      <c r="I2289" s="138">
        <f t="shared" si="226"/>
        <v>0</v>
      </c>
      <c r="J2289" s="47"/>
      <c r="K2289" s="15"/>
    </row>
    <row r="2290" spans="1:11" s="16" customFormat="1" ht="25.5" outlineLevel="3">
      <c r="A2290" s="14"/>
      <c r="B2290" s="35"/>
      <c r="C2290" s="242" t="s">
        <v>146</v>
      </c>
      <c r="D2290" s="230" t="s">
        <v>28</v>
      </c>
      <c r="E2290" s="247">
        <v>1</v>
      </c>
      <c r="F2290" s="232">
        <v>0</v>
      </c>
      <c r="G2290" s="232">
        <v>0</v>
      </c>
      <c r="H2290" s="138">
        <f t="shared" si="225"/>
        <v>0</v>
      </c>
      <c r="I2290" s="138">
        <f t="shared" si="226"/>
        <v>0</v>
      </c>
      <c r="J2290" s="47"/>
      <c r="K2290" s="15"/>
    </row>
    <row r="2291" spans="1:11" s="16" customFormat="1" ht="25.5" outlineLevel="3">
      <c r="A2291" s="14"/>
      <c r="B2291" s="35"/>
      <c r="C2291" s="229" t="s">
        <v>108</v>
      </c>
      <c r="D2291" s="230" t="s">
        <v>28</v>
      </c>
      <c r="E2291" s="247">
        <v>3</v>
      </c>
      <c r="F2291" s="232">
        <v>0</v>
      </c>
      <c r="G2291" s="232">
        <v>0</v>
      </c>
      <c r="H2291" s="138">
        <f t="shared" si="225"/>
        <v>0</v>
      </c>
      <c r="I2291" s="138">
        <f t="shared" si="226"/>
        <v>0</v>
      </c>
      <c r="J2291" s="47"/>
      <c r="K2291" s="15"/>
    </row>
    <row r="2292" spans="1:11" s="16" customFormat="1" ht="25.5" outlineLevel="3">
      <c r="A2292" s="14"/>
      <c r="B2292" s="35"/>
      <c r="C2292" s="241" t="s">
        <v>148</v>
      </c>
      <c r="D2292" s="315"/>
      <c r="E2292" s="247"/>
      <c r="F2292" s="232">
        <v>0</v>
      </c>
      <c r="G2292" s="232">
        <v>0</v>
      </c>
      <c r="H2292" s="295"/>
      <c r="I2292" s="180"/>
      <c r="J2292" s="47"/>
      <c r="K2292" s="15"/>
    </row>
    <row r="2293" spans="1:11" s="16" customFormat="1" ht="25.5" outlineLevel="3">
      <c r="A2293" s="14"/>
      <c r="B2293" s="35"/>
      <c r="C2293" s="314" t="s">
        <v>1153</v>
      </c>
      <c r="D2293" s="230" t="s">
        <v>28</v>
      </c>
      <c r="E2293" s="247">
        <v>2</v>
      </c>
      <c r="F2293" s="232">
        <v>0</v>
      </c>
      <c r="G2293" s="232">
        <v>0</v>
      </c>
      <c r="H2293" s="138">
        <f t="shared" ref="H2293:H2299" si="227">G2293+F2293</f>
        <v>0</v>
      </c>
      <c r="I2293" s="138">
        <f t="shared" ref="I2293:I2299" si="228">H2293*E2293</f>
        <v>0</v>
      </c>
      <c r="J2293" s="47"/>
      <c r="K2293" s="15"/>
    </row>
    <row r="2294" spans="1:11" s="16" customFormat="1" ht="25.5" outlineLevel="3">
      <c r="A2294" s="14"/>
      <c r="B2294" s="35"/>
      <c r="C2294" s="314" t="s">
        <v>200</v>
      </c>
      <c r="D2294" s="230" t="s">
        <v>28</v>
      </c>
      <c r="E2294" s="247">
        <v>7</v>
      </c>
      <c r="F2294" s="232">
        <v>0</v>
      </c>
      <c r="G2294" s="232">
        <v>0</v>
      </c>
      <c r="H2294" s="138">
        <f t="shared" si="227"/>
        <v>0</v>
      </c>
      <c r="I2294" s="138">
        <f t="shared" si="228"/>
        <v>0</v>
      </c>
      <c r="J2294" s="47"/>
      <c r="K2294" s="15"/>
    </row>
    <row r="2295" spans="1:11" s="16" customFormat="1" ht="25.5" outlineLevel="3">
      <c r="A2295" s="14"/>
      <c r="B2295" s="35"/>
      <c r="C2295" s="314" t="s">
        <v>1079</v>
      </c>
      <c r="D2295" s="230" t="s">
        <v>28</v>
      </c>
      <c r="E2295" s="247">
        <v>1</v>
      </c>
      <c r="F2295" s="232">
        <v>0</v>
      </c>
      <c r="G2295" s="232">
        <v>0</v>
      </c>
      <c r="H2295" s="138">
        <f t="shared" si="227"/>
        <v>0</v>
      </c>
      <c r="I2295" s="138">
        <f t="shared" si="228"/>
        <v>0</v>
      </c>
      <c r="J2295" s="47"/>
      <c r="K2295" s="15"/>
    </row>
    <row r="2296" spans="1:11" s="16" customFormat="1" ht="25.5" outlineLevel="3">
      <c r="A2296" s="14"/>
      <c r="B2296" s="35"/>
      <c r="C2296" s="314" t="s">
        <v>150</v>
      </c>
      <c r="D2296" s="230" t="s">
        <v>28</v>
      </c>
      <c r="E2296" s="247">
        <v>1</v>
      </c>
      <c r="F2296" s="232">
        <v>0</v>
      </c>
      <c r="G2296" s="232">
        <v>0</v>
      </c>
      <c r="H2296" s="138">
        <f t="shared" si="227"/>
        <v>0</v>
      </c>
      <c r="I2296" s="138">
        <f t="shared" si="228"/>
        <v>0</v>
      </c>
      <c r="J2296" s="47"/>
      <c r="K2296" s="15"/>
    </row>
    <row r="2297" spans="1:11" s="16" customFormat="1" ht="25.5" outlineLevel="3">
      <c r="A2297" s="14"/>
      <c r="B2297" s="35"/>
      <c r="C2297" s="314" t="s">
        <v>272</v>
      </c>
      <c r="D2297" s="230" t="s">
        <v>28</v>
      </c>
      <c r="E2297" s="247">
        <v>1</v>
      </c>
      <c r="F2297" s="232">
        <v>0</v>
      </c>
      <c r="G2297" s="232">
        <v>0</v>
      </c>
      <c r="H2297" s="138">
        <f t="shared" si="227"/>
        <v>0</v>
      </c>
      <c r="I2297" s="138">
        <f t="shared" si="228"/>
        <v>0</v>
      </c>
      <c r="J2297" s="47"/>
      <c r="K2297" s="15"/>
    </row>
    <row r="2298" spans="1:11" s="16" customFormat="1" ht="25.5" outlineLevel="3">
      <c r="A2298" s="14"/>
      <c r="B2298" s="35"/>
      <c r="C2298" s="314" t="s">
        <v>203</v>
      </c>
      <c r="D2298" s="230" t="s">
        <v>28</v>
      </c>
      <c r="E2298" s="247">
        <v>1</v>
      </c>
      <c r="F2298" s="232">
        <v>0</v>
      </c>
      <c r="G2298" s="232">
        <v>0</v>
      </c>
      <c r="H2298" s="138">
        <f t="shared" si="227"/>
        <v>0</v>
      </c>
      <c r="I2298" s="138">
        <f t="shared" si="228"/>
        <v>0</v>
      </c>
      <c r="J2298" s="47"/>
      <c r="K2298" s="15"/>
    </row>
    <row r="2299" spans="1:11" s="16" customFormat="1" ht="25.5" outlineLevel="3">
      <c r="A2299" s="14"/>
      <c r="B2299" s="35"/>
      <c r="C2299" s="242" t="s">
        <v>161</v>
      </c>
      <c r="D2299" s="230" t="s">
        <v>122</v>
      </c>
      <c r="E2299" s="247">
        <v>1</v>
      </c>
      <c r="F2299" s="232">
        <v>0</v>
      </c>
      <c r="G2299" s="232">
        <v>0</v>
      </c>
      <c r="H2299" s="138">
        <f t="shared" si="227"/>
        <v>0</v>
      </c>
      <c r="I2299" s="138">
        <f t="shared" si="228"/>
        <v>0</v>
      </c>
      <c r="J2299" s="47"/>
      <c r="K2299" s="15"/>
    </row>
    <row r="2300" spans="1:11" s="16" customFormat="1" ht="25.5" outlineLevel="3">
      <c r="A2300" s="14"/>
      <c r="B2300" s="35"/>
      <c r="C2300" s="316" t="s">
        <v>1154</v>
      </c>
      <c r="D2300" s="230"/>
      <c r="E2300" s="247"/>
      <c r="F2300" s="232">
        <v>0</v>
      </c>
      <c r="G2300" s="232">
        <v>0</v>
      </c>
      <c r="H2300" s="295"/>
      <c r="I2300" s="180"/>
      <c r="J2300" s="47"/>
      <c r="K2300" s="15"/>
    </row>
    <row r="2301" spans="1:11" s="16" customFormat="1" ht="25.5" outlineLevel="3">
      <c r="A2301" s="14"/>
      <c r="B2301" s="35"/>
      <c r="C2301" s="242" t="s">
        <v>1155</v>
      </c>
      <c r="D2301" s="230" t="s">
        <v>28</v>
      </c>
      <c r="E2301" s="247">
        <v>3</v>
      </c>
      <c r="F2301" s="232">
        <v>0</v>
      </c>
      <c r="G2301" s="232">
        <v>0</v>
      </c>
      <c r="H2301" s="138">
        <f>G2301+F2301</f>
        <v>0</v>
      </c>
      <c r="I2301" s="138">
        <f>H2301*E2301</f>
        <v>0</v>
      </c>
      <c r="J2301" s="47"/>
      <c r="K2301" s="15"/>
    </row>
    <row r="2302" spans="1:11" s="16" customFormat="1" ht="25.5" outlineLevel="3">
      <c r="A2302" s="14"/>
      <c r="B2302" s="35"/>
      <c r="C2302" s="274" t="s">
        <v>1146</v>
      </c>
      <c r="D2302" s="230" t="s">
        <v>38</v>
      </c>
      <c r="E2302" s="247">
        <v>1</v>
      </c>
      <c r="F2302" s="232">
        <v>0</v>
      </c>
      <c r="G2302" s="232">
        <v>0</v>
      </c>
      <c r="H2302" s="138">
        <f>G2302+F2302</f>
        <v>0</v>
      </c>
      <c r="I2302" s="138">
        <f>H2302*E2302</f>
        <v>0</v>
      </c>
      <c r="J2302" s="47"/>
      <c r="K2302" s="15"/>
    </row>
    <row r="2303" spans="1:11" s="16" customFormat="1" ht="25.5" outlineLevel="3">
      <c r="A2303" s="14"/>
      <c r="B2303" s="35"/>
      <c r="C2303" s="316" t="s">
        <v>1156</v>
      </c>
      <c r="D2303" s="230"/>
      <c r="E2303" s="247"/>
      <c r="F2303" s="232">
        <v>0</v>
      </c>
      <c r="G2303" s="232">
        <v>0</v>
      </c>
      <c r="H2303" s="295"/>
      <c r="I2303" s="180"/>
      <c r="J2303" s="47"/>
      <c r="K2303" s="15"/>
    </row>
    <row r="2304" spans="1:11" s="16" customFormat="1" ht="25.5" outlineLevel="3">
      <c r="A2304" s="14"/>
      <c r="B2304" s="35"/>
      <c r="C2304" s="314" t="s">
        <v>1126</v>
      </c>
      <c r="D2304" s="230" t="s">
        <v>28</v>
      </c>
      <c r="E2304" s="247">
        <v>9</v>
      </c>
      <c r="F2304" s="232">
        <v>0</v>
      </c>
      <c r="G2304" s="232">
        <v>0</v>
      </c>
      <c r="H2304" s="138">
        <f>G2304+F2304</f>
        <v>0</v>
      </c>
      <c r="I2304" s="138">
        <f>H2304*E2304</f>
        <v>0</v>
      </c>
      <c r="J2304" s="47"/>
      <c r="K2304" s="15"/>
    </row>
    <row r="2305" spans="1:14" s="16" customFormat="1" ht="25.5" outlineLevel="3">
      <c r="A2305" s="14"/>
      <c r="B2305" s="35"/>
      <c r="C2305" s="242" t="s">
        <v>266</v>
      </c>
      <c r="D2305" s="230" t="s">
        <v>28</v>
      </c>
      <c r="E2305" s="247">
        <v>9</v>
      </c>
      <c r="F2305" s="232">
        <v>0</v>
      </c>
      <c r="G2305" s="232">
        <v>0</v>
      </c>
      <c r="H2305" s="138">
        <f>G2305+F2305</f>
        <v>0</v>
      </c>
      <c r="I2305" s="138">
        <f>H2305*E2305</f>
        <v>0</v>
      </c>
      <c r="J2305" s="47"/>
      <c r="K2305" s="15"/>
    </row>
    <row r="2306" spans="1:14" s="16" customFormat="1" ht="25.5" outlineLevel="3">
      <c r="A2306" s="14"/>
      <c r="B2306" s="35"/>
      <c r="C2306" s="242" t="s">
        <v>1157</v>
      </c>
      <c r="D2306" s="230" t="s">
        <v>28</v>
      </c>
      <c r="E2306" s="247">
        <v>3</v>
      </c>
      <c r="F2306" s="232">
        <v>0</v>
      </c>
      <c r="G2306" s="232">
        <v>0</v>
      </c>
      <c r="H2306" s="138">
        <f>G2306+F2306</f>
        <v>0</v>
      </c>
      <c r="I2306" s="138">
        <f>H2306*E2306</f>
        <v>0</v>
      </c>
      <c r="J2306" s="47"/>
      <c r="K2306" s="15"/>
    </row>
    <row r="2307" spans="1:14" s="16" customFormat="1" ht="25.5" outlineLevel="3">
      <c r="A2307" s="14"/>
      <c r="B2307" s="35"/>
      <c r="C2307" s="274" t="s">
        <v>1128</v>
      </c>
      <c r="D2307" s="230" t="s">
        <v>38</v>
      </c>
      <c r="E2307" s="247">
        <v>1</v>
      </c>
      <c r="F2307" s="232">
        <v>0</v>
      </c>
      <c r="G2307" s="232">
        <v>0</v>
      </c>
      <c r="H2307" s="138">
        <f>G2307+F2307</f>
        <v>0</v>
      </c>
      <c r="I2307" s="138">
        <f>H2307*E2307</f>
        <v>0</v>
      </c>
      <c r="J2307" s="47"/>
      <c r="K2307" s="15"/>
    </row>
    <row r="2308" spans="1:14" s="16" customFormat="1" ht="25.5" outlineLevel="3">
      <c r="A2308" s="14"/>
      <c r="B2308" s="35"/>
      <c r="C2308" s="229" t="s">
        <v>139</v>
      </c>
      <c r="D2308" s="230" t="s">
        <v>38</v>
      </c>
      <c r="E2308" s="247">
        <v>1</v>
      </c>
      <c r="F2308" s="232">
        <v>0</v>
      </c>
      <c r="G2308" s="232">
        <v>0</v>
      </c>
      <c r="H2308" s="138">
        <f>G2308+F2308</f>
        <v>0</v>
      </c>
      <c r="I2308" s="138">
        <f>H2308*E2308</f>
        <v>0</v>
      </c>
      <c r="J2308" s="47"/>
      <c r="K2308" s="15"/>
    </row>
    <row r="2309" spans="1:14" s="16" customFormat="1" ht="27" outlineLevel="2">
      <c r="A2309" s="14" t="s">
        <v>154</v>
      </c>
      <c r="B2309" s="30" t="s">
        <v>563</v>
      </c>
      <c r="C2309" s="317" t="s">
        <v>1158</v>
      </c>
      <c r="D2309" s="212"/>
      <c r="E2309" s="228"/>
      <c r="F2309" s="232">
        <v>0</v>
      </c>
      <c r="G2309" s="232">
        <v>0</v>
      </c>
      <c r="H2309" s="295"/>
      <c r="I2309" s="180">
        <f>SUBTOTAL(9,I2310:I2335)</f>
        <v>1598291430</v>
      </c>
      <c r="J2309" s="47"/>
      <c r="K2309" s="15" t="s">
        <v>482</v>
      </c>
      <c r="L2309" s="16" t="s">
        <v>1159</v>
      </c>
      <c r="M2309" s="16" t="s">
        <v>563</v>
      </c>
      <c r="N2309" s="16" t="s">
        <v>563</v>
      </c>
    </row>
    <row r="2310" spans="1:14" s="16" customFormat="1" ht="25.5" outlineLevel="3">
      <c r="A2310" s="14"/>
      <c r="B2310" s="30"/>
      <c r="C2310" s="318" t="s">
        <v>1160</v>
      </c>
      <c r="D2310" s="233"/>
      <c r="E2310" s="319"/>
      <c r="F2310" s="232">
        <v>0</v>
      </c>
      <c r="G2310" s="232">
        <v>0</v>
      </c>
      <c r="H2310" s="295"/>
      <c r="I2310" s="180"/>
      <c r="J2310" s="47"/>
      <c r="K2310" s="15"/>
    </row>
    <row r="2311" spans="1:14" s="16" customFormat="1" ht="25.5" outlineLevel="3">
      <c r="A2311" s="14"/>
      <c r="B2311" s="35">
        <f>MAXA(B$5:B2310)+1</f>
        <v>873</v>
      </c>
      <c r="C2311" s="318" t="s">
        <v>1161</v>
      </c>
      <c r="D2311" s="233" t="s">
        <v>44</v>
      </c>
      <c r="E2311" s="320">
        <v>1</v>
      </c>
      <c r="F2311" s="232">
        <v>38647950</v>
      </c>
      <c r="G2311" s="232">
        <v>838663</v>
      </c>
      <c r="H2311" s="138">
        <f t="shared" ref="H2311:H2320" si="229">G2311+F2311</f>
        <v>39486613</v>
      </c>
      <c r="I2311" s="138">
        <f t="shared" ref="I2311:I2320" si="230">H2311*E2311</f>
        <v>39486613</v>
      </c>
      <c r="J2311" s="47"/>
      <c r="K2311" s="15"/>
    </row>
    <row r="2312" spans="1:14" s="16" customFormat="1" ht="25.5" outlineLevel="3">
      <c r="A2312" s="14"/>
      <c r="B2312" s="35">
        <f>MAXA(B$5:B2311)+1</f>
        <v>874</v>
      </c>
      <c r="C2312" s="318" t="s">
        <v>1162</v>
      </c>
      <c r="D2312" s="230" t="s">
        <v>38</v>
      </c>
      <c r="E2312" s="320">
        <v>1</v>
      </c>
      <c r="F2312" s="232">
        <v>14434205</v>
      </c>
      <c r="G2312" s="232">
        <v>2515988</v>
      </c>
      <c r="H2312" s="138">
        <f t="shared" si="229"/>
        <v>16950193</v>
      </c>
      <c r="I2312" s="138">
        <f t="shared" si="230"/>
        <v>16950193</v>
      </c>
      <c r="J2312" s="47"/>
      <c r="K2312" s="15"/>
    </row>
    <row r="2313" spans="1:14" s="16" customFormat="1" ht="25.5" outlineLevel="3">
      <c r="A2313" s="14"/>
      <c r="B2313" s="35">
        <f>MAXA(B$5:B2312)+1</f>
        <v>875</v>
      </c>
      <c r="C2313" s="318" t="s">
        <v>1163</v>
      </c>
      <c r="D2313" s="233" t="s">
        <v>44</v>
      </c>
      <c r="E2313" s="320">
        <v>6</v>
      </c>
      <c r="F2313" s="232">
        <v>1643699</v>
      </c>
      <c r="G2313" s="232">
        <v>251599</v>
      </c>
      <c r="H2313" s="138">
        <f t="shared" si="229"/>
        <v>1895298</v>
      </c>
      <c r="I2313" s="138">
        <f t="shared" si="230"/>
        <v>11371788</v>
      </c>
      <c r="J2313" s="47"/>
      <c r="K2313" s="15"/>
    </row>
    <row r="2314" spans="1:14" s="16" customFormat="1" ht="25.5" outlineLevel="3">
      <c r="A2314" s="14"/>
      <c r="B2314" s="35">
        <f>MAXA(B$5:B2313)+1</f>
        <v>876</v>
      </c>
      <c r="C2314" s="318" t="s">
        <v>1164</v>
      </c>
      <c r="D2314" s="233" t="s">
        <v>44</v>
      </c>
      <c r="E2314" s="320">
        <v>1</v>
      </c>
      <c r="F2314" s="232">
        <v>5520047</v>
      </c>
      <c r="G2314" s="232">
        <v>251599</v>
      </c>
      <c r="H2314" s="138">
        <f t="shared" si="229"/>
        <v>5771646</v>
      </c>
      <c r="I2314" s="138">
        <f t="shared" si="230"/>
        <v>5771646</v>
      </c>
      <c r="J2314" s="47"/>
      <c r="K2314" s="15"/>
    </row>
    <row r="2315" spans="1:14" s="16" customFormat="1" ht="25.5" outlineLevel="3">
      <c r="A2315" s="14"/>
      <c r="B2315" s="35">
        <f>MAXA(B$5:B2314)+1</f>
        <v>877</v>
      </c>
      <c r="C2315" s="318" t="s">
        <v>1165</v>
      </c>
      <c r="D2315" s="233" t="s">
        <v>44</v>
      </c>
      <c r="E2315" s="320">
        <v>1</v>
      </c>
      <c r="F2315" s="232">
        <v>5520047</v>
      </c>
      <c r="G2315" s="232">
        <v>251599</v>
      </c>
      <c r="H2315" s="138">
        <f t="shared" si="229"/>
        <v>5771646</v>
      </c>
      <c r="I2315" s="138">
        <f t="shared" si="230"/>
        <v>5771646</v>
      </c>
      <c r="J2315" s="47"/>
      <c r="K2315" s="15"/>
    </row>
    <row r="2316" spans="1:14" s="16" customFormat="1" ht="25.5" outlineLevel="3">
      <c r="A2316" s="14"/>
      <c r="B2316" s="35">
        <f>MAXA(B$5:B2315)+1</f>
        <v>878</v>
      </c>
      <c r="C2316" s="318" t="s">
        <v>1166</v>
      </c>
      <c r="D2316" s="233" t="s">
        <v>44</v>
      </c>
      <c r="E2316" s="321">
        <v>1</v>
      </c>
      <c r="F2316" s="232">
        <v>70745400</v>
      </c>
      <c r="G2316" s="232">
        <v>251599</v>
      </c>
      <c r="H2316" s="138">
        <f t="shared" si="229"/>
        <v>70996999</v>
      </c>
      <c r="I2316" s="138">
        <f t="shared" si="230"/>
        <v>70996999</v>
      </c>
      <c r="J2316" s="47"/>
      <c r="K2316" s="15"/>
    </row>
    <row r="2317" spans="1:14" s="16" customFormat="1" ht="25.5" outlineLevel="3">
      <c r="A2317" s="14"/>
      <c r="B2317" s="35">
        <f>MAXA(B$5:B2316)+1</f>
        <v>879</v>
      </c>
      <c r="C2317" s="318" t="s">
        <v>1167</v>
      </c>
      <c r="D2317" s="233" t="s">
        <v>44</v>
      </c>
      <c r="E2317" s="321">
        <v>6</v>
      </c>
      <c r="F2317" s="232">
        <v>3755342</v>
      </c>
      <c r="G2317" s="232">
        <v>251599</v>
      </c>
      <c r="H2317" s="138">
        <f t="shared" si="229"/>
        <v>4006941</v>
      </c>
      <c r="I2317" s="138">
        <f t="shared" si="230"/>
        <v>24041646</v>
      </c>
      <c r="J2317" s="47"/>
      <c r="K2317" s="15"/>
    </row>
    <row r="2318" spans="1:14" s="16" customFormat="1" ht="25.5" outlineLevel="3">
      <c r="A2318" s="14"/>
      <c r="B2318" s="35">
        <f>MAXA(B$5:B2317)+1</f>
        <v>880</v>
      </c>
      <c r="C2318" s="274" t="s">
        <v>1168</v>
      </c>
      <c r="D2318" s="233" t="s">
        <v>44</v>
      </c>
      <c r="E2318" s="320">
        <v>2</v>
      </c>
      <c r="F2318" s="232">
        <v>4847370</v>
      </c>
      <c r="G2318" s="232">
        <v>251599</v>
      </c>
      <c r="H2318" s="138">
        <f t="shared" si="229"/>
        <v>5098969</v>
      </c>
      <c r="I2318" s="138">
        <f t="shared" si="230"/>
        <v>10197938</v>
      </c>
      <c r="J2318" s="47"/>
      <c r="K2318" s="15"/>
    </row>
    <row r="2319" spans="1:14" s="16" customFormat="1" ht="25.5" outlineLevel="3">
      <c r="A2319" s="14"/>
      <c r="B2319" s="35">
        <f>MAXA(B$5:B2318)+1</f>
        <v>881</v>
      </c>
      <c r="C2319" s="318" t="s">
        <v>1169</v>
      </c>
      <c r="D2319" s="233" t="s">
        <v>44</v>
      </c>
      <c r="E2319" s="321">
        <v>1</v>
      </c>
      <c r="F2319" s="232">
        <v>15896039</v>
      </c>
      <c r="G2319" s="232">
        <v>251599</v>
      </c>
      <c r="H2319" s="138">
        <f t="shared" si="229"/>
        <v>16147638</v>
      </c>
      <c r="I2319" s="138">
        <f t="shared" si="230"/>
        <v>16147638</v>
      </c>
      <c r="J2319" s="47"/>
      <c r="K2319" s="15"/>
    </row>
    <row r="2320" spans="1:14" s="16" customFormat="1" ht="25.5" outlineLevel="3">
      <c r="A2320" s="14"/>
      <c r="B2320" s="35">
        <f>MAXA(B$5:B2319)+1</f>
        <v>882</v>
      </c>
      <c r="C2320" s="318" t="s">
        <v>1170</v>
      </c>
      <c r="D2320" s="233" t="s">
        <v>44</v>
      </c>
      <c r="E2320" s="321">
        <v>1</v>
      </c>
      <c r="F2320" s="232">
        <v>15896039</v>
      </c>
      <c r="G2320" s="232">
        <v>251599</v>
      </c>
      <c r="H2320" s="138">
        <f t="shared" si="229"/>
        <v>16147638</v>
      </c>
      <c r="I2320" s="138">
        <f t="shared" si="230"/>
        <v>16147638</v>
      </c>
      <c r="J2320" s="47"/>
      <c r="K2320" s="15"/>
    </row>
    <row r="2321" spans="1:14" s="16" customFormat="1" ht="25.5" outlineLevel="3">
      <c r="A2321" s="14"/>
      <c r="B2321" s="35"/>
      <c r="C2321" s="318" t="s">
        <v>1171</v>
      </c>
      <c r="D2321" s="233"/>
      <c r="E2321" s="321"/>
      <c r="F2321" s="232">
        <v>0</v>
      </c>
      <c r="G2321" s="232">
        <v>0</v>
      </c>
      <c r="H2321" s="295"/>
      <c r="I2321" s="180"/>
      <c r="J2321" s="47"/>
      <c r="K2321" s="15"/>
    </row>
    <row r="2322" spans="1:14" s="16" customFormat="1" ht="38.25" outlineLevel="3">
      <c r="A2322" s="14"/>
      <c r="B2322" s="35">
        <f>MAXA(B$5:B2321)+1</f>
        <v>883</v>
      </c>
      <c r="C2322" s="318" t="s">
        <v>1172</v>
      </c>
      <c r="D2322" s="233" t="s">
        <v>44</v>
      </c>
      <c r="E2322" s="321">
        <v>1</v>
      </c>
      <c r="F2322" s="232">
        <v>54500160</v>
      </c>
      <c r="G2322" s="232">
        <v>2515988</v>
      </c>
      <c r="H2322" s="138">
        <f>G2322+F2322</f>
        <v>57016148</v>
      </c>
      <c r="I2322" s="138">
        <f>H2322*E2322</f>
        <v>57016148</v>
      </c>
      <c r="J2322" s="47"/>
      <c r="K2322" s="15"/>
    </row>
    <row r="2323" spans="1:14" s="16" customFormat="1" ht="51" outlineLevel="3">
      <c r="A2323" s="14"/>
      <c r="B2323" s="35">
        <f>MAXA(B$5:B2322)+1</f>
        <v>884</v>
      </c>
      <c r="C2323" s="322" t="s">
        <v>1173</v>
      </c>
      <c r="D2323" s="233" t="s">
        <v>44</v>
      </c>
      <c r="E2323" s="321">
        <v>98</v>
      </c>
      <c r="F2323" s="232">
        <v>2307324</v>
      </c>
      <c r="G2323" s="232">
        <v>419331</v>
      </c>
      <c r="H2323" s="138">
        <f>G2323+F2323</f>
        <v>2726655</v>
      </c>
      <c r="I2323" s="138">
        <f>H2323*E2323</f>
        <v>267212190</v>
      </c>
      <c r="J2323" s="47"/>
      <c r="K2323" s="15"/>
    </row>
    <row r="2324" spans="1:14" s="16" customFormat="1" ht="25.5" outlineLevel="3">
      <c r="A2324" s="14"/>
      <c r="B2324" s="35">
        <f>MAXA(B$5:B2323)+1</f>
        <v>885</v>
      </c>
      <c r="C2324" s="323" t="s">
        <v>1174</v>
      </c>
      <c r="D2324" s="233" t="s">
        <v>44</v>
      </c>
      <c r="E2324" s="321">
        <v>98</v>
      </c>
      <c r="F2324" s="232">
        <v>1441110</v>
      </c>
      <c r="G2324" s="232">
        <v>251599</v>
      </c>
      <c r="H2324" s="138">
        <f>G2324+F2324</f>
        <v>1692709</v>
      </c>
      <c r="I2324" s="138">
        <f>H2324*E2324</f>
        <v>165885482</v>
      </c>
      <c r="J2324" s="47"/>
      <c r="K2324" s="15"/>
    </row>
    <row r="2325" spans="1:14" s="16" customFormat="1" ht="25.5" outlineLevel="3">
      <c r="A2325" s="14"/>
      <c r="B2325" s="30"/>
      <c r="C2325" s="318" t="s">
        <v>1175</v>
      </c>
      <c r="D2325" s="233"/>
      <c r="E2325" s="319"/>
      <c r="F2325" s="232">
        <v>0</v>
      </c>
      <c r="G2325" s="232">
        <v>0</v>
      </c>
      <c r="H2325" s="295"/>
      <c r="I2325" s="180"/>
      <c r="J2325" s="47"/>
      <c r="K2325" s="15"/>
    </row>
    <row r="2326" spans="1:14" s="16" customFormat="1" ht="25.5" outlineLevel="3">
      <c r="A2326" s="14"/>
      <c r="B2326" s="35">
        <f>MAXA(B$5:B2325)+1</f>
        <v>886</v>
      </c>
      <c r="C2326" s="318" t="s">
        <v>1161</v>
      </c>
      <c r="D2326" s="233" t="s">
        <v>44</v>
      </c>
      <c r="E2326" s="320">
        <v>1</v>
      </c>
      <c r="F2326" s="232">
        <v>20222108</v>
      </c>
      <c r="G2326" s="232">
        <v>419331</v>
      </c>
      <c r="H2326" s="138">
        <f t="shared" ref="H2326:H2332" si="231">G2326+F2326</f>
        <v>20641439</v>
      </c>
      <c r="I2326" s="138">
        <f t="shared" ref="I2326:I2332" si="232">H2326*E2326</f>
        <v>20641439</v>
      </c>
      <c r="J2326" s="47"/>
      <c r="K2326" s="15"/>
    </row>
    <row r="2327" spans="1:14" s="16" customFormat="1" ht="25.5" outlineLevel="3">
      <c r="A2327" s="14"/>
      <c r="B2327" s="35">
        <f>MAXA(B$5:B2326)+1</f>
        <v>887</v>
      </c>
      <c r="C2327" s="318" t="s">
        <v>1162</v>
      </c>
      <c r="D2327" s="230" t="s">
        <v>38</v>
      </c>
      <c r="E2327" s="320">
        <v>1</v>
      </c>
      <c r="F2327" s="232">
        <v>4585350</v>
      </c>
      <c r="G2327" s="232">
        <v>587064</v>
      </c>
      <c r="H2327" s="138">
        <f t="shared" si="231"/>
        <v>5172414</v>
      </c>
      <c r="I2327" s="138">
        <f t="shared" si="232"/>
        <v>5172414</v>
      </c>
      <c r="J2327" s="47"/>
      <c r="K2327" s="15"/>
    </row>
    <row r="2328" spans="1:14" s="16" customFormat="1" ht="25.5" outlineLevel="3">
      <c r="A2328" s="14"/>
      <c r="B2328" s="35">
        <f>MAXA(B$5:B2327)+1</f>
        <v>888</v>
      </c>
      <c r="C2328" s="274" t="s">
        <v>1176</v>
      </c>
      <c r="D2328" s="233" t="s">
        <v>44</v>
      </c>
      <c r="E2328" s="320">
        <v>3</v>
      </c>
      <c r="F2328" s="232">
        <v>654574</v>
      </c>
      <c r="G2328" s="232">
        <v>251599</v>
      </c>
      <c r="H2328" s="138">
        <f t="shared" si="231"/>
        <v>906173</v>
      </c>
      <c r="I2328" s="138">
        <f t="shared" si="232"/>
        <v>2718519</v>
      </c>
      <c r="J2328" s="47"/>
      <c r="K2328" s="15"/>
    </row>
    <row r="2329" spans="1:14" s="16" customFormat="1" ht="25.5" outlineLevel="3">
      <c r="A2329" s="14"/>
      <c r="B2329" s="35">
        <f>MAXA(B$5:B2328)+1</f>
        <v>889</v>
      </c>
      <c r="C2329" s="274" t="s">
        <v>1177</v>
      </c>
      <c r="D2329" s="233" t="s">
        <v>44</v>
      </c>
      <c r="E2329" s="320">
        <v>1</v>
      </c>
      <c r="F2329" s="232">
        <v>2003977</v>
      </c>
      <c r="G2329" s="232">
        <v>251599</v>
      </c>
      <c r="H2329" s="138">
        <f t="shared" si="231"/>
        <v>2255576</v>
      </c>
      <c r="I2329" s="138">
        <f t="shared" si="232"/>
        <v>2255576</v>
      </c>
      <c r="J2329" s="47"/>
      <c r="K2329" s="15"/>
    </row>
    <row r="2330" spans="1:14" s="16" customFormat="1" ht="25.5" outlineLevel="3">
      <c r="A2330" s="14"/>
      <c r="B2330" s="35">
        <f>MAXA(B$5:B2329)+1</f>
        <v>890</v>
      </c>
      <c r="C2330" s="274" t="s">
        <v>1178</v>
      </c>
      <c r="D2330" s="233" t="s">
        <v>44</v>
      </c>
      <c r="E2330" s="320">
        <v>1</v>
      </c>
      <c r="F2330" s="232">
        <v>7857503</v>
      </c>
      <c r="G2330" s="232">
        <v>251599</v>
      </c>
      <c r="H2330" s="138">
        <f t="shared" si="231"/>
        <v>8109102</v>
      </c>
      <c r="I2330" s="138">
        <f t="shared" si="232"/>
        <v>8109102</v>
      </c>
      <c r="J2330" s="47"/>
      <c r="K2330" s="15"/>
    </row>
    <row r="2331" spans="1:14" s="16" customFormat="1" ht="25.5" outlineLevel="3">
      <c r="A2331" s="14"/>
      <c r="B2331" s="35">
        <f>MAXA(B$5:B2330)+1</f>
        <v>891</v>
      </c>
      <c r="C2331" s="274" t="s">
        <v>1179</v>
      </c>
      <c r="D2331" s="233" t="s">
        <v>44</v>
      </c>
      <c r="E2331" s="320">
        <v>1</v>
      </c>
      <c r="F2331" s="232">
        <v>5727281</v>
      </c>
      <c r="G2331" s="232">
        <v>251599</v>
      </c>
      <c r="H2331" s="138">
        <f t="shared" si="231"/>
        <v>5978880</v>
      </c>
      <c r="I2331" s="138">
        <f t="shared" si="232"/>
        <v>5978880</v>
      </c>
      <c r="J2331" s="47"/>
      <c r="K2331" s="15"/>
    </row>
    <row r="2332" spans="1:14" s="16" customFormat="1" ht="25.5" outlineLevel="3">
      <c r="A2332" s="14"/>
      <c r="B2332" s="35">
        <f>MAXA(B$5:B2331)+1</f>
        <v>892</v>
      </c>
      <c r="C2332" s="324" t="s">
        <v>1180</v>
      </c>
      <c r="D2332" s="233" t="s">
        <v>44</v>
      </c>
      <c r="E2332" s="320">
        <v>1</v>
      </c>
      <c r="F2332" s="232">
        <v>2003977</v>
      </c>
      <c r="G2332" s="232">
        <v>251599</v>
      </c>
      <c r="H2332" s="138">
        <f t="shared" si="231"/>
        <v>2255576</v>
      </c>
      <c r="I2332" s="138">
        <f t="shared" si="232"/>
        <v>2255576</v>
      </c>
      <c r="J2332" s="47"/>
      <c r="K2332" s="15"/>
    </row>
    <row r="2333" spans="1:14" s="16" customFormat="1" ht="25.5" outlineLevel="3">
      <c r="A2333" s="14"/>
      <c r="B2333" s="35"/>
      <c r="C2333" s="324" t="s">
        <v>1181</v>
      </c>
      <c r="D2333" s="233"/>
      <c r="E2333" s="320"/>
      <c r="F2333" s="232">
        <v>0</v>
      </c>
      <c r="G2333" s="232">
        <v>0</v>
      </c>
      <c r="H2333" s="295"/>
      <c r="I2333" s="180"/>
      <c r="J2333" s="47"/>
      <c r="K2333" s="15"/>
    </row>
    <row r="2334" spans="1:14" s="16" customFormat="1" ht="25.5" outlineLevel="3">
      <c r="A2334" s="14"/>
      <c r="B2334" s="35">
        <f>MAXA(B$5:B2332)+1</f>
        <v>893</v>
      </c>
      <c r="C2334" s="322" t="s">
        <v>1182</v>
      </c>
      <c r="D2334" s="230" t="s">
        <v>38</v>
      </c>
      <c r="E2334" s="320">
        <v>1</v>
      </c>
      <c r="F2334" s="232">
        <v>623744565</v>
      </c>
      <c r="G2334" s="232">
        <v>119787326</v>
      </c>
      <c r="H2334" s="138">
        <f>G2334+F2334</f>
        <v>743531891</v>
      </c>
      <c r="I2334" s="138">
        <f>H2334*E2334</f>
        <v>743531891</v>
      </c>
      <c r="J2334" s="47"/>
      <c r="K2334" s="15"/>
    </row>
    <row r="2335" spans="1:14" s="16" customFormat="1" ht="25.5" outlineLevel="3">
      <c r="A2335" s="14"/>
      <c r="B2335" s="35">
        <f>MAXA(B$5:B2334)+1</f>
        <v>894</v>
      </c>
      <c r="C2335" s="238" t="s">
        <v>828</v>
      </c>
      <c r="D2335" s="230" t="s">
        <v>38</v>
      </c>
      <c r="E2335" s="320">
        <v>1</v>
      </c>
      <c r="F2335" s="232">
        <v>72705071</v>
      </c>
      <c r="G2335" s="232">
        <v>27925397</v>
      </c>
      <c r="H2335" s="138">
        <f>G2335+F2335</f>
        <v>100630468</v>
      </c>
      <c r="I2335" s="138">
        <f>H2335*E2335</f>
        <v>100630468</v>
      </c>
      <c r="J2335" s="47"/>
      <c r="K2335" s="15"/>
    </row>
    <row r="2336" spans="1:14" s="16" customFormat="1" ht="26.25" outlineLevel="2">
      <c r="A2336" s="14"/>
      <c r="B2336" s="30" t="s">
        <v>1183</v>
      </c>
      <c r="C2336" s="225" t="s">
        <v>1184</v>
      </c>
      <c r="D2336" s="212"/>
      <c r="E2336" s="320"/>
      <c r="F2336" s="232">
        <v>0</v>
      </c>
      <c r="G2336" s="232">
        <v>0</v>
      </c>
      <c r="H2336" s="295"/>
      <c r="I2336" s="180">
        <f>SUBTOTAL(9,I2337:I2337)</f>
        <v>116966125</v>
      </c>
      <c r="J2336" s="47"/>
      <c r="K2336" s="15"/>
      <c r="M2336" s="16" t="s">
        <v>1183</v>
      </c>
      <c r="N2336" s="16" t="s">
        <v>1183</v>
      </c>
    </row>
    <row r="2337" spans="1:15" s="16" customFormat="1" ht="25.5" outlineLevel="3">
      <c r="A2337" s="14"/>
      <c r="B2337" s="35">
        <f>MAXA(B$5:B2336)+1</f>
        <v>895</v>
      </c>
      <c r="C2337" s="292" t="s">
        <v>1185</v>
      </c>
      <c r="D2337" s="230" t="s">
        <v>38</v>
      </c>
      <c r="E2337" s="320">
        <v>1</v>
      </c>
      <c r="F2337" s="232">
        <v>75033000</v>
      </c>
      <c r="G2337" s="232">
        <v>41933125</v>
      </c>
      <c r="H2337" s="138">
        <f>G2337+F2337</f>
        <v>116966125</v>
      </c>
      <c r="I2337" s="138">
        <f>H2337*E2337</f>
        <v>116966125</v>
      </c>
      <c r="J2337" s="47"/>
      <c r="K2337" s="15"/>
    </row>
    <row r="2338" spans="1:15" s="16" customFormat="1" ht="26.25" outlineLevel="1">
      <c r="A2338" s="14"/>
      <c r="B2338" s="28" t="s">
        <v>1186</v>
      </c>
      <c r="C2338" s="220" t="s">
        <v>1187</v>
      </c>
      <c r="D2338" s="221"/>
      <c r="E2338" s="222"/>
      <c r="F2338" s="232">
        <v>0</v>
      </c>
      <c r="G2338" s="232">
        <v>0</v>
      </c>
      <c r="H2338" s="223"/>
      <c r="I2338" s="224">
        <f>SUBTOTAL(9,I2339:I2517)</f>
        <v>6175297260</v>
      </c>
      <c r="J2338" s="29"/>
      <c r="K2338" s="15"/>
      <c r="M2338" s="16" t="s">
        <v>1186</v>
      </c>
      <c r="O2338" s="16" t="s">
        <v>1186</v>
      </c>
    </row>
    <row r="2339" spans="1:15" s="16" customFormat="1" ht="27" outlineLevel="2">
      <c r="A2339" s="14"/>
      <c r="B2339" s="30" t="s">
        <v>20</v>
      </c>
      <c r="C2339" s="225" t="s">
        <v>1188</v>
      </c>
      <c r="D2339" s="212"/>
      <c r="E2339" s="228"/>
      <c r="F2339" s="232">
        <v>0</v>
      </c>
      <c r="G2339" s="232">
        <v>0</v>
      </c>
      <c r="H2339" s="276"/>
      <c r="I2339" s="180">
        <f>SUBTOTAL(9,I2340:I2363)</f>
        <v>901007310</v>
      </c>
      <c r="J2339" s="48"/>
      <c r="K2339" s="15"/>
      <c r="M2339" s="16" t="s">
        <v>20</v>
      </c>
      <c r="N2339" s="16" t="s">
        <v>20</v>
      </c>
    </row>
    <row r="2340" spans="1:15" s="16" customFormat="1" ht="25.5" outlineLevel="3">
      <c r="A2340" s="14"/>
      <c r="B2340" s="51">
        <f>MAX($B$9:B2339)+1</f>
        <v>896</v>
      </c>
      <c r="C2340" s="256" t="s">
        <v>1189</v>
      </c>
      <c r="D2340" s="257" t="s">
        <v>1190</v>
      </c>
      <c r="E2340" s="247">
        <v>1</v>
      </c>
      <c r="F2340" s="232">
        <v>63808680</v>
      </c>
      <c r="G2340" s="232">
        <v>3647438</v>
      </c>
      <c r="H2340" s="138">
        <f t="shared" ref="H2340:H2363" si="233">G2340+F2340</f>
        <v>67456118</v>
      </c>
      <c r="I2340" s="138">
        <f t="shared" ref="I2340:I2363" si="234">H2340*E2340</f>
        <v>67456118</v>
      </c>
      <c r="J2340" s="61"/>
      <c r="K2340" s="15"/>
    </row>
    <row r="2341" spans="1:15" s="16" customFormat="1" ht="25.5" outlineLevel="3">
      <c r="A2341" s="14"/>
      <c r="B2341" s="51">
        <f>MAX($B$9:B2340)+1</f>
        <v>897</v>
      </c>
      <c r="C2341" s="256" t="s">
        <v>1191</v>
      </c>
      <c r="D2341" s="230" t="s">
        <v>28</v>
      </c>
      <c r="E2341" s="247">
        <v>1</v>
      </c>
      <c r="F2341" s="232">
        <v>20654181</v>
      </c>
      <c r="G2341" s="232">
        <v>2605313</v>
      </c>
      <c r="H2341" s="138">
        <f t="shared" si="233"/>
        <v>23259494</v>
      </c>
      <c r="I2341" s="138">
        <f t="shared" si="234"/>
        <v>23259494</v>
      </c>
      <c r="J2341" s="61"/>
      <c r="K2341" s="15"/>
    </row>
    <row r="2342" spans="1:15" s="16" customFormat="1" ht="25.5" outlineLevel="3">
      <c r="A2342" s="14"/>
      <c r="B2342" s="51">
        <f>MAX($B$9:B2341)+1</f>
        <v>898</v>
      </c>
      <c r="C2342" s="256" t="s">
        <v>1192</v>
      </c>
      <c r="D2342" s="233" t="s">
        <v>44</v>
      </c>
      <c r="E2342" s="247">
        <v>1</v>
      </c>
      <c r="F2342" s="232">
        <v>81285750</v>
      </c>
      <c r="G2342" s="232">
        <v>521063</v>
      </c>
      <c r="H2342" s="138">
        <f t="shared" si="233"/>
        <v>81806813</v>
      </c>
      <c r="I2342" s="138">
        <f t="shared" si="234"/>
        <v>81806813</v>
      </c>
      <c r="J2342" s="61"/>
      <c r="K2342" s="15"/>
    </row>
    <row r="2343" spans="1:15" s="16" customFormat="1" ht="25.5" outlineLevel="3">
      <c r="A2343" s="14"/>
      <c r="B2343" s="51">
        <f>MAX($B$9:B2342)+1</f>
        <v>899</v>
      </c>
      <c r="C2343" s="256" t="s">
        <v>1193</v>
      </c>
      <c r="D2343" s="233" t="s">
        <v>44</v>
      </c>
      <c r="E2343" s="247">
        <v>1</v>
      </c>
      <c r="F2343" s="232">
        <v>35730000</v>
      </c>
      <c r="G2343" s="232">
        <v>6451250</v>
      </c>
      <c r="H2343" s="138">
        <f t="shared" si="233"/>
        <v>42181250</v>
      </c>
      <c r="I2343" s="138">
        <f t="shared" si="234"/>
        <v>42181250</v>
      </c>
      <c r="J2343" s="61"/>
      <c r="K2343" s="15"/>
    </row>
    <row r="2344" spans="1:15" s="16" customFormat="1" ht="25.5" outlineLevel="3">
      <c r="A2344" s="14"/>
      <c r="B2344" s="51">
        <f>MAX($B$9:B2343)+1</f>
        <v>900</v>
      </c>
      <c r="C2344" s="256" t="s">
        <v>1194</v>
      </c>
      <c r="D2344" s="233" t="s">
        <v>44</v>
      </c>
      <c r="E2344" s="247">
        <v>1</v>
      </c>
      <c r="F2344" s="232">
        <v>25899540</v>
      </c>
      <c r="G2344" s="232">
        <v>260531</v>
      </c>
      <c r="H2344" s="138">
        <f t="shared" si="233"/>
        <v>26160071</v>
      </c>
      <c r="I2344" s="138">
        <f t="shared" si="234"/>
        <v>26160071</v>
      </c>
      <c r="J2344" s="61"/>
      <c r="K2344" s="15"/>
    </row>
    <row r="2345" spans="1:15" s="16" customFormat="1" ht="25.5" outlineLevel="3">
      <c r="A2345" s="14"/>
      <c r="B2345" s="51">
        <f>MAX($B$9:B2344)+1</f>
        <v>901</v>
      </c>
      <c r="C2345" s="256" t="s">
        <v>1195</v>
      </c>
      <c r="D2345" s="230" t="s">
        <v>28</v>
      </c>
      <c r="E2345" s="247">
        <v>1</v>
      </c>
      <c r="F2345" s="232">
        <v>23224500</v>
      </c>
      <c r="G2345" s="232">
        <v>2084250</v>
      </c>
      <c r="H2345" s="138">
        <f t="shared" si="233"/>
        <v>25308750</v>
      </c>
      <c r="I2345" s="138">
        <f t="shared" si="234"/>
        <v>25308750</v>
      </c>
      <c r="J2345" s="61"/>
      <c r="K2345" s="15"/>
    </row>
    <row r="2346" spans="1:15" s="16" customFormat="1" ht="25.5" outlineLevel="3">
      <c r="A2346" s="14"/>
      <c r="B2346" s="51">
        <f>MAX($B$9:B2345)+1</f>
        <v>902</v>
      </c>
      <c r="C2346" s="256" t="s">
        <v>1196</v>
      </c>
      <c r="D2346" s="233" t="s">
        <v>44</v>
      </c>
      <c r="E2346" s="247">
        <v>1</v>
      </c>
      <c r="F2346" s="232">
        <v>12338016</v>
      </c>
      <c r="G2346" s="232">
        <v>88581</v>
      </c>
      <c r="H2346" s="138">
        <f t="shared" si="233"/>
        <v>12426597</v>
      </c>
      <c r="I2346" s="138">
        <f t="shared" si="234"/>
        <v>12426597</v>
      </c>
      <c r="J2346" s="61"/>
      <c r="K2346" s="15"/>
    </row>
    <row r="2347" spans="1:15" s="16" customFormat="1" ht="25.5" outlineLevel="3">
      <c r="A2347" s="14"/>
      <c r="B2347" s="51">
        <f>MAX($B$9:B2346)+1</f>
        <v>903</v>
      </c>
      <c r="C2347" s="256" t="s">
        <v>1197</v>
      </c>
      <c r="D2347" s="230" t="s">
        <v>28</v>
      </c>
      <c r="E2347" s="247">
        <v>6</v>
      </c>
      <c r="F2347" s="232">
        <v>2612756</v>
      </c>
      <c r="G2347" s="232">
        <v>88581</v>
      </c>
      <c r="H2347" s="138">
        <f t="shared" si="233"/>
        <v>2701337</v>
      </c>
      <c r="I2347" s="138">
        <f t="shared" si="234"/>
        <v>16208022</v>
      </c>
      <c r="J2347" s="61"/>
      <c r="K2347" s="15"/>
    </row>
    <row r="2348" spans="1:15" s="16" customFormat="1" ht="25.5" outlineLevel="3">
      <c r="A2348" s="14"/>
      <c r="B2348" s="51">
        <f>MAX($B$9:B2347)+1</f>
        <v>904</v>
      </c>
      <c r="C2348" s="256" t="s">
        <v>1198</v>
      </c>
      <c r="D2348" s="230" t="s">
        <v>28</v>
      </c>
      <c r="E2348" s="247">
        <v>257</v>
      </c>
      <c r="F2348" s="232">
        <v>781452</v>
      </c>
      <c r="G2348" s="232">
        <v>125055</v>
      </c>
      <c r="H2348" s="138">
        <f t="shared" si="233"/>
        <v>906507</v>
      </c>
      <c r="I2348" s="138">
        <f t="shared" si="234"/>
        <v>232972299</v>
      </c>
      <c r="J2348" s="61"/>
      <c r="K2348" s="15"/>
    </row>
    <row r="2349" spans="1:15" s="16" customFormat="1" ht="25.5" outlineLevel="3">
      <c r="A2349" s="14"/>
      <c r="B2349" s="51">
        <f>MAX($B$9:B2348)+1</f>
        <v>905</v>
      </c>
      <c r="C2349" s="256" t="s">
        <v>1199</v>
      </c>
      <c r="D2349" s="230" t="s">
        <v>28</v>
      </c>
      <c r="E2349" s="247">
        <v>1</v>
      </c>
      <c r="F2349" s="232">
        <v>736797</v>
      </c>
      <c r="G2349" s="232">
        <v>125055</v>
      </c>
      <c r="H2349" s="138">
        <f t="shared" si="233"/>
        <v>861852</v>
      </c>
      <c r="I2349" s="138">
        <f t="shared" si="234"/>
        <v>861852</v>
      </c>
      <c r="J2349" s="61"/>
      <c r="K2349" s="15"/>
    </row>
    <row r="2350" spans="1:15" s="16" customFormat="1" ht="25.5" outlineLevel="3">
      <c r="A2350" s="14"/>
      <c r="B2350" s="51">
        <f>MAX($B$9:B2349)+1</f>
        <v>906</v>
      </c>
      <c r="C2350" s="256" t="s">
        <v>1200</v>
      </c>
      <c r="D2350" s="230" t="s">
        <v>28</v>
      </c>
      <c r="E2350" s="247">
        <v>10</v>
      </c>
      <c r="F2350" s="232">
        <v>870760</v>
      </c>
      <c r="G2350" s="232">
        <v>125055</v>
      </c>
      <c r="H2350" s="138">
        <f t="shared" si="233"/>
        <v>995815</v>
      </c>
      <c r="I2350" s="138">
        <f t="shared" si="234"/>
        <v>9958150</v>
      </c>
      <c r="J2350" s="61"/>
      <c r="K2350" s="15"/>
    </row>
    <row r="2351" spans="1:15" s="16" customFormat="1" ht="25.5" outlineLevel="3">
      <c r="A2351" s="14"/>
      <c r="B2351" s="51">
        <f>MAX($B$9:B2350)+1</f>
        <v>907</v>
      </c>
      <c r="C2351" s="256" t="s">
        <v>1201</v>
      </c>
      <c r="D2351" s="230" t="s">
        <v>28</v>
      </c>
      <c r="E2351" s="247">
        <v>10</v>
      </c>
      <c r="F2351" s="232">
        <v>759093</v>
      </c>
      <c r="G2351" s="232">
        <v>125055</v>
      </c>
      <c r="H2351" s="138">
        <f t="shared" si="233"/>
        <v>884148</v>
      </c>
      <c r="I2351" s="138">
        <f t="shared" si="234"/>
        <v>8841480</v>
      </c>
      <c r="J2351" s="61"/>
      <c r="K2351" s="15"/>
    </row>
    <row r="2352" spans="1:15" s="16" customFormat="1" ht="25.5" outlineLevel="3">
      <c r="A2352" s="14"/>
      <c r="B2352" s="51">
        <f>MAX($B$9:B2351)+1</f>
        <v>908</v>
      </c>
      <c r="C2352" s="256" t="s">
        <v>1202</v>
      </c>
      <c r="D2352" s="230" t="s">
        <v>28</v>
      </c>
      <c r="E2352" s="247">
        <v>5</v>
      </c>
      <c r="F2352" s="232">
        <v>1071705</v>
      </c>
      <c r="G2352" s="232">
        <v>156319</v>
      </c>
      <c r="H2352" s="138">
        <f t="shared" si="233"/>
        <v>1228024</v>
      </c>
      <c r="I2352" s="138">
        <f t="shared" si="234"/>
        <v>6140120</v>
      </c>
      <c r="J2352" s="61"/>
      <c r="K2352" s="15"/>
    </row>
    <row r="2353" spans="1:14" s="16" customFormat="1" ht="25.5" outlineLevel="3">
      <c r="A2353" s="14"/>
      <c r="B2353" s="51">
        <f>MAX($B$9:B2352)+1</f>
        <v>909</v>
      </c>
      <c r="C2353" s="256" t="s">
        <v>1203</v>
      </c>
      <c r="D2353" s="230" t="s">
        <v>28</v>
      </c>
      <c r="E2353" s="247">
        <v>18</v>
      </c>
      <c r="F2353" s="232">
        <v>1027051</v>
      </c>
      <c r="G2353" s="232">
        <v>156319</v>
      </c>
      <c r="H2353" s="138">
        <f t="shared" si="233"/>
        <v>1183370</v>
      </c>
      <c r="I2353" s="138">
        <f t="shared" si="234"/>
        <v>21300660</v>
      </c>
      <c r="J2353" s="61"/>
      <c r="K2353" s="15"/>
    </row>
    <row r="2354" spans="1:14" s="16" customFormat="1" ht="25.5" outlineLevel="3">
      <c r="A2354" s="14"/>
      <c r="B2354" s="51">
        <f>MAX($B$9:B2353)+1</f>
        <v>910</v>
      </c>
      <c r="C2354" s="256" t="s">
        <v>1204</v>
      </c>
      <c r="D2354" s="230" t="s">
        <v>28</v>
      </c>
      <c r="E2354" s="247">
        <v>37</v>
      </c>
      <c r="F2354" s="232">
        <v>692143</v>
      </c>
      <c r="G2354" s="232">
        <v>156319</v>
      </c>
      <c r="H2354" s="138">
        <f t="shared" si="233"/>
        <v>848462</v>
      </c>
      <c r="I2354" s="138">
        <f t="shared" si="234"/>
        <v>31393094</v>
      </c>
      <c r="J2354" s="61"/>
      <c r="K2354" s="15"/>
    </row>
    <row r="2355" spans="1:14" s="16" customFormat="1" ht="25.5" outlineLevel="3">
      <c r="A2355" s="14"/>
      <c r="B2355" s="51">
        <f>MAX($B$9:B2354)+1</f>
        <v>911</v>
      </c>
      <c r="C2355" s="256" t="s">
        <v>1205</v>
      </c>
      <c r="D2355" s="230" t="s">
        <v>28</v>
      </c>
      <c r="E2355" s="247">
        <v>11</v>
      </c>
      <c r="F2355" s="232">
        <v>513525</v>
      </c>
      <c r="G2355" s="232">
        <v>156319</v>
      </c>
      <c r="H2355" s="138">
        <f t="shared" si="233"/>
        <v>669844</v>
      </c>
      <c r="I2355" s="138">
        <f t="shared" si="234"/>
        <v>7368284</v>
      </c>
      <c r="J2355" s="54"/>
      <c r="K2355" s="15"/>
    </row>
    <row r="2356" spans="1:14" s="16" customFormat="1" ht="25.5" outlineLevel="3">
      <c r="A2356" s="14"/>
      <c r="B2356" s="51">
        <f>MAX($B$9:B2355)+1</f>
        <v>912</v>
      </c>
      <c r="C2356" s="256" t="s">
        <v>1206</v>
      </c>
      <c r="D2356" s="230" t="s">
        <v>25</v>
      </c>
      <c r="E2356" s="247">
        <v>2728</v>
      </c>
      <c r="F2356" s="232">
        <v>38077</v>
      </c>
      <c r="G2356" s="232">
        <v>10421</v>
      </c>
      <c r="H2356" s="138">
        <f t="shared" si="233"/>
        <v>48498</v>
      </c>
      <c r="I2356" s="138">
        <f t="shared" si="234"/>
        <v>132302544</v>
      </c>
      <c r="J2356" s="61"/>
      <c r="K2356" s="15"/>
    </row>
    <row r="2357" spans="1:14" s="16" customFormat="1" ht="25.5" outlineLevel="3">
      <c r="A2357" s="14"/>
      <c r="B2357" s="51">
        <f>MAX($B$9:B2356)+1</f>
        <v>913</v>
      </c>
      <c r="C2357" s="256" t="s">
        <v>1207</v>
      </c>
      <c r="D2357" s="230" t="s">
        <v>25</v>
      </c>
      <c r="E2357" s="247">
        <v>640</v>
      </c>
      <c r="F2357" s="232">
        <v>24920</v>
      </c>
      <c r="G2357" s="232">
        <v>10421</v>
      </c>
      <c r="H2357" s="138">
        <f t="shared" si="233"/>
        <v>35341</v>
      </c>
      <c r="I2357" s="138">
        <f t="shared" si="234"/>
        <v>22618240</v>
      </c>
      <c r="J2357" s="61"/>
      <c r="K2357" s="15"/>
    </row>
    <row r="2358" spans="1:14" s="16" customFormat="1" ht="25.5" outlineLevel="3">
      <c r="A2358" s="14"/>
      <c r="B2358" s="51">
        <f>MAX($B$9:B2357)+1</f>
        <v>914</v>
      </c>
      <c r="C2358" s="256" t="s">
        <v>1208</v>
      </c>
      <c r="D2358" s="230" t="s">
        <v>25</v>
      </c>
      <c r="E2358" s="247">
        <v>2446</v>
      </c>
      <c r="F2358" s="232">
        <v>7158</v>
      </c>
      <c r="G2358" s="232">
        <v>14590</v>
      </c>
      <c r="H2358" s="138">
        <f t="shared" si="233"/>
        <v>21748</v>
      </c>
      <c r="I2358" s="138">
        <f t="shared" si="234"/>
        <v>53195608</v>
      </c>
      <c r="J2358" s="61"/>
      <c r="K2358" s="15"/>
    </row>
    <row r="2359" spans="1:14" s="16" customFormat="1" ht="25.5" outlineLevel="3">
      <c r="A2359" s="14"/>
      <c r="B2359" s="51">
        <f>MAX($B$9:B2358)+1</f>
        <v>915</v>
      </c>
      <c r="C2359" s="256" t="s">
        <v>1209</v>
      </c>
      <c r="D2359" s="230" t="s">
        <v>25</v>
      </c>
      <c r="E2359" s="247">
        <v>163</v>
      </c>
      <c r="F2359" s="232">
        <v>22063</v>
      </c>
      <c r="G2359" s="232">
        <v>5211</v>
      </c>
      <c r="H2359" s="138">
        <f t="shared" si="233"/>
        <v>27274</v>
      </c>
      <c r="I2359" s="138">
        <f t="shared" si="234"/>
        <v>4445662</v>
      </c>
      <c r="J2359" s="61"/>
      <c r="K2359" s="15"/>
    </row>
    <row r="2360" spans="1:14" s="16" customFormat="1" ht="25.5" outlineLevel="3">
      <c r="A2360" s="14"/>
      <c r="B2360" s="51">
        <f>MAX($B$9:B2359)+1</f>
        <v>916</v>
      </c>
      <c r="C2360" s="256" t="s">
        <v>1210</v>
      </c>
      <c r="D2360" s="230" t="s">
        <v>25</v>
      </c>
      <c r="E2360" s="247">
        <v>121</v>
      </c>
      <c r="F2360" s="232">
        <v>145540</v>
      </c>
      <c r="G2360" s="232">
        <v>36474</v>
      </c>
      <c r="H2360" s="138">
        <f t="shared" si="233"/>
        <v>182014</v>
      </c>
      <c r="I2360" s="138">
        <f t="shared" si="234"/>
        <v>22023694</v>
      </c>
      <c r="J2360" s="61"/>
      <c r="K2360" s="15"/>
    </row>
    <row r="2361" spans="1:14" s="16" customFormat="1" ht="25.5" outlineLevel="3">
      <c r="A2361" s="14"/>
      <c r="B2361" s="51">
        <f>MAX($B$9:B2360)+1</f>
        <v>917</v>
      </c>
      <c r="C2361" s="256" t="s">
        <v>1211</v>
      </c>
      <c r="D2361" s="230" t="s">
        <v>38</v>
      </c>
      <c r="E2361" s="247">
        <v>1</v>
      </c>
      <c r="F2361" s="232">
        <v>13163346</v>
      </c>
      <c r="G2361" s="232">
        <v>4725304</v>
      </c>
      <c r="H2361" s="138">
        <f t="shared" si="233"/>
        <v>17888650</v>
      </c>
      <c r="I2361" s="138">
        <f t="shared" si="234"/>
        <v>17888650</v>
      </c>
      <c r="J2361" s="61"/>
      <c r="K2361" s="15"/>
    </row>
    <row r="2362" spans="1:14" s="16" customFormat="1" ht="25.5" outlineLevel="3">
      <c r="A2362" s="14"/>
      <c r="B2362" s="51">
        <f>MAX($B$9:B2361)+1</f>
        <v>918</v>
      </c>
      <c r="C2362" s="256" t="s">
        <v>680</v>
      </c>
      <c r="D2362" s="230" t="s">
        <v>38</v>
      </c>
      <c r="E2362" s="247">
        <v>1</v>
      </c>
      <c r="F2362" s="232">
        <v>5187907</v>
      </c>
      <c r="G2362" s="232">
        <v>1862326</v>
      </c>
      <c r="H2362" s="138">
        <f t="shared" si="233"/>
        <v>7050233</v>
      </c>
      <c r="I2362" s="138">
        <f t="shared" si="234"/>
        <v>7050233</v>
      </c>
      <c r="J2362" s="61"/>
      <c r="K2362" s="15"/>
    </row>
    <row r="2363" spans="1:14" s="16" customFormat="1" ht="25.5" outlineLevel="3">
      <c r="A2363" s="14"/>
      <c r="B2363" s="51">
        <f>MAX($B$9:B2362)+1</f>
        <v>919</v>
      </c>
      <c r="C2363" s="256" t="s">
        <v>1212</v>
      </c>
      <c r="D2363" s="230" t="s">
        <v>38</v>
      </c>
      <c r="E2363" s="247">
        <v>1</v>
      </c>
      <c r="F2363" s="232">
        <v>17418375</v>
      </c>
      <c r="G2363" s="232">
        <v>10421250</v>
      </c>
      <c r="H2363" s="138">
        <f t="shared" si="233"/>
        <v>27839625</v>
      </c>
      <c r="I2363" s="138">
        <f t="shared" si="234"/>
        <v>27839625</v>
      </c>
      <c r="J2363" s="61"/>
      <c r="K2363" s="15"/>
    </row>
    <row r="2364" spans="1:14" s="16" customFormat="1" ht="26.25" outlineLevel="2">
      <c r="A2364" s="14"/>
      <c r="B2364" s="30" t="s">
        <v>83</v>
      </c>
      <c r="C2364" s="225" t="s">
        <v>1213</v>
      </c>
      <c r="D2364" s="212"/>
      <c r="E2364" s="228"/>
      <c r="F2364" s="232">
        <v>0</v>
      </c>
      <c r="G2364" s="232">
        <v>0</v>
      </c>
      <c r="H2364" s="276"/>
      <c r="I2364" s="180">
        <f>SUBTOTAL(9,I2365:I2515)</f>
        <v>5274289950</v>
      </c>
      <c r="J2364" s="48"/>
      <c r="K2364" s="15"/>
      <c r="M2364" s="16" t="s">
        <v>83</v>
      </c>
      <c r="N2364" s="16" t="s">
        <v>83</v>
      </c>
    </row>
    <row r="2365" spans="1:14" s="16" customFormat="1" ht="27" outlineLevel="3">
      <c r="A2365" s="14"/>
      <c r="B2365" s="38"/>
      <c r="C2365" s="325" t="s">
        <v>1214</v>
      </c>
      <c r="D2365" s="326"/>
      <c r="E2365" s="286"/>
      <c r="F2365" s="232">
        <v>0</v>
      </c>
      <c r="G2365" s="232">
        <v>0</v>
      </c>
      <c r="H2365" s="287"/>
      <c r="I2365" s="327"/>
      <c r="J2365" s="56"/>
      <c r="K2365" s="15"/>
    </row>
    <row r="2366" spans="1:14" s="16" customFormat="1" ht="51" outlineLevel="3">
      <c r="A2366" s="14"/>
      <c r="B2366" s="51">
        <f>MAX($B$9:B2365)+1</f>
        <v>920</v>
      </c>
      <c r="C2366" s="256" t="s">
        <v>1215</v>
      </c>
      <c r="D2366" s="233" t="s">
        <v>44</v>
      </c>
      <c r="E2366" s="247">
        <v>2</v>
      </c>
      <c r="F2366" s="232">
        <v>254557822</v>
      </c>
      <c r="G2366" s="232">
        <v>15631875</v>
      </c>
      <c r="H2366" s="138">
        <f>G2366+F2366</f>
        <v>270189697</v>
      </c>
      <c r="I2366" s="138">
        <f>H2366*E2366</f>
        <v>540379394</v>
      </c>
      <c r="J2366" s="61"/>
      <c r="K2366" s="15"/>
    </row>
    <row r="2367" spans="1:14" s="16" customFormat="1" ht="25.5" outlineLevel="3">
      <c r="A2367" s="14"/>
      <c r="B2367" s="51">
        <f>MAX($B$9:B2366)+1</f>
        <v>921</v>
      </c>
      <c r="C2367" s="256" t="s">
        <v>1216</v>
      </c>
      <c r="D2367" s="233" t="s">
        <v>44</v>
      </c>
      <c r="E2367" s="247">
        <v>1</v>
      </c>
      <c r="F2367" s="232">
        <v>50325750</v>
      </c>
      <c r="G2367" s="232">
        <v>4689563</v>
      </c>
      <c r="H2367" s="138">
        <f>G2367+F2367</f>
        <v>55015313</v>
      </c>
      <c r="I2367" s="138">
        <f>H2367*E2367</f>
        <v>55015313</v>
      </c>
      <c r="J2367" s="61"/>
      <c r="K2367" s="15"/>
    </row>
    <row r="2368" spans="1:14" s="16" customFormat="1" ht="25.5" outlineLevel="3">
      <c r="A2368" s="14"/>
      <c r="B2368" s="51">
        <f>MAX($B$9:B2367)+1</f>
        <v>922</v>
      </c>
      <c r="C2368" s="256" t="s">
        <v>1217</v>
      </c>
      <c r="D2368" s="230" t="s">
        <v>38</v>
      </c>
      <c r="E2368" s="247">
        <v>1</v>
      </c>
      <c r="F2368" s="232">
        <v>23820000</v>
      </c>
      <c r="G2368" s="232">
        <v>1290250</v>
      </c>
      <c r="H2368" s="138">
        <f>G2368+F2368</f>
        <v>25110250</v>
      </c>
      <c r="I2368" s="138">
        <f>H2368*E2368</f>
        <v>25110250</v>
      </c>
      <c r="J2368" s="61"/>
      <c r="K2368" s="15"/>
    </row>
    <row r="2369" spans="1:11" s="16" customFormat="1" ht="25.5" outlineLevel="3">
      <c r="A2369" s="14"/>
      <c r="B2369" s="51">
        <f>MAX($B$9:B2368)+1</f>
        <v>923</v>
      </c>
      <c r="C2369" s="256" t="s">
        <v>1218</v>
      </c>
      <c r="D2369" s="230" t="s">
        <v>38</v>
      </c>
      <c r="E2369" s="247">
        <v>1</v>
      </c>
      <c r="F2369" s="232">
        <v>224116425</v>
      </c>
      <c r="G2369" s="232">
        <v>5210625</v>
      </c>
      <c r="H2369" s="138">
        <f>G2369+F2369</f>
        <v>229327050</v>
      </c>
      <c r="I2369" s="138">
        <f>H2369*E2369</f>
        <v>229327050</v>
      </c>
      <c r="J2369" s="61"/>
      <c r="K2369" s="15"/>
    </row>
    <row r="2370" spans="1:11" s="33" customFormat="1" ht="25.5" outlineLevel="3">
      <c r="A2370" s="14"/>
      <c r="B2370" s="40"/>
      <c r="C2370" s="328" t="s">
        <v>1219</v>
      </c>
      <c r="D2370" s="230" t="s">
        <v>38</v>
      </c>
      <c r="E2370" s="231">
        <v>1</v>
      </c>
      <c r="F2370" s="232">
        <v>0</v>
      </c>
      <c r="G2370" s="232">
        <v>0</v>
      </c>
      <c r="H2370" s="138">
        <f>G2370+F2370</f>
        <v>0</v>
      </c>
      <c r="I2370" s="138">
        <f>H2370*E2370</f>
        <v>0</v>
      </c>
      <c r="J2370" s="50"/>
      <c r="K2370" s="32"/>
    </row>
    <row r="2371" spans="1:11" s="16" customFormat="1" ht="25.5" outlineLevel="3">
      <c r="A2371" s="14"/>
      <c r="B2371" s="35"/>
      <c r="C2371" s="241" t="s">
        <v>141</v>
      </c>
      <c r="D2371" s="329"/>
      <c r="E2371" s="231"/>
      <c r="F2371" s="232">
        <v>0</v>
      </c>
      <c r="G2371" s="232">
        <v>0</v>
      </c>
      <c r="H2371" s="282"/>
      <c r="I2371" s="283"/>
      <c r="J2371" s="61"/>
      <c r="K2371" s="15"/>
    </row>
    <row r="2372" spans="1:11" s="16" customFormat="1" ht="25.5" outlineLevel="3">
      <c r="A2372" s="14"/>
      <c r="B2372" s="35"/>
      <c r="C2372" s="290" t="s">
        <v>1220</v>
      </c>
      <c r="D2372" s="230" t="s">
        <v>28</v>
      </c>
      <c r="E2372" s="231">
        <v>1</v>
      </c>
      <c r="F2372" s="232">
        <v>0</v>
      </c>
      <c r="G2372" s="232">
        <v>0</v>
      </c>
      <c r="H2372" s="138">
        <f>G2372+F2372</f>
        <v>0</v>
      </c>
      <c r="I2372" s="138">
        <f>H2372*E2372</f>
        <v>0</v>
      </c>
      <c r="J2372" s="61"/>
      <c r="K2372" s="15"/>
    </row>
    <row r="2373" spans="1:11" s="16" customFormat="1" ht="25.5" outlineLevel="3">
      <c r="A2373" s="14"/>
      <c r="B2373" s="35"/>
      <c r="C2373" s="281" t="s">
        <v>573</v>
      </c>
      <c r="D2373" s="230" t="s">
        <v>28</v>
      </c>
      <c r="E2373" s="231">
        <v>3</v>
      </c>
      <c r="F2373" s="232">
        <v>0</v>
      </c>
      <c r="G2373" s="232">
        <v>0</v>
      </c>
      <c r="H2373" s="138">
        <f>G2373+F2373</f>
        <v>0</v>
      </c>
      <c r="I2373" s="138">
        <f>H2373*E2373</f>
        <v>0</v>
      </c>
      <c r="J2373" s="61"/>
      <c r="K2373" s="15"/>
    </row>
    <row r="2374" spans="1:11" s="16" customFormat="1" ht="25.5" outlineLevel="3">
      <c r="A2374" s="14"/>
      <c r="B2374" s="35"/>
      <c r="C2374" s="242" t="s">
        <v>221</v>
      </c>
      <c r="D2374" s="230" t="s">
        <v>28</v>
      </c>
      <c r="E2374" s="231">
        <v>3</v>
      </c>
      <c r="F2374" s="232">
        <v>0</v>
      </c>
      <c r="G2374" s="232">
        <v>0</v>
      </c>
      <c r="H2374" s="138">
        <f>G2374+F2374</f>
        <v>0</v>
      </c>
      <c r="I2374" s="138">
        <f>H2374*E2374</f>
        <v>0</v>
      </c>
      <c r="J2374" s="61"/>
      <c r="K2374" s="15"/>
    </row>
    <row r="2375" spans="1:11" s="16" customFormat="1" ht="25.5" outlineLevel="3">
      <c r="A2375" s="14"/>
      <c r="B2375" s="35"/>
      <c r="C2375" s="241" t="s">
        <v>148</v>
      </c>
      <c r="D2375" s="329"/>
      <c r="E2375" s="231"/>
      <c r="F2375" s="232">
        <v>0</v>
      </c>
      <c r="G2375" s="232">
        <v>0</v>
      </c>
      <c r="H2375" s="282"/>
      <c r="I2375" s="283"/>
      <c r="J2375" s="61"/>
      <c r="K2375" s="15"/>
    </row>
    <row r="2376" spans="1:11" s="16" customFormat="1" ht="25.5" outlineLevel="3">
      <c r="A2376" s="14"/>
      <c r="B2376" s="35"/>
      <c r="C2376" s="290" t="s">
        <v>1221</v>
      </c>
      <c r="D2376" s="230" t="s">
        <v>28</v>
      </c>
      <c r="E2376" s="231">
        <v>1</v>
      </c>
      <c r="F2376" s="232">
        <v>0</v>
      </c>
      <c r="G2376" s="232">
        <v>0</v>
      </c>
      <c r="H2376" s="138">
        <f>G2376+F2376</f>
        <v>0</v>
      </c>
      <c r="I2376" s="138">
        <f>H2376*E2376</f>
        <v>0</v>
      </c>
      <c r="J2376" s="61"/>
      <c r="K2376" s="15"/>
    </row>
    <row r="2377" spans="1:11" s="16" customFormat="1" ht="25.5" outlineLevel="3">
      <c r="A2377" s="14"/>
      <c r="B2377" s="35"/>
      <c r="C2377" s="290" t="s">
        <v>1222</v>
      </c>
      <c r="D2377" s="230" t="s">
        <v>28</v>
      </c>
      <c r="E2377" s="231">
        <v>1</v>
      </c>
      <c r="F2377" s="232">
        <v>0</v>
      </c>
      <c r="G2377" s="232">
        <v>0</v>
      </c>
      <c r="H2377" s="138">
        <f>G2377+F2377</f>
        <v>0</v>
      </c>
      <c r="I2377" s="138">
        <f>H2377*E2377</f>
        <v>0</v>
      </c>
      <c r="J2377" s="61"/>
      <c r="K2377" s="15"/>
    </row>
    <row r="2378" spans="1:11" s="16" customFormat="1" ht="25.5" outlineLevel="3">
      <c r="A2378" s="14"/>
      <c r="B2378" s="35"/>
      <c r="C2378" s="290" t="s">
        <v>1223</v>
      </c>
      <c r="D2378" s="230" t="s">
        <v>28</v>
      </c>
      <c r="E2378" s="231">
        <v>1</v>
      </c>
      <c r="F2378" s="232">
        <v>0</v>
      </c>
      <c r="G2378" s="232">
        <v>0</v>
      </c>
      <c r="H2378" s="138">
        <f>G2378+F2378</f>
        <v>0</v>
      </c>
      <c r="I2378" s="138">
        <f>H2378*E2378</f>
        <v>0</v>
      </c>
      <c r="J2378" s="61"/>
      <c r="K2378" s="15"/>
    </row>
    <row r="2379" spans="1:11" s="16" customFormat="1" ht="25.5" outlineLevel="3">
      <c r="A2379" s="14"/>
      <c r="B2379" s="35"/>
      <c r="C2379" s="290" t="s">
        <v>1224</v>
      </c>
      <c r="D2379" s="233" t="s">
        <v>44</v>
      </c>
      <c r="E2379" s="231">
        <v>1</v>
      </c>
      <c r="F2379" s="232">
        <v>0</v>
      </c>
      <c r="G2379" s="232">
        <v>0</v>
      </c>
      <c r="H2379" s="138">
        <f>G2379+F2379</f>
        <v>0</v>
      </c>
      <c r="I2379" s="138">
        <f>H2379*E2379</f>
        <v>0</v>
      </c>
      <c r="J2379" s="61"/>
      <c r="K2379" s="15"/>
    </row>
    <row r="2380" spans="1:11" s="16" customFormat="1" ht="25.5" outlineLevel="3">
      <c r="A2380" s="14"/>
      <c r="B2380" s="35"/>
      <c r="C2380" s="330" t="s">
        <v>1225</v>
      </c>
      <c r="D2380" s="329"/>
      <c r="E2380" s="231"/>
      <c r="F2380" s="232">
        <v>0</v>
      </c>
      <c r="G2380" s="232">
        <v>0</v>
      </c>
      <c r="H2380" s="282"/>
      <c r="I2380" s="283"/>
      <c r="J2380" s="61"/>
      <c r="K2380" s="15"/>
    </row>
    <row r="2381" spans="1:11" s="16" customFormat="1" ht="25.5" outlineLevel="3">
      <c r="A2381" s="14"/>
      <c r="B2381" s="35"/>
      <c r="C2381" s="290" t="s">
        <v>1226</v>
      </c>
      <c r="D2381" s="230" t="s">
        <v>28</v>
      </c>
      <c r="E2381" s="231">
        <v>1</v>
      </c>
      <c r="F2381" s="232">
        <v>0</v>
      </c>
      <c r="G2381" s="232">
        <v>0</v>
      </c>
      <c r="H2381" s="138">
        <f>G2381+F2381</f>
        <v>0</v>
      </c>
      <c r="I2381" s="138">
        <f>H2381*E2381</f>
        <v>0</v>
      </c>
      <c r="J2381" s="61"/>
      <c r="K2381" s="15"/>
    </row>
    <row r="2382" spans="1:11" s="16" customFormat="1" ht="25.5" outlineLevel="3">
      <c r="A2382" s="14"/>
      <c r="B2382" s="35"/>
      <c r="C2382" s="290" t="s">
        <v>1227</v>
      </c>
      <c r="D2382" s="230" t="s">
        <v>38</v>
      </c>
      <c r="E2382" s="231">
        <v>1</v>
      </c>
      <c r="F2382" s="232">
        <v>0</v>
      </c>
      <c r="G2382" s="232">
        <v>0</v>
      </c>
      <c r="H2382" s="138">
        <f>G2382+F2382</f>
        <v>0</v>
      </c>
      <c r="I2382" s="138">
        <f>H2382*E2382</f>
        <v>0</v>
      </c>
      <c r="J2382" s="61"/>
      <c r="K2382" s="15"/>
    </row>
    <row r="2383" spans="1:11" s="16" customFormat="1" ht="25.5" outlineLevel="3">
      <c r="A2383" s="14"/>
      <c r="B2383" s="35"/>
      <c r="C2383" s="229" t="s">
        <v>139</v>
      </c>
      <c r="D2383" s="230" t="s">
        <v>38</v>
      </c>
      <c r="E2383" s="231">
        <v>1</v>
      </c>
      <c r="F2383" s="232">
        <v>0</v>
      </c>
      <c r="G2383" s="232">
        <v>0</v>
      </c>
      <c r="H2383" s="138">
        <f>G2383+F2383</f>
        <v>0</v>
      </c>
      <c r="I2383" s="138">
        <f>H2383*E2383</f>
        <v>0</v>
      </c>
      <c r="J2383" s="61"/>
      <c r="K2383" s="15"/>
    </row>
    <row r="2384" spans="1:11" s="33" customFormat="1" ht="25.5" outlineLevel="3">
      <c r="A2384" s="14"/>
      <c r="B2384" s="40"/>
      <c r="C2384" s="328" t="s">
        <v>1228</v>
      </c>
      <c r="D2384" s="230" t="s">
        <v>38</v>
      </c>
      <c r="E2384" s="231">
        <v>1</v>
      </c>
      <c r="F2384" s="232">
        <v>0</v>
      </c>
      <c r="G2384" s="232">
        <v>0</v>
      </c>
      <c r="H2384" s="138">
        <f>G2384+F2384</f>
        <v>0</v>
      </c>
      <c r="I2384" s="138">
        <f>H2384*E2384</f>
        <v>0</v>
      </c>
      <c r="J2384" s="50"/>
      <c r="K2384" s="32"/>
    </row>
    <row r="2385" spans="1:11" s="16" customFormat="1" ht="25.5" outlineLevel="3">
      <c r="A2385" s="14"/>
      <c r="B2385" s="35"/>
      <c r="C2385" s="241" t="s">
        <v>141</v>
      </c>
      <c r="D2385" s="329"/>
      <c r="E2385" s="231"/>
      <c r="F2385" s="232">
        <v>0</v>
      </c>
      <c r="G2385" s="232">
        <v>0</v>
      </c>
      <c r="H2385" s="282"/>
      <c r="I2385" s="283"/>
      <c r="J2385" s="61"/>
      <c r="K2385" s="15"/>
    </row>
    <row r="2386" spans="1:11" s="16" customFormat="1" ht="25.5" outlineLevel="3">
      <c r="A2386" s="14"/>
      <c r="B2386" s="35"/>
      <c r="C2386" s="290" t="s">
        <v>1220</v>
      </c>
      <c r="D2386" s="230" t="s">
        <v>28</v>
      </c>
      <c r="E2386" s="231">
        <v>1</v>
      </c>
      <c r="F2386" s="232">
        <v>0</v>
      </c>
      <c r="G2386" s="232">
        <v>0</v>
      </c>
      <c r="H2386" s="138">
        <f>G2386+F2386</f>
        <v>0</v>
      </c>
      <c r="I2386" s="138">
        <f>H2386*E2386</f>
        <v>0</v>
      </c>
      <c r="J2386" s="61"/>
      <c r="K2386" s="15"/>
    </row>
    <row r="2387" spans="1:11" s="16" customFormat="1" ht="25.5" outlineLevel="3">
      <c r="A2387" s="14"/>
      <c r="B2387" s="35"/>
      <c r="C2387" s="281" t="s">
        <v>573</v>
      </c>
      <c r="D2387" s="230" t="s">
        <v>28</v>
      </c>
      <c r="E2387" s="231">
        <v>3</v>
      </c>
      <c r="F2387" s="232">
        <v>0</v>
      </c>
      <c r="G2387" s="232">
        <v>0</v>
      </c>
      <c r="H2387" s="138">
        <f>G2387+F2387</f>
        <v>0</v>
      </c>
      <c r="I2387" s="138">
        <f>H2387*E2387</f>
        <v>0</v>
      </c>
      <c r="J2387" s="61"/>
      <c r="K2387" s="15"/>
    </row>
    <row r="2388" spans="1:11" s="16" customFormat="1" ht="25.5" outlineLevel="3">
      <c r="A2388" s="14"/>
      <c r="B2388" s="35"/>
      <c r="C2388" s="242" t="s">
        <v>221</v>
      </c>
      <c r="D2388" s="230" t="s">
        <v>28</v>
      </c>
      <c r="E2388" s="231">
        <v>3</v>
      </c>
      <c r="F2388" s="232">
        <v>0</v>
      </c>
      <c r="G2388" s="232">
        <v>0</v>
      </c>
      <c r="H2388" s="138">
        <f>G2388+F2388</f>
        <v>0</v>
      </c>
      <c r="I2388" s="138">
        <f>H2388*E2388</f>
        <v>0</v>
      </c>
      <c r="J2388" s="61"/>
      <c r="K2388" s="15"/>
    </row>
    <row r="2389" spans="1:11" s="16" customFormat="1" ht="25.5" outlineLevel="3">
      <c r="A2389" s="14"/>
      <c r="B2389" s="35"/>
      <c r="C2389" s="241" t="s">
        <v>148</v>
      </c>
      <c r="D2389" s="329"/>
      <c r="E2389" s="231"/>
      <c r="F2389" s="232">
        <v>0</v>
      </c>
      <c r="G2389" s="232">
        <v>0</v>
      </c>
      <c r="H2389" s="282"/>
      <c r="I2389" s="283"/>
      <c r="J2389" s="61"/>
      <c r="K2389" s="15"/>
    </row>
    <row r="2390" spans="1:11" s="16" customFormat="1" ht="25.5" outlineLevel="3">
      <c r="A2390" s="14"/>
      <c r="B2390" s="35"/>
      <c r="C2390" s="290" t="s">
        <v>1221</v>
      </c>
      <c r="D2390" s="230" t="s">
        <v>28</v>
      </c>
      <c r="E2390" s="231">
        <v>1</v>
      </c>
      <c r="F2390" s="232">
        <v>0</v>
      </c>
      <c r="G2390" s="232">
        <v>0</v>
      </c>
      <c r="H2390" s="138">
        <f>G2390+F2390</f>
        <v>0</v>
      </c>
      <c r="I2390" s="138">
        <f>H2390*E2390</f>
        <v>0</v>
      </c>
      <c r="J2390" s="61"/>
      <c r="K2390" s="15"/>
    </row>
    <row r="2391" spans="1:11" s="16" customFormat="1" ht="25.5" outlineLevel="3">
      <c r="A2391" s="14"/>
      <c r="B2391" s="35"/>
      <c r="C2391" s="290" t="s">
        <v>1222</v>
      </c>
      <c r="D2391" s="230" t="s">
        <v>28</v>
      </c>
      <c r="E2391" s="231">
        <v>1</v>
      </c>
      <c r="F2391" s="232">
        <v>0</v>
      </c>
      <c r="G2391" s="232">
        <v>0</v>
      </c>
      <c r="H2391" s="138">
        <f>G2391+F2391</f>
        <v>0</v>
      </c>
      <c r="I2391" s="138">
        <f>H2391*E2391</f>
        <v>0</v>
      </c>
      <c r="J2391" s="61"/>
      <c r="K2391" s="15"/>
    </row>
    <row r="2392" spans="1:11" s="16" customFormat="1" ht="25.5" outlineLevel="3">
      <c r="A2392" s="14"/>
      <c r="B2392" s="35"/>
      <c r="C2392" s="290" t="s">
        <v>1223</v>
      </c>
      <c r="D2392" s="230" t="s">
        <v>28</v>
      </c>
      <c r="E2392" s="231">
        <v>1</v>
      </c>
      <c r="F2392" s="232">
        <v>0</v>
      </c>
      <c r="G2392" s="232">
        <v>0</v>
      </c>
      <c r="H2392" s="138">
        <f>G2392+F2392</f>
        <v>0</v>
      </c>
      <c r="I2392" s="138">
        <f>H2392*E2392</f>
        <v>0</v>
      </c>
      <c r="J2392" s="61"/>
      <c r="K2392" s="15"/>
    </row>
    <row r="2393" spans="1:11" s="16" customFormat="1" ht="25.5" outlineLevel="3">
      <c r="A2393" s="14"/>
      <c r="B2393" s="35"/>
      <c r="C2393" s="290" t="s">
        <v>1224</v>
      </c>
      <c r="D2393" s="233" t="s">
        <v>44</v>
      </c>
      <c r="E2393" s="231">
        <v>1</v>
      </c>
      <c r="F2393" s="232">
        <v>0</v>
      </c>
      <c r="G2393" s="232">
        <v>0</v>
      </c>
      <c r="H2393" s="138">
        <f>G2393+F2393</f>
        <v>0</v>
      </c>
      <c r="I2393" s="138">
        <f>H2393*E2393</f>
        <v>0</v>
      </c>
      <c r="J2393" s="61"/>
      <c r="K2393" s="15"/>
    </row>
    <row r="2394" spans="1:11" s="16" customFormat="1" ht="25.5" outlineLevel="3">
      <c r="A2394" s="14"/>
      <c r="B2394" s="35"/>
      <c r="C2394" s="330" t="s">
        <v>1225</v>
      </c>
      <c r="D2394" s="329"/>
      <c r="E2394" s="231"/>
      <c r="F2394" s="232">
        <v>0</v>
      </c>
      <c r="G2394" s="232">
        <v>0</v>
      </c>
      <c r="H2394" s="282"/>
      <c r="I2394" s="283"/>
      <c r="J2394" s="61"/>
      <c r="K2394" s="15"/>
    </row>
    <row r="2395" spans="1:11" s="16" customFormat="1" ht="25.5" outlineLevel="3">
      <c r="A2395" s="14"/>
      <c r="B2395" s="35"/>
      <c r="C2395" s="290" t="s">
        <v>1226</v>
      </c>
      <c r="D2395" s="230" t="s">
        <v>28</v>
      </c>
      <c r="E2395" s="231">
        <v>1</v>
      </c>
      <c r="F2395" s="232">
        <v>0</v>
      </c>
      <c r="G2395" s="232">
        <v>0</v>
      </c>
      <c r="H2395" s="138">
        <f>G2395+F2395</f>
        <v>0</v>
      </c>
      <c r="I2395" s="138">
        <f>H2395*E2395</f>
        <v>0</v>
      </c>
      <c r="J2395" s="61"/>
      <c r="K2395" s="15"/>
    </row>
    <row r="2396" spans="1:11" s="16" customFormat="1" ht="25.5" outlineLevel="3">
      <c r="A2396" s="14"/>
      <c r="B2396" s="35"/>
      <c r="C2396" s="290" t="s">
        <v>1229</v>
      </c>
      <c r="D2396" s="230" t="s">
        <v>38</v>
      </c>
      <c r="E2396" s="231">
        <v>1</v>
      </c>
      <c r="F2396" s="232">
        <v>0</v>
      </c>
      <c r="G2396" s="232">
        <v>0</v>
      </c>
      <c r="H2396" s="138">
        <f>G2396+F2396</f>
        <v>0</v>
      </c>
      <c r="I2396" s="138">
        <f>H2396*E2396</f>
        <v>0</v>
      </c>
      <c r="J2396" s="61"/>
      <c r="K2396" s="15"/>
    </row>
    <row r="2397" spans="1:11" s="16" customFormat="1" ht="25.5" outlineLevel="3">
      <c r="A2397" s="14"/>
      <c r="B2397" s="35"/>
      <c r="C2397" s="229" t="s">
        <v>139</v>
      </c>
      <c r="D2397" s="230" t="s">
        <v>38</v>
      </c>
      <c r="E2397" s="231">
        <v>1</v>
      </c>
      <c r="F2397" s="232">
        <v>0</v>
      </c>
      <c r="G2397" s="232">
        <v>0</v>
      </c>
      <c r="H2397" s="138">
        <f>G2397+F2397</f>
        <v>0</v>
      </c>
      <c r="I2397" s="138">
        <f>H2397*E2397</f>
        <v>0</v>
      </c>
      <c r="J2397" s="61"/>
      <c r="K2397" s="15"/>
    </row>
    <row r="2398" spans="1:11" s="16" customFormat="1" ht="25.5" outlineLevel="3">
      <c r="A2398" s="14"/>
      <c r="B2398" s="35"/>
      <c r="C2398" s="271" t="s">
        <v>1230</v>
      </c>
      <c r="D2398" s="230" t="s">
        <v>38</v>
      </c>
      <c r="E2398" s="247">
        <v>1</v>
      </c>
      <c r="F2398" s="232">
        <v>0</v>
      </c>
      <c r="G2398" s="232">
        <v>0</v>
      </c>
      <c r="H2398" s="138">
        <f>G2398+F2398</f>
        <v>0</v>
      </c>
      <c r="I2398" s="138">
        <f>H2398*E2398</f>
        <v>0</v>
      </c>
      <c r="J2398" s="61"/>
      <c r="K2398" s="15"/>
    </row>
    <row r="2399" spans="1:11" s="16" customFormat="1" ht="25.5" outlineLevel="3">
      <c r="A2399" s="14"/>
      <c r="B2399" s="35"/>
      <c r="C2399" s="241" t="s">
        <v>141</v>
      </c>
      <c r="D2399" s="329"/>
      <c r="E2399" s="231"/>
      <c r="F2399" s="232">
        <v>0</v>
      </c>
      <c r="G2399" s="232">
        <v>0</v>
      </c>
      <c r="H2399" s="282"/>
      <c r="I2399" s="283"/>
      <c r="J2399" s="61"/>
      <c r="K2399" s="15"/>
    </row>
    <row r="2400" spans="1:11" s="16" customFormat="1" ht="25.5" outlineLevel="3">
      <c r="A2400" s="14"/>
      <c r="B2400" s="35"/>
      <c r="C2400" s="290" t="s">
        <v>1231</v>
      </c>
      <c r="D2400" s="230" t="s">
        <v>28</v>
      </c>
      <c r="E2400" s="231">
        <v>1</v>
      </c>
      <c r="F2400" s="232">
        <v>0</v>
      </c>
      <c r="G2400" s="232">
        <v>0</v>
      </c>
      <c r="H2400" s="138">
        <f>G2400+F2400</f>
        <v>0</v>
      </c>
      <c r="I2400" s="138">
        <f>H2400*E2400</f>
        <v>0</v>
      </c>
      <c r="J2400" s="61"/>
      <c r="K2400" s="15"/>
    </row>
    <row r="2401" spans="1:11" s="16" customFormat="1" ht="25.5" outlineLevel="3">
      <c r="A2401" s="14"/>
      <c r="B2401" s="35"/>
      <c r="C2401" s="281" t="s">
        <v>573</v>
      </c>
      <c r="D2401" s="230" t="s">
        <v>28</v>
      </c>
      <c r="E2401" s="231">
        <v>3</v>
      </c>
      <c r="F2401" s="232">
        <v>0</v>
      </c>
      <c r="G2401" s="232">
        <v>0</v>
      </c>
      <c r="H2401" s="138">
        <f>G2401+F2401</f>
        <v>0</v>
      </c>
      <c r="I2401" s="138">
        <f>H2401*E2401</f>
        <v>0</v>
      </c>
      <c r="J2401" s="61"/>
      <c r="K2401" s="15"/>
    </row>
    <row r="2402" spans="1:11" s="16" customFormat="1" ht="25.5" outlineLevel="3">
      <c r="A2402" s="14"/>
      <c r="B2402" s="35"/>
      <c r="C2402" s="242" t="s">
        <v>221</v>
      </c>
      <c r="D2402" s="230" t="s">
        <v>28</v>
      </c>
      <c r="E2402" s="231">
        <v>3</v>
      </c>
      <c r="F2402" s="232">
        <v>0</v>
      </c>
      <c r="G2402" s="232">
        <v>0</v>
      </c>
      <c r="H2402" s="138">
        <f>G2402+F2402</f>
        <v>0</v>
      </c>
      <c r="I2402" s="138">
        <f>H2402*E2402</f>
        <v>0</v>
      </c>
      <c r="J2402" s="61"/>
      <c r="K2402" s="15"/>
    </row>
    <row r="2403" spans="1:11" s="16" customFormat="1" ht="25.5" outlineLevel="3">
      <c r="A2403" s="14"/>
      <c r="B2403" s="35"/>
      <c r="C2403" s="241" t="s">
        <v>148</v>
      </c>
      <c r="D2403" s="329"/>
      <c r="E2403" s="231"/>
      <c r="F2403" s="232">
        <v>0</v>
      </c>
      <c r="G2403" s="232">
        <v>0</v>
      </c>
      <c r="H2403" s="282"/>
      <c r="I2403" s="283"/>
      <c r="J2403" s="61"/>
      <c r="K2403" s="15"/>
    </row>
    <row r="2404" spans="1:11" s="16" customFormat="1" ht="25.5" outlineLevel="3">
      <c r="A2404" s="14"/>
      <c r="B2404" s="35"/>
      <c r="C2404" s="290" t="s">
        <v>1232</v>
      </c>
      <c r="D2404" s="230" t="s">
        <v>28</v>
      </c>
      <c r="E2404" s="231">
        <v>1</v>
      </c>
      <c r="F2404" s="232">
        <v>0</v>
      </c>
      <c r="G2404" s="232">
        <v>0</v>
      </c>
      <c r="H2404" s="138">
        <f>G2404+F2404</f>
        <v>0</v>
      </c>
      <c r="I2404" s="138">
        <f>H2404*E2404</f>
        <v>0</v>
      </c>
      <c r="J2404" s="61"/>
      <c r="K2404" s="15"/>
    </row>
    <row r="2405" spans="1:11" s="16" customFormat="1" ht="25.5" outlineLevel="3">
      <c r="A2405" s="14"/>
      <c r="B2405" s="35"/>
      <c r="C2405" s="290" t="s">
        <v>1233</v>
      </c>
      <c r="D2405" s="230" t="s">
        <v>28</v>
      </c>
      <c r="E2405" s="231">
        <v>1</v>
      </c>
      <c r="F2405" s="232">
        <v>0</v>
      </c>
      <c r="G2405" s="232">
        <v>0</v>
      </c>
      <c r="H2405" s="138">
        <f>G2405+F2405</f>
        <v>0</v>
      </c>
      <c r="I2405" s="138">
        <f>H2405*E2405</f>
        <v>0</v>
      </c>
      <c r="J2405" s="61"/>
      <c r="K2405" s="15"/>
    </row>
    <row r="2406" spans="1:11" s="16" customFormat="1" ht="25.5" outlineLevel="3">
      <c r="A2406" s="14"/>
      <c r="B2406" s="35"/>
      <c r="C2406" s="330" t="s">
        <v>1234</v>
      </c>
      <c r="D2406" s="329"/>
      <c r="E2406" s="231"/>
      <c r="F2406" s="232">
        <v>0</v>
      </c>
      <c r="G2406" s="232">
        <v>0</v>
      </c>
      <c r="H2406" s="282"/>
      <c r="I2406" s="283"/>
      <c r="J2406" s="61"/>
      <c r="K2406" s="15"/>
    </row>
    <row r="2407" spans="1:11" s="16" customFormat="1" ht="25.5" outlineLevel="3">
      <c r="A2407" s="14"/>
      <c r="B2407" s="35"/>
      <c r="C2407" s="290" t="s">
        <v>647</v>
      </c>
      <c r="D2407" s="230" t="s">
        <v>28</v>
      </c>
      <c r="E2407" s="231">
        <v>1</v>
      </c>
      <c r="F2407" s="232">
        <v>0</v>
      </c>
      <c r="G2407" s="232">
        <v>0</v>
      </c>
      <c r="H2407" s="138">
        <f t="shared" ref="H2407:H2412" si="235">G2407+F2407</f>
        <v>0</v>
      </c>
      <c r="I2407" s="138">
        <f t="shared" ref="I2407:I2412" si="236">H2407*E2407</f>
        <v>0</v>
      </c>
      <c r="J2407" s="61"/>
      <c r="K2407" s="15"/>
    </row>
    <row r="2408" spans="1:11" s="16" customFormat="1" ht="25.5" outlineLevel="3">
      <c r="A2408" s="14"/>
      <c r="B2408" s="35"/>
      <c r="C2408" s="290" t="s">
        <v>1235</v>
      </c>
      <c r="D2408" s="230" t="s">
        <v>38</v>
      </c>
      <c r="E2408" s="231">
        <v>1</v>
      </c>
      <c r="F2408" s="232">
        <v>0</v>
      </c>
      <c r="G2408" s="232">
        <v>0</v>
      </c>
      <c r="H2408" s="138">
        <f t="shared" si="235"/>
        <v>0</v>
      </c>
      <c r="I2408" s="138">
        <f t="shared" si="236"/>
        <v>0</v>
      </c>
      <c r="J2408" s="61"/>
      <c r="K2408" s="15"/>
    </row>
    <row r="2409" spans="1:11" s="16" customFormat="1" ht="25.5" outlineLevel="3">
      <c r="A2409" s="14"/>
      <c r="B2409" s="35"/>
      <c r="C2409" s="290" t="s">
        <v>1236</v>
      </c>
      <c r="D2409" s="230" t="s">
        <v>38</v>
      </c>
      <c r="E2409" s="247">
        <v>1</v>
      </c>
      <c r="F2409" s="232">
        <v>0</v>
      </c>
      <c r="G2409" s="232">
        <v>0</v>
      </c>
      <c r="H2409" s="138">
        <f t="shared" si="235"/>
        <v>0</v>
      </c>
      <c r="I2409" s="138">
        <f t="shared" si="236"/>
        <v>0</v>
      </c>
      <c r="J2409" s="61"/>
      <c r="K2409" s="15"/>
    </row>
    <row r="2410" spans="1:11" s="16" customFormat="1" ht="25.5" outlineLevel="3">
      <c r="A2410" s="14"/>
      <c r="B2410" s="35"/>
      <c r="C2410" s="229" t="s">
        <v>139</v>
      </c>
      <c r="D2410" s="230" t="s">
        <v>38</v>
      </c>
      <c r="E2410" s="247">
        <v>1</v>
      </c>
      <c r="F2410" s="232">
        <v>0</v>
      </c>
      <c r="G2410" s="232">
        <v>0</v>
      </c>
      <c r="H2410" s="138">
        <f t="shared" si="235"/>
        <v>0</v>
      </c>
      <c r="I2410" s="138">
        <f t="shared" si="236"/>
        <v>0</v>
      </c>
      <c r="J2410" s="61"/>
      <c r="K2410" s="15"/>
    </row>
    <row r="2411" spans="1:11" s="16" customFormat="1" ht="25.5" outlineLevel="3">
      <c r="A2411" s="14"/>
      <c r="B2411" s="51">
        <f>MAX($B$9:B2410)+1</f>
        <v>924</v>
      </c>
      <c r="C2411" s="256" t="s">
        <v>1237</v>
      </c>
      <c r="D2411" s="230" t="s">
        <v>38</v>
      </c>
      <c r="E2411" s="247">
        <v>1</v>
      </c>
      <c r="F2411" s="232">
        <v>29030625</v>
      </c>
      <c r="G2411" s="232">
        <v>1563188</v>
      </c>
      <c r="H2411" s="138">
        <f t="shared" si="235"/>
        <v>30593813</v>
      </c>
      <c r="I2411" s="138">
        <f t="shared" si="236"/>
        <v>30593813</v>
      </c>
      <c r="J2411" s="61"/>
      <c r="K2411" s="15"/>
    </row>
    <row r="2412" spans="1:11" s="16" customFormat="1" ht="25.5" outlineLevel="3">
      <c r="A2412" s="14"/>
      <c r="B2412" s="35"/>
      <c r="C2412" s="271" t="s">
        <v>1238</v>
      </c>
      <c r="D2412" s="230" t="s">
        <v>38</v>
      </c>
      <c r="E2412" s="247">
        <v>1</v>
      </c>
      <c r="F2412" s="232">
        <v>0</v>
      </c>
      <c r="G2412" s="232">
        <v>0</v>
      </c>
      <c r="H2412" s="138">
        <f t="shared" si="235"/>
        <v>0</v>
      </c>
      <c r="I2412" s="138">
        <f t="shared" si="236"/>
        <v>0</v>
      </c>
      <c r="J2412" s="61"/>
      <c r="K2412" s="15"/>
    </row>
    <row r="2413" spans="1:11" s="16" customFormat="1" ht="25.5" outlineLevel="3">
      <c r="A2413" s="14"/>
      <c r="B2413" s="35"/>
      <c r="C2413" s="241" t="s">
        <v>141</v>
      </c>
      <c r="D2413" s="329"/>
      <c r="E2413" s="231"/>
      <c r="F2413" s="232">
        <v>0</v>
      </c>
      <c r="G2413" s="232">
        <v>0</v>
      </c>
      <c r="H2413" s="282"/>
      <c r="I2413" s="283"/>
      <c r="J2413" s="61"/>
      <c r="K2413" s="15"/>
    </row>
    <row r="2414" spans="1:11" s="16" customFormat="1" ht="25.5" outlineLevel="3">
      <c r="A2414" s="14"/>
      <c r="B2414" s="35"/>
      <c r="C2414" s="290" t="s">
        <v>1239</v>
      </c>
      <c r="D2414" s="230" t="s">
        <v>28</v>
      </c>
      <c r="E2414" s="231">
        <v>1</v>
      </c>
      <c r="F2414" s="232">
        <v>0</v>
      </c>
      <c r="G2414" s="232">
        <v>0</v>
      </c>
      <c r="H2414" s="138">
        <f>G2414+F2414</f>
        <v>0</v>
      </c>
      <c r="I2414" s="138">
        <f>H2414*E2414</f>
        <v>0</v>
      </c>
      <c r="J2414" s="61"/>
      <c r="K2414" s="15"/>
    </row>
    <row r="2415" spans="1:11" s="16" customFormat="1" ht="25.5" outlineLevel="3">
      <c r="A2415" s="14"/>
      <c r="B2415" s="35"/>
      <c r="C2415" s="281" t="s">
        <v>573</v>
      </c>
      <c r="D2415" s="230" t="s">
        <v>28</v>
      </c>
      <c r="E2415" s="231">
        <v>3</v>
      </c>
      <c r="F2415" s="232">
        <v>0</v>
      </c>
      <c r="G2415" s="232">
        <v>0</v>
      </c>
      <c r="H2415" s="138">
        <f>G2415+F2415</f>
        <v>0</v>
      </c>
      <c r="I2415" s="138">
        <f>H2415*E2415</f>
        <v>0</v>
      </c>
      <c r="J2415" s="61"/>
      <c r="K2415" s="15"/>
    </row>
    <row r="2416" spans="1:11" s="16" customFormat="1" ht="25.5" outlineLevel="3">
      <c r="A2416" s="14"/>
      <c r="B2416" s="35"/>
      <c r="C2416" s="242" t="s">
        <v>221</v>
      </c>
      <c r="D2416" s="230" t="s">
        <v>28</v>
      </c>
      <c r="E2416" s="231">
        <v>3</v>
      </c>
      <c r="F2416" s="232">
        <v>0</v>
      </c>
      <c r="G2416" s="232">
        <v>0</v>
      </c>
      <c r="H2416" s="138">
        <f>G2416+F2416</f>
        <v>0</v>
      </c>
      <c r="I2416" s="138">
        <f>H2416*E2416</f>
        <v>0</v>
      </c>
      <c r="J2416" s="61"/>
      <c r="K2416" s="15"/>
    </row>
    <row r="2417" spans="1:11" s="16" customFormat="1" ht="25.5" outlineLevel="3">
      <c r="A2417" s="14"/>
      <c r="B2417" s="35"/>
      <c r="C2417" s="241" t="s">
        <v>148</v>
      </c>
      <c r="D2417" s="329"/>
      <c r="E2417" s="231"/>
      <c r="F2417" s="232">
        <v>0</v>
      </c>
      <c r="G2417" s="232">
        <v>0</v>
      </c>
      <c r="H2417" s="282"/>
      <c r="I2417" s="283"/>
      <c r="J2417" s="61"/>
      <c r="K2417" s="15"/>
    </row>
    <row r="2418" spans="1:11" s="16" customFormat="1" ht="25.5" outlineLevel="3">
      <c r="A2418" s="14"/>
      <c r="B2418" s="35"/>
      <c r="C2418" s="290" t="s">
        <v>1221</v>
      </c>
      <c r="D2418" s="230" t="s">
        <v>28</v>
      </c>
      <c r="E2418" s="231">
        <v>1</v>
      </c>
      <c r="F2418" s="232">
        <v>0</v>
      </c>
      <c r="G2418" s="232">
        <v>0</v>
      </c>
      <c r="H2418" s="138">
        <f>G2418+F2418</f>
        <v>0</v>
      </c>
      <c r="I2418" s="138">
        <f>H2418*E2418</f>
        <v>0</v>
      </c>
      <c r="J2418" s="61"/>
      <c r="K2418" s="15"/>
    </row>
    <row r="2419" spans="1:11" s="16" customFormat="1" ht="25.5" outlineLevel="3">
      <c r="A2419" s="14"/>
      <c r="B2419" s="35"/>
      <c r="C2419" s="290" t="s">
        <v>1240</v>
      </c>
      <c r="D2419" s="230" t="s">
        <v>28</v>
      </c>
      <c r="E2419" s="231">
        <v>4</v>
      </c>
      <c r="F2419" s="232">
        <v>0</v>
      </c>
      <c r="G2419" s="232">
        <v>0</v>
      </c>
      <c r="H2419" s="138">
        <f>G2419+F2419</f>
        <v>0</v>
      </c>
      <c r="I2419" s="138">
        <f>H2419*E2419</f>
        <v>0</v>
      </c>
      <c r="J2419" s="61"/>
      <c r="K2419" s="15"/>
    </row>
    <row r="2420" spans="1:11" s="16" customFormat="1" ht="25.5" outlineLevel="3">
      <c r="A2420" s="14"/>
      <c r="B2420" s="35"/>
      <c r="C2420" s="290" t="s">
        <v>1241</v>
      </c>
      <c r="D2420" s="230" t="s">
        <v>28</v>
      </c>
      <c r="E2420" s="231">
        <v>1</v>
      </c>
      <c r="F2420" s="232">
        <v>0</v>
      </c>
      <c r="G2420" s="232">
        <v>0</v>
      </c>
      <c r="H2420" s="138">
        <f>G2420+F2420</f>
        <v>0</v>
      </c>
      <c r="I2420" s="138">
        <f>H2420*E2420</f>
        <v>0</v>
      </c>
      <c r="J2420" s="61"/>
      <c r="K2420" s="15"/>
    </row>
    <row r="2421" spans="1:11" s="16" customFormat="1" ht="25.5" outlineLevel="3">
      <c r="A2421" s="14"/>
      <c r="B2421" s="35"/>
      <c r="C2421" s="290" t="s">
        <v>1223</v>
      </c>
      <c r="D2421" s="230" t="s">
        <v>28</v>
      </c>
      <c r="E2421" s="231">
        <v>1</v>
      </c>
      <c r="F2421" s="232">
        <v>0</v>
      </c>
      <c r="G2421" s="232">
        <v>0</v>
      </c>
      <c r="H2421" s="138">
        <f>G2421+F2421</f>
        <v>0</v>
      </c>
      <c r="I2421" s="138">
        <f>H2421*E2421</f>
        <v>0</v>
      </c>
      <c r="J2421" s="61"/>
      <c r="K2421" s="15"/>
    </row>
    <row r="2422" spans="1:11" s="16" customFormat="1" ht="25.5" outlineLevel="3">
      <c r="A2422" s="14"/>
      <c r="B2422" s="35"/>
      <c r="C2422" s="290" t="s">
        <v>1224</v>
      </c>
      <c r="D2422" s="233" t="s">
        <v>44</v>
      </c>
      <c r="E2422" s="231">
        <v>1</v>
      </c>
      <c r="F2422" s="232">
        <v>0</v>
      </c>
      <c r="G2422" s="232">
        <v>0</v>
      </c>
      <c r="H2422" s="138">
        <f>G2422+F2422</f>
        <v>0</v>
      </c>
      <c r="I2422" s="138">
        <f>H2422*E2422</f>
        <v>0</v>
      </c>
      <c r="J2422" s="61"/>
      <c r="K2422" s="15"/>
    </row>
    <row r="2423" spans="1:11" s="16" customFormat="1" ht="25.5" outlineLevel="3">
      <c r="A2423" s="14"/>
      <c r="B2423" s="35"/>
      <c r="C2423" s="330" t="s">
        <v>1242</v>
      </c>
      <c r="D2423" s="329"/>
      <c r="E2423" s="231"/>
      <c r="F2423" s="232">
        <v>0</v>
      </c>
      <c r="G2423" s="232">
        <v>0</v>
      </c>
      <c r="H2423" s="282"/>
      <c r="I2423" s="283"/>
      <c r="J2423" s="61"/>
      <c r="K2423" s="15"/>
    </row>
    <row r="2424" spans="1:11" s="16" customFormat="1" ht="25.5" outlineLevel="3">
      <c r="A2424" s="14"/>
      <c r="B2424" s="35"/>
      <c r="C2424" s="290" t="s">
        <v>647</v>
      </c>
      <c r="D2424" s="230" t="s">
        <v>28</v>
      </c>
      <c r="E2424" s="231">
        <v>4</v>
      </c>
      <c r="F2424" s="232">
        <v>0</v>
      </c>
      <c r="G2424" s="232">
        <v>0</v>
      </c>
      <c r="H2424" s="138">
        <f t="shared" ref="H2424:H2450" si="237">G2424+F2424</f>
        <v>0</v>
      </c>
      <c r="I2424" s="138">
        <f t="shared" ref="I2424:I2450" si="238">H2424*E2424</f>
        <v>0</v>
      </c>
      <c r="J2424" s="61"/>
      <c r="K2424" s="15"/>
    </row>
    <row r="2425" spans="1:11" s="16" customFormat="1" ht="25.5" outlineLevel="3">
      <c r="A2425" s="14"/>
      <c r="B2425" s="35"/>
      <c r="C2425" s="290" t="s">
        <v>1243</v>
      </c>
      <c r="D2425" s="230" t="s">
        <v>38</v>
      </c>
      <c r="E2425" s="231">
        <v>4</v>
      </c>
      <c r="F2425" s="232">
        <v>0</v>
      </c>
      <c r="G2425" s="232">
        <v>0</v>
      </c>
      <c r="H2425" s="138">
        <f t="shared" si="237"/>
        <v>0</v>
      </c>
      <c r="I2425" s="138">
        <f t="shared" si="238"/>
        <v>0</v>
      </c>
      <c r="J2425" s="61"/>
      <c r="K2425" s="15"/>
    </row>
    <row r="2426" spans="1:11" s="16" customFormat="1" ht="25.5" outlineLevel="3">
      <c r="A2426" s="14"/>
      <c r="B2426" s="35"/>
      <c r="C2426" s="290" t="s">
        <v>643</v>
      </c>
      <c r="D2426" s="230" t="s">
        <v>38</v>
      </c>
      <c r="E2426" s="247">
        <v>4</v>
      </c>
      <c r="F2426" s="232">
        <v>0</v>
      </c>
      <c r="G2426" s="232">
        <v>0</v>
      </c>
      <c r="H2426" s="138">
        <f t="shared" si="237"/>
        <v>0</v>
      </c>
      <c r="I2426" s="138">
        <f t="shared" si="238"/>
        <v>0</v>
      </c>
      <c r="J2426" s="61"/>
      <c r="K2426" s="15"/>
    </row>
    <row r="2427" spans="1:11" s="16" customFormat="1" ht="25.5" outlineLevel="3">
      <c r="A2427" s="14"/>
      <c r="B2427" s="35"/>
      <c r="C2427" s="229" t="s">
        <v>139</v>
      </c>
      <c r="D2427" s="230" t="s">
        <v>38</v>
      </c>
      <c r="E2427" s="247">
        <v>1</v>
      </c>
      <c r="F2427" s="232">
        <v>0</v>
      </c>
      <c r="G2427" s="232">
        <v>0</v>
      </c>
      <c r="H2427" s="138">
        <f t="shared" si="237"/>
        <v>0</v>
      </c>
      <c r="I2427" s="138">
        <f t="shared" si="238"/>
        <v>0</v>
      </c>
      <c r="J2427" s="61"/>
      <c r="K2427" s="15"/>
    </row>
    <row r="2428" spans="1:11" s="16" customFormat="1" ht="25.5" outlineLevel="3">
      <c r="A2428" s="14"/>
      <c r="B2428" s="51">
        <f>MAX($B$9:B2427)+1</f>
        <v>925</v>
      </c>
      <c r="C2428" s="256" t="s">
        <v>1244</v>
      </c>
      <c r="D2428" s="230" t="s">
        <v>38</v>
      </c>
      <c r="E2428" s="247">
        <v>1</v>
      </c>
      <c r="F2428" s="232">
        <v>58061250</v>
      </c>
      <c r="G2428" s="232">
        <v>20842500</v>
      </c>
      <c r="H2428" s="138">
        <f t="shared" si="237"/>
        <v>78903750</v>
      </c>
      <c r="I2428" s="138">
        <f t="shared" si="238"/>
        <v>78903750</v>
      </c>
      <c r="J2428" s="61"/>
      <c r="K2428" s="15"/>
    </row>
    <row r="2429" spans="1:11" s="16" customFormat="1" ht="25.5" outlineLevel="3">
      <c r="A2429" s="14"/>
      <c r="B2429" s="35">
        <f>MAX($B$2348:B2428)+1</f>
        <v>926</v>
      </c>
      <c r="C2429" s="256" t="s">
        <v>1245</v>
      </c>
      <c r="D2429" s="230" t="s">
        <v>28</v>
      </c>
      <c r="E2429" s="247">
        <v>2</v>
      </c>
      <c r="F2429" s="232">
        <v>17865000</v>
      </c>
      <c r="G2429" s="232">
        <v>1548300</v>
      </c>
      <c r="H2429" s="138">
        <f t="shared" si="237"/>
        <v>19413300</v>
      </c>
      <c r="I2429" s="138">
        <f t="shared" si="238"/>
        <v>38826600</v>
      </c>
      <c r="J2429" s="61"/>
      <c r="K2429" s="15"/>
    </row>
    <row r="2430" spans="1:11" s="16" customFormat="1" ht="25.5" outlineLevel="3">
      <c r="A2430" s="14"/>
      <c r="B2430" s="35">
        <f>MAX($B$2348:B2429)+1</f>
        <v>927</v>
      </c>
      <c r="C2430" s="256" t="s">
        <v>1246</v>
      </c>
      <c r="D2430" s="230" t="s">
        <v>28</v>
      </c>
      <c r="E2430" s="247">
        <v>2</v>
      </c>
      <c r="F2430" s="232">
        <v>15489580</v>
      </c>
      <c r="G2430" s="232">
        <v>1563188</v>
      </c>
      <c r="H2430" s="138">
        <f t="shared" si="237"/>
        <v>17052768</v>
      </c>
      <c r="I2430" s="138">
        <f t="shared" si="238"/>
        <v>34105536</v>
      </c>
      <c r="J2430" s="61"/>
      <c r="K2430" s="15"/>
    </row>
    <row r="2431" spans="1:11" s="16" customFormat="1" ht="25.5" outlineLevel="3">
      <c r="A2431" s="14"/>
      <c r="B2431" s="35">
        <f>MAX($B$2348:B2430)+1</f>
        <v>928</v>
      </c>
      <c r="C2431" s="256" t="s">
        <v>1247</v>
      </c>
      <c r="D2431" s="230" t="s">
        <v>28</v>
      </c>
      <c r="E2431" s="247">
        <v>2</v>
      </c>
      <c r="F2431" s="232">
        <v>10608952</v>
      </c>
      <c r="G2431" s="232">
        <v>1563188</v>
      </c>
      <c r="H2431" s="138">
        <f t="shared" si="237"/>
        <v>12172140</v>
      </c>
      <c r="I2431" s="138">
        <f t="shared" si="238"/>
        <v>24344280</v>
      </c>
      <c r="J2431" s="61"/>
      <c r="K2431" s="15"/>
    </row>
    <row r="2432" spans="1:11" s="16" customFormat="1" ht="25.5" outlineLevel="3">
      <c r="A2432" s="14"/>
      <c r="B2432" s="35">
        <f>MAX($B$2348:B2431)+1</f>
        <v>929</v>
      </c>
      <c r="C2432" s="256" t="s">
        <v>1248</v>
      </c>
      <c r="D2432" s="230" t="s">
        <v>28</v>
      </c>
      <c r="E2432" s="247">
        <v>2</v>
      </c>
      <c r="F2432" s="232">
        <v>7208885</v>
      </c>
      <c r="G2432" s="232">
        <v>1250550</v>
      </c>
      <c r="H2432" s="138">
        <f t="shared" si="237"/>
        <v>8459435</v>
      </c>
      <c r="I2432" s="138">
        <f t="shared" si="238"/>
        <v>16918870</v>
      </c>
      <c r="J2432" s="61"/>
      <c r="K2432" s="15"/>
    </row>
    <row r="2433" spans="1:11" s="16" customFormat="1" ht="25.5" outlineLevel="3">
      <c r="A2433" s="14"/>
      <c r="B2433" s="35">
        <f>MAX($B$2348:B2432)+1</f>
        <v>930</v>
      </c>
      <c r="C2433" s="256" t="s">
        <v>1249</v>
      </c>
      <c r="D2433" s="230" t="s">
        <v>28</v>
      </c>
      <c r="E2433" s="247">
        <v>2</v>
      </c>
      <c r="F2433" s="232">
        <v>6112688</v>
      </c>
      <c r="G2433" s="232">
        <v>677381</v>
      </c>
      <c r="H2433" s="138">
        <f t="shared" si="237"/>
        <v>6790069</v>
      </c>
      <c r="I2433" s="138">
        <f t="shared" si="238"/>
        <v>13580138</v>
      </c>
      <c r="J2433" s="61"/>
      <c r="K2433" s="15"/>
    </row>
    <row r="2434" spans="1:11" s="16" customFormat="1" ht="25.5" outlineLevel="3">
      <c r="A2434" s="14"/>
      <c r="B2434" s="35">
        <f>MAX($B$2348:B2433)+1</f>
        <v>931</v>
      </c>
      <c r="C2434" s="256" t="s">
        <v>1250</v>
      </c>
      <c r="D2434" s="230" t="s">
        <v>28</v>
      </c>
      <c r="E2434" s="247">
        <v>2</v>
      </c>
      <c r="F2434" s="232">
        <v>8932143</v>
      </c>
      <c r="G2434" s="232">
        <v>1250550</v>
      </c>
      <c r="H2434" s="138">
        <f t="shared" si="237"/>
        <v>10182693</v>
      </c>
      <c r="I2434" s="138">
        <f t="shared" si="238"/>
        <v>20365386</v>
      </c>
      <c r="J2434" s="61"/>
      <c r="K2434" s="15"/>
    </row>
    <row r="2435" spans="1:11" s="16" customFormat="1" ht="25.5" outlineLevel="3">
      <c r="A2435" s="14"/>
      <c r="B2435" s="35">
        <f>MAX($B$2348:B2434)+1</f>
        <v>932</v>
      </c>
      <c r="C2435" s="256" t="s">
        <v>1251</v>
      </c>
      <c r="D2435" s="230" t="s">
        <v>28</v>
      </c>
      <c r="E2435" s="247">
        <v>1</v>
      </c>
      <c r="F2435" s="232">
        <v>700219</v>
      </c>
      <c r="G2435" s="232">
        <v>208425</v>
      </c>
      <c r="H2435" s="138">
        <f t="shared" si="237"/>
        <v>908644</v>
      </c>
      <c r="I2435" s="138">
        <f t="shared" si="238"/>
        <v>908644</v>
      </c>
      <c r="J2435" s="61"/>
      <c r="K2435" s="15"/>
    </row>
    <row r="2436" spans="1:11" s="16" customFormat="1" ht="25.5" outlineLevel="3">
      <c r="A2436" s="14"/>
      <c r="B2436" s="35">
        <f>MAX($B$2348:B2435)+1</f>
        <v>933</v>
      </c>
      <c r="C2436" s="256" t="s">
        <v>1252</v>
      </c>
      <c r="D2436" s="230" t="s">
        <v>28</v>
      </c>
      <c r="E2436" s="247">
        <v>2</v>
      </c>
      <c r="F2436" s="232">
        <v>7834785</v>
      </c>
      <c r="G2436" s="232">
        <v>1563188</v>
      </c>
      <c r="H2436" s="138">
        <f t="shared" si="237"/>
        <v>9397973</v>
      </c>
      <c r="I2436" s="138">
        <f t="shared" si="238"/>
        <v>18795946</v>
      </c>
      <c r="J2436" s="61"/>
      <c r="K2436" s="15"/>
    </row>
    <row r="2437" spans="1:11" s="16" customFormat="1" ht="25.5" outlineLevel="3">
      <c r="A2437" s="14"/>
      <c r="B2437" s="35">
        <f>MAX($B$2348:B2436)+1</f>
        <v>934</v>
      </c>
      <c r="C2437" s="256" t="s">
        <v>1253</v>
      </c>
      <c r="D2437" s="230" t="s">
        <v>28</v>
      </c>
      <c r="E2437" s="247">
        <v>2</v>
      </c>
      <c r="F2437" s="232">
        <v>4974688</v>
      </c>
      <c r="G2437" s="232">
        <v>729488</v>
      </c>
      <c r="H2437" s="138">
        <f t="shared" si="237"/>
        <v>5704176</v>
      </c>
      <c r="I2437" s="138">
        <f t="shared" si="238"/>
        <v>11408352</v>
      </c>
      <c r="J2437" s="61"/>
      <c r="K2437" s="15"/>
    </row>
    <row r="2438" spans="1:11" s="16" customFormat="1" ht="25.5" outlineLevel="3">
      <c r="A2438" s="14"/>
      <c r="B2438" s="35">
        <f>MAX($B$2348:B2437)+1</f>
        <v>935</v>
      </c>
      <c r="C2438" s="256" t="s">
        <v>1254</v>
      </c>
      <c r="D2438" s="230" t="s">
        <v>28</v>
      </c>
      <c r="E2438" s="247">
        <v>2</v>
      </c>
      <c r="F2438" s="232">
        <v>877886</v>
      </c>
      <c r="G2438" s="232">
        <v>208425</v>
      </c>
      <c r="H2438" s="138">
        <f t="shared" si="237"/>
        <v>1086311</v>
      </c>
      <c r="I2438" s="138">
        <f t="shared" si="238"/>
        <v>2172622</v>
      </c>
      <c r="J2438" s="61"/>
      <c r="K2438" s="15"/>
    </row>
    <row r="2439" spans="1:11" s="16" customFormat="1" ht="25.5" outlineLevel="3">
      <c r="A2439" s="14"/>
      <c r="B2439" s="35">
        <f>MAX($B$2348:B2438)+1</f>
        <v>936</v>
      </c>
      <c r="C2439" s="256" t="s">
        <v>1255</v>
      </c>
      <c r="D2439" s="230" t="s">
        <v>28</v>
      </c>
      <c r="E2439" s="247">
        <v>2</v>
      </c>
      <c r="F2439" s="232">
        <v>6570211</v>
      </c>
      <c r="G2439" s="232">
        <v>729488</v>
      </c>
      <c r="H2439" s="138">
        <f t="shared" si="237"/>
        <v>7299699</v>
      </c>
      <c r="I2439" s="138">
        <f t="shared" si="238"/>
        <v>14599398</v>
      </c>
      <c r="J2439" s="61"/>
      <c r="K2439" s="15"/>
    </row>
    <row r="2440" spans="1:11" s="16" customFormat="1" ht="25.5" outlineLevel="3">
      <c r="A2440" s="14"/>
      <c r="B2440" s="35">
        <f>MAX($B$2348:B2439)+1</f>
        <v>937</v>
      </c>
      <c r="C2440" s="256" t="s">
        <v>1256</v>
      </c>
      <c r="D2440" s="230" t="s">
        <v>28</v>
      </c>
      <c r="E2440" s="247">
        <v>1</v>
      </c>
      <c r="F2440" s="232">
        <v>838404</v>
      </c>
      <c r="G2440" s="232">
        <v>208425</v>
      </c>
      <c r="H2440" s="138">
        <f t="shared" si="237"/>
        <v>1046829</v>
      </c>
      <c r="I2440" s="138">
        <f t="shared" si="238"/>
        <v>1046829</v>
      </c>
      <c r="J2440" s="61"/>
      <c r="K2440" s="15"/>
    </row>
    <row r="2441" spans="1:11" s="16" customFormat="1" ht="25.5" outlineLevel="3">
      <c r="A2441" s="14"/>
      <c r="B2441" s="35">
        <f>MAX($B$2348:B2440)+1</f>
        <v>938</v>
      </c>
      <c r="C2441" s="281" t="s">
        <v>588</v>
      </c>
      <c r="D2441" s="230" t="s">
        <v>28</v>
      </c>
      <c r="E2441" s="247">
        <v>1</v>
      </c>
      <c r="F2441" s="232">
        <v>1245994</v>
      </c>
      <c r="G2441" s="232">
        <v>208425</v>
      </c>
      <c r="H2441" s="138">
        <f t="shared" si="237"/>
        <v>1454419</v>
      </c>
      <c r="I2441" s="138">
        <f t="shared" si="238"/>
        <v>1454419</v>
      </c>
      <c r="J2441" s="61"/>
      <c r="K2441" s="15"/>
    </row>
    <row r="2442" spans="1:11" s="16" customFormat="1" ht="25.5" outlineLevel="3">
      <c r="A2442" s="14"/>
      <c r="B2442" s="35">
        <f>MAX($B$2348:B2441)+1</f>
        <v>939</v>
      </c>
      <c r="C2442" s="256" t="s">
        <v>589</v>
      </c>
      <c r="D2442" s="230" t="s">
        <v>28</v>
      </c>
      <c r="E2442" s="247">
        <v>2</v>
      </c>
      <c r="F2442" s="232">
        <v>391333</v>
      </c>
      <c r="G2442" s="232">
        <v>156319</v>
      </c>
      <c r="H2442" s="138">
        <f t="shared" si="237"/>
        <v>547652</v>
      </c>
      <c r="I2442" s="138">
        <f t="shared" si="238"/>
        <v>1095304</v>
      </c>
      <c r="J2442" s="61"/>
      <c r="K2442" s="15"/>
    </row>
    <row r="2443" spans="1:11" s="16" customFormat="1" ht="25.5" outlineLevel="3">
      <c r="A2443" s="14"/>
      <c r="B2443" s="35">
        <f>MAX($B$2348:B2440)+1</f>
        <v>938</v>
      </c>
      <c r="C2443" s="256" t="s">
        <v>590</v>
      </c>
      <c r="D2443" s="233" t="s">
        <v>44</v>
      </c>
      <c r="E2443" s="247">
        <v>7</v>
      </c>
      <c r="F2443" s="232">
        <v>971945</v>
      </c>
      <c r="G2443" s="232">
        <v>208425</v>
      </c>
      <c r="H2443" s="138">
        <f t="shared" si="237"/>
        <v>1180370</v>
      </c>
      <c r="I2443" s="138">
        <f t="shared" si="238"/>
        <v>8262590</v>
      </c>
      <c r="J2443" s="61"/>
      <c r="K2443" s="15"/>
    </row>
    <row r="2444" spans="1:11" s="16" customFormat="1" ht="25.5" outlineLevel="3">
      <c r="A2444" s="14"/>
      <c r="B2444" s="35">
        <f>MAX($B$2348:B2443)+1</f>
        <v>940</v>
      </c>
      <c r="C2444" s="256" t="s">
        <v>591</v>
      </c>
      <c r="D2444" s="233" t="s">
        <v>44</v>
      </c>
      <c r="E2444" s="247">
        <v>3</v>
      </c>
      <c r="F2444" s="232">
        <v>1456176</v>
      </c>
      <c r="G2444" s="232">
        <v>208425</v>
      </c>
      <c r="H2444" s="138">
        <f t="shared" si="237"/>
        <v>1664601</v>
      </c>
      <c r="I2444" s="138">
        <f t="shared" si="238"/>
        <v>4993803</v>
      </c>
      <c r="J2444" s="61"/>
      <c r="K2444" s="15"/>
    </row>
    <row r="2445" spans="1:11" s="16" customFormat="1" ht="25.5" outlineLevel="3">
      <c r="A2445" s="14"/>
      <c r="B2445" s="35">
        <f>MAX($B$2348:B2444)+1</f>
        <v>941</v>
      </c>
      <c r="C2445" s="256" t="s">
        <v>592</v>
      </c>
      <c r="D2445" s="233" t="s">
        <v>44</v>
      </c>
      <c r="E2445" s="247">
        <v>2</v>
      </c>
      <c r="F2445" s="232">
        <v>4296533</v>
      </c>
      <c r="G2445" s="232">
        <v>260531</v>
      </c>
      <c r="H2445" s="138">
        <f t="shared" si="237"/>
        <v>4557064</v>
      </c>
      <c r="I2445" s="138">
        <f t="shared" si="238"/>
        <v>9114128</v>
      </c>
      <c r="J2445" s="61"/>
      <c r="K2445" s="15"/>
    </row>
    <row r="2446" spans="1:11" s="16" customFormat="1" ht="25.5" outlineLevel="3">
      <c r="A2446" s="14"/>
      <c r="B2446" s="35">
        <f>MAX($B$2348:B2445)+1</f>
        <v>942</v>
      </c>
      <c r="C2446" s="256" t="s">
        <v>1257</v>
      </c>
      <c r="D2446" s="230" t="s">
        <v>28</v>
      </c>
      <c r="E2446" s="247">
        <v>1</v>
      </c>
      <c r="F2446" s="232">
        <v>11130342</v>
      </c>
      <c r="G2446" s="232">
        <v>1563188</v>
      </c>
      <c r="H2446" s="138">
        <f t="shared" si="237"/>
        <v>12693530</v>
      </c>
      <c r="I2446" s="138">
        <f t="shared" si="238"/>
        <v>12693530</v>
      </c>
      <c r="J2446" s="61"/>
      <c r="K2446" s="15"/>
    </row>
    <row r="2447" spans="1:11" s="16" customFormat="1" ht="25.5" outlineLevel="3">
      <c r="A2447" s="14"/>
      <c r="B2447" s="35">
        <f>MAX($B$2348:B2446)+1</f>
        <v>943</v>
      </c>
      <c r="C2447" s="256" t="s">
        <v>1258</v>
      </c>
      <c r="D2447" s="230" t="s">
        <v>28</v>
      </c>
      <c r="E2447" s="247">
        <v>1</v>
      </c>
      <c r="F2447" s="232">
        <v>19104474</v>
      </c>
      <c r="G2447" s="232">
        <v>1563188</v>
      </c>
      <c r="H2447" s="138">
        <f t="shared" si="237"/>
        <v>20667662</v>
      </c>
      <c r="I2447" s="138">
        <f t="shared" si="238"/>
        <v>20667662</v>
      </c>
      <c r="J2447" s="61"/>
      <c r="K2447" s="15"/>
    </row>
    <row r="2448" spans="1:11" s="16" customFormat="1" ht="25.5" outlineLevel="3">
      <c r="A2448" s="14"/>
      <c r="B2448" s="35">
        <f>MAX($B$2348:B2447)+1</f>
        <v>944</v>
      </c>
      <c r="C2448" s="248" t="s">
        <v>1259</v>
      </c>
      <c r="D2448" s="230" t="s">
        <v>28</v>
      </c>
      <c r="E2448" s="247">
        <v>1</v>
      </c>
      <c r="F2448" s="232">
        <v>1279670</v>
      </c>
      <c r="G2448" s="232">
        <v>521063</v>
      </c>
      <c r="H2448" s="138">
        <f t="shared" si="237"/>
        <v>1800733</v>
      </c>
      <c r="I2448" s="138">
        <f t="shared" si="238"/>
        <v>1800733</v>
      </c>
      <c r="J2448" s="61"/>
      <c r="K2448" s="15"/>
    </row>
    <row r="2449" spans="1:11" s="16" customFormat="1" ht="25.5" outlineLevel="3">
      <c r="A2449" s="14"/>
      <c r="B2449" s="35">
        <f>MAX($B$2348:B2448)+1</f>
        <v>945</v>
      </c>
      <c r="C2449" s="256" t="s">
        <v>922</v>
      </c>
      <c r="D2449" s="230" t="s">
        <v>28</v>
      </c>
      <c r="E2449" s="247">
        <v>2</v>
      </c>
      <c r="F2449" s="232">
        <v>5147710</v>
      </c>
      <c r="G2449" s="232">
        <v>729488</v>
      </c>
      <c r="H2449" s="138">
        <f t="shared" si="237"/>
        <v>5877198</v>
      </c>
      <c r="I2449" s="138">
        <f t="shared" si="238"/>
        <v>11754396</v>
      </c>
      <c r="J2449" s="61"/>
      <c r="K2449" s="15"/>
    </row>
    <row r="2450" spans="1:11" s="16" customFormat="1" ht="25.5" outlineLevel="3">
      <c r="A2450" s="14"/>
      <c r="B2450" s="35">
        <f>MAX($B$2348:B2449)+1</f>
        <v>946</v>
      </c>
      <c r="C2450" s="256" t="s">
        <v>1260</v>
      </c>
      <c r="D2450" s="230" t="s">
        <v>38</v>
      </c>
      <c r="E2450" s="247">
        <v>1</v>
      </c>
      <c r="F2450" s="232">
        <v>116122500</v>
      </c>
      <c r="G2450" s="232">
        <v>41685000</v>
      </c>
      <c r="H2450" s="138">
        <f t="shared" si="237"/>
        <v>157807500</v>
      </c>
      <c r="I2450" s="138">
        <f t="shared" si="238"/>
        <v>157807500</v>
      </c>
      <c r="J2450" s="61"/>
      <c r="K2450" s="15"/>
    </row>
    <row r="2451" spans="1:11" s="16" customFormat="1" ht="27" outlineLevel="3">
      <c r="A2451" s="14"/>
      <c r="B2451" s="35"/>
      <c r="C2451" s="325" t="s">
        <v>1261</v>
      </c>
      <c r="D2451" s="230"/>
      <c r="E2451" s="247"/>
      <c r="F2451" s="232">
        <v>0</v>
      </c>
      <c r="G2451" s="232">
        <v>0</v>
      </c>
      <c r="H2451" s="282"/>
      <c r="I2451" s="283"/>
      <c r="J2451" s="61"/>
      <c r="K2451" s="15"/>
    </row>
    <row r="2452" spans="1:11" s="16" customFormat="1" ht="25.5" outlineLevel="3">
      <c r="A2452" s="14" t="s">
        <v>154</v>
      </c>
      <c r="B2452" s="35">
        <f>MAX($B$2348:B2451)+1</f>
        <v>947</v>
      </c>
      <c r="C2452" s="256" t="s">
        <v>1262</v>
      </c>
      <c r="D2452" s="230" t="s">
        <v>28</v>
      </c>
      <c r="E2452" s="247">
        <v>545</v>
      </c>
      <c r="F2452" s="232">
        <v>85931</v>
      </c>
      <c r="G2452" s="232">
        <v>104213</v>
      </c>
      <c r="H2452" s="138">
        <f t="shared" ref="H2452:H2470" si="239">G2452+F2452</f>
        <v>190144</v>
      </c>
      <c r="I2452" s="138">
        <f t="shared" ref="I2452:I2470" si="240">H2452*E2452</f>
        <v>103628480</v>
      </c>
      <c r="J2452" s="61"/>
      <c r="K2452" s="15" t="s">
        <v>156</v>
      </c>
    </row>
    <row r="2453" spans="1:11" s="16" customFormat="1" ht="25.5" outlineLevel="3">
      <c r="A2453" s="14"/>
      <c r="B2453" s="35">
        <f>MAX($B$2348:B2452)+1</f>
        <v>948</v>
      </c>
      <c r="C2453" s="256" t="s">
        <v>1263</v>
      </c>
      <c r="D2453" s="230" t="s">
        <v>28</v>
      </c>
      <c r="E2453" s="247">
        <v>484</v>
      </c>
      <c r="F2453" s="232">
        <v>90576</v>
      </c>
      <c r="G2453" s="232">
        <v>104213</v>
      </c>
      <c r="H2453" s="138">
        <f t="shared" si="239"/>
        <v>194789</v>
      </c>
      <c r="I2453" s="138">
        <f t="shared" si="240"/>
        <v>94277876</v>
      </c>
      <c r="J2453" s="61"/>
      <c r="K2453" s="15"/>
    </row>
    <row r="2454" spans="1:11" s="16" customFormat="1" ht="39.75" customHeight="1" outlineLevel="3">
      <c r="A2454" s="14" t="s">
        <v>154</v>
      </c>
      <c r="B2454" s="35">
        <f>MAX($B$2348:B2453)+1</f>
        <v>949</v>
      </c>
      <c r="C2454" s="256" t="s">
        <v>1264</v>
      </c>
      <c r="D2454" s="233" t="s">
        <v>44</v>
      </c>
      <c r="E2454" s="247">
        <v>545</v>
      </c>
      <c r="F2454" s="232">
        <v>255470</v>
      </c>
      <c r="G2454" s="232">
        <v>104213</v>
      </c>
      <c r="H2454" s="138">
        <f t="shared" si="239"/>
        <v>359683</v>
      </c>
      <c r="I2454" s="138">
        <f t="shared" si="240"/>
        <v>196027235</v>
      </c>
      <c r="J2454" s="61"/>
      <c r="K2454" s="15" t="s">
        <v>156</v>
      </c>
    </row>
    <row r="2455" spans="1:11" s="16" customFormat="1" ht="25.5" outlineLevel="3">
      <c r="A2455" s="14"/>
      <c r="B2455" s="35">
        <f>MAX($B$2348:B2454)+1</f>
        <v>950</v>
      </c>
      <c r="C2455" s="256" t="s">
        <v>1265</v>
      </c>
      <c r="D2455" s="230" t="s">
        <v>28</v>
      </c>
      <c r="E2455" s="247">
        <v>154</v>
      </c>
      <c r="F2455" s="232">
        <v>104510</v>
      </c>
      <c r="G2455" s="232">
        <v>10421</v>
      </c>
      <c r="H2455" s="138">
        <f t="shared" si="239"/>
        <v>114931</v>
      </c>
      <c r="I2455" s="138">
        <f t="shared" si="240"/>
        <v>17699374</v>
      </c>
      <c r="J2455" s="61"/>
      <c r="K2455" s="15"/>
    </row>
    <row r="2456" spans="1:11" s="16" customFormat="1" ht="53.25" customHeight="1" outlineLevel="3">
      <c r="A2456" s="14"/>
      <c r="B2456" s="35">
        <f>MAX($B$2348:B2455)+1</f>
        <v>951</v>
      </c>
      <c r="C2456" s="256" t="s">
        <v>1266</v>
      </c>
      <c r="D2456" s="230" t="s">
        <v>28</v>
      </c>
      <c r="E2456" s="247">
        <v>2</v>
      </c>
      <c r="F2456" s="232">
        <v>2164523</v>
      </c>
      <c r="G2456" s="232">
        <v>677381</v>
      </c>
      <c r="H2456" s="138">
        <f t="shared" si="239"/>
        <v>2841904</v>
      </c>
      <c r="I2456" s="138">
        <f t="shared" si="240"/>
        <v>5683808</v>
      </c>
      <c r="J2456" s="61"/>
      <c r="K2456" s="15"/>
    </row>
    <row r="2457" spans="1:11" s="16" customFormat="1" ht="38.25" outlineLevel="3">
      <c r="A2457" s="14"/>
      <c r="B2457" s="35">
        <f>MAX($B$2348:B2456)+1</f>
        <v>952</v>
      </c>
      <c r="C2457" s="256" t="s">
        <v>1267</v>
      </c>
      <c r="D2457" s="230" t="s">
        <v>28</v>
      </c>
      <c r="E2457" s="247">
        <v>11</v>
      </c>
      <c r="F2457" s="232">
        <v>2840937</v>
      </c>
      <c r="G2457" s="232">
        <v>677381</v>
      </c>
      <c r="H2457" s="138">
        <f t="shared" si="239"/>
        <v>3518318</v>
      </c>
      <c r="I2457" s="138">
        <f t="shared" si="240"/>
        <v>38701498</v>
      </c>
      <c r="J2457" s="61"/>
      <c r="K2457" s="15"/>
    </row>
    <row r="2458" spans="1:11" s="16" customFormat="1" ht="25.5" outlineLevel="3">
      <c r="A2458" s="14"/>
      <c r="B2458" s="35">
        <f>MAX($B$2348:B2457)+1</f>
        <v>953</v>
      </c>
      <c r="C2458" s="256" t="s">
        <v>1268</v>
      </c>
      <c r="D2458" s="230" t="s">
        <v>28</v>
      </c>
      <c r="E2458" s="247">
        <v>4</v>
      </c>
      <c r="F2458" s="232">
        <v>3517351</v>
      </c>
      <c r="G2458" s="232">
        <v>62528</v>
      </c>
      <c r="H2458" s="138">
        <f t="shared" si="239"/>
        <v>3579879</v>
      </c>
      <c r="I2458" s="138">
        <f t="shared" si="240"/>
        <v>14319516</v>
      </c>
      <c r="J2458" s="61"/>
      <c r="K2458" s="15"/>
    </row>
    <row r="2459" spans="1:11" s="16" customFormat="1" ht="25.5" outlineLevel="3">
      <c r="A2459" s="14"/>
      <c r="B2459" s="35">
        <f>MAX($B$2348:B2458)+1</f>
        <v>954</v>
      </c>
      <c r="C2459" s="256" t="s">
        <v>1269</v>
      </c>
      <c r="D2459" s="230" t="s">
        <v>28</v>
      </c>
      <c r="E2459" s="247">
        <v>11</v>
      </c>
      <c r="F2459" s="232">
        <v>1758675</v>
      </c>
      <c r="G2459" s="232">
        <v>62528</v>
      </c>
      <c r="H2459" s="138">
        <f t="shared" si="239"/>
        <v>1821203</v>
      </c>
      <c r="I2459" s="138">
        <f t="shared" si="240"/>
        <v>20033233</v>
      </c>
      <c r="J2459" s="61"/>
      <c r="K2459" s="15"/>
    </row>
    <row r="2460" spans="1:11" s="16" customFormat="1" ht="25.5" outlineLevel="3">
      <c r="A2460" s="14"/>
      <c r="B2460" s="35">
        <f>MAX($B$2348:B2459)+1</f>
        <v>955</v>
      </c>
      <c r="C2460" s="256" t="s">
        <v>1270</v>
      </c>
      <c r="D2460" s="230" t="s">
        <v>28</v>
      </c>
      <c r="E2460" s="247">
        <v>4</v>
      </c>
      <c r="F2460" s="232">
        <v>514074</v>
      </c>
      <c r="G2460" s="232">
        <v>46896</v>
      </c>
      <c r="H2460" s="138">
        <f t="shared" si="239"/>
        <v>560970</v>
      </c>
      <c r="I2460" s="138">
        <f t="shared" si="240"/>
        <v>2243880</v>
      </c>
      <c r="J2460" s="61"/>
      <c r="K2460" s="15"/>
    </row>
    <row r="2461" spans="1:11" s="16" customFormat="1" ht="25.5" outlineLevel="3">
      <c r="A2461" s="14"/>
      <c r="B2461" s="35">
        <f>MAX($B$2348:B2460)+1</f>
        <v>956</v>
      </c>
      <c r="C2461" s="256" t="s">
        <v>1271</v>
      </c>
      <c r="D2461" s="230" t="s">
        <v>28</v>
      </c>
      <c r="E2461" s="247">
        <v>11</v>
      </c>
      <c r="F2461" s="232">
        <v>432905</v>
      </c>
      <c r="G2461" s="232">
        <v>46896</v>
      </c>
      <c r="H2461" s="138">
        <f t="shared" si="239"/>
        <v>479801</v>
      </c>
      <c r="I2461" s="138">
        <f t="shared" si="240"/>
        <v>5277811</v>
      </c>
      <c r="J2461" s="61"/>
      <c r="K2461" s="15"/>
    </row>
    <row r="2462" spans="1:11" s="16" customFormat="1" ht="25.5" outlineLevel="3">
      <c r="A2462" s="14"/>
      <c r="B2462" s="35">
        <f>MAX($B$2348:B2461)+1</f>
        <v>957</v>
      </c>
      <c r="C2462" s="256" t="s">
        <v>1272</v>
      </c>
      <c r="D2462" s="230" t="s">
        <v>28</v>
      </c>
      <c r="E2462" s="247">
        <v>11</v>
      </c>
      <c r="F2462" s="232">
        <v>1758675</v>
      </c>
      <c r="G2462" s="232">
        <v>312638</v>
      </c>
      <c r="H2462" s="138">
        <f t="shared" si="239"/>
        <v>2071313</v>
      </c>
      <c r="I2462" s="138">
        <f t="shared" si="240"/>
        <v>22784443</v>
      </c>
      <c r="J2462" s="61"/>
      <c r="K2462" s="15"/>
    </row>
    <row r="2463" spans="1:11" s="16" customFormat="1" ht="25.5" outlineLevel="3">
      <c r="A2463" s="14"/>
      <c r="B2463" s="35">
        <f>MAX($B$2348:B2462)+1</f>
        <v>958</v>
      </c>
      <c r="C2463" s="256" t="s">
        <v>1273</v>
      </c>
      <c r="D2463" s="230" t="s">
        <v>28</v>
      </c>
      <c r="E2463" s="247">
        <v>33</v>
      </c>
      <c r="F2463" s="232">
        <v>1975128</v>
      </c>
      <c r="G2463" s="232">
        <v>46896</v>
      </c>
      <c r="H2463" s="138">
        <f t="shared" si="239"/>
        <v>2022024</v>
      </c>
      <c r="I2463" s="138">
        <f t="shared" si="240"/>
        <v>66726792</v>
      </c>
      <c r="J2463" s="61"/>
      <c r="K2463" s="15"/>
    </row>
    <row r="2464" spans="1:11" s="16" customFormat="1" ht="25.5" outlineLevel="3">
      <c r="A2464" s="14"/>
      <c r="B2464" s="35">
        <f>MAX($B$2348:B2463)+1</f>
        <v>959</v>
      </c>
      <c r="C2464" s="256" t="s">
        <v>1274</v>
      </c>
      <c r="D2464" s="230" t="s">
        <v>28</v>
      </c>
      <c r="E2464" s="247">
        <v>33</v>
      </c>
      <c r="F2464" s="232">
        <v>1406940</v>
      </c>
      <c r="G2464" s="232">
        <v>46896</v>
      </c>
      <c r="H2464" s="138">
        <f t="shared" si="239"/>
        <v>1453836</v>
      </c>
      <c r="I2464" s="138">
        <f t="shared" si="240"/>
        <v>47976588</v>
      </c>
      <c r="J2464" s="61"/>
      <c r="K2464" s="15"/>
    </row>
    <row r="2465" spans="1:11" s="16" customFormat="1" ht="25.5" outlineLevel="3">
      <c r="A2465" s="14"/>
      <c r="B2465" s="35">
        <f>MAX($B$2348:B2464)+1</f>
        <v>960</v>
      </c>
      <c r="C2465" s="256" t="s">
        <v>1275</v>
      </c>
      <c r="D2465" s="230" t="s">
        <v>28</v>
      </c>
      <c r="E2465" s="247">
        <v>4</v>
      </c>
      <c r="F2465" s="232">
        <v>2678598</v>
      </c>
      <c r="G2465" s="232">
        <v>156319</v>
      </c>
      <c r="H2465" s="138">
        <f t="shared" si="239"/>
        <v>2834917</v>
      </c>
      <c r="I2465" s="138">
        <f t="shared" si="240"/>
        <v>11339668</v>
      </c>
      <c r="J2465" s="61"/>
      <c r="K2465" s="15"/>
    </row>
    <row r="2466" spans="1:11" s="16" customFormat="1" ht="25.5" outlineLevel="3">
      <c r="A2466" s="14"/>
      <c r="B2466" s="35">
        <f>MAX($B$2348:B2465)+1</f>
        <v>961</v>
      </c>
      <c r="C2466" s="256" t="s">
        <v>1276</v>
      </c>
      <c r="D2466" s="230" t="s">
        <v>28</v>
      </c>
      <c r="E2466" s="247">
        <v>11</v>
      </c>
      <c r="F2466" s="232">
        <v>27057</v>
      </c>
      <c r="G2466" s="232">
        <v>26053</v>
      </c>
      <c r="H2466" s="138">
        <f t="shared" si="239"/>
        <v>53110</v>
      </c>
      <c r="I2466" s="138">
        <f t="shared" si="240"/>
        <v>584210</v>
      </c>
      <c r="J2466" s="61"/>
      <c r="K2466" s="15"/>
    </row>
    <row r="2467" spans="1:11" s="16" customFormat="1" ht="25.5" outlineLevel="3">
      <c r="A2467" s="14"/>
      <c r="B2467" s="35">
        <f>MAX($B$2348:B2466)+1</f>
        <v>962</v>
      </c>
      <c r="C2467" s="256" t="s">
        <v>1277</v>
      </c>
      <c r="D2467" s="230" t="s">
        <v>28</v>
      </c>
      <c r="E2467" s="247">
        <v>11</v>
      </c>
      <c r="F2467" s="232">
        <v>27057</v>
      </c>
      <c r="G2467" s="232">
        <v>26053</v>
      </c>
      <c r="H2467" s="138">
        <f t="shared" si="239"/>
        <v>53110</v>
      </c>
      <c r="I2467" s="138">
        <f t="shared" si="240"/>
        <v>584210</v>
      </c>
      <c r="J2467" s="61"/>
      <c r="K2467" s="15"/>
    </row>
    <row r="2468" spans="1:11" s="16" customFormat="1" ht="25.5" outlineLevel="3">
      <c r="A2468" s="14"/>
      <c r="B2468" s="35">
        <f>MAX($B$2348:B2467)+1</f>
        <v>963</v>
      </c>
      <c r="C2468" s="256" t="s">
        <v>1278</v>
      </c>
      <c r="D2468" s="230" t="s">
        <v>28</v>
      </c>
      <c r="E2468" s="247">
        <v>2</v>
      </c>
      <c r="F2468" s="232">
        <v>10984956</v>
      </c>
      <c r="G2468" s="232">
        <v>3126375</v>
      </c>
      <c r="H2468" s="138">
        <f t="shared" si="239"/>
        <v>14111331</v>
      </c>
      <c r="I2468" s="138">
        <f t="shared" si="240"/>
        <v>28222662</v>
      </c>
      <c r="J2468" s="61"/>
      <c r="K2468" s="15"/>
    </row>
    <row r="2469" spans="1:11" s="16" customFormat="1" ht="25.5" outlineLevel="3">
      <c r="A2469" s="14"/>
      <c r="B2469" s="35">
        <f>MAX($B$2348:B2468)+1</f>
        <v>964</v>
      </c>
      <c r="C2469" s="256" t="s">
        <v>1279</v>
      </c>
      <c r="D2469" s="230" t="s">
        <v>28</v>
      </c>
      <c r="E2469" s="247">
        <v>1</v>
      </c>
      <c r="F2469" s="232">
        <v>13582384</v>
      </c>
      <c r="G2469" s="232">
        <v>5210625</v>
      </c>
      <c r="H2469" s="138">
        <f t="shared" si="239"/>
        <v>18793009</v>
      </c>
      <c r="I2469" s="138">
        <f t="shared" si="240"/>
        <v>18793009</v>
      </c>
      <c r="J2469" s="61"/>
      <c r="K2469" s="15"/>
    </row>
    <row r="2470" spans="1:11" s="16" customFormat="1" ht="25.5" outlineLevel="3">
      <c r="A2470" s="14"/>
      <c r="B2470" s="35">
        <f>MAX($B$2348:B2469)+1</f>
        <v>965</v>
      </c>
      <c r="C2470" s="256" t="s">
        <v>1260</v>
      </c>
      <c r="D2470" s="230" t="s">
        <v>38</v>
      </c>
      <c r="E2470" s="247">
        <v>1</v>
      </c>
      <c r="F2470" s="232">
        <v>48754287</v>
      </c>
      <c r="G2470" s="232">
        <v>17501539</v>
      </c>
      <c r="H2470" s="138">
        <f t="shared" si="239"/>
        <v>66255826</v>
      </c>
      <c r="I2470" s="138">
        <f t="shared" si="240"/>
        <v>66255826</v>
      </c>
      <c r="J2470" s="61"/>
      <c r="K2470" s="15"/>
    </row>
    <row r="2471" spans="1:11" s="16" customFormat="1" ht="27" outlineLevel="3">
      <c r="A2471" s="14"/>
      <c r="B2471" s="35"/>
      <c r="C2471" s="325" t="s">
        <v>1280</v>
      </c>
      <c r="D2471" s="230"/>
      <c r="E2471" s="247"/>
      <c r="F2471" s="232">
        <v>0</v>
      </c>
      <c r="G2471" s="232">
        <v>0</v>
      </c>
      <c r="H2471" s="282"/>
      <c r="I2471" s="283"/>
      <c r="J2471" s="61"/>
      <c r="K2471" s="15"/>
    </row>
    <row r="2472" spans="1:11" s="16" customFormat="1" ht="25.5" outlineLevel="3">
      <c r="A2472" s="14"/>
      <c r="B2472" s="35">
        <f>MAX($B$2348:B2471)+1</f>
        <v>966</v>
      </c>
      <c r="C2472" s="256" t="s">
        <v>1281</v>
      </c>
      <c r="D2472" s="230" t="s">
        <v>28</v>
      </c>
      <c r="E2472" s="247">
        <v>1</v>
      </c>
      <c r="F2472" s="232">
        <v>4690188</v>
      </c>
      <c r="G2472" s="232">
        <v>1042125</v>
      </c>
      <c r="H2472" s="138">
        <f t="shared" ref="H2472:H2490" si="241">G2472+F2472</f>
        <v>5732313</v>
      </c>
      <c r="I2472" s="138">
        <f t="shared" ref="I2472:I2490" si="242">H2472*E2472</f>
        <v>5732313</v>
      </c>
      <c r="J2472" s="61"/>
      <c r="K2472" s="15"/>
    </row>
    <row r="2473" spans="1:11" s="16" customFormat="1" ht="25.5" outlineLevel="3">
      <c r="A2473" s="14"/>
      <c r="B2473" s="35">
        <f>MAX($B$2348:B2472)+1</f>
        <v>967</v>
      </c>
      <c r="C2473" s="256" t="s">
        <v>1282</v>
      </c>
      <c r="D2473" s="230" t="s">
        <v>28</v>
      </c>
      <c r="E2473" s="247">
        <v>5</v>
      </c>
      <c r="F2473" s="232">
        <v>5132615</v>
      </c>
      <c r="G2473" s="232">
        <v>1042125</v>
      </c>
      <c r="H2473" s="138">
        <f t="shared" si="241"/>
        <v>6174740</v>
      </c>
      <c r="I2473" s="138">
        <f t="shared" si="242"/>
        <v>30873700</v>
      </c>
      <c r="J2473" s="61"/>
      <c r="K2473" s="15"/>
    </row>
    <row r="2474" spans="1:11" s="16" customFormat="1" ht="25.5" outlineLevel="3">
      <c r="A2474" s="14"/>
      <c r="B2474" s="35">
        <f>MAX($B$2348:B2473)+1</f>
        <v>968</v>
      </c>
      <c r="C2474" s="256" t="s">
        <v>1248</v>
      </c>
      <c r="D2474" s="230" t="s">
        <v>28</v>
      </c>
      <c r="E2474" s="247">
        <v>2</v>
      </c>
      <c r="F2474" s="232">
        <v>7208885</v>
      </c>
      <c r="G2474" s="232">
        <v>1250550</v>
      </c>
      <c r="H2474" s="138">
        <f t="shared" si="241"/>
        <v>8459435</v>
      </c>
      <c r="I2474" s="138">
        <f t="shared" si="242"/>
        <v>16918870</v>
      </c>
      <c r="J2474" s="61"/>
      <c r="K2474" s="15"/>
    </row>
    <row r="2475" spans="1:11" s="16" customFormat="1" ht="25.5" outlineLevel="3">
      <c r="A2475" s="14"/>
      <c r="B2475" s="35">
        <f>MAX($B$2348:B2474)+1</f>
        <v>969</v>
      </c>
      <c r="C2475" s="256" t="s">
        <v>1255</v>
      </c>
      <c r="D2475" s="230" t="s">
        <v>28</v>
      </c>
      <c r="E2475" s="247">
        <v>1</v>
      </c>
      <c r="F2475" s="232">
        <v>6570211</v>
      </c>
      <c r="G2475" s="232">
        <v>729488</v>
      </c>
      <c r="H2475" s="138">
        <f t="shared" si="241"/>
        <v>7299699</v>
      </c>
      <c r="I2475" s="138">
        <f t="shared" si="242"/>
        <v>7299699</v>
      </c>
      <c r="J2475" s="61"/>
      <c r="K2475" s="15"/>
    </row>
    <row r="2476" spans="1:11" s="16" customFormat="1" ht="76.5" outlineLevel="3">
      <c r="A2476" s="14"/>
      <c r="B2476" s="35">
        <f>MAX($B$2348:B2475)+1</f>
        <v>970</v>
      </c>
      <c r="C2476" s="290" t="s">
        <v>1283</v>
      </c>
      <c r="D2476" s="233" t="s">
        <v>44</v>
      </c>
      <c r="E2476" s="247">
        <v>1</v>
      </c>
      <c r="F2476" s="232">
        <v>24010649</v>
      </c>
      <c r="G2476" s="232">
        <v>2605313</v>
      </c>
      <c r="H2476" s="138">
        <f t="shared" si="241"/>
        <v>26615962</v>
      </c>
      <c r="I2476" s="138">
        <f t="shared" si="242"/>
        <v>26615962</v>
      </c>
      <c r="J2476" s="61"/>
      <c r="K2476" s="15"/>
    </row>
    <row r="2477" spans="1:11" s="16" customFormat="1" ht="102" outlineLevel="3">
      <c r="A2477" s="14"/>
      <c r="B2477" s="35">
        <f>MAX($B$2348:B2476)+1</f>
        <v>971</v>
      </c>
      <c r="C2477" s="284" t="s">
        <v>1284</v>
      </c>
      <c r="D2477" s="233" t="s">
        <v>44</v>
      </c>
      <c r="E2477" s="247">
        <v>7</v>
      </c>
      <c r="F2477" s="232">
        <v>7732597</v>
      </c>
      <c r="G2477" s="232">
        <v>1563188</v>
      </c>
      <c r="H2477" s="138">
        <f t="shared" si="241"/>
        <v>9295785</v>
      </c>
      <c r="I2477" s="138">
        <f t="shared" si="242"/>
        <v>65070495</v>
      </c>
      <c r="J2477" s="61"/>
      <c r="K2477" s="15"/>
    </row>
    <row r="2478" spans="1:11" s="16" customFormat="1" ht="89.25" outlineLevel="3">
      <c r="A2478" s="14"/>
      <c r="B2478" s="35">
        <f>MAX($B$2348:B2477)+1</f>
        <v>972</v>
      </c>
      <c r="C2478" s="284" t="s">
        <v>1285</v>
      </c>
      <c r="D2478" s="233" t="s">
        <v>44</v>
      </c>
      <c r="E2478" s="247">
        <v>4</v>
      </c>
      <c r="F2478" s="232">
        <v>30076889</v>
      </c>
      <c r="G2478" s="232">
        <v>2084250</v>
      </c>
      <c r="H2478" s="138">
        <f t="shared" si="241"/>
        <v>32161139</v>
      </c>
      <c r="I2478" s="138">
        <f t="shared" si="242"/>
        <v>128644556</v>
      </c>
      <c r="J2478" s="61"/>
      <c r="K2478" s="15"/>
    </row>
    <row r="2479" spans="1:11" s="16" customFormat="1" ht="178.5" outlineLevel="3">
      <c r="A2479" s="14"/>
      <c r="B2479" s="35">
        <f>MAX($B$2348:B2478)+1</f>
        <v>973</v>
      </c>
      <c r="C2479" s="290" t="s">
        <v>1286</v>
      </c>
      <c r="D2479" s="233" t="s">
        <v>44</v>
      </c>
      <c r="E2479" s="247">
        <v>5</v>
      </c>
      <c r="F2479" s="232">
        <v>11541415</v>
      </c>
      <c r="G2479" s="232">
        <v>2605313</v>
      </c>
      <c r="H2479" s="138">
        <f t="shared" si="241"/>
        <v>14146728</v>
      </c>
      <c r="I2479" s="138">
        <f t="shared" si="242"/>
        <v>70733640</v>
      </c>
      <c r="J2479" s="61"/>
      <c r="K2479" s="15"/>
    </row>
    <row r="2480" spans="1:11" s="16" customFormat="1" ht="25.5" outlineLevel="3">
      <c r="A2480" s="14"/>
      <c r="B2480" s="35">
        <f>MAX($B$2348:B2479)+1</f>
        <v>974</v>
      </c>
      <c r="C2480" s="281" t="s">
        <v>588</v>
      </c>
      <c r="D2480" s="230" t="s">
        <v>28</v>
      </c>
      <c r="E2480" s="247">
        <v>2</v>
      </c>
      <c r="F2480" s="232">
        <v>1245994</v>
      </c>
      <c r="G2480" s="232">
        <v>208425</v>
      </c>
      <c r="H2480" s="138">
        <f t="shared" si="241"/>
        <v>1454419</v>
      </c>
      <c r="I2480" s="138">
        <f t="shared" si="242"/>
        <v>2908838</v>
      </c>
      <c r="J2480" s="61"/>
      <c r="K2480" s="15"/>
    </row>
    <row r="2481" spans="1:11" s="16" customFormat="1" ht="25.5" outlineLevel="3">
      <c r="A2481" s="14"/>
      <c r="B2481" s="35">
        <f>MAX($B$2348:B2480)+1</f>
        <v>975</v>
      </c>
      <c r="C2481" s="256" t="s">
        <v>925</v>
      </c>
      <c r="D2481" s="230" t="s">
        <v>28</v>
      </c>
      <c r="E2481" s="247">
        <v>2</v>
      </c>
      <c r="F2481" s="232">
        <v>391333</v>
      </c>
      <c r="G2481" s="232">
        <v>156319</v>
      </c>
      <c r="H2481" s="138">
        <f t="shared" si="241"/>
        <v>547652</v>
      </c>
      <c r="I2481" s="138">
        <f t="shared" si="242"/>
        <v>1095304</v>
      </c>
      <c r="J2481" s="61"/>
      <c r="K2481" s="15"/>
    </row>
    <row r="2482" spans="1:11" s="16" customFormat="1" ht="25.5" outlineLevel="3">
      <c r="A2482" s="14"/>
      <c r="B2482" s="35">
        <f>MAX($B$2348:B2481)+1</f>
        <v>976</v>
      </c>
      <c r="C2482" s="256" t="s">
        <v>590</v>
      </c>
      <c r="D2482" s="233" t="s">
        <v>44</v>
      </c>
      <c r="E2482" s="247">
        <v>2</v>
      </c>
      <c r="F2482" s="232">
        <v>971945</v>
      </c>
      <c r="G2482" s="232">
        <v>208425</v>
      </c>
      <c r="H2482" s="138">
        <f t="shared" si="241"/>
        <v>1180370</v>
      </c>
      <c r="I2482" s="138">
        <f t="shared" si="242"/>
        <v>2360740</v>
      </c>
      <c r="J2482" s="61"/>
      <c r="K2482" s="15"/>
    </row>
    <row r="2483" spans="1:11" s="16" customFormat="1" ht="25.5" outlineLevel="3">
      <c r="A2483" s="14"/>
      <c r="B2483" s="35">
        <f>MAX($B$2348:B2482)+1</f>
        <v>977</v>
      </c>
      <c r="C2483" s="256" t="s">
        <v>1287</v>
      </c>
      <c r="D2483" s="230" t="s">
        <v>28</v>
      </c>
      <c r="E2483" s="247">
        <v>9</v>
      </c>
      <c r="F2483" s="232">
        <v>673511</v>
      </c>
      <c r="G2483" s="232">
        <v>156319</v>
      </c>
      <c r="H2483" s="138">
        <f t="shared" si="241"/>
        <v>829830</v>
      </c>
      <c r="I2483" s="138">
        <f t="shared" si="242"/>
        <v>7468470</v>
      </c>
      <c r="J2483" s="61"/>
      <c r="K2483" s="15"/>
    </row>
    <row r="2484" spans="1:11" s="16" customFormat="1" ht="25.5" outlineLevel="3">
      <c r="A2484" s="14"/>
      <c r="B2484" s="35">
        <f>MAX($B$2348:B2483)+1</f>
        <v>978</v>
      </c>
      <c r="C2484" s="256" t="s">
        <v>1288</v>
      </c>
      <c r="D2484" s="230" t="s">
        <v>28</v>
      </c>
      <c r="E2484" s="247">
        <v>12</v>
      </c>
      <c r="F2484" s="232">
        <v>458684</v>
      </c>
      <c r="G2484" s="232">
        <v>156319</v>
      </c>
      <c r="H2484" s="138">
        <f t="shared" si="241"/>
        <v>615003</v>
      </c>
      <c r="I2484" s="138">
        <f t="shared" si="242"/>
        <v>7380036</v>
      </c>
      <c r="J2484" s="61"/>
      <c r="K2484" s="15"/>
    </row>
    <row r="2485" spans="1:11" s="16" customFormat="1" ht="25.5" outlineLevel="3">
      <c r="A2485" s="14"/>
      <c r="B2485" s="35">
        <f>MAX($B$2348:B2484)+1</f>
        <v>979</v>
      </c>
      <c r="C2485" s="256" t="s">
        <v>1289</v>
      </c>
      <c r="D2485" s="230" t="s">
        <v>28</v>
      </c>
      <c r="E2485" s="247">
        <v>30</v>
      </c>
      <c r="F2485" s="232">
        <v>334433</v>
      </c>
      <c r="G2485" s="232">
        <v>156319</v>
      </c>
      <c r="H2485" s="138">
        <f t="shared" si="241"/>
        <v>490752</v>
      </c>
      <c r="I2485" s="138">
        <f t="shared" si="242"/>
        <v>14722560</v>
      </c>
      <c r="J2485" s="61"/>
      <c r="K2485" s="15"/>
    </row>
    <row r="2486" spans="1:11" s="16" customFormat="1" ht="25.5" outlineLevel="3">
      <c r="A2486" s="14"/>
      <c r="B2486" s="35">
        <f>MAX($B$2348:B2485)+1</f>
        <v>980</v>
      </c>
      <c r="C2486" s="256" t="s">
        <v>1290</v>
      </c>
      <c r="D2486" s="230" t="s">
        <v>28</v>
      </c>
      <c r="E2486" s="247">
        <v>40</v>
      </c>
      <c r="F2486" s="232">
        <v>218310</v>
      </c>
      <c r="G2486" s="232">
        <v>104213</v>
      </c>
      <c r="H2486" s="138">
        <f t="shared" si="241"/>
        <v>322523</v>
      </c>
      <c r="I2486" s="138">
        <f t="shared" si="242"/>
        <v>12900920</v>
      </c>
      <c r="J2486" s="61"/>
      <c r="K2486" s="15"/>
    </row>
    <row r="2487" spans="1:11" s="16" customFormat="1" ht="25.5" outlineLevel="3">
      <c r="A2487" s="14"/>
      <c r="B2487" s="35">
        <f>MAX($B$2348:B2486)+1</f>
        <v>981</v>
      </c>
      <c r="C2487" s="256" t="s">
        <v>1291</v>
      </c>
      <c r="D2487" s="230" t="s">
        <v>28</v>
      </c>
      <c r="E2487" s="247">
        <v>68</v>
      </c>
      <c r="F2487" s="232">
        <v>133541</v>
      </c>
      <c r="G2487" s="232">
        <v>104213</v>
      </c>
      <c r="H2487" s="138">
        <f t="shared" si="241"/>
        <v>237754</v>
      </c>
      <c r="I2487" s="138">
        <f t="shared" si="242"/>
        <v>16167272</v>
      </c>
      <c r="J2487" s="61"/>
      <c r="K2487" s="15"/>
    </row>
    <row r="2488" spans="1:11" s="16" customFormat="1" ht="25.5" outlineLevel="3">
      <c r="A2488" s="14"/>
      <c r="B2488" s="35">
        <f>MAX($B$2348:B2487)+1</f>
        <v>982</v>
      </c>
      <c r="C2488" s="256" t="s">
        <v>1292</v>
      </c>
      <c r="D2488" s="230" t="s">
        <v>28</v>
      </c>
      <c r="E2488" s="247">
        <v>2</v>
      </c>
      <c r="F2488" s="232">
        <v>440104</v>
      </c>
      <c r="G2488" s="232">
        <v>156319</v>
      </c>
      <c r="H2488" s="138">
        <f t="shared" si="241"/>
        <v>596423</v>
      </c>
      <c r="I2488" s="138">
        <f t="shared" si="242"/>
        <v>1192846</v>
      </c>
      <c r="J2488" s="61"/>
      <c r="K2488" s="15"/>
    </row>
    <row r="2489" spans="1:11" s="16" customFormat="1" ht="25.5" outlineLevel="3">
      <c r="A2489" s="14"/>
      <c r="B2489" s="35">
        <f>MAX($B$2348:B2488)+1</f>
        <v>983</v>
      </c>
      <c r="C2489" s="256" t="s">
        <v>1293</v>
      </c>
      <c r="D2489" s="230" t="s">
        <v>28</v>
      </c>
      <c r="E2489" s="247">
        <v>1</v>
      </c>
      <c r="F2489" s="232">
        <v>1277348</v>
      </c>
      <c r="G2489" s="232">
        <v>156319</v>
      </c>
      <c r="H2489" s="138">
        <f t="shared" si="241"/>
        <v>1433667</v>
      </c>
      <c r="I2489" s="138">
        <f t="shared" si="242"/>
        <v>1433667</v>
      </c>
      <c r="J2489" s="61"/>
      <c r="K2489" s="15"/>
    </row>
    <row r="2490" spans="1:11" s="16" customFormat="1" ht="25.5" outlineLevel="3">
      <c r="A2490" s="14"/>
      <c r="B2490" s="35">
        <f>MAX($B$2348:B2489)+1</f>
        <v>984</v>
      </c>
      <c r="C2490" s="256" t="s">
        <v>602</v>
      </c>
      <c r="D2490" s="230" t="s">
        <v>38</v>
      </c>
      <c r="E2490" s="247">
        <v>1</v>
      </c>
      <c r="F2490" s="232">
        <v>232245000</v>
      </c>
      <c r="G2490" s="232">
        <v>83370000</v>
      </c>
      <c r="H2490" s="138">
        <f t="shared" si="241"/>
        <v>315615000</v>
      </c>
      <c r="I2490" s="138">
        <f t="shared" si="242"/>
        <v>315615000</v>
      </c>
      <c r="J2490" s="61"/>
      <c r="K2490" s="15"/>
    </row>
    <row r="2491" spans="1:11" s="16" customFormat="1" ht="26.25" outlineLevel="3">
      <c r="A2491" s="14"/>
      <c r="B2491" s="35"/>
      <c r="C2491" s="271" t="s">
        <v>1294</v>
      </c>
      <c r="D2491" s="276"/>
      <c r="E2491" s="213"/>
      <c r="F2491" s="232">
        <v>0</v>
      </c>
      <c r="G2491" s="232">
        <v>0</v>
      </c>
      <c r="H2491" s="282"/>
      <c r="I2491" s="283"/>
      <c r="J2491" s="50"/>
      <c r="K2491" s="15"/>
    </row>
    <row r="2492" spans="1:11" s="16" customFormat="1" ht="25.5" outlineLevel="3">
      <c r="A2492" s="14"/>
      <c r="B2492" s="35">
        <f>MAX($B$2348:B2491)+1</f>
        <v>985</v>
      </c>
      <c r="C2492" s="256" t="s">
        <v>1295</v>
      </c>
      <c r="D2492" s="230" t="s">
        <v>25</v>
      </c>
      <c r="E2492" s="247">
        <v>150</v>
      </c>
      <c r="F2492" s="232">
        <v>788107</v>
      </c>
      <c r="G2492" s="232">
        <v>232245</v>
      </c>
      <c r="H2492" s="138">
        <f t="shared" ref="H2492:H2515" si="243">G2492+F2492</f>
        <v>1020352</v>
      </c>
      <c r="I2492" s="138">
        <f t="shared" ref="I2492:I2515" si="244">H2492*E2492</f>
        <v>153052800</v>
      </c>
      <c r="J2492" s="50"/>
      <c r="K2492" s="15"/>
    </row>
    <row r="2493" spans="1:11" s="16" customFormat="1" ht="25.5" outlineLevel="3">
      <c r="A2493" s="14"/>
      <c r="B2493" s="35">
        <f>MAX($B$2348:B2492)+1</f>
        <v>986</v>
      </c>
      <c r="C2493" s="256" t="s">
        <v>1296</v>
      </c>
      <c r="D2493" s="230" t="s">
        <v>25</v>
      </c>
      <c r="E2493" s="247">
        <v>270</v>
      </c>
      <c r="F2493" s="232">
        <v>367483</v>
      </c>
      <c r="G2493" s="232">
        <v>154830</v>
      </c>
      <c r="H2493" s="138">
        <f t="shared" si="243"/>
        <v>522313</v>
      </c>
      <c r="I2493" s="138">
        <f t="shared" si="244"/>
        <v>141024510</v>
      </c>
      <c r="J2493" s="50"/>
      <c r="K2493" s="15"/>
    </row>
    <row r="2494" spans="1:11" s="16" customFormat="1" ht="25.5" outlineLevel="3">
      <c r="A2494" s="14"/>
      <c r="B2494" s="35">
        <f>MAX($B$2348:B2493)+1</f>
        <v>987</v>
      </c>
      <c r="C2494" s="256" t="s">
        <v>1297</v>
      </c>
      <c r="D2494" s="230" t="s">
        <v>25</v>
      </c>
      <c r="E2494" s="247">
        <v>108</v>
      </c>
      <c r="F2494" s="232">
        <v>252986</v>
      </c>
      <c r="G2494" s="232">
        <v>129025</v>
      </c>
      <c r="H2494" s="138">
        <f t="shared" si="243"/>
        <v>382011</v>
      </c>
      <c r="I2494" s="138">
        <f t="shared" si="244"/>
        <v>41257188</v>
      </c>
      <c r="J2494" s="50"/>
      <c r="K2494" s="15"/>
    </row>
    <row r="2495" spans="1:11" s="16" customFormat="1" ht="25.5" outlineLevel="3">
      <c r="A2495" s="14"/>
      <c r="B2495" s="35">
        <f>MAX($B$2348:B2494)+1</f>
        <v>988</v>
      </c>
      <c r="C2495" s="256" t="s">
        <v>1298</v>
      </c>
      <c r="D2495" s="230" t="s">
        <v>25</v>
      </c>
      <c r="E2495" s="247">
        <v>150</v>
      </c>
      <c r="F2495" s="232">
        <v>215184</v>
      </c>
      <c r="G2495" s="232">
        <v>109671</v>
      </c>
      <c r="H2495" s="138">
        <f t="shared" si="243"/>
        <v>324855</v>
      </c>
      <c r="I2495" s="138">
        <f t="shared" si="244"/>
        <v>48728250</v>
      </c>
      <c r="J2495" s="50"/>
      <c r="K2495" s="15"/>
    </row>
    <row r="2496" spans="1:11" s="16" customFormat="1" ht="25.5" outlineLevel="3">
      <c r="A2496" s="14"/>
      <c r="B2496" s="35">
        <f>MAX($B$2348:B2495)+1</f>
        <v>989</v>
      </c>
      <c r="C2496" s="256" t="s">
        <v>1299</v>
      </c>
      <c r="D2496" s="230" t="s">
        <v>25</v>
      </c>
      <c r="E2496" s="247">
        <v>414</v>
      </c>
      <c r="F2496" s="232">
        <v>168566</v>
      </c>
      <c r="G2496" s="232">
        <v>90318</v>
      </c>
      <c r="H2496" s="138">
        <f t="shared" si="243"/>
        <v>258884</v>
      </c>
      <c r="I2496" s="138">
        <f t="shared" si="244"/>
        <v>107177976</v>
      </c>
      <c r="J2496" s="50"/>
      <c r="K2496" s="15"/>
    </row>
    <row r="2497" spans="1:11" s="16" customFormat="1" ht="25.5" outlineLevel="3">
      <c r="A2497" s="14" t="s">
        <v>154</v>
      </c>
      <c r="B2497" s="35">
        <f>MAX($B$2348:B2496)+1</f>
        <v>990</v>
      </c>
      <c r="C2497" s="256" t="s">
        <v>1300</v>
      </c>
      <c r="D2497" s="230" t="s">
        <v>25</v>
      </c>
      <c r="E2497" s="247">
        <v>396</v>
      </c>
      <c r="F2497" s="232">
        <v>133466</v>
      </c>
      <c r="G2497" s="232">
        <v>77415</v>
      </c>
      <c r="H2497" s="138">
        <f t="shared" si="243"/>
        <v>210881</v>
      </c>
      <c r="I2497" s="138">
        <f t="shared" si="244"/>
        <v>83508876</v>
      </c>
      <c r="J2497" s="50"/>
      <c r="K2497" s="15" t="s">
        <v>156</v>
      </c>
    </row>
    <row r="2498" spans="1:11" s="16" customFormat="1" ht="25.5" outlineLevel="3">
      <c r="A2498" s="14" t="s">
        <v>154</v>
      </c>
      <c r="B2498" s="35">
        <f>MAX($B$2348:B2497)+1</f>
        <v>991</v>
      </c>
      <c r="C2498" s="256" t="s">
        <v>1301</v>
      </c>
      <c r="D2498" s="230" t="s">
        <v>25</v>
      </c>
      <c r="E2498" s="247">
        <v>60</v>
      </c>
      <c r="F2498" s="232">
        <v>115944</v>
      </c>
      <c r="G2498" s="232">
        <v>64513</v>
      </c>
      <c r="H2498" s="138">
        <f t="shared" si="243"/>
        <v>180457</v>
      </c>
      <c r="I2498" s="138">
        <f t="shared" si="244"/>
        <v>10827420</v>
      </c>
      <c r="J2498" s="50"/>
      <c r="K2498" s="15" t="s">
        <v>156</v>
      </c>
    </row>
    <row r="2499" spans="1:11" s="16" customFormat="1" ht="25.5" outlineLevel="3">
      <c r="A2499" s="14" t="s">
        <v>154</v>
      </c>
      <c r="B2499" s="35">
        <f>MAX($B$2348:B2498)+1</f>
        <v>992</v>
      </c>
      <c r="C2499" s="256" t="s">
        <v>1302</v>
      </c>
      <c r="D2499" s="230" t="s">
        <v>25</v>
      </c>
      <c r="E2499" s="247">
        <v>1528</v>
      </c>
      <c r="F2499" s="232">
        <v>74348</v>
      </c>
      <c r="G2499" s="232">
        <v>51610</v>
      </c>
      <c r="H2499" s="138">
        <f t="shared" si="243"/>
        <v>125958</v>
      </c>
      <c r="I2499" s="138">
        <f t="shared" si="244"/>
        <v>192463824</v>
      </c>
      <c r="J2499" s="50"/>
      <c r="K2499" s="15" t="s">
        <v>156</v>
      </c>
    </row>
    <row r="2500" spans="1:11" s="16" customFormat="1" ht="25.5" outlineLevel="3">
      <c r="A2500" s="14"/>
      <c r="B2500" s="35">
        <f>MAX($B$2348:B2499)+1</f>
        <v>993</v>
      </c>
      <c r="C2500" s="256" t="s">
        <v>1303</v>
      </c>
      <c r="D2500" s="230" t="s">
        <v>25</v>
      </c>
      <c r="E2500" s="247">
        <v>12</v>
      </c>
      <c r="F2500" s="232">
        <v>2032484</v>
      </c>
      <c r="G2500" s="232">
        <v>425783</v>
      </c>
      <c r="H2500" s="138">
        <f t="shared" si="243"/>
        <v>2458267</v>
      </c>
      <c r="I2500" s="138">
        <f t="shared" si="244"/>
        <v>29499204</v>
      </c>
      <c r="J2500" s="50"/>
      <c r="K2500" s="15"/>
    </row>
    <row r="2501" spans="1:11" s="16" customFormat="1" ht="25.5" outlineLevel="3">
      <c r="A2501" s="14"/>
      <c r="B2501" s="35">
        <f>MAX($B$2348:B2500)+1</f>
        <v>994</v>
      </c>
      <c r="C2501" s="256" t="s">
        <v>1304</v>
      </c>
      <c r="D2501" s="230" t="s">
        <v>25</v>
      </c>
      <c r="E2501" s="247">
        <v>12</v>
      </c>
      <c r="F2501" s="232">
        <v>1621604</v>
      </c>
      <c r="G2501" s="232">
        <v>335465</v>
      </c>
      <c r="H2501" s="138">
        <f t="shared" si="243"/>
        <v>1957069</v>
      </c>
      <c r="I2501" s="138">
        <f t="shared" si="244"/>
        <v>23484828</v>
      </c>
      <c r="J2501" s="50"/>
      <c r="K2501" s="15"/>
    </row>
    <row r="2502" spans="1:11" s="16" customFormat="1" ht="25.5" outlineLevel="3">
      <c r="A2502" s="14"/>
      <c r="B2502" s="35">
        <f>MAX($B$2348:B2501)+1</f>
        <v>995</v>
      </c>
      <c r="C2502" s="256" t="s">
        <v>1305</v>
      </c>
      <c r="D2502" s="230" t="s">
        <v>25</v>
      </c>
      <c r="E2502" s="247">
        <v>30</v>
      </c>
      <c r="F2502" s="232">
        <v>807284</v>
      </c>
      <c r="G2502" s="232">
        <v>203214</v>
      </c>
      <c r="H2502" s="138">
        <f t="shared" si="243"/>
        <v>1010498</v>
      </c>
      <c r="I2502" s="138">
        <f t="shared" si="244"/>
        <v>30314940</v>
      </c>
      <c r="J2502" s="50"/>
      <c r="K2502" s="15"/>
    </row>
    <row r="2503" spans="1:11" s="16" customFormat="1" ht="25.5" outlineLevel="3">
      <c r="A2503" s="14"/>
      <c r="B2503" s="35">
        <f>MAX($B$2348:B2502)+1</f>
        <v>996</v>
      </c>
      <c r="C2503" s="256" t="s">
        <v>1306</v>
      </c>
      <c r="D2503" s="230" t="s">
        <v>25</v>
      </c>
      <c r="E2503" s="247">
        <v>558</v>
      </c>
      <c r="F2503" s="232">
        <v>442705</v>
      </c>
      <c r="G2503" s="232">
        <v>154830</v>
      </c>
      <c r="H2503" s="138">
        <f t="shared" si="243"/>
        <v>597535</v>
      </c>
      <c r="I2503" s="138">
        <f t="shared" si="244"/>
        <v>333424530</v>
      </c>
      <c r="J2503" s="50"/>
      <c r="K2503" s="15"/>
    </row>
    <row r="2504" spans="1:11" s="16" customFormat="1" ht="25.5" outlineLevel="3">
      <c r="A2504" s="14"/>
      <c r="B2504" s="35">
        <f>MAX($B$2348:B2503)+1</f>
        <v>997</v>
      </c>
      <c r="C2504" s="256" t="s">
        <v>1307</v>
      </c>
      <c r="D2504" s="230" t="s">
        <v>25</v>
      </c>
      <c r="E2504" s="247">
        <v>12</v>
      </c>
      <c r="F2504" s="232">
        <v>185270</v>
      </c>
      <c r="G2504" s="232">
        <v>90318</v>
      </c>
      <c r="H2504" s="138">
        <f t="shared" si="243"/>
        <v>275588</v>
      </c>
      <c r="I2504" s="138">
        <f t="shared" si="244"/>
        <v>3307056</v>
      </c>
      <c r="J2504" s="50"/>
      <c r="K2504" s="15"/>
    </row>
    <row r="2505" spans="1:11" s="16" customFormat="1" ht="25.5" outlineLevel="3">
      <c r="A2505" s="14"/>
      <c r="B2505" s="35">
        <f>MAX($B$2348:B2504)+1</f>
        <v>998</v>
      </c>
      <c r="C2505" s="256" t="s">
        <v>1308</v>
      </c>
      <c r="D2505" s="230" t="s">
        <v>25</v>
      </c>
      <c r="E2505" s="247">
        <v>12</v>
      </c>
      <c r="F2505" s="232">
        <v>146677</v>
      </c>
      <c r="G2505" s="232">
        <v>77415</v>
      </c>
      <c r="H2505" s="138">
        <f t="shared" si="243"/>
        <v>224092</v>
      </c>
      <c r="I2505" s="138">
        <f t="shared" si="244"/>
        <v>2689104</v>
      </c>
      <c r="J2505" s="50"/>
      <c r="K2505" s="15"/>
    </row>
    <row r="2506" spans="1:11" s="16" customFormat="1" ht="25.5" outlineLevel="3">
      <c r="A2506" s="14"/>
      <c r="B2506" s="35">
        <f>MAX($B$2348:B2505)+1</f>
        <v>999</v>
      </c>
      <c r="C2506" s="256" t="s">
        <v>1309</v>
      </c>
      <c r="D2506" s="230" t="s">
        <v>25</v>
      </c>
      <c r="E2506" s="247">
        <v>318</v>
      </c>
      <c r="F2506" s="232">
        <v>89960</v>
      </c>
      <c r="G2506" s="232">
        <v>51610</v>
      </c>
      <c r="H2506" s="138">
        <f t="shared" si="243"/>
        <v>141570</v>
      </c>
      <c r="I2506" s="138">
        <f t="shared" si="244"/>
        <v>45019260</v>
      </c>
      <c r="J2506" s="50"/>
      <c r="K2506" s="15"/>
    </row>
    <row r="2507" spans="1:11" s="16" customFormat="1" ht="25.5" outlineLevel="3">
      <c r="A2507" s="14"/>
      <c r="B2507" s="35">
        <f>MAX($B$2348:B2506)+1</f>
        <v>1000</v>
      </c>
      <c r="C2507" s="256" t="s">
        <v>1310</v>
      </c>
      <c r="D2507" s="230" t="s">
        <v>38</v>
      </c>
      <c r="E2507" s="247">
        <v>1</v>
      </c>
      <c r="F2507" s="232">
        <v>324958400</v>
      </c>
      <c r="G2507" s="232">
        <v>116651733</v>
      </c>
      <c r="H2507" s="138">
        <f t="shared" si="243"/>
        <v>441610133</v>
      </c>
      <c r="I2507" s="138">
        <f t="shared" si="244"/>
        <v>441610133</v>
      </c>
      <c r="J2507" s="61"/>
      <c r="K2507" s="15"/>
    </row>
    <row r="2508" spans="1:11" s="16" customFormat="1" ht="25.5" outlineLevel="3">
      <c r="A2508" s="14"/>
      <c r="B2508" s="35">
        <f>MAX($B$2348:B2507)+1</f>
        <v>1001</v>
      </c>
      <c r="C2508" s="256" t="s">
        <v>1311</v>
      </c>
      <c r="D2508" s="230" t="s">
        <v>25</v>
      </c>
      <c r="E2508" s="247">
        <v>6</v>
      </c>
      <c r="F2508" s="232">
        <v>3573000</v>
      </c>
      <c r="G2508" s="232">
        <v>645125</v>
      </c>
      <c r="H2508" s="138">
        <f t="shared" si="243"/>
        <v>4218125</v>
      </c>
      <c r="I2508" s="138">
        <f t="shared" si="244"/>
        <v>25308750</v>
      </c>
      <c r="J2508" s="61"/>
      <c r="K2508" s="15"/>
    </row>
    <row r="2509" spans="1:11" s="16" customFormat="1" ht="25.5" outlineLevel="3">
      <c r="A2509" s="14"/>
      <c r="B2509" s="35">
        <f>MAX($B$2348:B2508)+1</f>
        <v>1002</v>
      </c>
      <c r="C2509" s="256" t="s">
        <v>1312</v>
      </c>
      <c r="D2509" s="230" t="s">
        <v>25</v>
      </c>
      <c r="E2509" s="247">
        <v>6</v>
      </c>
      <c r="F2509" s="232">
        <v>2143800</v>
      </c>
      <c r="G2509" s="232">
        <v>451588</v>
      </c>
      <c r="H2509" s="138">
        <f t="shared" si="243"/>
        <v>2595388</v>
      </c>
      <c r="I2509" s="138">
        <f t="shared" si="244"/>
        <v>15572328</v>
      </c>
      <c r="J2509" s="61"/>
      <c r="K2509" s="15"/>
    </row>
    <row r="2510" spans="1:11" s="16" customFormat="1" ht="25.5" outlineLevel="3">
      <c r="A2510" s="14"/>
      <c r="B2510" s="35">
        <f>MAX($B$2348:B2509)+1</f>
        <v>1003</v>
      </c>
      <c r="C2510" s="256" t="s">
        <v>1313</v>
      </c>
      <c r="D2510" s="230" t="s">
        <v>38</v>
      </c>
      <c r="E2510" s="247">
        <v>1</v>
      </c>
      <c r="F2510" s="232">
        <v>32806011</v>
      </c>
      <c r="G2510" s="232">
        <v>11776517</v>
      </c>
      <c r="H2510" s="138">
        <f t="shared" si="243"/>
        <v>44582528</v>
      </c>
      <c r="I2510" s="138">
        <f t="shared" si="244"/>
        <v>44582528</v>
      </c>
      <c r="J2510" s="61"/>
      <c r="K2510" s="15"/>
    </row>
    <row r="2511" spans="1:11" ht="25.5" outlineLevel="3">
      <c r="B2511" s="35">
        <f>MAX($B$2348:B2510)+1</f>
        <v>1004</v>
      </c>
      <c r="C2511" s="256" t="s">
        <v>1314</v>
      </c>
      <c r="D2511" s="230" t="s">
        <v>38</v>
      </c>
      <c r="E2511" s="247">
        <v>1</v>
      </c>
      <c r="F2511" s="232">
        <v>58061250</v>
      </c>
      <c r="G2511" s="232">
        <v>20842500</v>
      </c>
      <c r="H2511" s="138">
        <f t="shared" si="243"/>
        <v>78903750</v>
      </c>
      <c r="I2511" s="138">
        <f t="shared" si="244"/>
        <v>78903750</v>
      </c>
      <c r="J2511" s="61"/>
    </row>
    <row r="2512" spans="1:11" ht="25.5" outlineLevel="3">
      <c r="B2512" s="35">
        <f>MAX($B$2348:B2511)+1</f>
        <v>1005</v>
      </c>
      <c r="C2512" s="288" t="s">
        <v>1315</v>
      </c>
      <c r="D2512" s="230" t="s">
        <v>38</v>
      </c>
      <c r="E2512" s="247">
        <v>1</v>
      </c>
      <c r="F2512" s="232">
        <v>255738489</v>
      </c>
      <c r="G2512" s="232">
        <v>91803560</v>
      </c>
      <c r="H2512" s="138">
        <f t="shared" si="243"/>
        <v>347542049</v>
      </c>
      <c r="I2512" s="138">
        <f t="shared" si="244"/>
        <v>347542049</v>
      </c>
      <c r="J2512" s="61"/>
    </row>
    <row r="2513" spans="1:16" ht="25.5" outlineLevel="3">
      <c r="B2513" s="35">
        <f>MAX($B$2348:B2512)+1</f>
        <v>1006</v>
      </c>
      <c r="C2513" s="280" t="s">
        <v>674</v>
      </c>
      <c r="D2513" s="230" t="s">
        <v>38</v>
      </c>
      <c r="E2513" s="247">
        <v>1</v>
      </c>
      <c r="F2513" s="232">
        <v>11612250</v>
      </c>
      <c r="G2513" s="232">
        <v>52106250</v>
      </c>
      <c r="H2513" s="138">
        <f t="shared" si="243"/>
        <v>63718500</v>
      </c>
      <c r="I2513" s="138">
        <f t="shared" si="244"/>
        <v>63718500</v>
      </c>
      <c r="J2513" s="61"/>
    </row>
    <row r="2514" spans="1:16" ht="25.5" outlineLevel="3">
      <c r="B2514" s="35">
        <f>MAX($B$2348:B2513)+1</f>
        <v>1007</v>
      </c>
      <c r="C2514" s="256" t="s">
        <v>1260</v>
      </c>
      <c r="D2514" s="230" t="s">
        <v>38</v>
      </c>
      <c r="E2514" s="247">
        <v>1</v>
      </c>
      <c r="F2514" s="232">
        <v>62447023</v>
      </c>
      <c r="G2514" s="232">
        <v>22416880</v>
      </c>
      <c r="H2514" s="138">
        <f t="shared" si="243"/>
        <v>84863903</v>
      </c>
      <c r="I2514" s="138">
        <f t="shared" si="244"/>
        <v>84863903</v>
      </c>
      <c r="J2514" s="61"/>
    </row>
    <row r="2515" spans="1:16" ht="25.5" outlineLevel="3">
      <c r="B2515" s="35">
        <f>MAX($B$2348:B2514)+1</f>
        <v>1008</v>
      </c>
      <c r="C2515" s="256" t="s">
        <v>1212</v>
      </c>
      <c r="D2515" s="230" t="s">
        <v>38</v>
      </c>
      <c r="E2515" s="247">
        <v>1</v>
      </c>
      <c r="F2515" s="232">
        <v>23224500</v>
      </c>
      <c r="G2515" s="232">
        <v>20842500</v>
      </c>
      <c r="H2515" s="138">
        <f t="shared" si="243"/>
        <v>44067000</v>
      </c>
      <c r="I2515" s="138">
        <f t="shared" si="244"/>
        <v>44067000</v>
      </c>
      <c r="J2515" s="61"/>
    </row>
    <row r="2516" spans="1:16" ht="52.5" outlineLevel="2">
      <c r="B2516" s="40" t="s">
        <v>430</v>
      </c>
      <c r="C2516" s="225" t="s">
        <v>1316</v>
      </c>
      <c r="D2516" s="230"/>
      <c r="E2516" s="247"/>
      <c r="F2516" s="232">
        <v>0</v>
      </c>
      <c r="G2516" s="232">
        <v>0</v>
      </c>
      <c r="H2516" s="180"/>
      <c r="I2516" s="180"/>
      <c r="J2516" s="181" t="s">
        <v>1317</v>
      </c>
      <c r="M2516" s="16" t="s">
        <v>430</v>
      </c>
      <c r="N2516" s="63" t="s">
        <v>430</v>
      </c>
    </row>
    <row r="2517" spans="1:16">
      <c r="B2517" s="35"/>
      <c r="C2517" s="288"/>
      <c r="D2517" s="230"/>
      <c r="E2517" s="247"/>
      <c r="F2517" s="232">
        <v>0</v>
      </c>
      <c r="G2517" s="232">
        <v>0</v>
      </c>
      <c r="H2517" s="331"/>
      <c r="I2517" s="251"/>
      <c r="J2517" s="64"/>
    </row>
    <row r="2518" spans="1:16" s="16" customFormat="1" ht="26.25">
      <c r="A2518" s="14"/>
      <c r="B2518" s="26" t="s">
        <v>1318</v>
      </c>
      <c r="C2518" s="215" t="s">
        <v>1319</v>
      </c>
      <c r="D2518" s="216"/>
      <c r="E2518" s="217"/>
      <c r="F2518" s="232">
        <v>0</v>
      </c>
      <c r="G2518" s="232">
        <v>0</v>
      </c>
      <c r="H2518" s="332"/>
      <c r="I2518" s="219">
        <f>SUBTOTAL(9,I2519:I2569)</f>
        <v>485064736</v>
      </c>
      <c r="J2518" s="27"/>
      <c r="K2518" s="15"/>
      <c r="M2518" s="16" t="s">
        <v>1318</v>
      </c>
      <c r="P2518" s="16" t="s">
        <v>1318</v>
      </c>
    </row>
    <row r="2519" spans="1:16" s="33" customFormat="1" ht="26.25" outlineLevel="1">
      <c r="A2519" s="14"/>
      <c r="B2519" s="28" t="s">
        <v>18</v>
      </c>
      <c r="C2519" s="220" t="s">
        <v>1320</v>
      </c>
      <c r="D2519" s="221"/>
      <c r="E2519" s="222"/>
      <c r="F2519" s="232">
        <v>0</v>
      </c>
      <c r="G2519" s="232">
        <v>0</v>
      </c>
      <c r="H2519" s="333"/>
      <c r="I2519" s="224">
        <f>SUBTOTAL(9,I2520:I2531)</f>
        <v>134542106</v>
      </c>
      <c r="J2519" s="29"/>
      <c r="K2519" s="32"/>
      <c r="M2519" s="16" t="s">
        <v>18</v>
      </c>
      <c r="O2519" s="33" t="s">
        <v>18</v>
      </c>
    </row>
    <row r="2520" spans="1:16" s="33" customFormat="1" ht="26.25" outlineLevel="3">
      <c r="A2520" s="14"/>
      <c r="B2520" s="30" t="s">
        <v>22</v>
      </c>
      <c r="C2520" s="225" t="s">
        <v>84</v>
      </c>
      <c r="D2520" s="233"/>
      <c r="E2520" s="231"/>
      <c r="F2520" s="232">
        <v>0</v>
      </c>
      <c r="G2520" s="232">
        <v>0</v>
      </c>
      <c r="H2520" s="279"/>
      <c r="I2520" s="334"/>
      <c r="J2520" s="50"/>
      <c r="K2520" s="32"/>
    </row>
    <row r="2521" spans="1:16" s="16" customFormat="1" ht="25.5" outlineLevel="3">
      <c r="A2521" s="14"/>
      <c r="B2521" s="35">
        <f>MAXA(B$5:B2520)+1</f>
        <v>1009</v>
      </c>
      <c r="C2521" s="292" t="s">
        <v>1321</v>
      </c>
      <c r="D2521" s="230" t="s">
        <v>25</v>
      </c>
      <c r="E2521" s="247">
        <f>25*2</f>
        <v>50</v>
      </c>
      <c r="F2521" s="232">
        <v>50369</v>
      </c>
      <c r="G2521" s="232">
        <v>36127</v>
      </c>
      <c r="H2521" s="138">
        <f>G2521+F2521</f>
        <v>86496</v>
      </c>
      <c r="I2521" s="138">
        <f>H2521*E2521</f>
        <v>4324800</v>
      </c>
      <c r="J2521" s="39"/>
      <c r="K2521" s="15"/>
    </row>
    <row r="2522" spans="1:16" s="16" customFormat="1" ht="25.5" outlineLevel="3">
      <c r="A2522" s="14"/>
      <c r="B2522" s="35">
        <f>MAXA(B$5:B2521)+1</f>
        <v>1010</v>
      </c>
      <c r="C2522" s="229" t="s">
        <v>30</v>
      </c>
      <c r="D2522" s="230" t="s">
        <v>25</v>
      </c>
      <c r="E2522" s="247">
        <v>25</v>
      </c>
      <c r="F2522" s="232">
        <v>952800</v>
      </c>
      <c r="G2522" s="232">
        <v>645125</v>
      </c>
      <c r="H2522" s="138">
        <f>G2522+F2522</f>
        <v>1597925</v>
      </c>
      <c r="I2522" s="138">
        <f>H2522*E2522</f>
        <v>39948125</v>
      </c>
      <c r="J2522" s="39"/>
      <c r="K2522" s="15"/>
    </row>
    <row r="2523" spans="1:16" s="33" customFormat="1" ht="25.5" outlineLevel="3">
      <c r="A2523" s="14"/>
      <c r="B2523" s="35">
        <f>MAXA(B$5:B2522)+1</f>
        <v>1011</v>
      </c>
      <c r="C2523" s="335" t="s">
        <v>31</v>
      </c>
      <c r="D2523" s="136" t="s">
        <v>32</v>
      </c>
      <c r="E2523" s="247">
        <v>13</v>
      </c>
      <c r="F2523" s="232">
        <v>148875</v>
      </c>
      <c r="G2523" s="232">
        <v>248125</v>
      </c>
      <c r="H2523" s="138">
        <f>G2523+F2523</f>
        <v>397000</v>
      </c>
      <c r="I2523" s="138">
        <f>H2523*E2523</f>
        <v>5161000</v>
      </c>
      <c r="J2523" s="50"/>
      <c r="K2523" s="32"/>
    </row>
    <row r="2524" spans="1:16" s="33" customFormat="1" ht="25.5" outlineLevel="3">
      <c r="A2524" s="14"/>
      <c r="B2524" s="35">
        <f>MAXA(B$5:B2523)+1</f>
        <v>1012</v>
      </c>
      <c r="C2524" s="335" t="s">
        <v>1322</v>
      </c>
      <c r="D2524" s="230" t="s">
        <v>34</v>
      </c>
      <c r="E2524" s="247">
        <v>2</v>
      </c>
      <c r="F2524" s="232">
        <v>9528000</v>
      </c>
      <c r="G2524" s="232">
        <v>6451250</v>
      </c>
      <c r="H2524" s="138">
        <f>G2524+F2524</f>
        <v>15979250</v>
      </c>
      <c r="I2524" s="138">
        <f>H2524*E2524</f>
        <v>31958500</v>
      </c>
      <c r="J2524" s="50"/>
      <c r="K2524" s="32"/>
    </row>
    <row r="2525" spans="1:16" s="33" customFormat="1" ht="25.5" outlineLevel="3">
      <c r="A2525" s="14"/>
      <c r="B2525" s="35">
        <f>MAXA(B$5:B2524)+1</f>
        <v>1013</v>
      </c>
      <c r="C2525" s="256" t="s">
        <v>1260</v>
      </c>
      <c r="D2525" s="230" t="s">
        <v>38</v>
      </c>
      <c r="E2525" s="247">
        <v>1</v>
      </c>
      <c r="F2525" s="232">
        <v>5955000</v>
      </c>
      <c r="G2525" s="232">
        <v>1290250</v>
      </c>
      <c r="H2525" s="138">
        <f>G2525+F2525</f>
        <v>7245250</v>
      </c>
      <c r="I2525" s="138">
        <f>H2525*E2525</f>
        <v>7245250</v>
      </c>
      <c r="J2525" s="61"/>
      <c r="K2525" s="32"/>
    </row>
    <row r="2526" spans="1:16" s="33" customFormat="1" ht="26.25" outlineLevel="3">
      <c r="A2526" s="14"/>
      <c r="B2526" s="35" t="s">
        <v>39</v>
      </c>
      <c r="C2526" s="225" t="s">
        <v>431</v>
      </c>
      <c r="D2526" s="233"/>
      <c r="E2526" s="231"/>
      <c r="F2526" s="232">
        <v>0</v>
      </c>
      <c r="G2526" s="232">
        <v>0</v>
      </c>
      <c r="H2526" s="279"/>
      <c r="I2526" s="334"/>
      <c r="J2526" s="50"/>
      <c r="K2526" s="32"/>
    </row>
    <row r="2527" spans="1:16" s="33" customFormat="1" ht="25.5" outlineLevel="3">
      <c r="A2527" s="14"/>
      <c r="B2527" s="35">
        <f>MAXA(B$5:B2526)+1</f>
        <v>1014</v>
      </c>
      <c r="C2527" s="256" t="s">
        <v>1323</v>
      </c>
      <c r="D2527" s="230" t="s">
        <v>25</v>
      </c>
      <c r="E2527" s="231">
        <v>218</v>
      </c>
      <c r="F2527" s="232">
        <v>11743</v>
      </c>
      <c r="G2527" s="232">
        <v>11414</v>
      </c>
      <c r="H2527" s="138">
        <f>G2527+F2527</f>
        <v>23157</v>
      </c>
      <c r="I2527" s="138">
        <f>H2527*E2527</f>
        <v>5048226</v>
      </c>
      <c r="J2527" s="50"/>
      <c r="K2527" s="32"/>
    </row>
    <row r="2528" spans="1:16" s="33" customFormat="1" ht="25.5" outlineLevel="3">
      <c r="A2528" s="14"/>
      <c r="B2528" s="35">
        <f>MAXA(B$5:B2527)+1</f>
        <v>1015</v>
      </c>
      <c r="C2528" s="256" t="s">
        <v>1324</v>
      </c>
      <c r="D2528" s="230" t="s">
        <v>38</v>
      </c>
      <c r="E2528" s="231">
        <v>1</v>
      </c>
      <c r="F2528" s="232">
        <v>5806125</v>
      </c>
      <c r="G2528" s="232">
        <v>1042125</v>
      </c>
      <c r="H2528" s="138">
        <f>G2528+F2528</f>
        <v>6848250</v>
      </c>
      <c r="I2528" s="138">
        <f>H2528*E2528</f>
        <v>6848250</v>
      </c>
      <c r="J2528" s="50"/>
      <c r="K2528" s="32"/>
    </row>
    <row r="2529" spans="1:15" s="33" customFormat="1" ht="25.5" outlineLevel="3">
      <c r="A2529" s="14"/>
      <c r="B2529" s="35">
        <f>MAX($B$10:B2528)+1</f>
        <v>1016</v>
      </c>
      <c r="C2529" s="256" t="s">
        <v>1325</v>
      </c>
      <c r="D2529" s="230" t="s">
        <v>25</v>
      </c>
      <c r="E2529" s="231">
        <v>173</v>
      </c>
      <c r="F2529" s="232">
        <v>92898</v>
      </c>
      <c r="G2529" s="232">
        <v>31264</v>
      </c>
      <c r="H2529" s="138">
        <f>G2529+F2529</f>
        <v>124162</v>
      </c>
      <c r="I2529" s="138">
        <f>H2529*E2529</f>
        <v>21480026</v>
      </c>
      <c r="J2529" s="50"/>
      <c r="K2529" s="32"/>
    </row>
    <row r="2530" spans="1:15" s="33" customFormat="1" ht="25.5" outlineLevel="3">
      <c r="A2530" s="14"/>
      <c r="B2530" s="35">
        <f>MAX($B$10:B2529)+1</f>
        <v>1017</v>
      </c>
      <c r="C2530" s="280" t="s">
        <v>674</v>
      </c>
      <c r="D2530" s="233" t="s">
        <v>32</v>
      </c>
      <c r="E2530" s="231">
        <v>87</v>
      </c>
      <c r="F2530" s="232">
        <v>0</v>
      </c>
      <c r="G2530" s="232">
        <v>93791</v>
      </c>
      <c r="H2530" s="138">
        <f>G2530+F2530</f>
        <v>93791</v>
      </c>
      <c r="I2530" s="138">
        <f>H2530*E2530</f>
        <v>8159817</v>
      </c>
      <c r="J2530" s="50"/>
      <c r="K2530" s="32"/>
    </row>
    <row r="2531" spans="1:15" s="33" customFormat="1" ht="25.5" outlineLevel="3">
      <c r="A2531" s="14"/>
      <c r="B2531" s="35">
        <f>MAX($B$10:B2530)+1</f>
        <v>1018</v>
      </c>
      <c r="C2531" s="256" t="s">
        <v>1326</v>
      </c>
      <c r="D2531" s="230" t="s">
        <v>38</v>
      </c>
      <c r="E2531" s="231">
        <v>1</v>
      </c>
      <c r="F2531" s="232">
        <v>3214271</v>
      </c>
      <c r="G2531" s="232">
        <v>1153841</v>
      </c>
      <c r="H2531" s="138">
        <f>G2531+F2531</f>
        <v>4368112</v>
      </c>
      <c r="I2531" s="138">
        <f>H2531*E2531</f>
        <v>4368112</v>
      </c>
      <c r="J2531" s="50"/>
      <c r="K2531" s="32"/>
    </row>
    <row r="2532" spans="1:15" s="33" customFormat="1" ht="26.25" outlineLevel="1">
      <c r="A2532" s="14"/>
      <c r="B2532" s="28" t="s">
        <v>566</v>
      </c>
      <c r="C2532" s="220" t="s">
        <v>1327</v>
      </c>
      <c r="D2532" s="221"/>
      <c r="E2532" s="222"/>
      <c r="F2532" s="232">
        <v>0</v>
      </c>
      <c r="G2532" s="232">
        <v>0</v>
      </c>
      <c r="H2532" s="223"/>
      <c r="I2532" s="224">
        <f>SUBTOTAL(9,I2533:I2569)</f>
        <v>350522630</v>
      </c>
      <c r="J2532" s="29"/>
      <c r="K2532" s="32"/>
      <c r="M2532" s="16" t="s">
        <v>566</v>
      </c>
      <c r="O2532" s="33" t="s">
        <v>566</v>
      </c>
    </row>
    <row r="2533" spans="1:15" s="33" customFormat="1" ht="26.25" outlineLevel="3">
      <c r="A2533" s="14"/>
      <c r="B2533" s="49"/>
      <c r="C2533" s="277" t="s">
        <v>1328</v>
      </c>
      <c r="D2533" s="278"/>
      <c r="E2533" s="213"/>
      <c r="F2533" s="232">
        <v>0</v>
      </c>
      <c r="G2533" s="232">
        <v>0</v>
      </c>
      <c r="H2533" s="279"/>
      <c r="I2533" s="334"/>
      <c r="J2533" s="50"/>
      <c r="K2533" s="32"/>
    </row>
    <row r="2534" spans="1:15" s="16" customFormat="1" ht="25.5" outlineLevel="3">
      <c r="A2534" s="14"/>
      <c r="B2534" s="35">
        <f>MAX($B$10:B2533)+1</f>
        <v>1019</v>
      </c>
      <c r="C2534" s="280" t="s">
        <v>1329</v>
      </c>
      <c r="D2534" s="230" t="s">
        <v>28</v>
      </c>
      <c r="E2534" s="247">
        <v>1</v>
      </c>
      <c r="F2534" s="232">
        <v>10984956</v>
      </c>
      <c r="G2534" s="232">
        <v>2084250</v>
      </c>
      <c r="H2534" s="138">
        <f t="shared" ref="H2534:H2548" si="245">G2534+F2534</f>
        <v>13069206</v>
      </c>
      <c r="I2534" s="138">
        <f t="shared" ref="I2534:I2548" si="246">H2534*E2534</f>
        <v>13069206</v>
      </c>
      <c r="J2534" s="50"/>
      <c r="K2534" s="15"/>
    </row>
    <row r="2535" spans="1:15" s="16" customFormat="1" ht="25.5" outlineLevel="3">
      <c r="A2535" s="14"/>
      <c r="B2535" s="35">
        <f>MAX($B$10:B2534)+1</f>
        <v>1020</v>
      </c>
      <c r="C2535" s="280" t="s">
        <v>1330</v>
      </c>
      <c r="D2535" s="230" t="s">
        <v>28</v>
      </c>
      <c r="E2535" s="247">
        <v>2</v>
      </c>
      <c r="F2535" s="232">
        <v>0</v>
      </c>
      <c r="G2535" s="232">
        <v>0</v>
      </c>
      <c r="H2535" s="138">
        <f t="shared" si="245"/>
        <v>0</v>
      </c>
      <c r="I2535" s="138">
        <f t="shared" si="246"/>
        <v>0</v>
      </c>
      <c r="J2535" s="50"/>
      <c r="K2535" s="15"/>
    </row>
    <row r="2536" spans="1:15" s="16" customFormat="1" ht="25.5" outlineLevel="3">
      <c r="A2536" s="14"/>
      <c r="B2536" s="35">
        <f>MAX($B$10:B2535)+1</f>
        <v>1021</v>
      </c>
      <c r="C2536" s="280" t="s">
        <v>1331</v>
      </c>
      <c r="D2536" s="230" t="s">
        <v>28</v>
      </c>
      <c r="E2536" s="247">
        <v>1</v>
      </c>
      <c r="F2536" s="232">
        <v>1161225</v>
      </c>
      <c r="G2536" s="232">
        <v>260531</v>
      </c>
      <c r="H2536" s="138">
        <f t="shared" si="245"/>
        <v>1421756</v>
      </c>
      <c r="I2536" s="138">
        <f t="shared" si="246"/>
        <v>1421756</v>
      </c>
      <c r="J2536" s="50"/>
      <c r="K2536" s="15"/>
    </row>
    <row r="2537" spans="1:15" s="16" customFormat="1" ht="25.5" outlineLevel="3">
      <c r="A2537" s="14"/>
      <c r="B2537" s="35">
        <f>MAX($B$10:B2536)+1</f>
        <v>1022</v>
      </c>
      <c r="C2537" s="280" t="s">
        <v>658</v>
      </c>
      <c r="D2537" s="230" t="s">
        <v>28</v>
      </c>
      <c r="E2537" s="247">
        <v>2</v>
      </c>
      <c r="F2537" s="232">
        <v>948721</v>
      </c>
      <c r="G2537" s="232">
        <v>364744</v>
      </c>
      <c r="H2537" s="138">
        <f t="shared" si="245"/>
        <v>1313465</v>
      </c>
      <c r="I2537" s="138">
        <f t="shared" si="246"/>
        <v>2626930</v>
      </c>
      <c r="J2537" s="50"/>
      <c r="K2537" s="15"/>
    </row>
    <row r="2538" spans="1:15" s="16" customFormat="1" ht="25.5" outlineLevel="3">
      <c r="A2538" s="14"/>
      <c r="B2538" s="35">
        <f>MAX($B$10:B2537)+1</f>
        <v>1023</v>
      </c>
      <c r="C2538" s="281" t="s">
        <v>581</v>
      </c>
      <c r="D2538" s="230" t="s">
        <v>28</v>
      </c>
      <c r="E2538" s="247">
        <v>2</v>
      </c>
      <c r="F2538" s="232">
        <v>2140138</v>
      </c>
      <c r="G2538" s="232">
        <v>364744</v>
      </c>
      <c r="H2538" s="138">
        <f t="shared" si="245"/>
        <v>2504882</v>
      </c>
      <c r="I2538" s="138">
        <f t="shared" si="246"/>
        <v>5009764</v>
      </c>
      <c r="J2538" s="50"/>
      <c r="K2538" s="15"/>
    </row>
    <row r="2539" spans="1:15" s="16" customFormat="1" ht="25.5" outlineLevel="3">
      <c r="A2539" s="14"/>
      <c r="B2539" s="35">
        <f>MAX($B$10:B2538)+1</f>
        <v>1024</v>
      </c>
      <c r="C2539" s="274" t="s">
        <v>583</v>
      </c>
      <c r="D2539" s="230" t="s">
        <v>28</v>
      </c>
      <c r="E2539" s="247">
        <v>2</v>
      </c>
      <c r="F2539" s="232">
        <v>3070279</v>
      </c>
      <c r="G2539" s="232">
        <v>521063</v>
      </c>
      <c r="H2539" s="138">
        <f t="shared" si="245"/>
        <v>3591342</v>
      </c>
      <c r="I2539" s="138">
        <f t="shared" si="246"/>
        <v>7182684</v>
      </c>
      <c r="J2539" s="50"/>
      <c r="K2539" s="15"/>
    </row>
    <row r="2540" spans="1:15" s="16" customFormat="1" ht="25.5" outlineLevel="3">
      <c r="A2540" s="14"/>
      <c r="B2540" s="35">
        <f>MAX($B$10:B2539)+1</f>
        <v>1025</v>
      </c>
      <c r="C2540" s="280" t="s">
        <v>1332</v>
      </c>
      <c r="D2540" s="230" t="s">
        <v>28</v>
      </c>
      <c r="E2540" s="247">
        <v>1</v>
      </c>
      <c r="F2540" s="232">
        <v>8390947</v>
      </c>
      <c r="G2540" s="232">
        <v>5034568</v>
      </c>
      <c r="H2540" s="138">
        <f t="shared" si="245"/>
        <v>13425515</v>
      </c>
      <c r="I2540" s="138">
        <f t="shared" si="246"/>
        <v>13425515</v>
      </c>
      <c r="J2540" s="50"/>
      <c r="K2540" s="15"/>
    </row>
    <row r="2541" spans="1:15" s="16" customFormat="1" ht="25.5" outlineLevel="3">
      <c r="A2541" s="14"/>
      <c r="B2541" s="35">
        <f>MAX($B$10:B2540)+1</f>
        <v>1026</v>
      </c>
      <c r="C2541" s="280" t="s">
        <v>584</v>
      </c>
      <c r="D2541" s="230" t="s">
        <v>28</v>
      </c>
      <c r="E2541" s="247">
        <v>1</v>
      </c>
      <c r="F2541" s="232">
        <v>2284130</v>
      </c>
      <c r="G2541" s="232">
        <v>364744</v>
      </c>
      <c r="H2541" s="138">
        <f t="shared" si="245"/>
        <v>2648874</v>
      </c>
      <c r="I2541" s="138">
        <f t="shared" si="246"/>
        <v>2648874</v>
      </c>
      <c r="J2541" s="50"/>
      <c r="K2541" s="15"/>
    </row>
    <row r="2542" spans="1:15" s="16" customFormat="1" ht="25.5" outlineLevel="3">
      <c r="A2542" s="14"/>
      <c r="B2542" s="35">
        <f>MAX($B$10:B2541)+1</f>
        <v>1027</v>
      </c>
      <c r="C2542" s="280" t="s">
        <v>1333</v>
      </c>
      <c r="D2542" s="230" t="s">
        <v>25</v>
      </c>
      <c r="E2542" s="247">
        <v>12</v>
      </c>
      <c r="F2542" s="232">
        <v>76921</v>
      </c>
      <c r="G2542" s="232">
        <v>78159</v>
      </c>
      <c r="H2542" s="138">
        <f t="shared" si="245"/>
        <v>155080</v>
      </c>
      <c r="I2542" s="138">
        <f t="shared" si="246"/>
        <v>1860960</v>
      </c>
      <c r="J2542" s="50"/>
      <c r="K2542" s="15"/>
    </row>
    <row r="2543" spans="1:15" s="16" customFormat="1" ht="25.5" outlineLevel="3">
      <c r="A2543" s="14"/>
      <c r="B2543" s="35">
        <f>MAX($B$10:B2542)+1</f>
        <v>1028</v>
      </c>
      <c r="C2543" s="280" t="s">
        <v>671</v>
      </c>
      <c r="D2543" s="230" t="s">
        <v>25</v>
      </c>
      <c r="E2543" s="247">
        <v>210</v>
      </c>
      <c r="F2543" s="232">
        <v>111847</v>
      </c>
      <c r="G2543" s="232">
        <v>99002</v>
      </c>
      <c r="H2543" s="138">
        <f t="shared" si="245"/>
        <v>210849</v>
      </c>
      <c r="I2543" s="138">
        <f t="shared" si="246"/>
        <v>44278290</v>
      </c>
      <c r="J2543" s="50"/>
      <c r="K2543" s="15"/>
    </row>
    <row r="2544" spans="1:15" s="16" customFormat="1" ht="25.5" outlineLevel="3">
      <c r="A2544" s="14"/>
      <c r="B2544" s="35">
        <f>MAX($B$10:B2543)+1</f>
        <v>1029</v>
      </c>
      <c r="C2544" s="280" t="s">
        <v>609</v>
      </c>
      <c r="D2544" s="230" t="s">
        <v>38</v>
      </c>
      <c r="E2544" s="247">
        <v>1</v>
      </c>
      <c r="F2544" s="232">
        <v>15867079</v>
      </c>
      <c r="G2544" s="232">
        <v>5695875</v>
      </c>
      <c r="H2544" s="138">
        <f t="shared" si="245"/>
        <v>21562954</v>
      </c>
      <c r="I2544" s="138">
        <f t="shared" si="246"/>
        <v>21562954</v>
      </c>
      <c r="J2544" s="50"/>
      <c r="K2544" s="15"/>
    </row>
    <row r="2545" spans="1:11" s="16" customFormat="1" ht="25.5" outlineLevel="3">
      <c r="A2545" s="14"/>
      <c r="B2545" s="35">
        <f>MAX($B$10:B2544)+1</f>
        <v>1030</v>
      </c>
      <c r="C2545" s="280" t="s">
        <v>1334</v>
      </c>
      <c r="D2545" s="230" t="s">
        <v>38</v>
      </c>
      <c r="E2545" s="247">
        <v>1</v>
      </c>
      <c r="F2545" s="232">
        <v>8128575</v>
      </c>
      <c r="G2545" s="232">
        <v>2917950</v>
      </c>
      <c r="H2545" s="138">
        <f t="shared" si="245"/>
        <v>11046525</v>
      </c>
      <c r="I2545" s="138">
        <f t="shared" si="246"/>
        <v>11046525</v>
      </c>
      <c r="J2545" s="50"/>
      <c r="K2545" s="15"/>
    </row>
    <row r="2546" spans="1:11" s="16" customFormat="1" ht="25.5" outlineLevel="3">
      <c r="A2546" s="14"/>
      <c r="B2546" s="35">
        <f>MAX($B$10:B2545)+1</f>
        <v>1031</v>
      </c>
      <c r="C2546" s="280" t="s">
        <v>1335</v>
      </c>
      <c r="D2546" s="230" t="s">
        <v>38</v>
      </c>
      <c r="E2546" s="247">
        <v>1</v>
      </c>
      <c r="F2546" s="232">
        <v>10218780</v>
      </c>
      <c r="G2546" s="232">
        <v>3668280</v>
      </c>
      <c r="H2546" s="138">
        <f t="shared" si="245"/>
        <v>13887060</v>
      </c>
      <c r="I2546" s="138">
        <f t="shared" si="246"/>
        <v>13887060</v>
      </c>
      <c r="J2546" s="50"/>
      <c r="K2546" s="15"/>
    </row>
    <row r="2547" spans="1:11" s="16" customFormat="1" ht="25.5" outlineLevel="3">
      <c r="A2547" s="14"/>
      <c r="B2547" s="35">
        <f>MAX($B$10:B2546)+1</f>
        <v>1032</v>
      </c>
      <c r="C2547" s="280" t="s">
        <v>981</v>
      </c>
      <c r="D2547" s="230" t="s">
        <v>38</v>
      </c>
      <c r="E2547" s="247">
        <v>1</v>
      </c>
      <c r="F2547" s="232">
        <v>0</v>
      </c>
      <c r="G2547" s="232">
        <v>20634075</v>
      </c>
      <c r="H2547" s="138">
        <f t="shared" si="245"/>
        <v>20634075</v>
      </c>
      <c r="I2547" s="138">
        <f t="shared" si="246"/>
        <v>20634075</v>
      </c>
      <c r="J2547" s="50"/>
      <c r="K2547" s="15"/>
    </row>
    <row r="2548" spans="1:11" s="16" customFormat="1" ht="25.5" outlineLevel="3">
      <c r="A2548" s="14"/>
      <c r="B2548" s="35">
        <f>MAX($B$10:B2547)+1</f>
        <v>1033</v>
      </c>
      <c r="C2548" s="238" t="s">
        <v>828</v>
      </c>
      <c r="D2548" s="230" t="s">
        <v>38</v>
      </c>
      <c r="E2548" s="247">
        <v>1</v>
      </c>
      <c r="F2548" s="232">
        <v>17353476</v>
      </c>
      <c r="G2548" s="232">
        <v>6229453</v>
      </c>
      <c r="H2548" s="138">
        <f t="shared" si="245"/>
        <v>23582929</v>
      </c>
      <c r="I2548" s="138">
        <f t="shared" si="246"/>
        <v>23582929</v>
      </c>
      <c r="J2548" s="50"/>
      <c r="K2548" s="15"/>
    </row>
    <row r="2549" spans="1:11" s="33" customFormat="1" ht="26.25" outlineLevel="3">
      <c r="A2549" s="14"/>
      <c r="B2549" s="49"/>
      <c r="C2549" s="277" t="s">
        <v>1336</v>
      </c>
      <c r="D2549" s="278"/>
      <c r="E2549" s="213"/>
      <c r="F2549" s="232">
        <v>0</v>
      </c>
      <c r="G2549" s="232">
        <v>0</v>
      </c>
      <c r="H2549" s="279"/>
      <c r="I2549" s="334"/>
      <c r="J2549" s="50"/>
      <c r="K2549" s="32"/>
    </row>
    <row r="2550" spans="1:11" s="16" customFormat="1" ht="25.5" outlineLevel="3">
      <c r="A2550" s="14"/>
      <c r="B2550" s="35">
        <f>MAX($B$10:B2549)+1</f>
        <v>1034</v>
      </c>
      <c r="C2550" s="280" t="s">
        <v>695</v>
      </c>
      <c r="D2550" s="230" t="s">
        <v>25</v>
      </c>
      <c r="E2550" s="247">
        <v>32</v>
      </c>
      <c r="F2550" s="232">
        <v>94782</v>
      </c>
      <c r="G2550" s="232">
        <v>46896</v>
      </c>
      <c r="H2550" s="138">
        <f>G2550+F2550</f>
        <v>141678</v>
      </c>
      <c r="I2550" s="138">
        <f>H2550*E2550</f>
        <v>4533696</v>
      </c>
      <c r="J2550" s="50"/>
      <c r="K2550" s="15"/>
    </row>
    <row r="2551" spans="1:11" s="16" customFormat="1" ht="25.5" outlineLevel="3">
      <c r="A2551" s="14"/>
      <c r="B2551" s="35">
        <f>MAX($B$10:B2550)+1</f>
        <v>1035</v>
      </c>
      <c r="C2551" s="280" t="s">
        <v>1337</v>
      </c>
      <c r="D2551" s="230" t="s">
        <v>25</v>
      </c>
      <c r="E2551" s="247">
        <v>124</v>
      </c>
      <c r="F2551" s="232">
        <v>447911</v>
      </c>
      <c r="G2551" s="232">
        <v>156319</v>
      </c>
      <c r="H2551" s="138">
        <f>G2551+F2551</f>
        <v>604230</v>
      </c>
      <c r="I2551" s="138">
        <f>H2551*E2551</f>
        <v>74924520</v>
      </c>
      <c r="J2551" s="50"/>
      <c r="K2551" s="15"/>
    </row>
    <row r="2552" spans="1:11" s="33" customFormat="1" ht="26.25" outlineLevel="3">
      <c r="A2552" s="14"/>
      <c r="B2552" s="49"/>
      <c r="C2552" s="277" t="s">
        <v>1338</v>
      </c>
      <c r="D2552" s="278"/>
      <c r="E2552" s="213"/>
      <c r="F2552" s="232">
        <v>0</v>
      </c>
      <c r="G2552" s="232">
        <v>0</v>
      </c>
      <c r="H2552" s="279"/>
      <c r="I2552" s="334"/>
      <c r="J2552" s="50"/>
      <c r="K2552" s="32"/>
    </row>
    <row r="2553" spans="1:11" s="16" customFormat="1" ht="25.5" outlineLevel="3">
      <c r="A2553" s="14"/>
      <c r="B2553" s="35">
        <f>MAX($B$10:B2552)+1</f>
        <v>1036</v>
      </c>
      <c r="C2553" s="280" t="s">
        <v>1339</v>
      </c>
      <c r="D2553" s="230" t="s">
        <v>25</v>
      </c>
      <c r="E2553" s="247">
        <v>4</v>
      </c>
      <c r="F2553" s="232">
        <v>94782</v>
      </c>
      <c r="G2553" s="232">
        <v>46896</v>
      </c>
      <c r="H2553" s="138">
        <f t="shared" ref="H2553:H2561" si="247">G2553+F2553</f>
        <v>141678</v>
      </c>
      <c r="I2553" s="138">
        <f t="shared" ref="I2553:I2561" si="248">H2553*E2553</f>
        <v>566712</v>
      </c>
      <c r="J2553" s="50"/>
      <c r="K2553" s="15"/>
    </row>
    <row r="2554" spans="1:11" s="16" customFormat="1" ht="25.5" outlineLevel="3">
      <c r="A2554" s="14"/>
      <c r="B2554" s="35">
        <f>MAX($B$10:B2553)+1</f>
        <v>1037</v>
      </c>
      <c r="C2554" s="280" t="s">
        <v>696</v>
      </c>
      <c r="D2554" s="230" t="s">
        <v>25</v>
      </c>
      <c r="E2554" s="247">
        <v>12</v>
      </c>
      <c r="F2554" s="232">
        <v>119560</v>
      </c>
      <c r="G2554" s="232">
        <v>62528</v>
      </c>
      <c r="H2554" s="138">
        <f t="shared" si="247"/>
        <v>182088</v>
      </c>
      <c r="I2554" s="138">
        <f t="shared" si="248"/>
        <v>2185056</v>
      </c>
      <c r="J2554" s="50"/>
      <c r="K2554" s="15"/>
    </row>
    <row r="2555" spans="1:11" s="16" customFormat="1" ht="25.5" outlineLevel="3">
      <c r="A2555" s="14"/>
      <c r="B2555" s="35">
        <f>MAX($B$10:B2554)+1</f>
        <v>1038</v>
      </c>
      <c r="C2555" s="280" t="s">
        <v>1340</v>
      </c>
      <c r="D2555" s="230" t="s">
        <v>25</v>
      </c>
      <c r="E2555" s="247">
        <v>4</v>
      </c>
      <c r="F2555" s="232">
        <v>228858</v>
      </c>
      <c r="G2555" s="232">
        <v>125055</v>
      </c>
      <c r="H2555" s="138">
        <f t="shared" si="247"/>
        <v>353913</v>
      </c>
      <c r="I2555" s="138">
        <f t="shared" si="248"/>
        <v>1415652</v>
      </c>
      <c r="J2555" s="50"/>
      <c r="K2555" s="15"/>
    </row>
    <row r="2556" spans="1:11" s="16" customFormat="1" ht="25.5" outlineLevel="3">
      <c r="A2556" s="14"/>
      <c r="B2556" s="35">
        <f>MAX($B$10:B2555)+1</f>
        <v>1039</v>
      </c>
      <c r="C2556" s="280" t="s">
        <v>1341</v>
      </c>
      <c r="D2556" s="230" t="s">
        <v>25</v>
      </c>
      <c r="E2556" s="247">
        <v>4</v>
      </c>
      <c r="F2556" s="232">
        <v>447911</v>
      </c>
      <c r="G2556" s="232">
        <v>156319</v>
      </c>
      <c r="H2556" s="138">
        <f t="shared" si="247"/>
        <v>604230</v>
      </c>
      <c r="I2556" s="138">
        <f t="shared" si="248"/>
        <v>2416920</v>
      </c>
      <c r="J2556" s="50"/>
      <c r="K2556" s="15"/>
    </row>
    <row r="2557" spans="1:11" s="16" customFormat="1" ht="25.5" outlineLevel="3">
      <c r="A2557" s="14"/>
      <c r="B2557" s="35">
        <f>MAX($B$10:B2556)+1</f>
        <v>1040</v>
      </c>
      <c r="C2557" s="280" t="s">
        <v>667</v>
      </c>
      <c r="D2557" s="230" t="s">
        <v>38</v>
      </c>
      <c r="E2557" s="247">
        <v>1</v>
      </c>
      <c r="F2557" s="232">
        <v>28392711</v>
      </c>
      <c r="G2557" s="232">
        <v>10192255</v>
      </c>
      <c r="H2557" s="138">
        <f t="shared" si="247"/>
        <v>38584966</v>
      </c>
      <c r="I2557" s="138">
        <f t="shared" si="248"/>
        <v>38584966</v>
      </c>
      <c r="J2557" s="50"/>
      <c r="K2557" s="15"/>
    </row>
    <row r="2558" spans="1:11" s="16" customFormat="1" ht="25.5" outlineLevel="3">
      <c r="A2558" s="14"/>
      <c r="B2558" s="35">
        <f>MAX($B$10:B2557)+1</f>
        <v>1041</v>
      </c>
      <c r="C2558" s="280" t="s">
        <v>669</v>
      </c>
      <c r="D2558" s="230" t="s">
        <v>25</v>
      </c>
      <c r="E2558" s="247">
        <v>6</v>
      </c>
      <c r="F2558" s="232">
        <v>53111</v>
      </c>
      <c r="G2558" s="232">
        <v>62528</v>
      </c>
      <c r="H2558" s="138">
        <f t="shared" si="247"/>
        <v>115639</v>
      </c>
      <c r="I2558" s="138">
        <f t="shared" si="248"/>
        <v>693834</v>
      </c>
      <c r="J2558" s="50"/>
      <c r="K2558" s="15"/>
    </row>
    <row r="2559" spans="1:11" s="16" customFormat="1" ht="25.5" outlineLevel="3">
      <c r="A2559" s="14"/>
      <c r="B2559" s="35">
        <f>MAX($B$10:B2558)+1</f>
        <v>1042</v>
      </c>
      <c r="C2559" s="280" t="s">
        <v>1333</v>
      </c>
      <c r="D2559" s="230" t="s">
        <v>25</v>
      </c>
      <c r="E2559" s="247">
        <v>62</v>
      </c>
      <c r="F2559" s="232">
        <v>76921</v>
      </c>
      <c r="G2559" s="232">
        <v>78159</v>
      </c>
      <c r="H2559" s="138">
        <f t="shared" si="247"/>
        <v>155080</v>
      </c>
      <c r="I2559" s="138">
        <f t="shared" si="248"/>
        <v>9614960</v>
      </c>
      <c r="J2559" s="50"/>
      <c r="K2559" s="15"/>
    </row>
    <row r="2560" spans="1:11" s="16" customFormat="1" ht="25.5" outlineLevel="3">
      <c r="A2560" s="14"/>
      <c r="B2560" s="35">
        <f>MAX($B$10:B2559)+1</f>
        <v>1043</v>
      </c>
      <c r="C2560" s="280" t="s">
        <v>1342</v>
      </c>
      <c r="D2560" s="230" t="s">
        <v>25</v>
      </c>
      <c r="E2560" s="247">
        <v>16</v>
      </c>
      <c r="F2560" s="232">
        <v>111847</v>
      </c>
      <c r="G2560" s="232">
        <v>99002</v>
      </c>
      <c r="H2560" s="138">
        <f t="shared" si="247"/>
        <v>210849</v>
      </c>
      <c r="I2560" s="138">
        <f t="shared" si="248"/>
        <v>3373584</v>
      </c>
      <c r="J2560" s="50"/>
      <c r="K2560" s="15"/>
    </row>
    <row r="2561" spans="1:16" s="16" customFormat="1" ht="25.5" outlineLevel="3">
      <c r="A2561" s="14"/>
      <c r="B2561" s="35">
        <f>MAX($B$10:B2560)+1</f>
        <v>1044</v>
      </c>
      <c r="C2561" s="280" t="s">
        <v>609</v>
      </c>
      <c r="D2561" s="230" t="s">
        <v>38</v>
      </c>
      <c r="E2561" s="247">
        <v>1</v>
      </c>
      <c r="F2561" s="232">
        <v>4470245</v>
      </c>
      <c r="G2561" s="232">
        <v>1604703</v>
      </c>
      <c r="H2561" s="138">
        <f t="shared" si="247"/>
        <v>6074948</v>
      </c>
      <c r="I2561" s="138">
        <f t="shared" si="248"/>
        <v>6074948</v>
      </c>
      <c r="J2561" s="50"/>
      <c r="K2561" s="15"/>
    </row>
    <row r="2562" spans="1:16" s="16" customFormat="1" ht="51" outlineLevel="3">
      <c r="A2562" s="14"/>
      <c r="B2562" s="35">
        <f>MAX($B$10:B2561)+1</f>
        <v>1045</v>
      </c>
      <c r="C2562" s="274" t="s">
        <v>1343</v>
      </c>
      <c r="D2562" s="233" t="s">
        <v>44</v>
      </c>
      <c r="E2562" s="247"/>
      <c r="F2562" s="232">
        <v>0</v>
      </c>
      <c r="G2562" s="232">
        <v>0</v>
      </c>
      <c r="H2562" s="282"/>
      <c r="I2562" s="283"/>
      <c r="J2562" s="46" t="s">
        <v>1344</v>
      </c>
      <c r="K2562" s="15"/>
    </row>
    <row r="2563" spans="1:16" s="16" customFormat="1" ht="51" outlineLevel="3">
      <c r="A2563" s="14"/>
      <c r="B2563" s="35">
        <f>MAX($B$10:B2562)+1</f>
        <v>1046</v>
      </c>
      <c r="C2563" s="274" t="s">
        <v>1345</v>
      </c>
      <c r="D2563" s="233" t="s">
        <v>44</v>
      </c>
      <c r="E2563" s="247"/>
      <c r="F2563" s="232">
        <v>0</v>
      </c>
      <c r="G2563" s="232">
        <v>0</v>
      </c>
      <c r="H2563" s="282"/>
      <c r="I2563" s="283"/>
      <c r="J2563" s="46" t="s">
        <v>1344</v>
      </c>
      <c r="K2563" s="15"/>
    </row>
    <row r="2564" spans="1:16" s="16" customFormat="1" ht="25.5" outlineLevel="3">
      <c r="A2564" s="14"/>
      <c r="B2564" s="35">
        <f>MAX($B$10:B2563)+1</f>
        <v>1047</v>
      </c>
      <c r="C2564" s="281" t="s">
        <v>1346</v>
      </c>
      <c r="D2564" s="230" t="s">
        <v>38</v>
      </c>
      <c r="E2564" s="247">
        <v>1</v>
      </c>
      <c r="F2564" s="232">
        <v>2838550</v>
      </c>
      <c r="G2564" s="232">
        <v>9031750</v>
      </c>
      <c r="H2564" s="138">
        <f>G2564+F2564</f>
        <v>11870300</v>
      </c>
      <c r="I2564" s="138">
        <f>H2564*E2564</f>
        <v>11870300</v>
      </c>
      <c r="J2564" s="50"/>
      <c r="K2564" s="15"/>
    </row>
    <row r="2565" spans="1:16" s="16" customFormat="1" ht="25.5" outlineLevel="3">
      <c r="A2565" s="14"/>
      <c r="B2565" s="35">
        <f>MAX($B$10:B2564)+1</f>
        <v>1048</v>
      </c>
      <c r="C2565" s="280" t="s">
        <v>1334</v>
      </c>
      <c r="D2565" s="230" t="s">
        <v>38</v>
      </c>
      <c r="E2565" s="247">
        <v>1</v>
      </c>
      <c r="F2565" s="232">
        <v>0</v>
      </c>
      <c r="G2565" s="232">
        <v>0</v>
      </c>
      <c r="H2565" s="138">
        <f>G2565+F2565</f>
        <v>0</v>
      </c>
      <c r="I2565" s="138">
        <f>H2565*E2565</f>
        <v>0</v>
      </c>
      <c r="J2565" s="50"/>
      <c r="K2565" s="15"/>
    </row>
    <row r="2566" spans="1:16" s="16" customFormat="1" ht="25.5" outlineLevel="3">
      <c r="A2566" s="14"/>
      <c r="B2566" s="35">
        <f>MAX($B$10:B2565)+1</f>
        <v>1049</v>
      </c>
      <c r="C2566" s="280" t="s">
        <v>1335</v>
      </c>
      <c r="D2566" s="230" t="s">
        <v>38</v>
      </c>
      <c r="E2566" s="247">
        <v>1</v>
      </c>
      <c r="F2566" s="232">
        <v>0</v>
      </c>
      <c r="G2566" s="232">
        <v>0</v>
      </c>
      <c r="H2566" s="138">
        <f>G2566+F2566</f>
        <v>0</v>
      </c>
      <c r="I2566" s="138">
        <f>H2566*E2566</f>
        <v>0</v>
      </c>
      <c r="J2566" s="50"/>
      <c r="K2566" s="15"/>
    </row>
    <row r="2567" spans="1:16" s="16" customFormat="1" ht="25.5" outlineLevel="3">
      <c r="A2567" s="14"/>
      <c r="B2567" s="35">
        <f>MAX($B$10:B2566)+1</f>
        <v>1050</v>
      </c>
      <c r="C2567" s="280" t="s">
        <v>981</v>
      </c>
      <c r="D2567" s="230" t="s">
        <v>38</v>
      </c>
      <c r="E2567" s="247">
        <v>1</v>
      </c>
      <c r="F2567" s="232">
        <v>0</v>
      </c>
      <c r="G2567" s="232">
        <v>0</v>
      </c>
      <c r="H2567" s="138">
        <f>G2567+F2567</f>
        <v>0</v>
      </c>
      <c r="I2567" s="138">
        <f>H2567*E2567</f>
        <v>0</v>
      </c>
      <c r="J2567" s="50"/>
      <c r="K2567" s="15"/>
    </row>
    <row r="2568" spans="1:16" s="16" customFormat="1" ht="25.5" outlineLevel="3">
      <c r="A2568" s="14"/>
      <c r="B2568" s="35">
        <f>MAX($B$10:B2567)+1</f>
        <v>1051</v>
      </c>
      <c r="C2568" s="238" t="s">
        <v>81</v>
      </c>
      <c r="D2568" s="230" t="s">
        <v>38</v>
      </c>
      <c r="E2568" s="247">
        <v>1</v>
      </c>
      <c r="F2568" s="232">
        <v>8852235</v>
      </c>
      <c r="G2568" s="232">
        <v>3177725</v>
      </c>
      <c r="H2568" s="138">
        <f>G2568+F2568</f>
        <v>12029960</v>
      </c>
      <c r="I2568" s="138">
        <f>H2568*E2568</f>
        <v>12029960</v>
      </c>
      <c r="J2568" s="50"/>
      <c r="K2568" s="15"/>
    </row>
    <row r="2569" spans="1:16" s="16" customFormat="1">
      <c r="A2569" s="14"/>
      <c r="B2569" s="35"/>
      <c r="C2569" s="280"/>
      <c r="D2569" s="244"/>
      <c r="E2569" s="247"/>
      <c r="F2569" s="232">
        <v>0</v>
      </c>
      <c r="G2569" s="232">
        <v>0</v>
      </c>
      <c r="H2569" s="282"/>
      <c r="I2569" s="283"/>
      <c r="J2569" s="50"/>
      <c r="K2569" s="15"/>
    </row>
    <row r="2570" spans="1:16" s="16" customFormat="1" ht="25.5">
      <c r="A2570" s="14"/>
      <c r="B2570" s="26" t="s">
        <v>1347</v>
      </c>
      <c r="C2570" s="215" t="s">
        <v>1348</v>
      </c>
      <c r="D2570" s="216"/>
      <c r="E2570" s="217"/>
      <c r="F2570" s="232">
        <v>0</v>
      </c>
      <c r="G2570" s="232">
        <v>0</v>
      </c>
      <c r="H2570" s="336"/>
      <c r="I2570" s="219">
        <f>SUBTOTAL(9,I2571:I2589)</f>
        <v>2515215586.1091199</v>
      </c>
      <c r="J2570" s="337"/>
      <c r="K2570" s="15"/>
      <c r="M2570" s="16" t="s">
        <v>1347</v>
      </c>
      <c r="P2570" s="16" t="s">
        <v>1347</v>
      </c>
    </row>
    <row r="2571" spans="1:16" s="16" customFormat="1" ht="89.25" outlineLevel="3">
      <c r="A2571" s="14"/>
      <c r="B2571" s="35"/>
      <c r="C2571" s="338" t="s">
        <v>1349</v>
      </c>
      <c r="D2571" s="244"/>
      <c r="E2571" s="247"/>
      <c r="F2571" s="232">
        <v>0</v>
      </c>
      <c r="G2571" s="232">
        <v>0</v>
      </c>
      <c r="H2571" s="282"/>
      <c r="I2571" s="283"/>
      <c r="J2571" s="65"/>
      <c r="K2571" s="15"/>
    </row>
    <row r="2572" spans="1:16" s="16" customFormat="1" ht="84" customHeight="1" outlineLevel="3">
      <c r="A2572" s="14"/>
      <c r="B2572" s="35"/>
      <c r="C2572" s="338" t="s">
        <v>1350</v>
      </c>
      <c r="D2572" s="244"/>
      <c r="E2572" s="247"/>
      <c r="F2572" s="232">
        <v>0</v>
      </c>
      <c r="G2572" s="232">
        <v>0</v>
      </c>
      <c r="H2572" s="282"/>
      <c r="I2572" s="283"/>
      <c r="J2572" s="65"/>
      <c r="K2572" s="15"/>
    </row>
    <row r="2573" spans="1:16" s="16" customFormat="1" ht="25.5" outlineLevel="3">
      <c r="A2573" s="14"/>
      <c r="B2573" s="66">
        <v>1052</v>
      </c>
      <c r="C2573" s="271" t="s">
        <v>1351</v>
      </c>
      <c r="D2573" s="259"/>
      <c r="E2573" s="213"/>
      <c r="F2573" s="232">
        <v>0</v>
      </c>
      <c r="G2573" s="232">
        <v>0</v>
      </c>
      <c r="H2573" s="339"/>
      <c r="I2573" s="339">
        <f>SUBTOTAL(9,I2574:I2577)</f>
        <v>342186461.10912001</v>
      </c>
      <c r="J2573" s="65"/>
      <c r="K2573" s="15"/>
    </row>
    <row r="2574" spans="1:16" s="16" customFormat="1" ht="25.5" outlineLevel="3">
      <c r="A2574" s="14"/>
      <c r="B2574" s="66"/>
      <c r="C2574" s="256" t="s">
        <v>1352</v>
      </c>
      <c r="D2574" s="230" t="s">
        <v>1353</v>
      </c>
      <c r="E2574" s="247">
        <v>27</v>
      </c>
      <c r="F2574" s="232">
        <v>46739</v>
      </c>
      <c r="G2574" s="232">
        <v>22510</v>
      </c>
      <c r="H2574" s="138">
        <f>G2574+F2574</f>
        <v>69249</v>
      </c>
      <c r="I2574" s="138">
        <f>H2574*E2574</f>
        <v>1869723</v>
      </c>
      <c r="J2574" s="67"/>
      <c r="K2574" s="15"/>
    </row>
    <row r="2575" spans="1:16" s="16" customFormat="1" ht="25.5" outlineLevel="3">
      <c r="A2575" s="14"/>
      <c r="B2575" s="66"/>
      <c r="C2575" s="256" t="s">
        <v>1354</v>
      </c>
      <c r="D2575" s="230" t="s">
        <v>1353</v>
      </c>
      <c r="E2575" s="247">
        <v>21</v>
      </c>
      <c r="F2575" s="232">
        <v>60093</v>
      </c>
      <c r="G2575" s="232">
        <v>25011</v>
      </c>
      <c r="H2575" s="138">
        <f t="shared" ref="H2575:H2577" si="249">G2575+F2575</f>
        <v>85104</v>
      </c>
      <c r="I2575" s="138">
        <f>H2575*E2575</f>
        <v>1787184</v>
      </c>
      <c r="J2575" s="68"/>
      <c r="K2575" s="15"/>
    </row>
    <row r="2576" spans="1:16" s="16" customFormat="1" ht="25.5" outlineLevel="3">
      <c r="A2576" s="14"/>
      <c r="B2576" s="66"/>
      <c r="C2576" s="256" t="s">
        <v>1355</v>
      </c>
      <c r="D2576" s="230" t="s">
        <v>1356</v>
      </c>
      <c r="E2576" s="247">
        <v>405.58080000000029</v>
      </c>
      <c r="F2576" s="232">
        <v>358835</v>
      </c>
      <c r="G2576" s="232">
        <v>137561</v>
      </c>
      <c r="H2576" s="138">
        <f t="shared" si="249"/>
        <v>496396</v>
      </c>
      <c r="I2576" s="138">
        <f>H2576*E2576</f>
        <v>201328686.79680014</v>
      </c>
      <c r="J2576" s="68" t="s">
        <v>1357</v>
      </c>
      <c r="K2576" s="15"/>
    </row>
    <row r="2577" spans="1:11" s="16" customFormat="1" ht="25.5" outlineLevel="3">
      <c r="A2577" s="14"/>
      <c r="B2577" s="66"/>
      <c r="C2577" s="256" t="s">
        <v>1358</v>
      </c>
      <c r="D2577" s="230" t="s">
        <v>1356</v>
      </c>
      <c r="E2577" s="247">
        <v>325.24847999999974</v>
      </c>
      <c r="F2577" s="232">
        <v>296779</v>
      </c>
      <c r="G2577" s="232">
        <v>125055</v>
      </c>
      <c r="H2577" s="138">
        <f t="shared" si="249"/>
        <v>421834</v>
      </c>
      <c r="I2577" s="138">
        <f>H2577*E2577</f>
        <v>137200867.3123199</v>
      </c>
      <c r="J2577" s="68" t="s">
        <v>1357</v>
      </c>
      <c r="K2577" s="15"/>
    </row>
    <row r="2578" spans="1:11" s="16" customFormat="1" outlineLevel="3">
      <c r="A2578" s="14"/>
      <c r="B2578" s="66">
        <v>1053</v>
      </c>
      <c r="C2578" s="271" t="s">
        <v>1359</v>
      </c>
      <c r="D2578" s="259"/>
      <c r="E2578" s="213"/>
      <c r="F2578" s="232">
        <v>0</v>
      </c>
      <c r="G2578" s="232">
        <v>0</v>
      </c>
      <c r="H2578" s="339"/>
      <c r="I2578" s="339">
        <f>SUBTOTAL(9,I2579:I2581)</f>
        <v>574806375</v>
      </c>
      <c r="J2578" s="68"/>
      <c r="K2578" s="15"/>
    </row>
    <row r="2579" spans="1:11" s="16" customFormat="1" outlineLevel="3">
      <c r="A2579" s="14"/>
      <c r="B2579" s="66"/>
      <c r="C2579" s="256" t="s">
        <v>1360</v>
      </c>
      <c r="D2579" s="230"/>
      <c r="E2579" s="247">
        <v>1</v>
      </c>
      <c r="F2579" s="232">
        <v>0</v>
      </c>
      <c r="G2579" s="232">
        <v>0</v>
      </c>
      <c r="H2579" s="138">
        <f t="shared" ref="H2579:H2581" si="250">G2579+F2579</f>
        <v>0</v>
      </c>
      <c r="I2579" s="138">
        <f>H2579*E2579</f>
        <v>0</v>
      </c>
      <c r="J2579" s="68"/>
      <c r="K2579" s="15"/>
    </row>
    <row r="2580" spans="1:11" s="16" customFormat="1" outlineLevel="3">
      <c r="A2580" s="14"/>
      <c r="B2580" s="66"/>
      <c r="C2580" s="256" t="s">
        <v>1361</v>
      </c>
      <c r="D2580" s="230"/>
      <c r="E2580" s="247">
        <v>1</v>
      </c>
      <c r="F2580" s="232">
        <v>191602125</v>
      </c>
      <c r="G2580" s="232">
        <v>0</v>
      </c>
      <c r="H2580" s="138">
        <f t="shared" si="250"/>
        <v>191602125</v>
      </c>
      <c r="I2580" s="138">
        <f>H2580*E2580</f>
        <v>191602125</v>
      </c>
      <c r="J2580" s="68"/>
      <c r="K2580" s="15"/>
    </row>
    <row r="2581" spans="1:11" s="16" customFormat="1" outlineLevel="3">
      <c r="A2581" s="14"/>
      <c r="B2581" s="66"/>
      <c r="C2581" s="256" t="s">
        <v>1362</v>
      </c>
      <c r="D2581" s="230"/>
      <c r="E2581" s="247">
        <v>1</v>
      </c>
      <c r="F2581" s="232">
        <v>383204250</v>
      </c>
      <c r="G2581" s="232">
        <v>0</v>
      </c>
      <c r="H2581" s="138">
        <f t="shared" si="250"/>
        <v>383204250</v>
      </c>
      <c r="I2581" s="138">
        <f>H2581*E2581</f>
        <v>383204250</v>
      </c>
      <c r="J2581" s="68"/>
      <c r="K2581" s="15"/>
    </row>
    <row r="2582" spans="1:11" s="16" customFormat="1" outlineLevel="3">
      <c r="A2582" s="14"/>
      <c r="B2582" s="66">
        <v>1054</v>
      </c>
      <c r="C2582" s="271" t="s">
        <v>1363</v>
      </c>
      <c r="D2582" s="259"/>
      <c r="E2582" s="213">
        <v>1</v>
      </c>
      <c r="F2582" s="232">
        <v>580612500</v>
      </c>
      <c r="G2582" s="232">
        <v>104212500</v>
      </c>
      <c r="H2582" s="339">
        <f>G2582+F2582</f>
        <v>684825000</v>
      </c>
      <c r="I2582" s="339">
        <f>H2582*E2582</f>
        <v>684825000</v>
      </c>
      <c r="J2582" s="68"/>
      <c r="K2582" s="15"/>
    </row>
    <row r="2583" spans="1:11" s="16" customFormat="1" outlineLevel="3">
      <c r="A2583" s="14"/>
      <c r="B2583" s="66">
        <v>1055</v>
      </c>
      <c r="C2583" s="271" t="s">
        <v>1364</v>
      </c>
      <c r="D2583" s="259"/>
      <c r="E2583" s="213"/>
      <c r="F2583" s="232">
        <v>0</v>
      </c>
      <c r="G2583" s="232">
        <v>0</v>
      </c>
      <c r="H2583" s="339"/>
      <c r="I2583" s="339">
        <f>SUBTOTAL(9,I2584:I2588)</f>
        <v>913397750</v>
      </c>
      <c r="J2583" s="68"/>
      <c r="K2583" s="15"/>
    </row>
    <row r="2584" spans="1:11" s="16" customFormat="1" outlineLevel="3">
      <c r="A2584" s="14"/>
      <c r="B2584" s="66"/>
      <c r="C2584" s="256" t="s">
        <v>1365</v>
      </c>
      <c r="D2584" s="230" t="s">
        <v>1366</v>
      </c>
      <c r="E2584" s="247">
        <v>1</v>
      </c>
      <c r="F2584" s="232">
        <v>197408250</v>
      </c>
      <c r="G2584" s="232">
        <v>70864500</v>
      </c>
      <c r="H2584" s="138">
        <f t="shared" ref="H2584:H2589" si="251">G2584+F2584</f>
        <v>268272750</v>
      </c>
      <c r="I2584" s="138">
        <f t="shared" ref="I2584:I2589" si="252">H2584*E2584</f>
        <v>268272750</v>
      </c>
      <c r="J2584" s="68"/>
      <c r="K2584" s="15"/>
    </row>
    <row r="2585" spans="1:11" s="16" customFormat="1" outlineLevel="3">
      <c r="A2585" s="14"/>
      <c r="B2585" s="66"/>
      <c r="C2585" s="256" t="s">
        <v>1367</v>
      </c>
      <c r="D2585" s="230" t="s">
        <v>1366</v>
      </c>
      <c r="E2585" s="247">
        <v>1</v>
      </c>
      <c r="F2585" s="232">
        <v>218350000</v>
      </c>
      <c r="G2585" s="232">
        <v>79400000</v>
      </c>
      <c r="H2585" s="138">
        <f t="shared" si="251"/>
        <v>297750000</v>
      </c>
      <c r="I2585" s="138">
        <f t="shared" si="252"/>
        <v>297750000</v>
      </c>
      <c r="J2585" s="68"/>
      <c r="K2585" s="15"/>
    </row>
    <row r="2586" spans="1:11" s="16" customFormat="1" ht="25.5" outlineLevel="3">
      <c r="A2586" s="14"/>
      <c r="B2586" s="66"/>
      <c r="C2586" s="256" t="s">
        <v>1368</v>
      </c>
      <c r="D2586" s="230" t="s">
        <v>1366</v>
      </c>
      <c r="E2586" s="247">
        <v>1</v>
      </c>
      <c r="F2586" s="232">
        <v>0</v>
      </c>
      <c r="G2586" s="232">
        <v>0</v>
      </c>
      <c r="H2586" s="138">
        <f t="shared" si="251"/>
        <v>0</v>
      </c>
      <c r="I2586" s="138">
        <f t="shared" si="252"/>
        <v>0</v>
      </c>
      <c r="J2586" s="68" t="s">
        <v>1369</v>
      </c>
      <c r="K2586" s="15"/>
    </row>
    <row r="2587" spans="1:11" s="16" customFormat="1" ht="25.5" outlineLevel="3">
      <c r="A2587" s="14"/>
      <c r="B2587" s="66"/>
      <c r="C2587" s="256" t="s">
        <v>1370</v>
      </c>
      <c r="D2587" s="230" t="s">
        <v>1366</v>
      </c>
      <c r="E2587" s="247">
        <v>1</v>
      </c>
      <c r="F2587" s="232">
        <v>347375000</v>
      </c>
      <c r="G2587" s="232">
        <v>0</v>
      </c>
      <c r="H2587" s="138">
        <f t="shared" si="251"/>
        <v>347375000</v>
      </c>
      <c r="I2587" s="138">
        <f t="shared" si="252"/>
        <v>347375000</v>
      </c>
      <c r="J2587" s="68"/>
      <c r="K2587" s="15"/>
    </row>
    <row r="2588" spans="1:11" s="16" customFormat="1" outlineLevel="3">
      <c r="A2588" s="14"/>
      <c r="B2588" s="66"/>
      <c r="C2588" s="256" t="s">
        <v>1371</v>
      </c>
      <c r="D2588" s="230" t="s">
        <v>1366</v>
      </c>
      <c r="E2588" s="247">
        <v>1</v>
      </c>
      <c r="F2588" s="232">
        <v>0</v>
      </c>
      <c r="G2588" s="232">
        <v>0</v>
      </c>
      <c r="H2588" s="138">
        <f t="shared" si="251"/>
        <v>0</v>
      </c>
      <c r="I2588" s="138">
        <f t="shared" si="252"/>
        <v>0</v>
      </c>
      <c r="J2588" s="68"/>
      <c r="K2588" s="15"/>
    </row>
    <row r="2589" spans="1:11" s="16" customFormat="1" outlineLevel="3">
      <c r="A2589" s="14"/>
      <c r="B2589" s="66"/>
      <c r="C2589" s="256" t="s">
        <v>1372</v>
      </c>
      <c r="D2589" s="230" t="s">
        <v>1366</v>
      </c>
      <c r="E2589" s="247">
        <v>1</v>
      </c>
      <c r="F2589" s="232">
        <v>0</v>
      </c>
      <c r="G2589" s="232">
        <v>0</v>
      </c>
      <c r="H2589" s="138">
        <f t="shared" si="251"/>
        <v>0</v>
      </c>
      <c r="I2589" s="138">
        <f t="shared" si="252"/>
        <v>0</v>
      </c>
      <c r="J2589" s="69">
        <v>0.05</v>
      </c>
      <c r="K2589" s="15"/>
    </row>
    <row r="2590" spans="1:11" s="16" customFormat="1" ht="27" thickBot="1">
      <c r="A2590" s="14"/>
      <c r="B2590" s="170"/>
      <c r="C2590" s="171" t="s">
        <v>1373</v>
      </c>
      <c r="D2590" s="172"/>
      <c r="E2590" s="173"/>
      <c r="F2590" s="172"/>
      <c r="G2590" s="172"/>
      <c r="H2590" s="174"/>
      <c r="I2590" s="175">
        <f>SUBTOTAL(9,I9:I2589)</f>
        <v>63484747338.835999</v>
      </c>
      <c r="J2590" s="340"/>
      <c r="K2590" s="188"/>
    </row>
    <row r="2591" spans="1:11" s="16" customFormat="1">
      <c r="A2591" s="14"/>
      <c r="B2591" s="70"/>
      <c r="C2591" s="71"/>
      <c r="D2591" s="72"/>
      <c r="E2591" s="73"/>
      <c r="F2591" s="74"/>
      <c r="G2591" s="74"/>
      <c r="H2591" s="75"/>
      <c r="I2591" s="76"/>
      <c r="J2591" s="75"/>
      <c r="K2591" s="15"/>
    </row>
    <row r="2592" spans="1:11" s="16" customFormat="1">
      <c r="A2592" s="14"/>
      <c r="B2592" s="70"/>
      <c r="C2592" s="71"/>
      <c r="D2592" s="72"/>
      <c r="E2592" s="73"/>
      <c r="F2592" s="74"/>
      <c r="G2592" s="74"/>
      <c r="H2592" s="189" t="s">
        <v>1374</v>
      </c>
      <c r="I2592" s="76">
        <f>'A6-MEP'!I2608</f>
        <v>99540039608</v>
      </c>
      <c r="J2592" s="75"/>
      <c r="K2592" s="15"/>
    </row>
    <row r="2593" spans="1:11" s="16" customFormat="1" ht="15">
      <c r="A2593" s="14"/>
      <c r="B2593" s="70"/>
      <c r="C2593" s="71"/>
      <c r="D2593" s="72"/>
      <c r="E2593" s="73"/>
      <c r="F2593" s="74"/>
      <c r="G2593" s="74"/>
      <c r="H2593" s="191" t="s">
        <v>1375</v>
      </c>
      <c r="I2593" s="182">
        <f>I2590+I2592</f>
        <v>163024786946.836</v>
      </c>
      <c r="J2593" s="182"/>
      <c r="K2593" s="15"/>
    </row>
    <row r="2594" spans="1:11" s="16" customFormat="1">
      <c r="A2594" s="14"/>
      <c r="B2594" s="70"/>
      <c r="C2594" s="71"/>
      <c r="D2594" s="72"/>
      <c r="E2594" s="73"/>
      <c r="F2594" s="74"/>
      <c r="G2594" s="74"/>
      <c r="H2594" s="75"/>
      <c r="I2594" s="76"/>
      <c r="J2594" s="75"/>
      <c r="K2594" s="15"/>
    </row>
    <row r="2595" spans="1:11" s="16" customFormat="1">
      <c r="A2595" s="14"/>
      <c r="B2595" s="70"/>
      <c r="C2595" s="71"/>
      <c r="D2595" s="72"/>
      <c r="E2595" s="73"/>
      <c r="F2595" s="74"/>
      <c r="G2595" s="74"/>
      <c r="H2595" s="75"/>
      <c r="I2595" s="76"/>
      <c r="J2595" s="75"/>
      <c r="K2595" s="15"/>
    </row>
  </sheetData>
  <autoFilter ref="A6:J2589" xr:uid="{00000000-0009-0000-0000-000000000000}"/>
  <mergeCells count="8">
    <mergeCell ref="I5:I6"/>
    <mergeCell ref="J5:J6"/>
    <mergeCell ref="B5:B6"/>
    <mergeCell ref="C5:C6"/>
    <mergeCell ref="D5:D6"/>
    <mergeCell ref="E5:E6"/>
    <mergeCell ref="F5:G5"/>
    <mergeCell ref="H5:H6"/>
  </mergeCells>
  <dataValidations count="1">
    <dataValidation type="textLength" allowBlank="1" showInputMessage="1" showErrorMessage="1" sqref="E1024 JA1024 SW1024 ACS1024 AMO1024 AWK1024 BGG1024 BQC1024 BZY1024 CJU1024 CTQ1024 DDM1024 DNI1024 DXE1024 EHA1024 EQW1024 FAS1024 FKO1024 FUK1024 GEG1024 GOC1024 GXY1024 HHU1024 HRQ1024 IBM1024 ILI1024 IVE1024 JFA1024 JOW1024 JYS1024 KIO1024 KSK1024 LCG1024 LMC1024 LVY1024 MFU1024 MPQ1024 MZM1024 NJI1024 NTE1024 ODA1024 OMW1024 OWS1024 PGO1024 PQK1024 QAG1024 QKC1024 QTY1024 RDU1024 RNQ1024 RXM1024 SHI1024 SRE1024 TBA1024 TKW1024 TUS1024 UEO1024 UOK1024 UYG1024 VIC1024 VRY1024 WBU1024 WLQ1024 WVM1024 E66560 JA66560 SW66560 ACS66560 AMO66560 AWK66560 BGG66560 BQC66560 BZY66560 CJU66560 CTQ66560 DDM66560 DNI66560 DXE66560 EHA66560 EQW66560 FAS66560 FKO66560 FUK66560 GEG66560 GOC66560 GXY66560 HHU66560 HRQ66560 IBM66560 ILI66560 IVE66560 JFA66560 JOW66560 JYS66560 KIO66560 KSK66560 LCG66560 LMC66560 LVY66560 MFU66560 MPQ66560 MZM66560 NJI66560 NTE66560 ODA66560 OMW66560 OWS66560 PGO66560 PQK66560 QAG66560 QKC66560 QTY66560 RDU66560 RNQ66560 RXM66560 SHI66560 SRE66560 TBA66560 TKW66560 TUS66560 UEO66560 UOK66560 UYG66560 VIC66560 VRY66560 WBU66560 WLQ66560 WVM66560 E132096 JA132096 SW132096 ACS132096 AMO132096 AWK132096 BGG132096 BQC132096 BZY132096 CJU132096 CTQ132096 DDM132096 DNI132096 DXE132096 EHA132096 EQW132096 FAS132096 FKO132096 FUK132096 GEG132096 GOC132096 GXY132096 HHU132096 HRQ132096 IBM132096 ILI132096 IVE132096 JFA132096 JOW132096 JYS132096 KIO132096 KSK132096 LCG132096 LMC132096 LVY132096 MFU132096 MPQ132096 MZM132096 NJI132096 NTE132096 ODA132096 OMW132096 OWS132096 PGO132096 PQK132096 QAG132096 QKC132096 QTY132096 RDU132096 RNQ132096 RXM132096 SHI132096 SRE132096 TBA132096 TKW132096 TUS132096 UEO132096 UOK132096 UYG132096 VIC132096 VRY132096 WBU132096 WLQ132096 WVM132096 E197632 JA197632 SW197632 ACS197632 AMO197632 AWK197632 BGG197632 BQC197632 BZY197632 CJU197632 CTQ197632 DDM197632 DNI197632 DXE197632 EHA197632 EQW197632 FAS197632 FKO197632 FUK197632 GEG197632 GOC197632 GXY197632 HHU197632 HRQ197632 IBM197632 ILI197632 IVE197632 JFA197632 JOW197632 JYS197632 KIO197632 KSK197632 LCG197632 LMC197632 LVY197632 MFU197632 MPQ197632 MZM197632 NJI197632 NTE197632 ODA197632 OMW197632 OWS197632 PGO197632 PQK197632 QAG197632 QKC197632 QTY197632 RDU197632 RNQ197632 RXM197632 SHI197632 SRE197632 TBA197632 TKW197632 TUS197632 UEO197632 UOK197632 UYG197632 VIC197632 VRY197632 WBU197632 WLQ197632 WVM197632 E263168 JA263168 SW263168 ACS263168 AMO263168 AWK263168 BGG263168 BQC263168 BZY263168 CJU263168 CTQ263168 DDM263168 DNI263168 DXE263168 EHA263168 EQW263168 FAS263168 FKO263168 FUK263168 GEG263168 GOC263168 GXY263168 HHU263168 HRQ263168 IBM263168 ILI263168 IVE263168 JFA263168 JOW263168 JYS263168 KIO263168 KSK263168 LCG263168 LMC263168 LVY263168 MFU263168 MPQ263168 MZM263168 NJI263168 NTE263168 ODA263168 OMW263168 OWS263168 PGO263168 PQK263168 QAG263168 QKC263168 QTY263168 RDU263168 RNQ263168 RXM263168 SHI263168 SRE263168 TBA263168 TKW263168 TUS263168 UEO263168 UOK263168 UYG263168 VIC263168 VRY263168 WBU263168 WLQ263168 WVM263168 E328704 JA328704 SW328704 ACS328704 AMO328704 AWK328704 BGG328704 BQC328704 BZY328704 CJU328704 CTQ328704 DDM328704 DNI328704 DXE328704 EHA328704 EQW328704 FAS328704 FKO328704 FUK328704 GEG328704 GOC328704 GXY328704 HHU328704 HRQ328704 IBM328704 ILI328704 IVE328704 JFA328704 JOW328704 JYS328704 KIO328704 KSK328704 LCG328704 LMC328704 LVY328704 MFU328704 MPQ328704 MZM328704 NJI328704 NTE328704 ODA328704 OMW328704 OWS328704 PGO328704 PQK328704 QAG328704 QKC328704 QTY328704 RDU328704 RNQ328704 RXM328704 SHI328704 SRE328704 TBA328704 TKW328704 TUS328704 UEO328704 UOK328704 UYG328704 VIC328704 VRY328704 WBU328704 WLQ328704 WVM328704 E394240 JA394240 SW394240 ACS394240 AMO394240 AWK394240 BGG394240 BQC394240 BZY394240 CJU394240 CTQ394240 DDM394240 DNI394240 DXE394240 EHA394240 EQW394240 FAS394240 FKO394240 FUK394240 GEG394240 GOC394240 GXY394240 HHU394240 HRQ394240 IBM394240 ILI394240 IVE394240 JFA394240 JOW394240 JYS394240 KIO394240 KSK394240 LCG394240 LMC394240 LVY394240 MFU394240 MPQ394240 MZM394240 NJI394240 NTE394240 ODA394240 OMW394240 OWS394240 PGO394240 PQK394240 QAG394240 QKC394240 QTY394240 RDU394240 RNQ394240 RXM394240 SHI394240 SRE394240 TBA394240 TKW394240 TUS394240 UEO394240 UOK394240 UYG394240 VIC394240 VRY394240 WBU394240 WLQ394240 WVM394240 E459776 JA459776 SW459776 ACS459776 AMO459776 AWK459776 BGG459776 BQC459776 BZY459776 CJU459776 CTQ459776 DDM459776 DNI459776 DXE459776 EHA459776 EQW459776 FAS459776 FKO459776 FUK459776 GEG459776 GOC459776 GXY459776 HHU459776 HRQ459776 IBM459776 ILI459776 IVE459776 JFA459776 JOW459776 JYS459776 KIO459776 KSK459776 LCG459776 LMC459776 LVY459776 MFU459776 MPQ459776 MZM459776 NJI459776 NTE459776 ODA459776 OMW459776 OWS459776 PGO459776 PQK459776 QAG459776 QKC459776 QTY459776 RDU459776 RNQ459776 RXM459776 SHI459776 SRE459776 TBA459776 TKW459776 TUS459776 UEO459776 UOK459776 UYG459776 VIC459776 VRY459776 WBU459776 WLQ459776 WVM459776 E525312 JA525312 SW525312 ACS525312 AMO525312 AWK525312 BGG525312 BQC525312 BZY525312 CJU525312 CTQ525312 DDM525312 DNI525312 DXE525312 EHA525312 EQW525312 FAS525312 FKO525312 FUK525312 GEG525312 GOC525312 GXY525312 HHU525312 HRQ525312 IBM525312 ILI525312 IVE525312 JFA525312 JOW525312 JYS525312 KIO525312 KSK525312 LCG525312 LMC525312 LVY525312 MFU525312 MPQ525312 MZM525312 NJI525312 NTE525312 ODA525312 OMW525312 OWS525312 PGO525312 PQK525312 QAG525312 QKC525312 QTY525312 RDU525312 RNQ525312 RXM525312 SHI525312 SRE525312 TBA525312 TKW525312 TUS525312 UEO525312 UOK525312 UYG525312 VIC525312 VRY525312 WBU525312 WLQ525312 WVM525312 E590848 JA590848 SW590848 ACS590848 AMO590848 AWK590848 BGG590848 BQC590848 BZY590848 CJU590848 CTQ590848 DDM590848 DNI590848 DXE590848 EHA590848 EQW590848 FAS590848 FKO590848 FUK590848 GEG590848 GOC590848 GXY590848 HHU590848 HRQ590848 IBM590848 ILI590848 IVE590848 JFA590848 JOW590848 JYS590848 KIO590848 KSK590848 LCG590848 LMC590848 LVY590848 MFU590848 MPQ590848 MZM590848 NJI590848 NTE590848 ODA590848 OMW590848 OWS590848 PGO590848 PQK590848 QAG590848 QKC590848 QTY590848 RDU590848 RNQ590848 RXM590848 SHI590848 SRE590848 TBA590848 TKW590848 TUS590848 UEO590848 UOK590848 UYG590848 VIC590848 VRY590848 WBU590848 WLQ590848 WVM590848 E656384 JA656384 SW656384 ACS656384 AMO656384 AWK656384 BGG656384 BQC656384 BZY656384 CJU656384 CTQ656384 DDM656384 DNI656384 DXE656384 EHA656384 EQW656384 FAS656384 FKO656384 FUK656384 GEG656384 GOC656384 GXY656384 HHU656384 HRQ656384 IBM656384 ILI656384 IVE656384 JFA656384 JOW656384 JYS656384 KIO656384 KSK656384 LCG656384 LMC656384 LVY656384 MFU656384 MPQ656384 MZM656384 NJI656384 NTE656384 ODA656384 OMW656384 OWS656384 PGO656384 PQK656384 QAG656384 QKC656384 QTY656384 RDU656384 RNQ656384 RXM656384 SHI656384 SRE656384 TBA656384 TKW656384 TUS656384 UEO656384 UOK656384 UYG656384 VIC656384 VRY656384 WBU656384 WLQ656384 WVM656384 E721920 JA721920 SW721920 ACS721920 AMO721920 AWK721920 BGG721920 BQC721920 BZY721920 CJU721920 CTQ721920 DDM721920 DNI721920 DXE721920 EHA721920 EQW721920 FAS721920 FKO721920 FUK721920 GEG721920 GOC721920 GXY721920 HHU721920 HRQ721920 IBM721920 ILI721920 IVE721920 JFA721920 JOW721920 JYS721920 KIO721920 KSK721920 LCG721920 LMC721920 LVY721920 MFU721920 MPQ721920 MZM721920 NJI721920 NTE721920 ODA721920 OMW721920 OWS721920 PGO721920 PQK721920 QAG721920 QKC721920 QTY721920 RDU721920 RNQ721920 RXM721920 SHI721920 SRE721920 TBA721920 TKW721920 TUS721920 UEO721920 UOK721920 UYG721920 VIC721920 VRY721920 WBU721920 WLQ721920 WVM721920 E787456 JA787456 SW787456 ACS787456 AMO787456 AWK787456 BGG787456 BQC787456 BZY787456 CJU787456 CTQ787456 DDM787456 DNI787456 DXE787456 EHA787456 EQW787456 FAS787456 FKO787456 FUK787456 GEG787456 GOC787456 GXY787456 HHU787456 HRQ787456 IBM787456 ILI787456 IVE787456 JFA787456 JOW787456 JYS787456 KIO787456 KSK787456 LCG787456 LMC787456 LVY787456 MFU787456 MPQ787456 MZM787456 NJI787456 NTE787456 ODA787456 OMW787456 OWS787456 PGO787456 PQK787456 QAG787456 QKC787456 QTY787456 RDU787456 RNQ787456 RXM787456 SHI787456 SRE787456 TBA787456 TKW787456 TUS787456 UEO787456 UOK787456 UYG787456 VIC787456 VRY787456 WBU787456 WLQ787456 WVM787456 E852992 JA852992 SW852992 ACS852992 AMO852992 AWK852992 BGG852992 BQC852992 BZY852992 CJU852992 CTQ852992 DDM852992 DNI852992 DXE852992 EHA852992 EQW852992 FAS852992 FKO852992 FUK852992 GEG852992 GOC852992 GXY852992 HHU852992 HRQ852992 IBM852992 ILI852992 IVE852992 JFA852992 JOW852992 JYS852992 KIO852992 KSK852992 LCG852992 LMC852992 LVY852992 MFU852992 MPQ852992 MZM852992 NJI852992 NTE852992 ODA852992 OMW852992 OWS852992 PGO852992 PQK852992 QAG852992 QKC852992 QTY852992 RDU852992 RNQ852992 RXM852992 SHI852992 SRE852992 TBA852992 TKW852992 TUS852992 UEO852992 UOK852992 UYG852992 VIC852992 VRY852992 WBU852992 WLQ852992 WVM852992 E918528 JA918528 SW918528 ACS918528 AMO918528 AWK918528 BGG918528 BQC918528 BZY918528 CJU918528 CTQ918528 DDM918528 DNI918528 DXE918528 EHA918528 EQW918528 FAS918528 FKO918528 FUK918528 GEG918528 GOC918528 GXY918528 HHU918528 HRQ918528 IBM918528 ILI918528 IVE918528 JFA918528 JOW918528 JYS918528 KIO918528 KSK918528 LCG918528 LMC918528 LVY918528 MFU918528 MPQ918528 MZM918528 NJI918528 NTE918528 ODA918528 OMW918528 OWS918528 PGO918528 PQK918528 QAG918528 QKC918528 QTY918528 RDU918528 RNQ918528 RXM918528 SHI918528 SRE918528 TBA918528 TKW918528 TUS918528 UEO918528 UOK918528 UYG918528 VIC918528 VRY918528 WBU918528 WLQ918528 WVM918528 E984064 JA984064 SW984064 ACS984064 AMO984064 AWK984064 BGG984064 BQC984064 BZY984064 CJU984064 CTQ984064 DDM984064 DNI984064 DXE984064 EHA984064 EQW984064 FAS984064 FKO984064 FUK984064 GEG984064 GOC984064 GXY984064 HHU984064 HRQ984064 IBM984064 ILI984064 IVE984064 JFA984064 JOW984064 JYS984064 KIO984064 KSK984064 LCG984064 LMC984064 LVY984064 MFU984064 MPQ984064 MZM984064 NJI984064 NTE984064 ODA984064 OMW984064 OWS984064 PGO984064 PQK984064 QAG984064 QKC984064 QTY984064 RDU984064 RNQ984064 RXM984064 SHI984064 SRE984064 TBA984064 TKW984064 TUS984064 UEO984064 UOK984064 UYG984064 VIC984064 VRY984064 WBU984064 WLQ984064 WVM984064 C1038:C1042 IY1038:IY1042 SU1038:SU1042 ACQ1038:ACQ1042 AMM1038:AMM1042 AWI1038:AWI1042 BGE1038:BGE1042 BQA1038:BQA1042 BZW1038:BZW1042 CJS1038:CJS1042 CTO1038:CTO1042 DDK1038:DDK1042 DNG1038:DNG1042 DXC1038:DXC1042 EGY1038:EGY1042 EQU1038:EQU1042 FAQ1038:FAQ1042 FKM1038:FKM1042 FUI1038:FUI1042 GEE1038:GEE1042 GOA1038:GOA1042 GXW1038:GXW1042 HHS1038:HHS1042 HRO1038:HRO1042 IBK1038:IBK1042 ILG1038:ILG1042 IVC1038:IVC1042 JEY1038:JEY1042 JOU1038:JOU1042 JYQ1038:JYQ1042 KIM1038:KIM1042 KSI1038:KSI1042 LCE1038:LCE1042 LMA1038:LMA1042 LVW1038:LVW1042 MFS1038:MFS1042 MPO1038:MPO1042 MZK1038:MZK1042 NJG1038:NJG1042 NTC1038:NTC1042 OCY1038:OCY1042 OMU1038:OMU1042 OWQ1038:OWQ1042 PGM1038:PGM1042 PQI1038:PQI1042 QAE1038:QAE1042 QKA1038:QKA1042 QTW1038:QTW1042 RDS1038:RDS1042 RNO1038:RNO1042 RXK1038:RXK1042 SHG1038:SHG1042 SRC1038:SRC1042 TAY1038:TAY1042 TKU1038:TKU1042 TUQ1038:TUQ1042 UEM1038:UEM1042 UOI1038:UOI1042 UYE1038:UYE1042 VIA1038:VIA1042 VRW1038:VRW1042 WBS1038:WBS1042 WLO1038:WLO1042 WVK1038:WVK1042 C66574:C66578 IY66574:IY66578 SU66574:SU66578 ACQ66574:ACQ66578 AMM66574:AMM66578 AWI66574:AWI66578 BGE66574:BGE66578 BQA66574:BQA66578 BZW66574:BZW66578 CJS66574:CJS66578 CTO66574:CTO66578 DDK66574:DDK66578 DNG66574:DNG66578 DXC66574:DXC66578 EGY66574:EGY66578 EQU66574:EQU66578 FAQ66574:FAQ66578 FKM66574:FKM66578 FUI66574:FUI66578 GEE66574:GEE66578 GOA66574:GOA66578 GXW66574:GXW66578 HHS66574:HHS66578 HRO66574:HRO66578 IBK66574:IBK66578 ILG66574:ILG66578 IVC66574:IVC66578 JEY66574:JEY66578 JOU66574:JOU66578 JYQ66574:JYQ66578 KIM66574:KIM66578 KSI66574:KSI66578 LCE66574:LCE66578 LMA66574:LMA66578 LVW66574:LVW66578 MFS66574:MFS66578 MPO66574:MPO66578 MZK66574:MZK66578 NJG66574:NJG66578 NTC66574:NTC66578 OCY66574:OCY66578 OMU66574:OMU66578 OWQ66574:OWQ66578 PGM66574:PGM66578 PQI66574:PQI66578 QAE66574:QAE66578 QKA66574:QKA66578 QTW66574:QTW66578 RDS66574:RDS66578 RNO66574:RNO66578 RXK66574:RXK66578 SHG66574:SHG66578 SRC66574:SRC66578 TAY66574:TAY66578 TKU66574:TKU66578 TUQ66574:TUQ66578 UEM66574:UEM66578 UOI66574:UOI66578 UYE66574:UYE66578 VIA66574:VIA66578 VRW66574:VRW66578 WBS66574:WBS66578 WLO66574:WLO66578 WVK66574:WVK66578 C132110:C132114 IY132110:IY132114 SU132110:SU132114 ACQ132110:ACQ132114 AMM132110:AMM132114 AWI132110:AWI132114 BGE132110:BGE132114 BQA132110:BQA132114 BZW132110:BZW132114 CJS132110:CJS132114 CTO132110:CTO132114 DDK132110:DDK132114 DNG132110:DNG132114 DXC132110:DXC132114 EGY132110:EGY132114 EQU132110:EQU132114 FAQ132110:FAQ132114 FKM132110:FKM132114 FUI132110:FUI132114 GEE132110:GEE132114 GOA132110:GOA132114 GXW132110:GXW132114 HHS132110:HHS132114 HRO132110:HRO132114 IBK132110:IBK132114 ILG132110:ILG132114 IVC132110:IVC132114 JEY132110:JEY132114 JOU132110:JOU132114 JYQ132110:JYQ132114 KIM132110:KIM132114 KSI132110:KSI132114 LCE132110:LCE132114 LMA132110:LMA132114 LVW132110:LVW132114 MFS132110:MFS132114 MPO132110:MPO132114 MZK132110:MZK132114 NJG132110:NJG132114 NTC132110:NTC132114 OCY132110:OCY132114 OMU132110:OMU132114 OWQ132110:OWQ132114 PGM132110:PGM132114 PQI132110:PQI132114 QAE132110:QAE132114 QKA132110:QKA132114 QTW132110:QTW132114 RDS132110:RDS132114 RNO132110:RNO132114 RXK132110:RXK132114 SHG132110:SHG132114 SRC132110:SRC132114 TAY132110:TAY132114 TKU132110:TKU132114 TUQ132110:TUQ132114 UEM132110:UEM132114 UOI132110:UOI132114 UYE132110:UYE132114 VIA132110:VIA132114 VRW132110:VRW132114 WBS132110:WBS132114 WLO132110:WLO132114 WVK132110:WVK132114 C197646:C197650 IY197646:IY197650 SU197646:SU197650 ACQ197646:ACQ197650 AMM197646:AMM197650 AWI197646:AWI197650 BGE197646:BGE197650 BQA197646:BQA197650 BZW197646:BZW197650 CJS197646:CJS197650 CTO197646:CTO197650 DDK197646:DDK197650 DNG197646:DNG197650 DXC197646:DXC197650 EGY197646:EGY197650 EQU197646:EQU197650 FAQ197646:FAQ197650 FKM197646:FKM197650 FUI197646:FUI197650 GEE197646:GEE197650 GOA197646:GOA197650 GXW197646:GXW197650 HHS197646:HHS197650 HRO197646:HRO197650 IBK197646:IBK197650 ILG197646:ILG197650 IVC197646:IVC197650 JEY197646:JEY197650 JOU197646:JOU197650 JYQ197646:JYQ197650 KIM197646:KIM197650 KSI197646:KSI197650 LCE197646:LCE197650 LMA197646:LMA197650 LVW197646:LVW197650 MFS197646:MFS197650 MPO197646:MPO197650 MZK197646:MZK197650 NJG197646:NJG197650 NTC197646:NTC197650 OCY197646:OCY197650 OMU197646:OMU197650 OWQ197646:OWQ197650 PGM197646:PGM197650 PQI197646:PQI197650 QAE197646:QAE197650 QKA197646:QKA197650 QTW197646:QTW197650 RDS197646:RDS197650 RNO197646:RNO197650 RXK197646:RXK197650 SHG197646:SHG197650 SRC197646:SRC197650 TAY197646:TAY197650 TKU197646:TKU197650 TUQ197646:TUQ197650 UEM197646:UEM197650 UOI197646:UOI197650 UYE197646:UYE197650 VIA197646:VIA197650 VRW197646:VRW197650 WBS197646:WBS197650 WLO197646:WLO197650 WVK197646:WVK197650 C263182:C263186 IY263182:IY263186 SU263182:SU263186 ACQ263182:ACQ263186 AMM263182:AMM263186 AWI263182:AWI263186 BGE263182:BGE263186 BQA263182:BQA263186 BZW263182:BZW263186 CJS263182:CJS263186 CTO263182:CTO263186 DDK263182:DDK263186 DNG263182:DNG263186 DXC263182:DXC263186 EGY263182:EGY263186 EQU263182:EQU263186 FAQ263182:FAQ263186 FKM263182:FKM263186 FUI263182:FUI263186 GEE263182:GEE263186 GOA263182:GOA263186 GXW263182:GXW263186 HHS263182:HHS263186 HRO263182:HRO263186 IBK263182:IBK263186 ILG263182:ILG263186 IVC263182:IVC263186 JEY263182:JEY263186 JOU263182:JOU263186 JYQ263182:JYQ263186 KIM263182:KIM263186 KSI263182:KSI263186 LCE263182:LCE263186 LMA263182:LMA263186 LVW263182:LVW263186 MFS263182:MFS263186 MPO263182:MPO263186 MZK263182:MZK263186 NJG263182:NJG263186 NTC263182:NTC263186 OCY263182:OCY263186 OMU263182:OMU263186 OWQ263182:OWQ263186 PGM263182:PGM263186 PQI263182:PQI263186 QAE263182:QAE263186 QKA263182:QKA263186 QTW263182:QTW263186 RDS263182:RDS263186 RNO263182:RNO263186 RXK263182:RXK263186 SHG263182:SHG263186 SRC263182:SRC263186 TAY263182:TAY263186 TKU263182:TKU263186 TUQ263182:TUQ263186 UEM263182:UEM263186 UOI263182:UOI263186 UYE263182:UYE263186 VIA263182:VIA263186 VRW263182:VRW263186 WBS263182:WBS263186 WLO263182:WLO263186 WVK263182:WVK263186 C328718:C328722 IY328718:IY328722 SU328718:SU328722 ACQ328718:ACQ328722 AMM328718:AMM328722 AWI328718:AWI328722 BGE328718:BGE328722 BQA328718:BQA328722 BZW328718:BZW328722 CJS328718:CJS328722 CTO328718:CTO328722 DDK328718:DDK328722 DNG328718:DNG328722 DXC328718:DXC328722 EGY328718:EGY328722 EQU328718:EQU328722 FAQ328718:FAQ328722 FKM328718:FKM328722 FUI328718:FUI328722 GEE328718:GEE328722 GOA328718:GOA328722 GXW328718:GXW328722 HHS328718:HHS328722 HRO328718:HRO328722 IBK328718:IBK328722 ILG328718:ILG328722 IVC328718:IVC328722 JEY328718:JEY328722 JOU328718:JOU328722 JYQ328718:JYQ328722 KIM328718:KIM328722 KSI328718:KSI328722 LCE328718:LCE328722 LMA328718:LMA328722 LVW328718:LVW328722 MFS328718:MFS328722 MPO328718:MPO328722 MZK328718:MZK328722 NJG328718:NJG328722 NTC328718:NTC328722 OCY328718:OCY328722 OMU328718:OMU328722 OWQ328718:OWQ328722 PGM328718:PGM328722 PQI328718:PQI328722 QAE328718:QAE328722 QKA328718:QKA328722 QTW328718:QTW328722 RDS328718:RDS328722 RNO328718:RNO328722 RXK328718:RXK328722 SHG328718:SHG328722 SRC328718:SRC328722 TAY328718:TAY328722 TKU328718:TKU328722 TUQ328718:TUQ328722 UEM328718:UEM328722 UOI328718:UOI328722 UYE328718:UYE328722 VIA328718:VIA328722 VRW328718:VRW328722 WBS328718:WBS328722 WLO328718:WLO328722 WVK328718:WVK328722 C394254:C394258 IY394254:IY394258 SU394254:SU394258 ACQ394254:ACQ394258 AMM394254:AMM394258 AWI394254:AWI394258 BGE394254:BGE394258 BQA394254:BQA394258 BZW394254:BZW394258 CJS394254:CJS394258 CTO394254:CTO394258 DDK394254:DDK394258 DNG394254:DNG394258 DXC394254:DXC394258 EGY394254:EGY394258 EQU394254:EQU394258 FAQ394254:FAQ394258 FKM394254:FKM394258 FUI394254:FUI394258 GEE394254:GEE394258 GOA394254:GOA394258 GXW394254:GXW394258 HHS394254:HHS394258 HRO394254:HRO394258 IBK394254:IBK394258 ILG394254:ILG394258 IVC394254:IVC394258 JEY394254:JEY394258 JOU394254:JOU394258 JYQ394254:JYQ394258 KIM394254:KIM394258 KSI394254:KSI394258 LCE394254:LCE394258 LMA394254:LMA394258 LVW394254:LVW394258 MFS394254:MFS394258 MPO394254:MPO394258 MZK394254:MZK394258 NJG394254:NJG394258 NTC394254:NTC394258 OCY394254:OCY394258 OMU394254:OMU394258 OWQ394254:OWQ394258 PGM394254:PGM394258 PQI394254:PQI394258 QAE394254:QAE394258 QKA394254:QKA394258 QTW394254:QTW394258 RDS394254:RDS394258 RNO394254:RNO394258 RXK394254:RXK394258 SHG394254:SHG394258 SRC394254:SRC394258 TAY394254:TAY394258 TKU394254:TKU394258 TUQ394254:TUQ394258 UEM394254:UEM394258 UOI394254:UOI394258 UYE394254:UYE394258 VIA394254:VIA394258 VRW394254:VRW394258 WBS394254:WBS394258 WLO394254:WLO394258 WVK394254:WVK394258 C459790:C459794 IY459790:IY459794 SU459790:SU459794 ACQ459790:ACQ459794 AMM459790:AMM459794 AWI459790:AWI459794 BGE459790:BGE459794 BQA459790:BQA459794 BZW459790:BZW459794 CJS459790:CJS459794 CTO459790:CTO459794 DDK459790:DDK459794 DNG459790:DNG459794 DXC459790:DXC459794 EGY459790:EGY459794 EQU459790:EQU459794 FAQ459790:FAQ459794 FKM459790:FKM459794 FUI459790:FUI459794 GEE459790:GEE459794 GOA459790:GOA459794 GXW459790:GXW459794 HHS459790:HHS459794 HRO459790:HRO459794 IBK459790:IBK459794 ILG459790:ILG459794 IVC459790:IVC459794 JEY459790:JEY459794 JOU459790:JOU459794 JYQ459790:JYQ459794 KIM459790:KIM459794 KSI459790:KSI459794 LCE459790:LCE459794 LMA459790:LMA459794 LVW459790:LVW459794 MFS459790:MFS459794 MPO459790:MPO459794 MZK459790:MZK459794 NJG459790:NJG459794 NTC459790:NTC459794 OCY459790:OCY459794 OMU459790:OMU459794 OWQ459790:OWQ459794 PGM459790:PGM459794 PQI459790:PQI459794 QAE459790:QAE459794 QKA459790:QKA459794 QTW459790:QTW459794 RDS459790:RDS459794 RNO459790:RNO459794 RXK459790:RXK459794 SHG459790:SHG459794 SRC459790:SRC459794 TAY459790:TAY459794 TKU459790:TKU459794 TUQ459790:TUQ459794 UEM459790:UEM459794 UOI459790:UOI459794 UYE459790:UYE459794 VIA459790:VIA459794 VRW459790:VRW459794 WBS459790:WBS459794 WLO459790:WLO459794 WVK459790:WVK459794 C525326:C525330 IY525326:IY525330 SU525326:SU525330 ACQ525326:ACQ525330 AMM525326:AMM525330 AWI525326:AWI525330 BGE525326:BGE525330 BQA525326:BQA525330 BZW525326:BZW525330 CJS525326:CJS525330 CTO525326:CTO525330 DDK525326:DDK525330 DNG525326:DNG525330 DXC525326:DXC525330 EGY525326:EGY525330 EQU525326:EQU525330 FAQ525326:FAQ525330 FKM525326:FKM525330 FUI525326:FUI525330 GEE525326:GEE525330 GOA525326:GOA525330 GXW525326:GXW525330 HHS525326:HHS525330 HRO525326:HRO525330 IBK525326:IBK525330 ILG525326:ILG525330 IVC525326:IVC525330 JEY525326:JEY525330 JOU525326:JOU525330 JYQ525326:JYQ525330 KIM525326:KIM525330 KSI525326:KSI525330 LCE525326:LCE525330 LMA525326:LMA525330 LVW525326:LVW525330 MFS525326:MFS525330 MPO525326:MPO525330 MZK525326:MZK525330 NJG525326:NJG525330 NTC525326:NTC525330 OCY525326:OCY525330 OMU525326:OMU525330 OWQ525326:OWQ525330 PGM525326:PGM525330 PQI525326:PQI525330 QAE525326:QAE525330 QKA525326:QKA525330 QTW525326:QTW525330 RDS525326:RDS525330 RNO525326:RNO525330 RXK525326:RXK525330 SHG525326:SHG525330 SRC525326:SRC525330 TAY525326:TAY525330 TKU525326:TKU525330 TUQ525326:TUQ525330 UEM525326:UEM525330 UOI525326:UOI525330 UYE525326:UYE525330 VIA525326:VIA525330 VRW525326:VRW525330 WBS525326:WBS525330 WLO525326:WLO525330 WVK525326:WVK525330 C590862:C590866 IY590862:IY590866 SU590862:SU590866 ACQ590862:ACQ590866 AMM590862:AMM590866 AWI590862:AWI590866 BGE590862:BGE590866 BQA590862:BQA590866 BZW590862:BZW590866 CJS590862:CJS590866 CTO590862:CTO590866 DDK590862:DDK590866 DNG590862:DNG590866 DXC590862:DXC590866 EGY590862:EGY590866 EQU590862:EQU590866 FAQ590862:FAQ590866 FKM590862:FKM590866 FUI590862:FUI590866 GEE590862:GEE590866 GOA590862:GOA590866 GXW590862:GXW590866 HHS590862:HHS590866 HRO590862:HRO590866 IBK590862:IBK590866 ILG590862:ILG590866 IVC590862:IVC590866 JEY590862:JEY590866 JOU590862:JOU590866 JYQ590862:JYQ590866 KIM590862:KIM590866 KSI590862:KSI590866 LCE590862:LCE590866 LMA590862:LMA590866 LVW590862:LVW590866 MFS590862:MFS590866 MPO590862:MPO590866 MZK590862:MZK590866 NJG590862:NJG590866 NTC590862:NTC590866 OCY590862:OCY590866 OMU590862:OMU590866 OWQ590862:OWQ590866 PGM590862:PGM590866 PQI590862:PQI590866 QAE590862:QAE590866 QKA590862:QKA590866 QTW590862:QTW590866 RDS590862:RDS590866 RNO590862:RNO590866 RXK590862:RXK590866 SHG590862:SHG590866 SRC590862:SRC590866 TAY590862:TAY590866 TKU590862:TKU590866 TUQ590862:TUQ590866 UEM590862:UEM590866 UOI590862:UOI590866 UYE590862:UYE590866 VIA590862:VIA590866 VRW590862:VRW590866 WBS590862:WBS590866 WLO590862:WLO590866 WVK590862:WVK590866 C656398:C656402 IY656398:IY656402 SU656398:SU656402 ACQ656398:ACQ656402 AMM656398:AMM656402 AWI656398:AWI656402 BGE656398:BGE656402 BQA656398:BQA656402 BZW656398:BZW656402 CJS656398:CJS656402 CTO656398:CTO656402 DDK656398:DDK656402 DNG656398:DNG656402 DXC656398:DXC656402 EGY656398:EGY656402 EQU656398:EQU656402 FAQ656398:FAQ656402 FKM656398:FKM656402 FUI656398:FUI656402 GEE656398:GEE656402 GOA656398:GOA656402 GXW656398:GXW656402 HHS656398:HHS656402 HRO656398:HRO656402 IBK656398:IBK656402 ILG656398:ILG656402 IVC656398:IVC656402 JEY656398:JEY656402 JOU656398:JOU656402 JYQ656398:JYQ656402 KIM656398:KIM656402 KSI656398:KSI656402 LCE656398:LCE656402 LMA656398:LMA656402 LVW656398:LVW656402 MFS656398:MFS656402 MPO656398:MPO656402 MZK656398:MZK656402 NJG656398:NJG656402 NTC656398:NTC656402 OCY656398:OCY656402 OMU656398:OMU656402 OWQ656398:OWQ656402 PGM656398:PGM656402 PQI656398:PQI656402 QAE656398:QAE656402 QKA656398:QKA656402 QTW656398:QTW656402 RDS656398:RDS656402 RNO656398:RNO656402 RXK656398:RXK656402 SHG656398:SHG656402 SRC656398:SRC656402 TAY656398:TAY656402 TKU656398:TKU656402 TUQ656398:TUQ656402 UEM656398:UEM656402 UOI656398:UOI656402 UYE656398:UYE656402 VIA656398:VIA656402 VRW656398:VRW656402 WBS656398:WBS656402 WLO656398:WLO656402 WVK656398:WVK656402 C721934:C721938 IY721934:IY721938 SU721934:SU721938 ACQ721934:ACQ721938 AMM721934:AMM721938 AWI721934:AWI721938 BGE721934:BGE721938 BQA721934:BQA721938 BZW721934:BZW721938 CJS721934:CJS721938 CTO721934:CTO721938 DDK721934:DDK721938 DNG721934:DNG721938 DXC721934:DXC721938 EGY721934:EGY721938 EQU721934:EQU721938 FAQ721934:FAQ721938 FKM721934:FKM721938 FUI721934:FUI721938 GEE721934:GEE721938 GOA721934:GOA721938 GXW721934:GXW721938 HHS721934:HHS721938 HRO721934:HRO721938 IBK721934:IBK721938 ILG721934:ILG721938 IVC721934:IVC721938 JEY721934:JEY721938 JOU721934:JOU721938 JYQ721934:JYQ721938 KIM721934:KIM721938 KSI721934:KSI721938 LCE721934:LCE721938 LMA721934:LMA721938 LVW721934:LVW721938 MFS721934:MFS721938 MPO721934:MPO721938 MZK721934:MZK721938 NJG721934:NJG721938 NTC721934:NTC721938 OCY721934:OCY721938 OMU721934:OMU721938 OWQ721934:OWQ721938 PGM721934:PGM721938 PQI721934:PQI721938 QAE721934:QAE721938 QKA721934:QKA721938 QTW721934:QTW721938 RDS721934:RDS721938 RNO721934:RNO721938 RXK721934:RXK721938 SHG721934:SHG721938 SRC721934:SRC721938 TAY721934:TAY721938 TKU721934:TKU721938 TUQ721934:TUQ721938 UEM721934:UEM721938 UOI721934:UOI721938 UYE721934:UYE721938 VIA721934:VIA721938 VRW721934:VRW721938 WBS721934:WBS721938 WLO721934:WLO721938 WVK721934:WVK721938 C787470:C787474 IY787470:IY787474 SU787470:SU787474 ACQ787470:ACQ787474 AMM787470:AMM787474 AWI787470:AWI787474 BGE787470:BGE787474 BQA787470:BQA787474 BZW787470:BZW787474 CJS787470:CJS787474 CTO787470:CTO787474 DDK787470:DDK787474 DNG787470:DNG787474 DXC787470:DXC787474 EGY787470:EGY787474 EQU787470:EQU787474 FAQ787470:FAQ787474 FKM787470:FKM787474 FUI787470:FUI787474 GEE787470:GEE787474 GOA787470:GOA787474 GXW787470:GXW787474 HHS787470:HHS787474 HRO787470:HRO787474 IBK787470:IBK787474 ILG787470:ILG787474 IVC787470:IVC787474 JEY787470:JEY787474 JOU787470:JOU787474 JYQ787470:JYQ787474 KIM787470:KIM787474 KSI787470:KSI787474 LCE787470:LCE787474 LMA787470:LMA787474 LVW787470:LVW787474 MFS787470:MFS787474 MPO787470:MPO787474 MZK787470:MZK787474 NJG787470:NJG787474 NTC787470:NTC787474 OCY787470:OCY787474 OMU787470:OMU787474 OWQ787470:OWQ787474 PGM787470:PGM787474 PQI787470:PQI787474 QAE787470:QAE787474 QKA787470:QKA787474 QTW787470:QTW787474 RDS787470:RDS787474 RNO787470:RNO787474 RXK787470:RXK787474 SHG787470:SHG787474 SRC787470:SRC787474 TAY787470:TAY787474 TKU787470:TKU787474 TUQ787470:TUQ787474 UEM787470:UEM787474 UOI787470:UOI787474 UYE787470:UYE787474 VIA787470:VIA787474 VRW787470:VRW787474 WBS787470:WBS787474 WLO787470:WLO787474 WVK787470:WVK787474 C853006:C853010 IY853006:IY853010 SU853006:SU853010 ACQ853006:ACQ853010 AMM853006:AMM853010 AWI853006:AWI853010 BGE853006:BGE853010 BQA853006:BQA853010 BZW853006:BZW853010 CJS853006:CJS853010 CTO853006:CTO853010 DDK853006:DDK853010 DNG853006:DNG853010 DXC853006:DXC853010 EGY853006:EGY853010 EQU853006:EQU853010 FAQ853006:FAQ853010 FKM853006:FKM853010 FUI853006:FUI853010 GEE853006:GEE853010 GOA853006:GOA853010 GXW853006:GXW853010 HHS853006:HHS853010 HRO853006:HRO853010 IBK853006:IBK853010 ILG853006:ILG853010 IVC853006:IVC853010 JEY853006:JEY853010 JOU853006:JOU853010 JYQ853006:JYQ853010 KIM853006:KIM853010 KSI853006:KSI853010 LCE853006:LCE853010 LMA853006:LMA853010 LVW853006:LVW853010 MFS853006:MFS853010 MPO853006:MPO853010 MZK853006:MZK853010 NJG853006:NJG853010 NTC853006:NTC853010 OCY853006:OCY853010 OMU853006:OMU853010 OWQ853006:OWQ853010 PGM853006:PGM853010 PQI853006:PQI853010 QAE853006:QAE853010 QKA853006:QKA853010 QTW853006:QTW853010 RDS853006:RDS853010 RNO853006:RNO853010 RXK853006:RXK853010 SHG853006:SHG853010 SRC853006:SRC853010 TAY853006:TAY853010 TKU853006:TKU853010 TUQ853006:TUQ853010 UEM853006:UEM853010 UOI853006:UOI853010 UYE853006:UYE853010 VIA853006:VIA853010 VRW853006:VRW853010 WBS853006:WBS853010 WLO853006:WLO853010 WVK853006:WVK853010 C918542:C918546 IY918542:IY918546 SU918542:SU918546 ACQ918542:ACQ918546 AMM918542:AMM918546 AWI918542:AWI918546 BGE918542:BGE918546 BQA918542:BQA918546 BZW918542:BZW918546 CJS918542:CJS918546 CTO918542:CTO918546 DDK918542:DDK918546 DNG918542:DNG918546 DXC918542:DXC918546 EGY918542:EGY918546 EQU918542:EQU918546 FAQ918542:FAQ918546 FKM918542:FKM918546 FUI918542:FUI918546 GEE918542:GEE918546 GOA918542:GOA918546 GXW918542:GXW918546 HHS918542:HHS918546 HRO918542:HRO918546 IBK918542:IBK918546 ILG918542:ILG918546 IVC918542:IVC918546 JEY918542:JEY918546 JOU918542:JOU918546 JYQ918542:JYQ918546 KIM918542:KIM918546 KSI918542:KSI918546 LCE918542:LCE918546 LMA918542:LMA918546 LVW918542:LVW918546 MFS918542:MFS918546 MPO918542:MPO918546 MZK918542:MZK918546 NJG918542:NJG918546 NTC918542:NTC918546 OCY918542:OCY918546 OMU918542:OMU918546 OWQ918542:OWQ918546 PGM918542:PGM918546 PQI918542:PQI918546 QAE918542:QAE918546 QKA918542:QKA918546 QTW918542:QTW918546 RDS918542:RDS918546 RNO918542:RNO918546 RXK918542:RXK918546 SHG918542:SHG918546 SRC918542:SRC918546 TAY918542:TAY918546 TKU918542:TKU918546 TUQ918542:TUQ918546 UEM918542:UEM918546 UOI918542:UOI918546 UYE918542:UYE918546 VIA918542:VIA918546 VRW918542:VRW918546 WBS918542:WBS918546 WLO918542:WLO918546 WVK918542:WVK918546 C984078:C984082 IY984078:IY984082 SU984078:SU984082 ACQ984078:ACQ984082 AMM984078:AMM984082 AWI984078:AWI984082 BGE984078:BGE984082 BQA984078:BQA984082 BZW984078:BZW984082 CJS984078:CJS984082 CTO984078:CTO984082 DDK984078:DDK984082 DNG984078:DNG984082 DXC984078:DXC984082 EGY984078:EGY984082 EQU984078:EQU984082 FAQ984078:FAQ984082 FKM984078:FKM984082 FUI984078:FUI984082 GEE984078:GEE984082 GOA984078:GOA984082 GXW984078:GXW984082 HHS984078:HHS984082 HRO984078:HRO984082 IBK984078:IBK984082 ILG984078:ILG984082 IVC984078:IVC984082 JEY984078:JEY984082 JOU984078:JOU984082 JYQ984078:JYQ984082 KIM984078:KIM984082 KSI984078:KSI984082 LCE984078:LCE984082 LMA984078:LMA984082 LVW984078:LVW984082 MFS984078:MFS984082 MPO984078:MPO984082 MZK984078:MZK984082 NJG984078:NJG984082 NTC984078:NTC984082 OCY984078:OCY984082 OMU984078:OMU984082 OWQ984078:OWQ984082 PGM984078:PGM984082 PQI984078:PQI984082 QAE984078:QAE984082 QKA984078:QKA984082 QTW984078:QTW984082 RDS984078:RDS984082 RNO984078:RNO984082 RXK984078:RXK984082 SHG984078:SHG984082 SRC984078:SRC984082 TAY984078:TAY984082 TKU984078:TKU984082 TUQ984078:TUQ984082 UEM984078:UEM984082 UOI984078:UOI984082 UYE984078:UYE984082 VIA984078:VIA984082 VRW984078:VRW984082 WBS984078:WBS984082 WLO984078:WLO984082 WVK984078:WVK984082 E1038:E1049 JA1038:JA1049 SW1038:SW1049 ACS1038:ACS1049 AMO1038:AMO1049 AWK1038:AWK1049 BGG1038:BGG1049 BQC1038:BQC1049 BZY1038:BZY1049 CJU1038:CJU1049 CTQ1038:CTQ1049 DDM1038:DDM1049 DNI1038:DNI1049 DXE1038:DXE1049 EHA1038:EHA1049 EQW1038:EQW1049 FAS1038:FAS1049 FKO1038:FKO1049 FUK1038:FUK1049 GEG1038:GEG1049 GOC1038:GOC1049 GXY1038:GXY1049 HHU1038:HHU1049 HRQ1038:HRQ1049 IBM1038:IBM1049 ILI1038:ILI1049 IVE1038:IVE1049 JFA1038:JFA1049 JOW1038:JOW1049 JYS1038:JYS1049 KIO1038:KIO1049 KSK1038:KSK1049 LCG1038:LCG1049 LMC1038:LMC1049 LVY1038:LVY1049 MFU1038:MFU1049 MPQ1038:MPQ1049 MZM1038:MZM1049 NJI1038:NJI1049 NTE1038:NTE1049 ODA1038:ODA1049 OMW1038:OMW1049 OWS1038:OWS1049 PGO1038:PGO1049 PQK1038:PQK1049 QAG1038:QAG1049 QKC1038:QKC1049 QTY1038:QTY1049 RDU1038:RDU1049 RNQ1038:RNQ1049 RXM1038:RXM1049 SHI1038:SHI1049 SRE1038:SRE1049 TBA1038:TBA1049 TKW1038:TKW1049 TUS1038:TUS1049 UEO1038:UEO1049 UOK1038:UOK1049 UYG1038:UYG1049 VIC1038:VIC1049 VRY1038:VRY1049 WBU1038:WBU1049 WLQ1038:WLQ1049 WVM1038:WVM1049 E66574:E66585 JA66574:JA66585 SW66574:SW66585 ACS66574:ACS66585 AMO66574:AMO66585 AWK66574:AWK66585 BGG66574:BGG66585 BQC66574:BQC66585 BZY66574:BZY66585 CJU66574:CJU66585 CTQ66574:CTQ66585 DDM66574:DDM66585 DNI66574:DNI66585 DXE66574:DXE66585 EHA66574:EHA66585 EQW66574:EQW66585 FAS66574:FAS66585 FKO66574:FKO66585 FUK66574:FUK66585 GEG66574:GEG66585 GOC66574:GOC66585 GXY66574:GXY66585 HHU66574:HHU66585 HRQ66574:HRQ66585 IBM66574:IBM66585 ILI66574:ILI66585 IVE66574:IVE66585 JFA66574:JFA66585 JOW66574:JOW66585 JYS66574:JYS66585 KIO66574:KIO66585 KSK66574:KSK66585 LCG66574:LCG66585 LMC66574:LMC66585 LVY66574:LVY66585 MFU66574:MFU66585 MPQ66574:MPQ66585 MZM66574:MZM66585 NJI66574:NJI66585 NTE66574:NTE66585 ODA66574:ODA66585 OMW66574:OMW66585 OWS66574:OWS66585 PGO66574:PGO66585 PQK66574:PQK66585 QAG66574:QAG66585 QKC66574:QKC66585 QTY66574:QTY66585 RDU66574:RDU66585 RNQ66574:RNQ66585 RXM66574:RXM66585 SHI66574:SHI66585 SRE66574:SRE66585 TBA66574:TBA66585 TKW66574:TKW66585 TUS66574:TUS66585 UEO66574:UEO66585 UOK66574:UOK66585 UYG66574:UYG66585 VIC66574:VIC66585 VRY66574:VRY66585 WBU66574:WBU66585 WLQ66574:WLQ66585 WVM66574:WVM66585 E132110:E132121 JA132110:JA132121 SW132110:SW132121 ACS132110:ACS132121 AMO132110:AMO132121 AWK132110:AWK132121 BGG132110:BGG132121 BQC132110:BQC132121 BZY132110:BZY132121 CJU132110:CJU132121 CTQ132110:CTQ132121 DDM132110:DDM132121 DNI132110:DNI132121 DXE132110:DXE132121 EHA132110:EHA132121 EQW132110:EQW132121 FAS132110:FAS132121 FKO132110:FKO132121 FUK132110:FUK132121 GEG132110:GEG132121 GOC132110:GOC132121 GXY132110:GXY132121 HHU132110:HHU132121 HRQ132110:HRQ132121 IBM132110:IBM132121 ILI132110:ILI132121 IVE132110:IVE132121 JFA132110:JFA132121 JOW132110:JOW132121 JYS132110:JYS132121 KIO132110:KIO132121 KSK132110:KSK132121 LCG132110:LCG132121 LMC132110:LMC132121 LVY132110:LVY132121 MFU132110:MFU132121 MPQ132110:MPQ132121 MZM132110:MZM132121 NJI132110:NJI132121 NTE132110:NTE132121 ODA132110:ODA132121 OMW132110:OMW132121 OWS132110:OWS132121 PGO132110:PGO132121 PQK132110:PQK132121 QAG132110:QAG132121 QKC132110:QKC132121 QTY132110:QTY132121 RDU132110:RDU132121 RNQ132110:RNQ132121 RXM132110:RXM132121 SHI132110:SHI132121 SRE132110:SRE132121 TBA132110:TBA132121 TKW132110:TKW132121 TUS132110:TUS132121 UEO132110:UEO132121 UOK132110:UOK132121 UYG132110:UYG132121 VIC132110:VIC132121 VRY132110:VRY132121 WBU132110:WBU132121 WLQ132110:WLQ132121 WVM132110:WVM132121 E197646:E197657 JA197646:JA197657 SW197646:SW197657 ACS197646:ACS197657 AMO197646:AMO197657 AWK197646:AWK197657 BGG197646:BGG197657 BQC197646:BQC197657 BZY197646:BZY197657 CJU197646:CJU197657 CTQ197646:CTQ197657 DDM197646:DDM197657 DNI197646:DNI197657 DXE197646:DXE197657 EHA197646:EHA197657 EQW197646:EQW197657 FAS197646:FAS197657 FKO197646:FKO197657 FUK197646:FUK197657 GEG197646:GEG197657 GOC197646:GOC197657 GXY197646:GXY197657 HHU197646:HHU197657 HRQ197646:HRQ197657 IBM197646:IBM197657 ILI197646:ILI197657 IVE197646:IVE197657 JFA197646:JFA197657 JOW197646:JOW197657 JYS197646:JYS197657 KIO197646:KIO197657 KSK197646:KSK197657 LCG197646:LCG197657 LMC197646:LMC197657 LVY197646:LVY197657 MFU197646:MFU197657 MPQ197646:MPQ197657 MZM197646:MZM197657 NJI197646:NJI197657 NTE197646:NTE197657 ODA197646:ODA197657 OMW197646:OMW197657 OWS197646:OWS197657 PGO197646:PGO197657 PQK197646:PQK197657 QAG197646:QAG197657 QKC197646:QKC197657 QTY197646:QTY197657 RDU197646:RDU197657 RNQ197646:RNQ197657 RXM197646:RXM197657 SHI197646:SHI197657 SRE197646:SRE197657 TBA197646:TBA197657 TKW197646:TKW197657 TUS197646:TUS197657 UEO197646:UEO197657 UOK197646:UOK197657 UYG197646:UYG197657 VIC197646:VIC197657 VRY197646:VRY197657 WBU197646:WBU197657 WLQ197646:WLQ197657 WVM197646:WVM197657 E263182:E263193 JA263182:JA263193 SW263182:SW263193 ACS263182:ACS263193 AMO263182:AMO263193 AWK263182:AWK263193 BGG263182:BGG263193 BQC263182:BQC263193 BZY263182:BZY263193 CJU263182:CJU263193 CTQ263182:CTQ263193 DDM263182:DDM263193 DNI263182:DNI263193 DXE263182:DXE263193 EHA263182:EHA263193 EQW263182:EQW263193 FAS263182:FAS263193 FKO263182:FKO263193 FUK263182:FUK263193 GEG263182:GEG263193 GOC263182:GOC263193 GXY263182:GXY263193 HHU263182:HHU263193 HRQ263182:HRQ263193 IBM263182:IBM263193 ILI263182:ILI263193 IVE263182:IVE263193 JFA263182:JFA263193 JOW263182:JOW263193 JYS263182:JYS263193 KIO263182:KIO263193 KSK263182:KSK263193 LCG263182:LCG263193 LMC263182:LMC263193 LVY263182:LVY263193 MFU263182:MFU263193 MPQ263182:MPQ263193 MZM263182:MZM263193 NJI263182:NJI263193 NTE263182:NTE263193 ODA263182:ODA263193 OMW263182:OMW263193 OWS263182:OWS263193 PGO263182:PGO263193 PQK263182:PQK263193 QAG263182:QAG263193 QKC263182:QKC263193 QTY263182:QTY263193 RDU263182:RDU263193 RNQ263182:RNQ263193 RXM263182:RXM263193 SHI263182:SHI263193 SRE263182:SRE263193 TBA263182:TBA263193 TKW263182:TKW263193 TUS263182:TUS263193 UEO263182:UEO263193 UOK263182:UOK263193 UYG263182:UYG263193 VIC263182:VIC263193 VRY263182:VRY263193 WBU263182:WBU263193 WLQ263182:WLQ263193 WVM263182:WVM263193 E328718:E328729 JA328718:JA328729 SW328718:SW328729 ACS328718:ACS328729 AMO328718:AMO328729 AWK328718:AWK328729 BGG328718:BGG328729 BQC328718:BQC328729 BZY328718:BZY328729 CJU328718:CJU328729 CTQ328718:CTQ328729 DDM328718:DDM328729 DNI328718:DNI328729 DXE328718:DXE328729 EHA328718:EHA328729 EQW328718:EQW328729 FAS328718:FAS328729 FKO328718:FKO328729 FUK328718:FUK328729 GEG328718:GEG328729 GOC328718:GOC328729 GXY328718:GXY328729 HHU328718:HHU328729 HRQ328718:HRQ328729 IBM328718:IBM328729 ILI328718:ILI328729 IVE328718:IVE328729 JFA328718:JFA328729 JOW328718:JOW328729 JYS328718:JYS328729 KIO328718:KIO328729 KSK328718:KSK328729 LCG328718:LCG328729 LMC328718:LMC328729 LVY328718:LVY328729 MFU328718:MFU328729 MPQ328718:MPQ328729 MZM328718:MZM328729 NJI328718:NJI328729 NTE328718:NTE328729 ODA328718:ODA328729 OMW328718:OMW328729 OWS328718:OWS328729 PGO328718:PGO328729 PQK328718:PQK328729 QAG328718:QAG328729 QKC328718:QKC328729 QTY328718:QTY328729 RDU328718:RDU328729 RNQ328718:RNQ328729 RXM328718:RXM328729 SHI328718:SHI328729 SRE328718:SRE328729 TBA328718:TBA328729 TKW328718:TKW328729 TUS328718:TUS328729 UEO328718:UEO328729 UOK328718:UOK328729 UYG328718:UYG328729 VIC328718:VIC328729 VRY328718:VRY328729 WBU328718:WBU328729 WLQ328718:WLQ328729 WVM328718:WVM328729 E394254:E394265 JA394254:JA394265 SW394254:SW394265 ACS394254:ACS394265 AMO394254:AMO394265 AWK394254:AWK394265 BGG394254:BGG394265 BQC394254:BQC394265 BZY394254:BZY394265 CJU394254:CJU394265 CTQ394254:CTQ394265 DDM394254:DDM394265 DNI394254:DNI394265 DXE394254:DXE394265 EHA394254:EHA394265 EQW394254:EQW394265 FAS394254:FAS394265 FKO394254:FKO394265 FUK394254:FUK394265 GEG394254:GEG394265 GOC394254:GOC394265 GXY394254:GXY394265 HHU394254:HHU394265 HRQ394254:HRQ394265 IBM394254:IBM394265 ILI394254:ILI394265 IVE394254:IVE394265 JFA394254:JFA394265 JOW394254:JOW394265 JYS394254:JYS394265 KIO394254:KIO394265 KSK394254:KSK394265 LCG394254:LCG394265 LMC394254:LMC394265 LVY394254:LVY394265 MFU394254:MFU394265 MPQ394254:MPQ394265 MZM394254:MZM394265 NJI394254:NJI394265 NTE394254:NTE394265 ODA394254:ODA394265 OMW394254:OMW394265 OWS394254:OWS394265 PGO394254:PGO394265 PQK394254:PQK394265 QAG394254:QAG394265 QKC394254:QKC394265 QTY394254:QTY394265 RDU394254:RDU394265 RNQ394254:RNQ394265 RXM394254:RXM394265 SHI394254:SHI394265 SRE394254:SRE394265 TBA394254:TBA394265 TKW394254:TKW394265 TUS394254:TUS394265 UEO394254:UEO394265 UOK394254:UOK394265 UYG394254:UYG394265 VIC394254:VIC394265 VRY394254:VRY394265 WBU394254:WBU394265 WLQ394254:WLQ394265 WVM394254:WVM394265 E459790:E459801 JA459790:JA459801 SW459790:SW459801 ACS459790:ACS459801 AMO459790:AMO459801 AWK459790:AWK459801 BGG459790:BGG459801 BQC459790:BQC459801 BZY459790:BZY459801 CJU459790:CJU459801 CTQ459790:CTQ459801 DDM459790:DDM459801 DNI459790:DNI459801 DXE459790:DXE459801 EHA459790:EHA459801 EQW459790:EQW459801 FAS459790:FAS459801 FKO459790:FKO459801 FUK459790:FUK459801 GEG459790:GEG459801 GOC459790:GOC459801 GXY459790:GXY459801 HHU459790:HHU459801 HRQ459790:HRQ459801 IBM459790:IBM459801 ILI459790:ILI459801 IVE459790:IVE459801 JFA459790:JFA459801 JOW459790:JOW459801 JYS459790:JYS459801 KIO459790:KIO459801 KSK459790:KSK459801 LCG459790:LCG459801 LMC459790:LMC459801 LVY459790:LVY459801 MFU459790:MFU459801 MPQ459790:MPQ459801 MZM459790:MZM459801 NJI459790:NJI459801 NTE459790:NTE459801 ODA459790:ODA459801 OMW459790:OMW459801 OWS459790:OWS459801 PGO459790:PGO459801 PQK459790:PQK459801 QAG459790:QAG459801 QKC459790:QKC459801 QTY459790:QTY459801 RDU459790:RDU459801 RNQ459790:RNQ459801 RXM459790:RXM459801 SHI459790:SHI459801 SRE459790:SRE459801 TBA459790:TBA459801 TKW459790:TKW459801 TUS459790:TUS459801 UEO459790:UEO459801 UOK459790:UOK459801 UYG459790:UYG459801 VIC459790:VIC459801 VRY459790:VRY459801 WBU459790:WBU459801 WLQ459790:WLQ459801 WVM459790:WVM459801 E525326:E525337 JA525326:JA525337 SW525326:SW525337 ACS525326:ACS525337 AMO525326:AMO525337 AWK525326:AWK525337 BGG525326:BGG525337 BQC525326:BQC525337 BZY525326:BZY525337 CJU525326:CJU525337 CTQ525326:CTQ525337 DDM525326:DDM525337 DNI525326:DNI525337 DXE525326:DXE525337 EHA525326:EHA525337 EQW525326:EQW525337 FAS525326:FAS525337 FKO525326:FKO525337 FUK525326:FUK525337 GEG525326:GEG525337 GOC525326:GOC525337 GXY525326:GXY525337 HHU525326:HHU525337 HRQ525326:HRQ525337 IBM525326:IBM525337 ILI525326:ILI525337 IVE525326:IVE525337 JFA525326:JFA525337 JOW525326:JOW525337 JYS525326:JYS525337 KIO525326:KIO525337 KSK525326:KSK525337 LCG525326:LCG525337 LMC525326:LMC525337 LVY525326:LVY525337 MFU525326:MFU525337 MPQ525326:MPQ525337 MZM525326:MZM525337 NJI525326:NJI525337 NTE525326:NTE525337 ODA525326:ODA525337 OMW525326:OMW525337 OWS525326:OWS525337 PGO525326:PGO525337 PQK525326:PQK525337 QAG525326:QAG525337 QKC525326:QKC525337 QTY525326:QTY525337 RDU525326:RDU525337 RNQ525326:RNQ525337 RXM525326:RXM525337 SHI525326:SHI525337 SRE525326:SRE525337 TBA525326:TBA525337 TKW525326:TKW525337 TUS525326:TUS525337 UEO525326:UEO525337 UOK525326:UOK525337 UYG525326:UYG525337 VIC525326:VIC525337 VRY525326:VRY525337 WBU525326:WBU525337 WLQ525326:WLQ525337 WVM525326:WVM525337 E590862:E590873 JA590862:JA590873 SW590862:SW590873 ACS590862:ACS590873 AMO590862:AMO590873 AWK590862:AWK590873 BGG590862:BGG590873 BQC590862:BQC590873 BZY590862:BZY590873 CJU590862:CJU590873 CTQ590862:CTQ590873 DDM590862:DDM590873 DNI590862:DNI590873 DXE590862:DXE590873 EHA590862:EHA590873 EQW590862:EQW590873 FAS590862:FAS590873 FKO590862:FKO590873 FUK590862:FUK590873 GEG590862:GEG590873 GOC590862:GOC590873 GXY590862:GXY590873 HHU590862:HHU590873 HRQ590862:HRQ590873 IBM590862:IBM590873 ILI590862:ILI590873 IVE590862:IVE590873 JFA590862:JFA590873 JOW590862:JOW590873 JYS590862:JYS590873 KIO590862:KIO590873 KSK590862:KSK590873 LCG590862:LCG590873 LMC590862:LMC590873 LVY590862:LVY590873 MFU590862:MFU590873 MPQ590862:MPQ590873 MZM590862:MZM590873 NJI590862:NJI590873 NTE590862:NTE590873 ODA590862:ODA590873 OMW590862:OMW590873 OWS590862:OWS590873 PGO590862:PGO590873 PQK590862:PQK590873 QAG590862:QAG590873 QKC590862:QKC590873 QTY590862:QTY590873 RDU590862:RDU590873 RNQ590862:RNQ590873 RXM590862:RXM590873 SHI590862:SHI590873 SRE590862:SRE590873 TBA590862:TBA590873 TKW590862:TKW590873 TUS590862:TUS590873 UEO590862:UEO590873 UOK590862:UOK590873 UYG590862:UYG590873 VIC590862:VIC590873 VRY590862:VRY590873 WBU590862:WBU590873 WLQ590862:WLQ590873 WVM590862:WVM590873 E656398:E656409 JA656398:JA656409 SW656398:SW656409 ACS656398:ACS656409 AMO656398:AMO656409 AWK656398:AWK656409 BGG656398:BGG656409 BQC656398:BQC656409 BZY656398:BZY656409 CJU656398:CJU656409 CTQ656398:CTQ656409 DDM656398:DDM656409 DNI656398:DNI656409 DXE656398:DXE656409 EHA656398:EHA656409 EQW656398:EQW656409 FAS656398:FAS656409 FKO656398:FKO656409 FUK656398:FUK656409 GEG656398:GEG656409 GOC656398:GOC656409 GXY656398:GXY656409 HHU656398:HHU656409 HRQ656398:HRQ656409 IBM656398:IBM656409 ILI656398:ILI656409 IVE656398:IVE656409 JFA656398:JFA656409 JOW656398:JOW656409 JYS656398:JYS656409 KIO656398:KIO656409 KSK656398:KSK656409 LCG656398:LCG656409 LMC656398:LMC656409 LVY656398:LVY656409 MFU656398:MFU656409 MPQ656398:MPQ656409 MZM656398:MZM656409 NJI656398:NJI656409 NTE656398:NTE656409 ODA656398:ODA656409 OMW656398:OMW656409 OWS656398:OWS656409 PGO656398:PGO656409 PQK656398:PQK656409 QAG656398:QAG656409 QKC656398:QKC656409 QTY656398:QTY656409 RDU656398:RDU656409 RNQ656398:RNQ656409 RXM656398:RXM656409 SHI656398:SHI656409 SRE656398:SRE656409 TBA656398:TBA656409 TKW656398:TKW656409 TUS656398:TUS656409 UEO656398:UEO656409 UOK656398:UOK656409 UYG656398:UYG656409 VIC656398:VIC656409 VRY656398:VRY656409 WBU656398:WBU656409 WLQ656398:WLQ656409 WVM656398:WVM656409 E721934:E721945 JA721934:JA721945 SW721934:SW721945 ACS721934:ACS721945 AMO721934:AMO721945 AWK721934:AWK721945 BGG721934:BGG721945 BQC721934:BQC721945 BZY721934:BZY721945 CJU721934:CJU721945 CTQ721934:CTQ721945 DDM721934:DDM721945 DNI721934:DNI721945 DXE721934:DXE721945 EHA721934:EHA721945 EQW721934:EQW721945 FAS721934:FAS721945 FKO721934:FKO721945 FUK721934:FUK721945 GEG721934:GEG721945 GOC721934:GOC721945 GXY721934:GXY721945 HHU721934:HHU721945 HRQ721934:HRQ721945 IBM721934:IBM721945 ILI721934:ILI721945 IVE721934:IVE721945 JFA721934:JFA721945 JOW721934:JOW721945 JYS721934:JYS721945 KIO721934:KIO721945 KSK721934:KSK721945 LCG721934:LCG721945 LMC721934:LMC721945 LVY721934:LVY721945 MFU721934:MFU721945 MPQ721934:MPQ721945 MZM721934:MZM721945 NJI721934:NJI721945 NTE721934:NTE721945 ODA721934:ODA721945 OMW721934:OMW721945 OWS721934:OWS721945 PGO721934:PGO721945 PQK721934:PQK721945 QAG721934:QAG721945 QKC721934:QKC721945 QTY721934:QTY721945 RDU721934:RDU721945 RNQ721934:RNQ721945 RXM721934:RXM721945 SHI721934:SHI721945 SRE721934:SRE721945 TBA721934:TBA721945 TKW721934:TKW721945 TUS721934:TUS721945 UEO721934:UEO721945 UOK721934:UOK721945 UYG721934:UYG721945 VIC721934:VIC721945 VRY721934:VRY721945 WBU721934:WBU721945 WLQ721934:WLQ721945 WVM721934:WVM721945 E787470:E787481 JA787470:JA787481 SW787470:SW787481 ACS787470:ACS787481 AMO787470:AMO787481 AWK787470:AWK787481 BGG787470:BGG787481 BQC787470:BQC787481 BZY787470:BZY787481 CJU787470:CJU787481 CTQ787470:CTQ787481 DDM787470:DDM787481 DNI787470:DNI787481 DXE787470:DXE787481 EHA787470:EHA787481 EQW787470:EQW787481 FAS787470:FAS787481 FKO787470:FKO787481 FUK787470:FUK787481 GEG787470:GEG787481 GOC787470:GOC787481 GXY787470:GXY787481 HHU787470:HHU787481 HRQ787470:HRQ787481 IBM787470:IBM787481 ILI787470:ILI787481 IVE787470:IVE787481 JFA787470:JFA787481 JOW787470:JOW787481 JYS787470:JYS787481 KIO787470:KIO787481 KSK787470:KSK787481 LCG787470:LCG787481 LMC787470:LMC787481 LVY787470:LVY787481 MFU787470:MFU787481 MPQ787470:MPQ787481 MZM787470:MZM787481 NJI787470:NJI787481 NTE787470:NTE787481 ODA787470:ODA787481 OMW787470:OMW787481 OWS787470:OWS787481 PGO787470:PGO787481 PQK787470:PQK787481 QAG787470:QAG787481 QKC787470:QKC787481 QTY787470:QTY787481 RDU787470:RDU787481 RNQ787470:RNQ787481 RXM787470:RXM787481 SHI787470:SHI787481 SRE787470:SRE787481 TBA787470:TBA787481 TKW787470:TKW787481 TUS787470:TUS787481 UEO787470:UEO787481 UOK787470:UOK787481 UYG787470:UYG787481 VIC787470:VIC787481 VRY787470:VRY787481 WBU787470:WBU787481 WLQ787470:WLQ787481 WVM787470:WVM787481 E853006:E853017 JA853006:JA853017 SW853006:SW853017 ACS853006:ACS853017 AMO853006:AMO853017 AWK853006:AWK853017 BGG853006:BGG853017 BQC853006:BQC853017 BZY853006:BZY853017 CJU853006:CJU853017 CTQ853006:CTQ853017 DDM853006:DDM853017 DNI853006:DNI853017 DXE853006:DXE853017 EHA853006:EHA853017 EQW853006:EQW853017 FAS853006:FAS853017 FKO853006:FKO853017 FUK853006:FUK853017 GEG853006:GEG853017 GOC853006:GOC853017 GXY853006:GXY853017 HHU853006:HHU853017 HRQ853006:HRQ853017 IBM853006:IBM853017 ILI853006:ILI853017 IVE853006:IVE853017 JFA853006:JFA853017 JOW853006:JOW853017 JYS853006:JYS853017 KIO853006:KIO853017 KSK853006:KSK853017 LCG853006:LCG853017 LMC853006:LMC853017 LVY853006:LVY853017 MFU853006:MFU853017 MPQ853006:MPQ853017 MZM853006:MZM853017 NJI853006:NJI853017 NTE853006:NTE853017 ODA853006:ODA853017 OMW853006:OMW853017 OWS853006:OWS853017 PGO853006:PGO853017 PQK853006:PQK853017 QAG853006:QAG853017 QKC853006:QKC853017 QTY853006:QTY853017 RDU853006:RDU853017 RNQ853006:RNQ853017 RXM853006:RXM853017 SHI853006:SHI853017 SRE853006:SRE853017 TBA853006:TBA853017 TKW853006:TKW853017 TUS853006:TUS853017 UEO853006:UEO853017 UOK853006:UOK853017 UYG853006:UYG853017 VIC853006:VIC853017 VRY853006:VRY853017 WBU853006:WBU853017 WLQ853006:WLQ853017 WVM853006:WVM853017 E918542:E918553 JA918542:JA918553 SW918542:SW918553 ACS918542:ACS918553 AMO918542:AMO918553 AWK918542:AWK918553 BGG918542:BGG918553 BQC918542:BQC918553 BZY918542:BZY918553 CJU918542:CJU918553 CTQ918542:CTQ918553 DDM918542:DDM918553 DNI918542:DNI918553 DXE918542:DXE918553 EHA918542:EHA918553 EQW918542:EQW918553 FAS918542:FAS918553 FKO918542:FKO918553 FUK918542:FUK918553 GEG918542:GEG918553 GOC918542:GOC918553 GXY918542:GXY918553 HHU918542:HHU918553 HRQ918542:HRQ918553 IBM918542:IBM918553 ILI918542:ILI918553 IVE918542:IVE918553 JFA918542:JFA918553 JOW918542:JOW918553 JYS918542:JYS918553 KIO918542:KIO918553 KSK918542:KSK918553 LCG918542:LCG918553 LMC918542:LMC918553 LVY918542:LVY918553 MFU918542:MFU918553 MPQ918542:MPQ918553 MZM918542:MZM918553 NJI918542:NJI918553 NTE918542:NTE918553 ODA918542:ODA918553 OMW918542:OMW918553 OWS918542:OWS918553 PGO918542:PGO918553 PQK918542:PQK918553 QAG918542:QAG918553 QKC918542:QKC918553 QTY918542:QTY918553 RDU918542:RDU918553 RNQ918542:RNQ918553 RXM918542:RXM918553 SHI918542:SHI918553 SRE918542:SRE918553 TBA918542:TBA918553 TKW918542:TKW918553 TUS918542:TUS918553 UEO918542:UEO918553 UOK918542:UOK918553 UYG918542:UYG918553 VIC918542:VIC918553 VRY918542:VRY918553 WBU918542:WBU918553 WLQ918542:WLQ918553 WVM918542:WVM918553 E984078:E984089 JA984078:JA984089 SW984078:SW984089 ACS984078:ACS984089 AMO984078:AMO984089 AWK984078:AWK984089 BGG984078:BGG984089 BQC984078:BQC984089 BZY984078:BZY984089 CJU984078:CJU984089 CTQ984078:CTQ984089 DDM984078:DDM984089 DNI984078:DNI984089 DXE984078:DXE984089 EHA984078:EHA984089 EQW984078:EQW984089 FAS984078:FAS984089 FKO984078:FKO984089 FUK984078:FUK984089 GEG984078:GEG984089 GOC984078:GOC984089 GXY984078:GXY984089 HHU984078:HHU984089 HRQ984078:HRQ984089 IBM984078:IBM984089 ILI984078:ILI984089 IVE984078:IVE984089 JFA984078:JFA984089 JOW984078:JOW984089 JYS984078:JYS984089 KIO984078:KIO984089 KSK984078:KSK984089 LCG984078:LCG984089 LMC984078:LMC984089 LVY984078:LVY984089 MFU984078:MFU984089 MPQ984078:MPQ984089 MZM984078:MZM984089 NJI984078:NJI984089 NTE984078:NTE984089 ODA984078:ODA984089 OMW984078:OMW984089 OWS984078:OWS984089 PGO984078:PGO984089 PQK984078:PQK984089 QAG984078:QAG984089 QKC984078:QKC984089 QTY984078:QTY984089 RDU984078:RDU984089 RNQ984078:RNQ984089 RXM984078:RXM984089 SHI984078:SHI984089 SRE984078:SRE984089 TBA984078:TBA984089 TKW984078:TKW984089 TUS984078:TUS984089 UEO984078:UEO984089 UOK984078:UOK984089 UYG984078:UYG984089 VIC984078:VIC984089 VRY984078:VRY984089 WBU984078:WBU984089 WLQ984078:WLQ984089 WVM984078:WVM984089" xr:uid="{00000000-0002-0000-0000-000000000000}">
      <formula1>1</formula1>
      <formula2>235</formula2>
    </dataValidation>
  </dataValidations>
  <printOptions horizontalCentered="1"/>
  <pageMargins left="0.45" right="0.45" top="0.3" bottom="0.3" header="0.3" footer="0.3"/>
  <pageSetup paperSize="9" scale="90" orientation="landscape" r:id="rId1"/>
  <headerFooter>
    <oddFooter>&amp;L&amp;A&amp;R&amp;P/&amp;N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10"/>
  <sheetViews>
    <sheetView tabSelected="1" zoomScale="124" zoomScaleNormal="124" zoomScaleSheetLayoutView="100" workbookViewId="0">
      <pane xSplit="5" ySplit="6" topLeftCell="F847" activePane="bottomRight" state="frozen"/>
      <selection pane="bottomRight" activeCell="C862" sqref="C862"/>
      <selection pane="bottomLeft" activeCell="A7" sqref="A7"/>
      <selection pane="topRight" activeCell="F1" sqref="F1"/>
    </sheetView>
  </sheetViews>
  <sheetFormatPr defaultRowHeight="12.75" outlineLevelRow="3"/>
  <cols>
    <col min="1" max="1" width="8.75" style="77"/>
    <col min="2" max="2" width="4.75" style="91" bestFit="1" customWidth="1"/>
    <col min="3" max="3" width="52.25" style="176" customWidth="1"/>
    <col min="4" max="4" width="7" style="177" bestFit="1" customWidth="1"/>
    <col min="5" max="5" width="7.625" style="178" bestFit="1" customWidth="1"/>
    <col min="6" max="6" width="12.25" style="16" bestFit="1" customWidth="1"/>
    <col min="7" max="7" width="11" style="16" bestFit="1" customWidth="1"/>
    <col min="8" max="8" width="12.25" style="16" bestFit="1" customWidth="1"/>
    <col min="9" max="9" width="13.75" style="16" bestFit="1" customWidth="1"/>
    <col min="10" max="10" width="14.625" style="16" customWidth="1"/>
    <col min="11" max="11" width="14.75" style="63" customWidth="1"/>
    <col min="12" max="257" width="8.75" style="63"/>
    <col min="258" max="258" width="7.625" style="63" customWidth="1"/>
    <col min="259" max="259" width="52.25" style="63" customWidth="1"/>
    <col min="260" max="260" width="7.625" style="63" customWidth="1"/>
    <col min="261" max="261" width="11.125" style="63" customWidth="1"/>
    <col min="262" max="262" width="12.875" style="63" customWidth="1"/>
    <col min="263" max="263" width="11.125" style="63" customWidth="1"/>
    <col min="264" max="264" width="14.625" style="63" customWidth="1"/>
    <col min="265" max="265" width="17.25" style="63" customWidth="1"/>
    <col min="266" max="266" width="14.625" style="63" customWidth="1"/>
    <col min="267" max="267" width="14.75" style="63" customWidth="1"/>
    <col min="268" max="513" width="8.75" style="63"/>
    <col min="514" max="514" width="7.625" style="63" customWidth="1"/>
    <col min="515" max="515" width="52.25" style="63" customWidth="1"/>
    <col min="516" max="516" width="7.625" style="63" customWidth="1"/>
    <col min="517" max="517" width="11.125" style="63" customWidth="1"/>
    <col min="518" max="518" width="12.875" style="63" customWidth="1"/>
    <col min="519" max="519" width="11.125" style="63" customWidth="1"/>
    <col min="520" max="520" width="14.625" style="63" customWidth="1"/>
    <col min="521" max="521" width="17.25" style="63" customWidth="1"/>
    <col min="522" max="522" width="14.625" style="63" customWidth="1"/>
    <col min="523" max="523" width="14.75" style="63" customWidth="1"/>
    <col min="524" max="769" width="8.75" style="63"/>
    <col min="770" max="770" width="7.625" style="63" customWidth="1"/>
    <col min="771" max="771" width="52.25" style="63" customWidth="1"/>
    <col min="772" max="772" width="7.625" style="63" customWidth="1"/>
    <col min="773" max="773" width="11.125" style="63" customWidth="1"/>
    <col min="774" max="774" width="12.875" style="63" customWidth="1"/>
    <col min="775" max="775" width="11.125" style="63" customWidth="1"/>
    <col min="776" max="776" width="14.625" style="63" customWidth="1"/>
    <col min="777" max="777" width="17.25" style="63" customWidth="1"/>
    <col min="778" max="778" width="14.625" style="63" customWidth="1"/>
    <col min="779" max="779" width="14.75" style="63" customWidth="1"/>
    <col min="780" max="1025" width="8.75" style="63"/>
    <col min="1026" max="1026" width="7.625" style="63" customWidth="1"/>
    <col min="1027" max="1027" width="52.25" style="63" customWidth="1"/>
    <col min="1028" max="1028" width="7.625" style="63" customWidth="1"/>
    <col min="1029" max="1029" width="11.125" style="63" customWidth="1"/>
    <col min="1030" max="1030" width="12.875" style="63" customWidth="1"/>
    <col min="1031" max="1031" width="11.125" style="63" customWidth="1"/>
    <col min="1032" max="1032" width="14.625" style="63" customWidth="1"/>
    <col min="1033" max="1033" width="17.25" style="63" customWidth="1"/>
    <col min="1034" max="1034" width="14.625" style="63" customWidth="1"/>
    <col min="1035" max="1035" width="14.75" style="63" customWidth="1"/>
    <col min="1036" max="1281" width="8.75" style="63"/>
    <col min="1282" max="1282" width="7.625" style="63" customWidth="1"/>
    <col min="1283" max="1283" width="52.25" style="63" customWidth="1"/>
    <col min="1284" max="1284" width="7.625" style="63" customWidth="1"/>
    <col min="1285" max="1285" width="11.125" style="63" customWidth="1"/>
    <col min="1286" max="1286" width="12.875" style="63" customWidth="1"/>
    <col min="1287" max="1287" width="11.125" style="63" customWidth="1"/>
    <col min="1288" max="1288" width="14.625" style="63" customWidth="1"/>
    <col min="1289" max="1289" width="17.25" style="63" customWidth="1"/>
    <col min="1290" max="1290" width="14.625" style="63" customWidth="1"/>
    <col min="1291" max="1291" width="14.75" style="63" customWidth="1"/>
    <col min="1292" max="1537" width="8.75" style="63"/>
    <col min="1538" max="1538" width="7.625" style="63" customWidth="1"/>
    <col min="1539" max="1539" width="52.25" style="63" customWidth="1"/>
    <col min="1540" max="1540" width="7.625" style="63" customWidth="1"/>
    <col min="1541" max="1541" width="11.125" style="63" customWidth="1"/>
    <col min="1542" max="1542" width="12.875" style="63" customWidth="1"/>
    <col min="1543" max="1543" width="11.125" style="63" customWidth="1"/>
    <col min="1544" max="1544" width="14.625" style="63" customWidth="1"/>
    <col min="1545" max="1545" width="17.25" style="63" customWidth="1"/>
    <col min="1546" max="1546" width="14.625" style="63" customWidth="1"/>
    <col min="1547" max="1547" width="14.75" style="63" customWidth="1"/>
    <col min="1548" max="1793" width="8.75" style="63"/>
    <col min="1794" max="1794" width="7.625" style="63" customWidth="1"/>
    <col min="1795" max="1795" width="52.25" style="63" customWidth="1"/>
    <col min="1796" max="1796" width="7.625" style="63" customWidth="1"/>
    <col min="1797" max="1797" width="11.125" style="63" customWidth="1"/>
    <col min="1798" max="1798" width="12.875" style="63" customWidth="1"/>
    <col min="1799" max="1799" width="11.125" style="63" customWidth="1"/>
    <col min="1800" max="1800" width="14.625" style="63" customWidth="1"/>
    <col min="1801" max="1801" width="17.25" style="63" customWidth="1"/>
    <col min="1802" max="1802" width="14.625" style="63" customWidth="1"/>
    <col min="1803" max="1803" width="14.75" style="63" customWidth="1"/>
    <col min="1804" max="2049" width="8.75" style="63"/>
    <col min="2050" max="2050" width="7.625" style="63" customWidth="1"/>
    <col min="2051" max="2051" width="52.25" style="63" customWidth="1"/>
    <col min="2052" max="2052" width="7.625" style="63" customWidth="1"/>
    <col min="2053" max="2053" width="11.125" style="63" customWidth="1"/>
    <col min="2054" max="2054" width="12.875" style="63" customWidth="1"/>
    <col min="2055" max="2055" width="11.125" style="63" customWidth="1"/>
    <col min="2056" max="2056" width="14.625" style="63" customWidth="1"/>
    <col min="2057" max="2057" width="17.25" style="63" customWidth="1"/>
    <col min="2058" max="2058" width="14.625" style="63" customWidth="1"/>
    <col min="2059" max="2059" width="14.75" style="63" customWidth="1"/>
    <col min="2060" max="2305" width="8.75" style="63"/>
    <col min="2306" max="2306" width="7.625" style="63" customWidth="1"/>
    <col min="2307" max="2307" width="52.25" style="63" customWidth="1"/>
    <col min="2308" max="2308" width="7.625" style="63" customWidth="1"/>
    <col min="2309" max="2309" width="11.125" style="63" customWidth="1"/>
    <col min="2310" max="2310" width="12.875" style="63" customWidth="1"/>
    <col min="2311" max="2311" width="11.125" style="63" customWidth="1"/>
    <col min="2312" max="2312" width="14.625" style="63" customWidth="1"/>
    <col min="2313" max="2313" width="17.25" style="63" customWidth="1"/>
    <col min="2314" max="2314" width="14.625" style="63" customWidth="1"/>
    <col min="2315" max="2315" width="14.75" style="63" customWidth="1"/>
    <col min="2316" max="2561" width="8.75" style="63"/>
    <col min="2562" max="2562" width="7.625" style="63" customWidth="1"/>
    <col min="2563" max="2563" width="52.25" style="63" customWidth="1"/>
    <col min="2564" max="2564" width="7.625" style="63" customWidth="1"/>
    <col min="2565" max="2565" width="11.125" style="63" customWidth="1"/>
    <col min="2566" max="2566" width="12.875" style="63" customWidth="1"/>
    <col min="2567" max="2567" width="11.125" style="63" customWidth="1"/>
    <col min="2568" max="2568" width="14.625" style="63" customWidth="1"/>
    <col min="2569" max="2569" width="17.25" style="63" customWidth="1"/>
    <col min="2570" max="2570" width="14.625" style="63" customWidth="1"/>
    <col min="2571" max="2571" width="14.75" style="63" customWidth="1"/>
    <col min="2572" max="2817" width="8.75" style="63"/>
    <col min="2818" max="2818" width="7.625" style="63" customWidth="1"/>
    <col min="2819" max="2819" width="52.25" style="63" customWidth="1"/>
    <col min="2820" max="2820" width="7.625" style="63" customWidth="1"/>
    <col min="2821" max="2821" width="11.125" style="63" customWidth="1"/>
    <col min="2822" max="2822" width="12.875" style="63" customWidth="1"/>
    <col min="2823" max="2823" width="11.125" style="63" customWidth="1"/>
    <col min="2824" max="2824" width="14.625" style="63" customWidth="1"/>
    <col min="2825" max="2825" width="17.25" style="63" customWidth="1"/>
    <col min="2826" max="2826" width="14.625" style="63" customWidth="1"/>
    <col min="2827" max="2827" width="14.75" style="63" customWidth="1"/>
    <col min="2828" max="3073" width="8.75" style="63"/>
    <col min="3074" max="3074" width="7.625" style="63" customWidth="1"/>
    <col min="3075" max="3075" width="52.25" style="63" customWidth="1"/>
    <col min="3076" max="3076" width="7.625" style="63" customWidth="1"/>
    <col min="3077" max="3077" width="11.125" style="63" customWidth="1"/>
    <col min="3078" max="3078" width="12.875" style="63" customWidth="1"/>
    <col min="3079" max="3079" width="11.125" style="63" customWidth="1"/>
    <col min="3080" max="3080" width="14.625" style="63" customWidth="1"/>
    <col min="3081" max="3081" width="17.25" style="63" customWidth="1"/>
    <col min="3082" max="3082" width="14.625" style="63" customWidth="1"/>
    <col min="3083" max="3083" width="14.75" style="63" customWidth="1"/>
    <col min="3084" max="3329" width="8.75" style="63"/>
    <col min="3330" max="3330" width="7.625" style="63" customWidth="1"/>
    <col min="3331" max="3331" width="52.25" style="63" customWidth="1"/>
    <col min="3332" max="3332" width="7.625" style="63" customWidth="1"/>
    <col min="3333" max="3333" width="11.125" style="63" customWidth="1"/>
    <col min="3334" max="3334" width="12.875" style="63" customWidth="1"/>
    <col min="3335" max="3335" width="11.125" style="63" customWidth="1"/>
    <col min="3336" max="3336" width="14.625" style="63" customWidth="1"/>
    <col min="3337" max="3337" width="17.25" style="63" customWidth="1"/>
    <col min="3338" max="3338" width="14.625" style="63" customWidth="1"/>
    <col min="3339" max="3339" width="14.75" style="63" customWidth="1"/>
    <col min="3340" max="3585" width="8.75" style="63"/>
    <col min="3586" max="3586" width="7.625" style="63" customWidth="1"/>
    <col min="3587" max="3587" width="52.25" style="63" customWidth="1"/>
    <col min="3588" max="3588" width="7.625" style="63" customWidth="1"/>
    <col min="3589" max="3589" width="11.125" style="63" customWidth="1"/>
    <col min="3590" max="3590" width="12.875" style="63" customWidth="1"/>
    <col min="3591" max="3591" width="11.125" style="63" customWidth="1"/>
    <col min="3592" max="3592" width="14.625" style="63" customWidth="1"/>
    <col min="3593" max="3593" width="17.25" style="63" customWidth="1"/>
    <col min="3594" max="3594" width="14.625" style="63" customWidth="1"/>
    <col min="3595" max="3595" width="14.75" style="63" customWidth="1"/>
    <col min="3596" max="3841" width="8.75" style="63"/>
    <col min="3842" max="3842" width="7.625" style="63" customWidth="1"/>
    <col min="3843" max="3843" width="52.25" style="63" customWidth="1"/>
    <col min="3844" max="3844" width="7.625" style="63" customWidth="1"/>
    <col min="3845" max="3845" width="11.125" style="63" customWidth="1"/>
    <col min="3846" max="3846" width="12.875" style="63" customWidth="1"/>
    <col min="3847" max="3847" width="11.125" style="63" customWidth="1"/>
    <col min="3848" max="3848" width="14.625" style="63" customWidth="1"/>
    <col min="3849" max="3849" width="17.25" style="63" customWidth="1"/>
    <col min="3850" max="3850" width="14.625" style="63" customWidth="1"/>
    <col min="3851" max="3851" width="14.75" style="63" customWidth="1"/>
    <col min="3852" max="4097" width="8.75" style="63"/>
    <col min="4098" max="4098" width="7.625" style="63" customWidth="1"/>
    <col min="4099" max="4099" width="52.25" style="63" customWidth="1"/>
    <col min="4100" max="4100" width="7.625" style="63" customWidth="1"/>
    <col min="4101" max="4101" width="11.125" style="63" customWidth="1"/>
    <col min="4102" max="4102" width="12.875" style="63" customWidth="1"/>
    <col min="4103" max="4103" width="11.125" style="63" customWidth="1"/>
    <col min="4104" max="4104" width="14.625" style="63" customWidth="1"/>
    <col min="4105" max="4105" width="17.25" style="63" customWidth="1"/>
    <col min="4106" max="4106" width="14.625" style="63" customWidth="1"/>
    <col min="4107" max="4107" width="14.75" style="63" customWidth="1"/>
    <col min="4108" max="4353" width="8.75" style="63"/>
    <col min="4354" max="4354" width="7.625" style="63" customWidth="1"/>
    <col min="4355" max="4355" width="52.25" style="63" customWidth="1"/>
    <col min="4356" max="4356" width="7.625" style="63" customWidth="1"/>
    <col min="4357" max="4357" width="11.125" style="63" customWidth="1"/>
    <col min="4358" max="4358" width="12.875" style="63" customWidth="1"/>
    <col min="4359" max="4359" width="11.125" style="63" customWidth="1"/>
    <col min="4360" max="4360" width="14.625" style="63" customWidth="1"/>
    <col min="4361" max="4361" width="17.25" style="63" customWidth="1"/>
    <col min="4362" max="4362" width="14.625" style="63" customWidth="1"/>
    <col min="4363" max="4363" width="14.75" style="63" customWidth="1"/>
    <col min="4364" max="4609" width="8.75" style="63"/>
    <col min="4610" max="4610" width="7.625" style="63" customWidth="1"/>
    <col min="4611" max="4611" width="52.25" style="63" customWidth="1"/>
    <col min="4612" max="4612" width="7.625" style="63" customWidth="1"/>
    <col min="4613" max="4613" width="11.125" style="63" customWidth="1"/>
    <col min="4614" max="4614" width="12.875" style="63" customWidth="1"/>
    <col min="4615" max="4615" width="11.125" style="63" customWidth="1"/>
    <col min="4616" max="4616" width="14.625" style="63" customWidth="1"/>
    <col min="4617" max="4617" width="17.25" style="63" customWidth="1"/>
    <col min="4618" max="4618" width="14.625" style="63" customWidth="1"/>
    <col min="4619" max="4619" width="14.75" style="63" customWidth="1"/>
    <col min="4620" max="4865" width="8.75" style="63"/>
    <col min="4866" max="4866" width="7.625" style="63" customWidth="1"/>
    <col min="4867" max="4867" width="52.25" style="63" customWidth="1"/>
    <col min="4868" max="4868" width="7.625" style="63" customWidth="1"/>
    <col min="4869" max="4869" width="11.125" style="63" customWidth="1"/>
    <col min="4870" max="4870" width="12.875" style="63" customWidth="1"/>
    <col min="4871" max="4871" width="11.125" style="63" customWidth="1"/>
    <col min="4872" max="4872" width="14.625" style="63" customWidth="1"/>
    <col min="4873" max="4873" width="17.25" style="63" customWidth="1"/>
    <col min="4874" max="4874" width="14.625" style="63" customWidth="1"/>
    <col min="4875" max="4875" width="14.75" style="63" customWidth="1"/>
    <col min="4876" max="5121" width="8.75" style="63"/>
    <col min="5122" max="5122" width="7.625" style="63" customWidth="1"/>
    <col min="5123" max="5123" width="52.25" style="63" customWidth="1"/>
    <col min="5124" max="5124" width="7.625" style="63" customWidth="1"/>
    <col min="5125" max="5125" width="11.125" style="63" customWidth="1"/>
    <col min="5126" max="5126" width="12.875" style="63" customWidth="1"/>
    <col min="5127" max="5127" width="11.125" style="63" customWidth="1"/>
    <col min="5128" max="5128" width="14.625" style="63" customWidth="1"/>
    <col min="5129" max="5129" width="17.25" style="63" customWidth="1"/>
    <col min="5130" max="5130" width="14.625" style="63" customWidth="1"/>
    <col min="5131" max="5131" width="14.75" style="63" customWidth="1"/>
    <col min="5132" max="5377" width="8.75" style="63"/>
    <col min="5378" max="5378" width="7.625" style="63" customWidth="1"/>
    <col min="5379" max="5379" width="52.25" style="63" customWidth="1"/>
    <col min="5380" max="5380" width="7.625" style="63" customWidth="1"/>
    <col min="5381" max="5381" width="11.125" style="63" customWidth="1"/>
    <col min="5382" max="5382" width="12.875" style="63" customWidth="1"/>
    <col min="5383" max="5383" width="11.125" style="63" customWidth="1"/>
    <col min="5384" max="5384" width="14.625" style="63" customWidth="1"/>
    <col min="5385" max="5385" width="17.25" style="63" customWidth="1"/>
    <col min="5386" max="5386" width="14.625" style="63" customWidth="1"/>
    <col min="5387" max="5387" width="14.75" style="63" customWidth="1"/>
    <col min="5388" max="5633" width="8.75" style="63"/>
    <col min="5634" max="5634" width="7.625" style="63" customWidth="1"/>
    <col min="5635" max="5635" width="52.25" style="63" customWidth="1"/>
    <col min="5636" max="5636" width="7.625" style="63" customWidth="1"/>
    <col min="5637" max="5637" width="11.125" style="63" customWidth="1"/>
    <col min="5638" max="5638" width="12.875" style="63" customWidth="1"/>
    <col min="5639" max="5639" width="11.125" style="63" customWidth="1"/>
    <col min="5640" max="5640" width="14.625" style="63" customWidth="1"/>
    <col min="5641" max="5641" width="17.25" style="63" customWidth="1"/>
    <col min="5642" max="5642" width="14.625" style="63" customWidth="1"/>
    <col min="5643" max="5643" width="14.75" style="63" customWidth="1"/>
    <col min="5644" max="5889" width="8.75" style="63"/>
    <col min="5890" max="5890" width="7.625" style="63" customWidth="1"/>
    <col min="5891" max="5891" width="52.25" style="63" customWidth="1"/>
    <col min="5892" max="5892" width="7.625" style="63" customWidth="1"/>
    <col min="5893" max="5893" width="11.125" style="63" customWidth="1"/>
    <col min="5894" max="5894" width="12.875" style="63" customWidth="1"/>
    <col min="5895" max="5895" width="11.125" style="63" customWidth="1"/>
    <col min="5896" max="5896" width="14.625" style="63" customWidth="1"/>
    <col min="5897" max="5897" width="17.25" style="63" customWidth="1"/>
    <col min="5898" max="5898" width="14.625" style="63" customWidth="1"/>
    <col min="5899" max="5899" width="14.75" style="63" customWidth="1"/>
    <col min="5900" max="6145" width="8.75" style="63"/>
    <col min="6146" max="6146" width="7.625" style="63" customWidth="1"/>
    <col min="6147" max="6147" width="52.25" style="63" customWidth="1"/>
    <col min="6148" max="6148" width="7.625" style="63" customWidth="1"/>
    <col min="6149" max="6149" width="11.125" style="63" customWidth="1"/>
    <col min="6150" max="6150" width="12.875" style="63" customWidth="1"/>
    <col min="6151" max="6151" width="11.125" style="63" customWidth="1"/>
    <col min="6152" max="6152" width="14.625" style="63" customWidth="1"/>
    <col min="6153" max="6153" width="17.25" style="63" customWidth="1"/>
    <col min="6154" max="6154" width="14.625" style="63" customWidth="1"/>
    <col min="6155" max="6155" width="14.75" style="63" customWidth="1"/>
    <col min="6156" max="6401" width="8.75" style="63"/>
    <col min="6402" max="6402" width="7.625" style="63" customWidth="1"/>
    <col min="6403" max="6403" width="52.25" style="63" customWidth="1"/>
    <col min="6404" max="6404" width="7.625" style="63" customWidth="1"/>
    <col min="6405" max="6405" width="11.125" style="63" customWidth="1"/>
    <col min="6406" max="6406" width="12.875" style="63" customWidth="1"/>
    <col min="6407" max="6407" width="11.125" style="63" customWidth="1"/>
    <col min="6408" max="6408" width="14.625" style="63" customWidth="1"/>
    <col min="6409" max="6409" width="17.25" style="63" customWidth="1"/>
    <col min="6410" max="6410" width="14.625" style="63" customWidth="1"/>
    <col min="6411" max="6411" width="14.75" style="63" customWidth="1"/>
    <col min="6412" max="6657" width="8.75" style="63"/>
    <col min="6658" max="6658" width="7.625" style="63" customWidth="1"/>
    <col min="6659" max="6659" width="52.25" style="63" customWidth="1"/>
    <col min="6660" max="6660" width="7.625" style="63" customWidth="1"/>
    <col min="6661" max="6661" width="11.125" style="63" customWidth="1"/>
    <col min="6662" max="6662" width="12.875" style="63" customWidth="1"/>
    <col min="6663" max="6663" width="11.125" style="63" customWidth="1"/>
    <col min="6664" max="6664" width="14.625" style="63" customWidth="1"/>
    <col min="6665" max="6665" width="17.25" style="63" customWidth="1"/>
    <col min="6666" max="6666" width="14.625" style="63" customWidth="1"/>
    <col min="6667" max="6667" width="14.75" style="63" customWidth="1"/>
    <col min="6668" max="6913" width="8.75" style="63"/>
    <col min="6914" max="6914" width="7.625" style="63" customWidth="1"/>
    <col min="6915" max="6915" width="52.25" style="63" customWidth="1"/>
    <col min="6916" max="6916" width="7.625" style="63" customWidth="1"/>
    <col min="6917" max="6917" width="11.125" style="63" customWidth="1"/>
    <col min="6918" max="6918" width="12.875" style="63" customWidth="1"/>
    <col min="6919" max="6919" width="11.125" style="63" customWidth="1"/>
    <col min="6920" max="6920" width="14.625" style="63" customWidth="1"/>
    <col min="6921" max="6921" width="17.25" style="63" customWidth="1"/>
    <col min="6922" max="6922" width="14.625" style="63" customWidth="1"/>
    <col min="6923" max="6923" width="14.75" style="63" customWidth="1"/>
    <col min="6924" max="7169" width="8.75" style="63"/>
    <col min="7170" max="7170" width="7.625" style="63" customWidth="1"/>
    <col min="7171" max="7171" width="52.25" style="63" customWidth="1"/>
    <col min="7172" max="7172" width="7.625" style="63" customWidth="1"/>
    <col min="7173" max="7173" width="11.125" style="63" customWidth="1"/>
    <col min="7174" max="7174" width="12.875" style="63" customWidth="1"/>
    <col min="7175" max="7175" width="11.125" style="63" customWidth="1"/>
    <col min="7176" max="7176" width="14.625" style="63" customWidth="1"/>
    <col min="7177" max="7177" width="17.25" style="63" customWidth="1"/>
    <col min="7178" max="7178" width="14.625" style="63" customWidth="1"/>
    <col min="7179" max="7179" width="14.75" style="63" customWidth="1"/>
    <col min="7180" max="7425" width="8.75" style="63"/>
    <col min="7426" max="7426" width="7.625" style="63" customWidth="1"/>
    <col min="7427" max="7427" width="52.25" style="63" customWidth="1"/>
    <col min="7428" max="7428" width="7.625" style="63" customWidth="1"/>
    <col min="7429" max="7429" width="11.125" style="63" customWidth="1"/>
    <col min="7430" max="7430" width="12.875" style="63" customWidth="1"/>
    <col min="7431" max="7431" width="11.125" style="63" customWidth="1"/>
    <col min="7432" max="7432" width="14.625" style="63" customWidth="1"/>
    <col min="7433" max="7433" width="17.25" style="63" customWidth="1"/>
    <col min="7434" max="7434" width="14.625" style="63" customWidth="1"/>
    <col min="7435" max="7435" width="14.75" style="63" customWidth="1"/>
    <col min="7436" max="7681" width="8.75" style="63"/>
    <col min="7682" max="7682" width="7.625" style="63" customWidth="1"/>
    <col min="7683" max="7683" width="52.25" style="63" customWidth="1"/>
    <col min="7684" max="7684" width="7.625" style="63" customWidth="1"/>
    <col min="7685" max="7685" width="11.125" style="63" customWidth="1"/>
    <col min="7686" max="7686" width="12.875" style="63" customWidth="1"/>
    <col min="7687" max="7687" width="11.125" style="63" customWidth="1"/>
    <col min="7688" max="7688" width="14.625" style="63" customWidth="1"/>
    <col min="7689" max="7689" width="17.25" style="63" customWidth="1"/>
    <col min="7690" max="7690" width="14.625" style="63" customWidth="1"/>
    <col min="7691" max="7691" width="14.75" style="63" customWidth="1"/>
    <col min="7692" max="7937" width="8.75" style="63"/>
    <col min="7938" max="7938" width="7.625" style="63" customWidth="1"/>
    <col min="7939" max="7939" width="52.25" style="63" customWidth="1"/>
    <col min="7940" max="7940" width="7.625" style="63" customWidth="1"/>
    <col min="7941" max="7941" width="11.125" style="63" customWidth="1"/>
    <col min="7942" max="7942" width="12.875" style="63" customWidth="1"/>
    <col min="7943" max="7943" width="11.125" style="63" customWidth="1"/>
    <col min="7944" max="7944" width="14.625" style="63" customWidth="1"/>
    <col min="7945" max="7945" width="17.25" style="63" customWidth="1"/>
    <col min="7946" max="7946" width="14.625" style="63" customWidth="1"/>
    <col min="7947" max="7947" width="14.75" style="63" customWidth="1"/>
    <col min="7948" max="8193" width="8.75" style="63"/>
    <col min="8194" max="8194" width="7.625" style="63" customWidth="1"/>
    <col min="8195" max="8195" width="52.25" style="63" customWidth="1"/>
    <col min="8196" max="8196" width="7.625" style="63" customWidth="1"/>
    <col min="8197" max="8197" width="11.125" style="63" customWidth="1"/>
    <col min="8198" max="8198" width="12.875" style="63" customWidth="1"/>
    <col min="8199" max="8199" width="11.125" style="63" customWidth="1"/>
    <col min="8200" max="8200" width="14.625" style="63" customWidth="1"/>
    <col min="8201" max="8201" width="17.25" style="63" customWidth="1"/>
    <col min="8202" max="8202" width="14.625" style="63" customWidth="1"/>
    <col min="8203" max="8203" width="14.75" style="63" customWidth="1"/>
    <col min="8204" max="8449" width="8.75" style="63"/>
    <col min="8450" max="8450" width="7.625" style="63" customWidth="1"/>
    <col min="8451" max="8451" width="52.25" style="63" customWidth="1"/>
    <col min="8452" max="8452" width="7.625" style="63" customWidth="1"/>
    <col min="8453" max="8453" width="11.125" style="63" customWidth="1"/>
    <col min="8454" max="8454" width="12.875" style="63" customWidth="1"/>
    <col min="8455" max="8455" width="11.125" style="63" customWidth="1"/>
    <col min="8456" max="8456" width="14.625" style="63" customWidth="1"/>
    <col min="8457" max="8457" width="17.25" style="63" customWidth="1"/>
    <col min="8458" max="8458" width="14.625" style="63" customWidth="1"/>
    <col min="8459" max="8459" width="14.75" style="63" customWidth="1"/>
    <col min="8460" max="8705" width="8.75" style="63"/>
    <col min="8706" max="8706" width="7.625" style="63" customWidth="1"/>
    <col min="8707" max="8707" width="52.25" style="63" customWidth="1"/>
    <col min="8708" max="8708" width="7.625" style="63" customWidth="1"/>
    <col min="8709" max="8709" width="11.125" style="63" customWidth="1"/>
    <col min="8710" max="8710" width="12.875" style="63" customWidth="1"/>
    <col min="8711" max="8711" width="11.125" style="63" customWidth="1"/>
    <col min="8712" max="8712" width="14.625" style="63" customWidth="1"/>
    <col min="8713" max="8713" width="17.25" style="63" customWidth="1"/>
    <col min="8714" max="8714" width="14.625" style="63" customWidth="1"/>
    <col min="8715" max="8715" width="14.75" style="63" customWidth="1"/>
    <col min="8716" max="8961" width="8.75" style="63"/>
    <col min="8962" max="8962" width="7.625" style="63" customWidth="1"/>
    <col min="8963" max="8963" width="52.25" style="63" customWidth="1"/>
    <col min="8964" max="8964" width="7.625" style="63" customWidth="1"/>
    <col min="8965" max="8965" width="11.125" style="63" customWidth="1"/>
    <col min="8966" max="8966" width="12.875" style="63" customWidth="1"/>
    <col min="8967" max="8967" width="11.125" style="63" customWidth="1"/>
    <col min="8968" max="8968" width="14.625" style="63" customWidth="1"/>
    <col min="8969" max="8969" width="17.25" style="63" customWidth="1"/>
    <col min="8970" max="8970" width="14.625" style="63" customWidth="1"/>
    <col min="8971" max="8971" width="14.75" style="63" customWidth="1"/>
    <col min="8972" max="9217" width="8.75" style="63"/>
    <col min="9218" max="9218" width="7.625" style="63" customWidth="1"/>
    <col min="9219" max="9219" width="52.25" style="63" customWidth="1"/>
    <col min="9220" max="9220" width="7.625" style="63" customWidth="1"/>
    <col min="9221" max="9221" width="11.125" style="63" customWidth="1"/>
    <col min="9222" max="9222" width="12.875" style="63" customWidth="1"/>
    <col min="9223" max="9223" width="11.125" style="63" customWidth="1"/>
    <col min="9224" max="9224" width="14.625" style="63" customWidth="1"/>
    <col min="9225" max="9225" width="17.25" style="63" customWidth="1"/>
    <col min="9226" max="9226" width="14.625" style="63" customWidth="1"/>
    <col min="9227" max="9227" width="14.75" style="63" customWidth="1"/>
    <col min="9228" max="9473" width="8.75" style="63"/>
    <col min="9474" max="9474" width="7.625" style="63" customWidth="1"/>
    <col min="9475" max="9475" width="52.25" style="63" customWidth="1"/>
    <col min="9476" max="9476" width="7.625" style="63" customWidth="1"/>
    <col min="9477" max="9477" width="11.125" style="63" customWidth="1"/>
    <col min="9478" max="9478" width="12.875" style="63" customWidth="1"/>
    <col min="9479" max="9479" width="11.125" style="63" customWidth="1"/>
    <col min="9480" max="9480" width="14.625" style="63" customWidth="1"/>
    <col min="9481" max="9481" width="17.25" style="63" customWidth="1"/>
    <col min="9482" max="9482" width="14.625" style="63" customWidth="1"/>
    <col min="9483" max="9483" width="14.75" style="63" customWidth="1"/>
    <col min="9484" max="9729" width="8.75" style="63"/>
    <col min="9730" max="9730" width="7.625" style="63" customWidth="1"/>
    <col min="9731" max="9731" width="52.25" style="63" customWidth="1"/>
    <col min="9732" max="9732" width="7.625" style="63" customWidth="1"/>
    <col min="9733" max="9733" width="11.125" style="63" customWidth="1"/>
    <col min="9734" max="9734" width="12.875" style="63" customWidth="1"/>
    <col min="9735" max="9735" width="11.125" style="63" customWidth="1"/>
    <col min="9736" max="9736" width="14.625" style="63" customWidth="1"/>
    <col min="9737" max="9737" width="17.25" style="63" customWidth="1"/>
    <col min="9738" max="9738" width="14.625" style="63" customWidth="1"/>
    <col min="9739" max="9739" width="14.75" style="63" customWidth="1"/>
    <col min="9740" max="9985" width="8.75" style="63"/>
    <col min="9986" max="9986" width="7.625" style="63" customWidth="1"/>
    <col min="9987" max="9987" width="52.25" style="63" customWidth="1"/>
    <col min="9988" max="9988" width="7.625" style="63" customWidth="1"/>
    <col min="9989" max="9989" width="11.125" style="63" customWidth="1"/>
    <col min="9990" max="9990" width="12.875" style="63" customWidth="1"/>
    <col min="9991" max="9991" width="11.125" style="63" customWidth="1"/>
    <col min="9992" max="9992" width="14.625" style="63" customWidth="1"/>
    <col min="9993" max="9993" width="17.25" style="63" customWidth="1"/>
    <col min="9994" max="9994" width="14.625" style="63" customWidth="1"/>
    <col min="9995" max="9995" width="14.75" style="63" customWidth="1"/>
    <col min="9996" max="10241" width="8.75" style="63"/>
    <col min="10242" max="10242" width="7.625" style="63" customWidth="1"/>
    <col min="10243" max="10243" width="52.25" style="63" customWidth="1"/>
    <col min="10244" max="10244" width="7.625" style="63" customWidth="1"/>
    <col min="10245" max="10245" width="11.125" style="63" customWidth="1"/>
    <col min="10246" max="10246" width="12.875" style="63" customWidth="1"/>
    <col min="10247" max="10247" width="11.125" style="63" customWidth="1"/>
    <col min="10248" max="10248" width="14.625" style="63" customWidth="1"/>
    <col min="10249" max="10249" width="17.25" style="63" customWidth="1"/>
    <col min="10250" max="10250" width="14.625" style="63" customWidth="1"/>
    <col min="10251" max="10251" width="14.75" style="63" customWidth="1"/>
    <col min="10252" max="10497" width="8.75" style="63"/>
    <col min="10498" max="10498" width="7.625" style="63" customWidth="1"/>
    <col min="10499" max="10499" width="52.25" style="63" customWidth="1"/>
    <col min="10500" max="10500" width="7.625" style="63" customWidth="1"/>
    <col min="10501" max="10501" width="11.125" style="63" customWidth="1"/>
    <col min="10502" max="10502" width="12.875" style="63" customWidth="1"/>
    <col min="10503" max="10503" width="11.125" style="63" customWidth="1"/>
    <col min="10504" max="10504" width="14.625" style="63" customWidth="1"/>
    <col min="10505" max="10505" width="17.25" style="63" customWidth="1"/>
    <col min="10506" max="10506" width="14.625" style="63" customWidth="1"/>
    <col min="10507" max="10507" width="14.75" style="63" customWidth="1"/>
    <col min="10508" max="10753" width="8.75" style="63"/>
    <col min="10754" max="10754" width="7.625" style="63" customWidth="1"/>
    <col min="10755" max="10755" width="52.25" style="63" customWidth="1"/>
    <col min="10756" max="10756" width="7.625" style="63" customWidth="1"/>
    <col min="10757" max="10757" width="11.125" style="63" customWidth="1"/>
    <col min="10758" max="10758" width="12.875" style="63" customWidth="1"/>
    <col min="10759" max="10759" width="11.125" style="63" customWidth="1"/>
    <col min="10760" max="10760" width="14.625" style="63" customWidth="1"/>
    <col min="10761" max="10761" width="17.25" style="63" customWidth="1"/>
    <col min="10762" max="10762" width="14.625" style="63" customWidth="1"/>
    <col min="10763" max="10763" width="14.75" style="63" customWidth="1"/>
    <col min="10764" max="11009" width="8.75" style="63"/>
    <col min="11010" max="11010" width="7.625" style="63" customWidth="1"/>
    <col min="11011" max="11011" width="52.25" style="63" customWidth="1"/>
    <col min="11012" max="11012" width="7.625" style="63" customWidth="1"/>
    <col min="11013" max="11013" width="11.125" style="63" customWidth="1"/>
    <col min="11014" max="11014" width="12.875" style="63" customWidth="1"/>
    <col min="11015" max="11015" width="11.125" style="63" customWidth="1"/>
    <col min="11016" max="11016" width="14.625" style="63" customWidth="1"/>
    <col min="11017" max="11017" width="17.25" style="63" customWidth="1"/>
    <col min="11018" max="11018" width="14.625" style="63" customWidth="1"/>
    <col min="11019" max="11019" width="14.75" style="63" customWidth="1"/>
    <col min="11020" max="11265" width="8.75" style="63"/>
    <col min="11266" max="11266" width="7.625" style="63" customWidth="1"/>
    <col min="11267" max="11267" width="52.25" style="63" customWidth="1"/>
    <col min="11268" max="11268" width="7.625" style="63" customWidth="1"/>
    <col min="11269" max="11269" width="11.125" style="63" customWidth="1"/>
    <col min="11270" max="11270" width="12.875" style="63" customWidth="1"/>
    <col min="11271" max="11271" width="11.125" style="63" customWidth="1"/>
    <col min="11272" max="11272" width="14.625" style="63" customWidth="1"/>
    <col min="11273" max="11273" width="17.25" style="63" customWidth="1"/>
    <col min="11274" max="11274" width="14.625" style="63" customWidth="1"/>
    <col min="11275" max="11275" width="14.75" style="63" customWidth="1"/>
    <col min="11276" max="11521" width="8.75" style="63"/>
    <col min="11522" max="11522" width="7.625" style="63" customWidth="1"/>
    <col min="11523" max="11523" width="52.25" style="63" customWidth="1"/>
    <col min="11524" max="11524" width="7.625" style="63" customWidth="1"/>
    <col min="11525" max="11525" width="11.125" style="63" customWidth="1"/>
    <col min="11526" max="11526" width="12.875" style="63" customWidth="1"/>
    <col min="11527" max="11527" width="11.125" style="63" customWidth="1"/>
    <col min="11528" max="11528" width="14.625" style="63" customWidth="1"/>
    <col min="11529" max="11529" width="17.25" style="63" customWidth="1"/>
    <col min="11530" max="11530" width="14.625" style="63" customWidth="1"/>
    <col min="11531" max="11531" width="14.75" style="63" customWidth="1"/>
    <col min="11532" max="11777" width="8.75" style="63"/>
    <col min="11778" max="11778" width="7.625" style="63" customWidth="1"/>
    <col min="11779" max="11779" width="52.25" style="63" customWidth="1"/>
    <col min="11780" max="11780" width="7.625" style="63" customWidth="1"/>
    <col min="11781" max="11781" width="11.125" style="63" customWidth="1"/>
    <col min="11782" max="11782" width="12.875" style="63" customWidth="1"/>
    <col min="11783" max="11783" width="11.125" style="63" customWidth="1"/>
    <col min="11784" max="11784" width="14.625" style="63" customWidth="1"/>
    <col min="11785" max="11785" width="17.25" style="63" customWidth="1"/>
    <col min="11786" max="11786" width="14.625" style="63" customWidth="1"/>
    <col min="11787" max="11787" width="14.75" style="63" customWidth="1"/>
    <col min="11788" max="12033" width="8.75" style="63"/>
    <col min="12034" max="12034" width="7.625" style="63" customWidth="1"/>
    <col min="12035" max="12035" width="52.25" style="63" customWidth="1"/>
    <col min="12036" max="12036" width="7.625" style="63" customWidth="1"/>
    <col min="12037" max="12037" width="11.125" style="63" customWidth="1"/>
    <col min="12038" max="12038" width="12.875" style="63" customWidth="1"/>
    <col min="12039" max="12039" width="11.125" style="63" customWidth="1"/>
    <col min="12040" max="12040" width="14.625" style="63" customWidth="1"/>
    <col min="12041" max="12041" width="17.25" style="63" customWidth="1"/>
    <col min="12042" max="12042" width="14.625" style="63" customWidth="1"/>
    <col min="12043" max="12043" width="14.75" style="63" customWidth="1"/>
    <col min="12044" max="12289" width="8.75" style="63"/>
    <col min="12290" max="12290" width="7.625" style="63" customWidth="1"/>
    <col min="12291" max="12291" width="52.25" style="63" customWidth="1"/>
    <col min="12292" max="12292" width="7.625" style="63" customWidth="1"/>
    <col min="12293" max="12293" width="11.125" style="63" customWidth="1"/>
    <col min="12294" max="12294" width="12.875" style="63" customWidth="1"/>
    <col min="12295" max="12295" width="11.125" style="63" customWidth="1"/>
    <col min="12296" max="12296" width="14.625" style="63" customWidth="1"/>
    <col min="12297" max="12297" width="17.25" style="63" customWidth="1"/>
    <col min="12298" max="12298" width="14.625" style="63" customWidth="1"/>
    <col min="12299" max="12299" width="14.75" style="63" customWidth="1"/>
    <col min="12300" max="12545" width="8.75" style="63"/>
    <col min="12546" max="12546" width="7.625" style="63" customWidth="1"/>
    <col min="12547" max="12547" width="52.25" style="63" customWidth="1"/>
    <col min="12548" max="12548" width="7.625" style="63" customWidth="1"/>
    <col min="12549" max="12549" width="11.125" style="63" customWidth="1"/>
    <col min="12550" max="12550" width="12.875" style="63" customWidth="1"/>
    <col min="12551" max="12551" width="11.125" style="63" customWidth="1"/>
    <col min="12552" max="12552" width="14.625" style="63" customWidth="1"/>
    <col min="12553" max="12553" width="17.25" style="63" customWidth="1"/>
    <col min="12554" max="12554" width="14.625" style="63" customWidth="1"/>
    <col min="12555" max="12555" width="14.75" style="63" customWidth="1"/>
    <col min="12556" max="12801" width="8.75" style="63"/>
    <col min="12802" max="12802" width="7.625" style="63" customWidth="1"/>
    <col min="12803" max="12803" width="52.25" style="63" customWidth="1"/>
    <col min="12804" max="12804" width="7.625" style="63" customWidth="1"/>
    <col min="12805" max="12805" width="11.125" style="63" customWidth="1"/>
    <col min="12806" max="12806" width="12.875" style="63" customWidth="1"/>
    <col min="12807" max="12807" width="11.125" style="63" customWidth="1"/>
    <col min="12808" max="12808" width="14.625" style="63" customWidth="1"/>
    <col min="12809" max="12809" width="17.25" style="63" customWidth="1"/>
    <col min="12810" max="12810" width="14.625" style="63" customWidth="1"/>
    <col min="12811" max="12811" width="14.75" style="63" customWidth="1"/>
    <col min="12812" max="13057" width="8.75" style="63"/>
    <col min="13058" max="13058" width="7.625" style="63" customWidth="1"/>
    <col min="13059" max="13059" width="52.25" style="63" customWidth="1"/>
    <col min="13060" max="13060" width="7.625" style="63" customWidth="1"/>
    <col min="13061" max="13061" width="11.125" style="63" customWidth="1"/>
    <col min="13062" max="13062" width="12.875" style="63" customWidth="1"/>
    <col min="13063" max="13063" width="11.125" style="63" customWidth="1"/>
    <col min="13064" max="13064" width="14.625" style="63" customWidth="1"/>
    <col min="13065" max="13065" width="17.25" style="63" customWidth="1"/>
    <col min="13066" max="13066" width="14.625" style="63" customWidth="1"/>
    <col min="13067" max="13067" width="14.75" style="63" customWidth="1"/>
    <col min="13068" max="13313" width="8.75" style="63"/>
    <col min="13314" max="13314" width="7.625" style="63" customWidth="1"/>
    <col min="13315" max="13315" width="52.25" style="63" customWidth="1"/>
    <col min="13316" max="13316" width="7.625" style="63" customWidth="1"/>
    <col min="13317" max="13317" width="11.125" style="63" customWidth="1"/>
    <col min="13318" max="13318" width="12.875" style="63" customWidth="1"/>
    <col min="13319" max="13319" width="11.125" style="63" customWidth="1"/>
    <col min="13320" max="13320" width="14.625" style="63" customWidth="1"/>
    <col min="13321" max="13321" width="17.25" style="63" customWidth="1"/>
    <col min="13322" max="13322" width="14.625" style="63" customWidth="1"/>
    <col min="13323" max="13323" width="14.75" style="63" customWidth="1"/>
    <col min="13324" max="13569" width="8.75" style="63"/>
    <col min="13570" max="13570" width="7.625" style="63" customWidth="1"/>
    <col min="13571" max="13571" width="52.25" style="63" customWidth="1"/>
    <col min="13572" max="13572" width="7.625" style="63" customWidth="1"/>
    <col min="13573" max="13573" width="11.125" style="63" customWidth="1"/>
    <col min="13574" max="13574" width="12.875" style="63" customWidth="1"/>
    <col min="13575" max="13575" width="11.125" style="63" customWidth="1"/>
    <col min="13576" max="13576" width="14.625" style="63" customWidth="1"/>
    <col min="13577" max="13577" width="17.25" style="63" customWidth="1"/>
    <col min="13578" max="13578" width="14.625" style="63" customWidth="1"/>
    <col min="13579" max="13579" width="14.75" style="63" customWidth="1"/>
    <col min="13580" max="13825" width="8.75" style="63"/>
    <col min="13826" max="13826" width="7.625" style="63" customWidth="1"/>
    <col min="13827" max="13827" width="52.25" style="63" customWidth="1"/>
    <col min="13828" max="13828" width="7.625" style="63" customWidth="1"/>
    <col min="13829" max="13829" width="11.125" style="63" customWidth="1"/>
    <col min="13830" max="13830" width="12.875" style="63" customWidth="1"/>
    <col min="13831" max="13831" width="11.125" style="63" customWidth="1"/>
    <col min="13832" max="13832" width="14.625" style="63" customWidth="1"/>
    <col min="13833" max="13833" width="17.25" style="63" customWidth="1"/>
    <col min="13834" max="13834" width="14.625" style="63" customWidth="1"/>
    <col min="13835" max="13835" width="14.75" style="63" customWidth="1"/>
    <col min="13836" max="14081" width="8.75" style="63"/>
    <col min="14082" max="14082" width="7.625" style="63" customWidth="1"/>
    <col min="14083" max="14083" width="52.25" style="63" customWidth="1"/>
    <col min="14084" max="14084" width="7.625" style="63" customWidth="1"/>
    <col min="14085" max="14085" width="11.125" style="63" customWidth="1"/>
    <col min="14086" max="14086" width="12.875" style="63" customWidth="1"/>
    <col min="14087" max="14087" width="11.125" style="63" customWidth="1"/>
    <col min="14088" max="14088" width="14.625" style="63" customWidth="1"/>
    <col min="14089" max="14089" width="17.25" style="63" customWidth="1"/>
    <col min="14090" max="14090" width="14.625" style="63" customWidth="1"/>
    <col min="14091" max="14091" width="14.75" style="63" customWidth="1"/>
    <col min="14092" max="14337" width="8.75" style="63"/>
    <col min="14338" max="14338" width="7.625" style="63" customWidth="1"/>
    <col min="14339" max="14339" width="52.25" style="63" customWidth="1"/>
    <col min="14340" max="14340" width="7.625" style="63" customWidth="1"/>
    <col min="14341" max="14341" width="11.125" style="63" customWidth="1"/>
    <col min="14342" max="14342" width="12.875" style="63" customWidth="1"/>
    <col min="14343" max="14343" width="11.125" style="63" customWidth="1"/>
    <col min="14344" max="14344" width="14.625" style="63" customWidth="1"/>
    <col min="14345" max="14345" width="17.25" style="63" customWidth="1"/>
    <col min="14346" max="14346" width="14.625" style="63" customWidth="1"/>
    <col min="14347" max="14347" width="14.75" style="63" customWidth="1"/>
    <col min="14348" max="14593" width="8.75" style="63"/>
    <col min="14594" max="14594" width="7.625" style="63" customWidth="1"/>
    <col min="14595" max="14595" width="52.25" style="63" customWidth="1"/>
    <col min="14596" max="14596" width="7.625" style="63" customWidth="1"/>
    <col min="14597" max="14597" width="11.125" style="63" customWidth="1"/>
    <col min="14598" max="14598" width="12.875" style="63" customWidth="1"/>
    <col min="14599" max="14599" width="11.125" style="63" customWidth="1"/>
    <col min="14600" max="14600" width="14.625" style="63" customWidth="1"/>
    <col min="14601" max="14601" width="17.25" style="63" customWidth="1"/>
    <col min="14602" max="14602" width="14.625" style="63" customWidth="1"/>
    <col min="14603" max="14603" width="14.75" style="63" customWidth="1"/>
    <col min="14604" max="14849" width="8.75" style="63"/>
    <col min="14850" max="14850" width="7.625" style="63" customWidth="1"/>
    <col min="14851" max="14851" width="52.25" style="63" customWidth="1"/>
    <col min="14852" max="14852" width="7.625" style="63" customWidth="1"/>
    <col min="14853" max="14853" width="11.125" style="63" customWidth="1"/>
    <col min="14854" max="14854" width="12.875" style="63" customWidth="1"/>
    <col min="14855" max="14855" width="11.125" style="63" customWidth="1"/>
    <col min="14856" max="14856" width="14.625" style="63" customWidth="1"/>
    <col min="14857" max="14857" width="17.25" style="63" customWidth="1"/>
    <col min="14858" max="14858" width="14.625" style="63" customWidth="1"/>
    <col min="14859" max="14859" width="14.75" style="63" customWidth="1"/>
    <col min="14860" max="15105" width="8.75" style="63"/>
    <col min="15106" max="15106" width="7.625" style="63" customWidth="1"/>
    <col min="15107" max="15107" width="52.25" style="63" customWidth="1"/>
    <col min="15108" max="15108" width="7.625" style="63" customWidth="1"/>
    <col min="15109" max="15109" width="11.125" style="63" customWidth="1"/>
    <col min="15110" max="15110" width="12.875" style="63" customWidth="1"/>
    <col min="15111" max="15111" width="11.125" style="63" customWidth="1"/>
    <col min="15112" max="15112" width="14.625" style="63" customWidth="1"/>
    <col min="15113" max="15113" width="17.25" style="63" customWidth="1"/>
    <col min="15114" max="15114" width="14.625" style="63" customWidth="1"/>
    <col min="15115" max="15115" width="14.75" style="63" customWidth="1"/>
    <col min="15116" max="15361" width="8.75" style="63"/>
    <col min="15362" max="15362" width="7.625" style="63" customWidth="1"/>
    <col min="15363" max="15363" width="52.25" style="63" customWidth="1"/>
    <col min="15364" max="15364" width="7.625" style="63" customWidth="1"/>
    <col min="15365" max="15365" width="11.125" style="63" customWidth="1"/>
    <col min="15366" max="15366" width="12.875" style="63" customWidth="1"/>
    <col min="15367" max="15367" width="11.125" style="63" customWidth="1"/>
    <col min="15368" max="15368" width="14.625" style="63" customWidth="1"/>
    <col min="15369" max="15369" width="17.25" style="63" customWidth="1"/>
    <col min="15370" max="15370" width="14.625" style="63" customWidth="1"/>
    <col min="15371" max="15371" width="14.75" style="63" customWidth="1"/>
    <col min="15372" max="15617" width="8.75" style="63"/>
    <col min="15618" max="15618" width="7.625" style="63" customWidth="1"/>
    <col min="15619" max="15619" width="52.25" style="63" customWidth="1"/>
    <col min="15620" max="15620" width="7.625" style="63" customWidth="1"/>
    <col min="15621" max="15621" width="11.125" style="63" customWidth="1"/>
    <col min="15622" max="15622" width="12.875" style="63" customWidth="1"/>
    <col min="15623" max="15623" width="11.125" style="63" customWidth="1"/>
    <col min="15624" max="15624" width="14.625" style="63" customWidth="1"/>
    <col min="15625" max="15625" width="17.25" style="63" customWidth="1"/>
    <col min="15626" max="15626" width="14.625" style="63" customWidth="1"/>
    <col min="15627" max="15627" width="14.75" style="63" customWidth="1"/>
    <col min="15628" max="15873" width="8.75" style="63"/>
    <col min="15874" max="15874" width="7.625" style="63" customWidth="1"/>
    <col min="15875" max="15875" width="52.25" style="63" customWidth="1"/>
    <col min="15876" max="15876" width="7.625" style="63" customWidth="1"/>
    <col min="15877" max="15877" width="11.125" style="63" customWidth="1"/>
    <col min="15878" max="15878" width="12.875" style="63" customWidth="1"/>
    <col min="15879" max="15879" width="11.125" style="63" customWidth="1"/>
    <col min="15880" max="15880" width="14.625" style="63" customWidth="1"/>
    <col min="15881" max="15881" width="17.25" style="63" customWidth="1"/>
    <col min="15882" max="15882" width="14.625" style="63" customWidth="1"/>
    <col min="15883" max="15883" width="14.75" style="63" customWidth="1"/>
    <col min="15884" max="16129" width="8.75" style="63"/>
    <col min="16130" max="16130" width="7.625" style="63" customWidth="1"/>
    <col min="16131" max="16131" width="52.25" style="63" customWidth="1"/>
    <col min="16132" max="16132" width="7.625" style="63" customWidth="1"/>
    <col min="16133" max="16133" width="11.125" style="63" customWidth="1"/>
    <col min="16134" max="16134" width="12.875" style="63" customWidth="1"/>
    <col min="16135" max="16135" width="11.125" style="63" customWidth="1"/>
    <col min="16136" max="16136" width="14.625" style="63" customWidth="1"/>
    <col min="16137" max="16137" width="17.25" style="63" customWidth="1"/>
    <col min="16138" max="16138" width="14.625" style="63" customWidth="1"/>
    <col min="16139" max="16139" width="14.75" style="63" customWidth="1"/>
    <col min="16140" max="16384" width="8.75" style="63"/>
  </cols>
  <sheetData>
    <row r="1" spans="1:16" ht="14.25">
      <c r="B1" s="81" t="s">
        <v>1</v>
      </c>
      <c r="C1" s="82"/>
      <c r="D1" s="83"/>
      <c r="E1" s="84"/>
      <c r="F1" s="63"/>
      <c r="G1" s="63"/>
      <c r="H1" s="85"/>
      <c r="I1" s="63"/>
      <c r="J1" s="63"/>
    </row>
    <row r="2" spans="1:16" ht="14.25">
      <c r="B2" s="81" t="s">
        <v>1376</v>
      </c>
      <c r="C2" s="82"/>
      <c r="D2" s="86"/>
      <c r="E2" s="84"/>
      <c r="F2" s="63"/>
      <c r="G2" s="63"/>
      <c r="H2" s="63"/>
      <c r="I2" s="87"/>
      <c r="J2" s="88"/>
    </row>
    <row r="3" spans="1:16" ht="15">
      <c r="B3" s="89" t="s">
        <v>3</v>
      </c>
      <c r="C3" s="82"/>
      <c r="D3" s="86"/>
      <c r="E3" s="84"/>
      <c r="F3" s="63"/>
      <c r="G3" s="63"/>
      <c r="H3" s="63"/>
      <c r="I3" s="87"/>
      <c r="J3" s="88"/>
    </row>
    <row r="4" spans="1:16" ht="13.5" thickBot="1">
      <c r="B4" s="90"/>
      <c r="C4" s="82"/>
      <c r="D4" s="86"/>
      <c r="E4" s="84"/>
      <c r="F4" s="63"/>
      <c r="G4" s="63"/>
      <c r="H4" s="63"/>
      <c r="I4" s="87"/>
      <c r="J4" s="63"/>
    </row>
    <row r="5" spans="1:16" s="16" customFormat="1" ht="26.45" customHeight="1">
      <c r="A5" s="91"/>
      <c r="B5" s="203" t="s">
        <v>4</v>
      </c>
      <c r="C5" s="205" t="s">
        <v>5</v>
      </c>
      <c r="D5" s="205" t="s">
        <v>6</v>
      </c>
      <c r="E5" s="205" t="s">
        <v>7</v>
      </c>
      <c r="F5" s="207" t="s">
        <v>8</v>
      </c>
      <c r="G5" s="208"/>
      <c r="H5" s="209" t="s">
        <v>9</v>
      </c>
      <c r="I5" s="199" t="s">
        <v>10</v>
      </c>
      <c r="J5" s="201" t="s">
        <v>11</v>
      </c>
    </row>
    <row r="6" spans="1:16" s="16" customFormat="1" ht="13.5" thickBot="1">
      <c r="A6" s="91"/>
      <c r="B6" s="204"/>
      <c r="C6" s="206"/>
      <c r="D6" s="206"/>
      <c r="E6" s="206"/>
      <c r="F6" s="179" t="s">
        <v>12</v>
      </c>
      <c r="G6" s="179" t="s">
        <v>13</v>
      </c>
      <c r="H6" s="210"/>
      <c r="I6" s="200"/>
      <c r="J6" s="202"/>
    </row>
    <row r="7" spans="1:16" s="16" customFormat="1" ht="26.25">
      <c r="A7" s="91"/>
      <c r="B7" s="92"/>
      <c r="C7" s="93" t="s">
        <v>14</v>
      </c>
      <c r="D7" s="94"/>
      <c r="E7" s="95"/>
      <c r="F7" s="96"/>
      <c r="G7" s="97"/>
      <c r="H7" s="97"/>
      <c r="I7" s="98"/>
      <c r="J7" s="99"/>
    </row>
    <row r="8" spans="1:16" s="16" customFormat="1" ht="102">
      <c r="A8" s="91"/>
      <c r="B8" s="92"/>
      <c r="C8" s="341" t="s">
        <v>15</v>
      </c>
      <c r="D8" s="94"/>
      <c r="E8" s="95"/>
      <c r="F8" s="96"/>
      <c r="G8" s="97"/>
      <c r="H8" s="97"/>
      <c r="I8" s="98"/>
      <c r="J8" s="99"/>
    </row>
    <row r="9" spans="1:16" s="33" customFormat="1" ht="26.25">
      <c r="A9" s="100"/>
      <c r="B9" s="101" t="s">
        <v>16</v>
      </c>
      <c r="C9" s="163" t="s">
        <v>17</v>
      </c>
      <c r="D9" s="342"/>
      <c r="E9" s="343"/>
      <c r="F9" s="344"/>
      <c r="G9" s="344"/>
      <c r="H9" s="344"/>
      <c r="I9" s="344">
        <f>SUBTOTAL(9,I10:I2523)</f>
        <v>95483877789</v>
      </c>
      <c r="J9" s="102"/>
      <c r="M9" s="33" t="s">
        <v>16</v>
      </c>
      <c r="P9" s="33" t="s">
        <v>16</v>
      </c>
    </row>
    <row r="10" spans="1:16" s="16" customFormat="1" ht="26.25" outlineLevel="1">
      <c r="A10" s="91"/>
      <c r="B10" s="28" t="s">
        <v>18</v>
      </c>
      <c r="C10" s="155" t="s">
        <v>19</v>
      </c>
      <c r="D10" s="221"/>
      <c r="E10" s="345"/>
      <c r="F10" s="346"/>
      <c r="G10" s="346"/>
      <c r="H10" s="346"/>
      <c r="I10" s="224">
        <f>SUBTOTAL(9,I11:I1094)</f>
        <v>40055310432</v>
      </c>
      <c r="J10" s="103"/>
      <c r="M10" s="33" t="s">
        <v>18</v>
      </c>
      <c r="O10" s="16" t="s">
        <v>18</v>
      </c>
    </row>
    <row r="11" spans="1:16" s="16" customFormat="1" ht="26.25" outlineLevel="2">
      <c r="A11" s="91"/>
      <c r="B11" s="30" t="s">
        <v>20</v>
      </c>
      <c r="C11" s="104" t="s">
        <v>21</v>
      </c>
      <c r="D11" s="212"/>
      <c r="E11" s="105"/>
      <c r="F11" s="276"/>
      <c r="G11" s="276"/>
      <c r="H11" s="276"/>
      <c r="I11" s="180">
        <f>SUBTOTAL(9,I12:I81)</f>
        <v>7734826266</v>
      </c>
      <c r="J11" s="48"/>
      <c r="M11" s="33" t="s">
        <v>20</v>
      </c>
      <c r="N11" s="16" t="s">
        <v>20</v>
      </c>
    </row>
    <row r="12" spans="1:16" s="33" customFormat="1" ht="27" outlineLevel="3">
      <c r="A12" s="100"/>
      <c r="B12" s="106" t="s">
        <v>22</v>
      </c>
      <c r="C12" s="347" t="s">
        <v>23</v>
      </c>
      <c r="D12" s="348"/>
      <c r="E12" s="349"/>
      <c r="F12" s="326"/>
      <c r="G12" s="326"/>
      <c r="H12" s="326"/>
      <c r="I12" s="180">
        <f>SUBTOTAL(9,I13:I42)</f>
        <v>1358855861</v>
      </c>
      <c r="J12" s="107"/>
    </row>
    <row r="13" spans="1:16" s="16" customFormat="1" ht="25.5" outlineLevel="3">
      <c r="A13" s="91"/>
      <c r="B13" s="35">
        <f>MAXA(B$5:B12)+1</f>
        <v>1</v>
      </c>
      <c r="C13" s="139" t="s">
        <v>1377</v>
      </c>
      <c r="D13" s="136" t="s">
        <v>44</v>
      </c>
      <c r="E13" s="137">
        <v>1</v>
      </c>
      <c r="F13" s="232">
        <v>11844495</v>
      </c>
      <c r="G13" s="232">
        <v>2084250</v>
      </c>
      <c r="H13" s="138">
        <f t="shared" ref="H13:H42" si="0">G13+F13</f>
        <v>13928745</v>
      </c>
      <c r="I13" s="138">
        <f t="shared" ref="I13:I42" si="1">H13*E13</f>
        <v>13928745</v>
      </c>
      <c r="J13" s="108"/>
    </row>
    <row r="14" spans="1:16" s="16" customFormat="1" ht="25.5" outlineLevel="3">
      <c r="A14" s="91"/>
      <c r="B14" s="35">
        <f>MAXA(B$5:B13)+1</f>
        <v>2</v>
      </c>
      <c r="C14" s="350" t="s">
        <v>1378</v>
      </c>
      <c r="D14" s="136" t="s">
        <v>44</v>
      </c>
      <c r="E14" s="137">
        <v>4</v>
      </c>
      <c r="F14" s="232">
        <v>1114776</v>
      </c>
      <c r="G14" s="232">
        <v>312638</v>
      </c>
      <c r="H14" s="138">
        <f t="shared" si="0"/>
        <v>1427414</v>
      </c>
      <c r="I14" s="138">
        <f t="shared" si="1"/>
        <v>5709656</v>
      </c>
      <c r="J14" s="108"/>
    </row>
    <row r="15" spans="1:16" s="16" customFormat="1" ht="25.5" outlineLevel="3">
      <c r="A15" s="91"/>
      <c r="B15" s="35">
        <f>MAXA(B$5:B14)+1</f>
        <v>3</v>
      </c>
      <c r="C15" s="139" t="s">
        <v>1379</v>
      </c>
      <c r="D15" s="136" t="s">
        <v>44</v>
      </c>
      <c r="E15" s="137">
        <v>8</v>
      </c>
      <c r="F15" s="232">
        <v>139347</v>
      </c>
      <c r="G15" s="232">
        <v>25011</v>
      </c>
      <c r="H15" s="138">
        <f t="shared" si="0"/>
        <v>164358</v>
      </c>
      <c r="I15" s="138">
        <f t="shared" si="1"/>
        <v>1314864</v>
      </c>
      <c r="J15" s="108"/>
    </row>
    <row r="16" spans="1:16" s="16" customFormat="1" ht="25.5" outlineLevel="3">
      <c r="A16" s="91"/>
      <c r="B16" s="35">
        <f>MAXA(B$5:B15)+1</f>
        <v>4</v>
      </c>
      <c r="C16" s="350" t="s">
        <v>1380</v>
      </c>
      <c r="D16" s="136" t="s">
        <v>44</v>
      </c>
      <c r="E16" s="137">
        <v>6</v>
      </c>
      <c r="F16" s="232">
        <v>1532817</v>
      </c>
      <c r="G16" s="232">
        <v>312638</v>
      </c>
      <c r="H16" s="138">
        <f t="shared" si="0"/>
        <v>1845455</v>
      </c>
      <c r="I16" s="138">
        <f t="shared" si="1"/>
        <v>11072730</v>
      </c>
      <c r="J16" s="108"/>
    </row>
    <row r="17" spans="1:10" s="16" customFormat="1" ht="25.5" outlineLevel="3">
      <c r="A17" s="91"/>
      <c r="B17" s="35">
        <f>MAXA(B$5:B16)+1</f>
        <v>5</v>
      </c>
      <c r="C17" s="350" t="s">
        <v>1381</v>
      </c>
      <c r="D17" s="136" t="s">
        <v>28</v>
      </c>
      <c r="E17" s="137">
        <v>6</v>
      </c>
      <c r="F17" s="232">
        <v>557388</v>
      </c>
      <c r="G17" s="232">
        <v>72949</v>
      </c>
      <c r="H17" s="138">
        <f t="shared" si="0"/>
        <v>630337</v>
      </c>
      <c r="I17" s="138">
        <f t="shared" si="1"/>
        <v>3782022</v>
      </c>
      <c r="J17" s="108"/>
    </row>
    <row r="18" spans="1:10" s="16" customFormat="1" ht="25.5" outlineLevel="3">
      <c r="A18" s="91"/>
      <c r="B18" s="35">
        <f>MAXA(B$5:B17)+1</f>
        <v>6</v>
      </c>
      <c r="C18" s="350" t="s">
        <v>1382</v>
      </c>
      <c r="D18" s="136" t="s">
        <v>28</v>
      </c>
      <c r="E18" s="137">
        <v>6</v>
      </c>
      <c r="F18" s="232">
        <v>557388</v>
      </c>
      <c r="G18" s="232">
        <v>72949</v>
      </c>
      <c r="H18" s="138">
        <f t="shared" si="0"/>
        <v>630337</v>
      </c>
      <c r="I18" s="138">
        <f t="shared" si="1"/>
        <v>3782022</v>
      </c>
      <c r="J18" s="108"/>
    </row>
    <row r="19" spans="1:10" s="16" customFormat="1" ht="25.5" outlineLevel="3">
      <c r="A19" s="91"/>
      <c r="B19" s="35">
        <f>MAXA(B$5:B18)+1</f>
        <v>7</v>
      </c>
      <c r="C19" s="350" t="s">
        <v>1383</v>
      </c>
      <c r="D19" s="136" t="s">
        <v>28</v>
      </c>
      <c r="E19" s="137">
        <v>12</v>
      </c>
      <c r="F19" s="232">
        <v>41804</v>
      </c>
      <c r="G19" s="232">
        <v>0</v>
      </c>
      <c r="H19" s="138">
        <f t="shared" si="0"/>
        <v>41804</v>
      </c>
      <c r="I19" s="138">
        <f t="shared" si="1"/>
        <v>501648</v>
      </c>
      <c r="J19" s="108"/>
    </row>
    <row r="20" spans="1:10" s="16" customFormat="1" ht="25.5" outlineLevel="3">
      <c r="A20" s="91"/>
      <c r="B20" s="35">
        <f>MAXA(B$5:B19)+1</f>
        <v>8</v>
      </c>
      <c r="C20" s="350" t="s">
        <v>1384</v>
      </c>
      <c r="D20" s="136" t="s">
        <v>28</v>
      </c>
      <c r="E20" s="137">
        <v>6</v>
      </c>
      <c r="F20" s="232">
        <v>97543</v>
      </c>
      <c r="G20" s="232">
        <v>0</v>
      </c>
      <c r="H20" s="138">
        <f t="shared" si="0"/>
        <v>97543</v>
      </c>
      <c r="I20" s="138">
        <f t="shared" si="1"/>
        <v>585258</v>
      </c>
      <c r="J20" s="108"/>
    </row>
    <row r="21" spans="1:10" s="16" customFormat="1" ht="25.5" outlineLevel="3">
      <c r="A21" s="91"/>
      <c r="B21" s="35">
        <f>MAXA(B$5:B20)+1</f>
        <v>9</v>
      </c>
      <c r="C21" s="350" t="s">
        <v>1385</v>
      </c>
      <c r="D21" s="136" t="s">
        <v>44</v>
      </c>
      <c r="E21" s="137">
        <v>1</v>
      </c>
      <c r="F21" s="232">
        <v>17418375</v>
      </c>
      <c r="G21" s="232">
        <v>1563188</v>
      </c>
      <c r="H21" s="138">
        <f t="shared" si="0"/>
        <v>18981563</v>
      </c>
      <c r="I21" s="138">
        <f t="shared" si="1"/>
        <v>18981563</v>
      </c>
      <c r="J21" s="108"/>
    </row>
    <row r="22" spans="1:10" s="16" customFormat="1" ht="25.5" outlineLevel="3">
      <c r="A22" s="91"/>
      <c r="B22" s="35">
        <f>MAXA(B$5:B21)+1</f>
        <v>10</v>
      </c>
      <c r="C22" s="350" t="s">
        <v>1386</v>
      </c>
      <c r="D22" s="136" t="s">
        <v>44</v>
      </c>
      <c r="E22" s="137">
        <v>1</v>
      </c>
      <c r="F22" s="232">
        <v>264759300</v>
      </c>
      <c r="G22" s="232">
        <v>5210625</v>
      </c>
      <c r="H22" s="138">
        <f t="shared" si="0"/>
        <v>269969925</v>
      </c>
      <c r="I22" s="138">
        <f t="shared" si="1"/>
        <v>269969925</v>
      </c>
      <c r="J22" s="108"/>
    </row>
    <row r="23" spans="1:10" s="16" customFormat="1" ht="25.5" outlineLevel="3">
      <c r="A23" s="91"/>
      <c r="B23" s="35">
        <f>MAXA(B$5:B22)+1</f>
        <v>11</v>
      </c>
      <c r="C23" s="350" t="s">
        <v>1387</v>
      </c>
      <c r="D23" s="230" t="s">
        <v>25</v>
      </c>
      <c r="E23" s="137">
        <v>239</v>
      </c>
      <c r="F23" s="232">
        <v>2898418</v>
      </c>
      <c r="G23" s="232">
        <v>156319</v>
      </c>
      <c r="H23" s="138">
        <f t="shared" si="0"/>
        <v>3054737</v>
      </c>
      <c r="I23" s="138">
        <f t="shared" si="1"/>
        <v>730082143</v>
      </c>
      <c r="J23" s="108"/>
    </row>
    <row r="24" spans="1:10" s="16" customFormat="1" ht="25.5" outlineLevel="3">
      <c r="A24" s="91"/>
      <c r="B24" s="35">
        <f>MAXA(B$5:B23)+1</f>
        <v>12</v>
      </c>
      <c r="C24" s="350" t="s">
        <v>1388</v>
      </c>
      <c r="D24" s="136" t="s">
        <v>38</v>
      </c>
      <c r="E24" s="137">
        <v>2</v>
      </c>
      <c r="F24" s="232">
        <v>4737798</v>
      </c>
      <c r="G24" s="232">
        <v>2084250</v>
      </c>
      <c r="H24" s="138">
        <f t="shared" si="0"/>
        <v>6822048</v>
      </c>
      <c r="I24" s="138">
        <f t="shared" si="1"/>
        <v>13644096</v>
      </c>
      <c r="J24" s="108"/>
    </row>
    <row r="25" spans="1:10" s="16" customFormat="1" ht="25.5" outlineLevel="3">
      <c r="A25" s="91"/>
      <c r="B25" s="35">
        <f>MAXA(B$5:B24)+1</f>
        <v>13</v>
      </c>
      <c r="C25" s="350" t="s">
        <v>1389</v>
      </c>
      <c r="D25" s="136" t="s">
        <v>44</v>
      </c>
      <c r="E25" s="137">
        <v>2</v>
      </c>
      <c r="F25" s="232">
        <v>348368</v>
      </c>
      <c r="G25" s="232">
        <v>104213</v>
      </c>
      <c r="H25" s="138">
        <f t="shared" si="0"/>
        <v>452581</v>
      </c>
      <c r="I25" s="138">
        <f t="shared" si="1"/>
        <v>905162</v>
      </c>
      <c r="J25" s="108"/>
    </row>
    <row r="26" spans="1:10" s="16" customFormat="1" ht="25.5" outlineLevel="3">
      <c r="A26" s="91"/>
      <c r="B26" s="35">
        <f>MAXA(B$5:B25)+1</f>
        <v>14</v>
      </c>
      <c r="C26" s="350" t="s">
        <v>1390</v>
      </c>
      <c r="D26" s="136" t="s">
        <v>28</v>
      </c>
      <c r="E26" s="137">
        <v>3</v>
      </c>
      <c r="F26" s="232">
        <v>2786940</v>
      </c>
      <c r="G26" s="232">
        <v>521063</v>
      </c>
      <c r="H26" s="138">
        <f t="shared" si="0"/>
        <v>3308003</v>
      </c>
      <c r="I26" s="138">
        <f t="shared" si="1"/>
        <v>9924009</v>
      </c>
      <c r="J26" s="108"/>
    </row>
    <row r="27" spans="1:10" s="16" customFormat="1" ht="25.5" outlineLevel="3">
      <c r="A27" s="91"/>
      <c r="B27" s="35">
        <f>MAXA(B$5:B26)+1</f>
        <v>15</v>
      </c>
      <c r="C27" s="350" t="s">
        <v>1391</v>
      </c>
      <c r="D27" s="136" t="s">
        <v>44</v>
      </c>
      <c r="E27" s="137">
        <v>3</v>
      </c>
      <c r="F27" s="232">
        <v>557388</v>
      </c>
      <c r="G27" s="232">
        <v>104213</v>
      </c>
      <c r="H27" s="138">
        <f t="shared" si="0"/>
        <v>661601</v>
      </c>
      <c r="I27" s="138">
        <f t="shared" si="1"/>
        <v>1984803</v>
      </c>
      <c r="J27" s="108"/>
    </row>
    <row r="28" spans="1:10" s="16" customFormat="1" ht="25.5" outlineLevel="3">
      <c r="A28" s="91"/>
      <c r="B28" s="35">
        <f>MAXA(B$5:B27)+1</f>
        <v>16</v>
      </c>
      <c r="C28" s="141" t="s">
        <v>26</v>
      </c>
      <c r="D28" s="230" t="s">
        <v>25</v>
      </c>
      <c r="E28" s="137">
        <v>480</v>
      </c>
      <c r="F28" s="232">
        <v>172119</v>
      </c>
      <c r="G28" s="232">
        <v>33134</v>
      </c>
      <c r="H28" s="138">
        <f t="shared" si="0"/>
        <v>205253</v>
      </c>
      <c r="I28" s="138">
        <f t="shared" si="1"/>
        <v>98521440</v>
      </c>
      <c r="J28" s="108"/>
    </row>
    <row r="29" spans="1:10" s="16" customFormat="1" ht="25.5" outlineLevel="3">
      <c r="A29" s="91"/>
      <c r="B29" s="35">
        <f>MAXA(B$5:B28)+1</f>
        <v>17</v>
      </c>
      <c r="C29" s="141" t="s">
        <v>27</v>
      </c>
      <c r="D29" s="136" t="s">
        <v>28</v>
      </c>
      <c r="E29" s="137">
        <v>6</v>
      </c>
      <c r="F29" s="232">
        <v>359781</v>
      </c>
      <c r="G29" s="232">
        <v>77415</v>
      </c>
      <c r="H29" s="138">
        <f t="shared" si="0"/>
        <v>437196</v>
      </c>
      <c r="I29" s="138">
        <f t="shared" si="1"/>
        <v>2623176</v>
      </c>
      <c r="J29" s="108"/>
    </row>
    <row r="30" spans="1:10" s="16" customFormat="1" ht="25.5" outlineLevel="3">
      <c r="A30" s="91"/>
      <c r="B30" s="35">
        <f>MAXA(B$5:B29)+1</f>
        <v>18</v>
      </c>
      <c r="C30" s="350" t="s">
        <v>1392</v>
      </c>
      <c r="D30" s="230" t="s">
        <v>25</v>
      </c>
      <c r="E30" s="137">
        <v>12</v>
      </c>
      <c r="F30" s="232">
        <v>487715</v>
      </c>
      <c r="G30" s="232">
        <v>52106</v>
      </c>
      <c r="H30" s="138">
        <f t="shared" si="0"/>
        <v>539821</v>
      </c>
      <c r="I30" s="138">
        <f t="shared" si="1"/>
        <v>6477852</v>
      </c>
      <c r="J30" s="108"/>
    </row>
    <row r="31" spans="1:10" s="16" customFormat="1" ht="25.5" outlineLevel="3">
      <c r="A31" s="91"/>
      <c r="B31" s="35">
        <f>MAXA(B$5:B30)+1</f>
        <v>19</v>
      </c>
      <c r="C31" s="350" t="s">
        <v>1393</v>
      </c>
      <c r="D31" s="136" t="s">
        <v>28</v>
      </c>
      <c r="E31" s="137">
        <v>6</v>
      </c>
      <c r="F31" s="232">
        <v>418041</v>
      </c>
      <c r="G31" s="232">
        <v>72949</v>
      </c>
      <c r="H31" s="138">
        <f t="shared" si="0"/>
        <v>490990</v>
      </c>
      <c r="I31" s="138">
        <f t="shared" si="1"/>
        <v>2945940</v>
      </c>
      <c r="J31" s="108"/>
    </row>
    <row r="32" spans="1:10" s="16" customFormat="1" ht="25.5" outlineLevel="3">
      <c r="A32" s="91"/>
      <c r="B32" s="35">
        <f>MAXA(B$5:B31)+1</f>
        <v>20</v>
      </c>
      <c r="C32" s="350" t="s">
        <v>1394</v>
      </c>
      <c r="D32" s="136" t="s">
        <v>28</v>
      </c>
      <c r="E32" s="137">
        <v>2</v>
      </c>
      <c r="F32" s="232">
        <v>278694</v>
      </c>
      <c r="G32" s="232">
        <v>52106</v>
      </c>
      <c r="H32" s="138">
        <f t="shared" si="0"/>
        <v>330800</v>
      </c>
      <c r="I32" s="138">
        <f t="shared" si="1"/>
        <v>661600</v>
      </c>
      <c r="J32" s="108"/>
    </row>
    <row r="33" spans="1:10" s="16" customFormat="1" ht="25.5" outlineLevel="3">
      <c r="A33" s="91"/>
      <c r="B33" s="35">
        <f>MAXA(B$5:B32)+1</f>
        <v>21</v>
      </c>
      <c r="C33" s="350" t="s">
        <v>1395</v>
      </c>
      <c r="D33" s="136" t="s">
        <v>28</v>
      </c>
      <c r="E33" s="137">
        <v>2</v>
      </c>
      <c r="F33" s="232">
        <v>27869</v>
      </c>
      <c r="G33" s="232">
        <v>0</v>
      </c>
      <c r="H33" s="138">
        <f t="shared" si="0"/>
        <v>27869</v>
      </c>
      <c r="I33" s="138">
        <f t="shared" si="1"/>
        <v>55738</v>
      </c>
      <c r="J33" s="108"/>
    </row>
    <row r="34" spans="1:10" s="16" customFormat="1" ht="25.5" outlineLevel="3">
      <c r="A34" s="91"/>
      <c r="B34" s="35">
        <f>MAXA(B$5:B33)+1</f>
        <v>22</v>
      </c>
      <c r="C34" s="350" t="s">
        <v>1396</v>
      </c>
      <c r="D34" s="136" t="s">
        <v>28</v>
      </c>
      <c r="E34" s="137">
        <v>2</v>
      </c>
      <c r="F34" s="232">
        <v>106833</v>
      </c>
      <c r="G34" s="232">
        <v>125055</v>
      </c>
      <c r="H34" s="138">
        <f t="shared" si="0"/>
        <v>231888</v>
      </c>
      <c r="I34" s="138">
        <f t="shared" si="1"/>
        <v>463776</v>
      </c>
      <c r="J34" s="108"/>
    </row>
    <row r="35" spans="1:10" s="16" customFormat="1" ht="25.5" outlineLevel="3">
      <c r="A35" s="91"/>
      <c r="B35" s="35">
        <f>MAXA(B$5:B34)+1</f>
        <v>23</v>
      </c>
      <c r="C35" s="350" t="s">
        <v>1397</v>
      </c>
      <c r="D35" s="136" t="s">
        <v>28</v>
      </c>
      <c r="E35" s="137">
        <v>2</v>
      </c>
      <c r="F35" s="232">
        <v>278694</v>
      </c>
      <c r="G35" s="232">
        <v>0</v>
      </c>
      <c r="H35" s="138">
        <f t="shared" si="0"/>
        <v>278694</v>
      </c>
      <c r="I35" s="138">
        <f t="shared" si="1"/>
        <v>557388</v>
      </c>
      <c r="J35" s="108"/>
    </row>
    <row r="36" spans="1:10" s="16" customFormat="1" ht="25.5" outlineLevel="3">
      <c r="A36" s="91"/>
      <c r="B36" s="35">
        <f>MAXA(B$5:B35)+1</f>
        <v>24</v>
      </c>
      <c r="C36" s="350" t="s">
        <v>1398</v>
      </c>
      <c r="D36" s="136" t="s">
        <v>28</v>
      </c>
      <c r="E36" s="137">
        <v>3</v>
      </c>
      <c r="F36" s="232">
        <v>125412</v>
      </c>
      <c r="G36" s="232">
        <v>0</v>
      </c>
      <c r="H36" s="138">
        <f t="shared" si="0"/>
        <v>125412</v>
      </c>
      <c r="I36" s="138">
        <f t="shared" si="1"/>
        <v>376236</v>
      </c>
      <c r="J36" s="108"/>
    </row>
    <row r="37" spans="1:10" s="16" customFormat="1" ht="25.5" outlineLevel="3">
      <c r="A37" s="91"/>
      <c r="B37" s="35">
        <f>MAXA(B$5:B36)+1</f>
        <v>25</v>
      </c>
      <c r="C37" s="141" t="s">
        <v>29</v>
      </c>
      <c r="D37" s="136" t="s">
        <v>28</v>
      </c>
      <c r="E37" s="137">
        <v>13</v>
      </c>
      <c r="F37" s="232">
        <v>69674</v>
      </c>
      <c r="G37" s="232">
        <v>0</v>
      </c>
      <c r="H37" s="138">
        <f t="shared" si="0"/>
        <v>69674</v>
      </c>
      <c r="I37" s="138">
        <f t="shared" si="1"/>
        <v>905762</v>
      </c>
      <c r="J37" s="108"/>
    </row>
    <row r="38" spans="1:10" s="16" customFormat="1" ht="25.5" outlineLevel="3">
      <c r="A38" s="91"/>
      <c r="B38" s="35">
        <f>MAXA(B$5:B37)+1</f>
        <v>26</v>
      </c>
      <c r="C38" s="141" t="s">
        <v>30</v>
      </c>
      <c r="D38" s="230" t="s">
        <v>25</v>
      </c>
      <c r="E38" s="137">
        <v>260</v>
      </c>
      <c r="F38" s="232">
        <v>6967</v>
      </c>
      <c r="G38" s="232">
        <v>0</v>
      </c>
      <c r="H38" s="138">
        <f t="shared" si="0"/>
        <v>6967</v>
      </c>
      <c r="I38" s="138">
        <f t="shared" si="1"/>
        <v>1811420</v>
      </c>
      <c r="J38" s="108"/>
    </row>
    <row r="39" spans="1:10" s="16" customFormat="1" ht="25.5" outlineLevel="3">
      <c r="A39" s="91"/>
      <c r="B39" s="35">
        <f>MAXA(B$5:B38)+1</f>
        <v>27</v>
      </c>
      <c r="C39" s="350" t="s">
        <v>31</v>
      </c>
      <c r="D39" s="136" t="s">
        <v>32</v>
      </c>
      <c r="E39" s="137">
        <v>260</v>
      </c>
      <c r="F39" s="232">
        <v>83608</v>
      </c>
      <c r="G39" s="232">
        <v>312638</v>
      </c>
      <c r="H39" s="138">
        <f t="shared" si="0"/>
        <v>396246</v>
      </c>
      <c r="I39" s="138">
        <f t="shared" si="1"/>
        <v>103023960</v>
      </c>
      <c r="J39" s="108"/>
    </row>
    <row r="40" spans="1:10" s="16" customFormat="1" ht="25.5" outlineLevel="3">
      <c r="A40" s="91"/>
      <c r="B40" s="35">
        <f>MAXA(B$5:B39)+1</f>
        <v>28</v>
      </c>
      <c r="C40" s="350" t="s">
        <v>1399</v>
      </c>
      <c r="D40" s="136" t="s">
        <v>34</v>
      </c>
      <c r="E40" s="137">
        <v>4</v>
      </c>
      <c r="F40" s="232">
        <v>6967350</v>
      </c>
      <c r="G40" s="232">
        <v>1563188</v>
      </c>
      <c r="H40" s="138">
        <f t="shared" si="0"/>
        <v>8530538</v>
      </c>
      <c r="I40" s="138">
        <f t="shared" si="1"/>
        <v>34122152</v>
      </c>
      <c r="J40" s="108"/>
    </row>
    <row r="41" spans="1:10" s="16" customFormat="1" ht="25.5" outlineLevel="3">
      <c r="A41" s="91"/>
      <c r="B41" s="35">
        <f>MAXA(B$5:B40)+1</f>
        <v>29</v>
      </c>
      <c r="C41" s="350" t="s">
        <v>35</v>
      </c>
      <c r="D41" s="136" t="s">
        <v>36</v>
      </c>
      <c r="E41" s="137">
        <v>1300</v>
      </c>
      <c r="F41" s="232">
        <v>2369</v>
      </c>
      <c r="G41" s="232">
        <v>0</v>
      </c>
      <c r="H41" s="138">
        <f t="shared" si="0"/>
        <v>2369</v>
      </c>
      <c r="I41" s="138">
        <f t="shared" si="1"/>
        <v>3079700</v>
      </c>
      <c r="J41" s="107"/>
    </row>
    <row r="42" spans="1:10" s="16" customFormat="1" ht="25.5" outlineLevel="3">
      <c r="A42" s="91"/>
      <c r="B42" s="35">
        <f>MAXA(B$5:B41)+1</f>
        <v>30</v>
      </c>
      <c r="C42" s="350" t="s">
        <v>828</v>
      </c>
      <c r="D42" s="136" t="s">
        <v>38</v>
      </c>
      <c r="E42" s="137">
        <v>1</v>
      </c>
      <c r="F42" s="232">
        <v>13934700</v>
      </c>
      <c r="G42" s="232">
        <v>3126375</v>
      </c>
      <c r="H42" s="138">
        <f t="shared" si="0"/>
        <v>17061075</v>
      </c>
      <c r="I42" s="138">
        <f t="shared" si="1"/>
        <v>17061075</v>
      </c>
      <c r="J42" s="107"/>
    </row>
    <row r="43" spans="1:10" s="33" customFormat="1" ht="27" outlineLevel="3">
      <c r="A43" s="100"/>
      <c r="B43" s="106" t="s">
        <v>39</v>
      </c>
      <c r="C43" s="347" t="s">
        <v>40</v>
      </c>
      <c r="D43" s="348"/>
      <c r="E43" s="351"/>
      <c r="F43" s="232">
        <v>0</v>
      </c>
      <c r="G43" s="232">
        <v>0</v>
      </c>
      <c r="H43" s="326"/>
      <c r="I43" s="180">
        <f>SUBTOTAL(9,I44:I62)</f>
        <v>3491588764</v>
      </c>
      <c r="J43" s="107"/>
    </row>
    <row r="44" spans="1:10" s="16" customFormat="1" ht="27" outlineLevel="3">
      <c r="A44" s="91"/>
      <c r="B44" s="106" t="s">
        <v>41</v>
      </c>
      <c r="C44" s="347" t="s">
        <v>1400</v>
      </c>
      <c r="D44" s="348"/>
      <c r="E44" s="352"/>
      <c r="F44" s="232">
        <v>0</v>
      </c>
      <c r="G44" s="232">
        <v>0</v>
      </c>
      <c r="H44" s="326"/>
      <c r="I44" s="326"/>
      <c r="J44" s="107"/>
    </row>
    <row r="45" spans="1:10" s="16" customFormat="1" ht="51" outlineLevel="3">
      <c r="A45" s="91"/>
      <c r="B45" s="35">
        <f>MAXA(B$5:B44)+1</f>
        <v>31</v>
      </c>
      <c r="C45" s="353" t="s">
        <v>43</v>
      </c>
      <c r="D45" s="354" t="s">
        <v>44</v>
      </c>
      <c r="E45" s="355">
        <v>2</v>
      </c>
      <c r="F45" s="232">
        <v>210413970</v>
      </c>
      <c r="G45" s="232">
        <v>7989625</v>
      </c>
      <c r="H45" s="356">
        <f t="shared" ref="H45:H55" si="2">G45+F45</f>
        <v>218403595</v>
      </c>
      <c r="I45" s="356">
        <f t="shared" ref="I45:I55" si="3">H45*E45</f>
        <v>436807190</v>
      </c>
      <c r="J45" s="107"/>
    </row>
    <row r="46" spans="1:10" s="16" customFormat="1" ht="51" outlineLevel="3">
      <c r="A46" s="91"/>
      <c r="B46" s="35">
        <f>MAXA(B$5:B45)+1</f>
        <v>32</v>
      </c>
      <c r="C46" s="357" t="s">
        <v>1401</v>
      </c>
      <c r="D46" s="354" t="s">
        <v>44</v>
      </c>
      <c r="E46" s="355">
        <v>1</v>
      </c>
      <c r="F46" s="232">
        <v>90575550</v>
      </c>
      <c r="G46" s="232">
        <v>7989625</v>
      </c>
      <c r="H46" s="356">
        <f t="shared" si="2"/>
        <v>98565175</v>
      </c>
      <c r="I46" s="356">
        <f t="shared" si="3"/>
        <v>98565175</v>
      </c>
      <c r="J46" s="107"/>
    </row>
    <row r="47" spans="1:10" s="16" customFormat="1" ht="51" outlineLevel="3">
      <c r="A47" s="91"/>
      <c r="B47" s="35">
        <f>MAXA(B$5:B46)+1</f>
        <v>33</v>
      </c>
      <c r="C47" s="357" t="s">
        <v>1402</v>
      </c>
      <c r="D47" s="354" t="s">
        <v>44</v>
      </c>
      <c r="E47" s="355">
        <v>2</v>
      </c>
      <c r="F47" s="232">
        <v>561568410</v>
      </c>
      <c r="G47" s="232">
        <v>7989625</v>
      </c>
      <c r="H47" s="356">
        <f t="shared" si="2"/>
        <v>569558035</v>
      </c>
      <c r="I47" s="356">
        <f t="shared" si="3"/>
        <v>1139116070</v>
      </c>
      <c r="J47" s="108"/>
    </row>
    <row r="48" spans="1:10" s="16" customFormat="1" ht="25.5" outlineLevel="3">
      <c r="A48" s="91"/>
      <c r="B48" s="35">
        <f>MAXA(B$5:B47)+1</f>
        <v>34</v>
      </c>
      <c r="C48" s="358" t="s">
        <v>1403</v>
      </c>
      <c r="D48" s="136" t="s">
        <v>49</v>
      </c>
      <c r="E48" s="137">
        <v>2</v>
      </c>
      <c r="F48" s="232">
        <v>13237965</v>
      </c>
      <c r="G48" s="232">
        <v>2605313</v>
      </c>
      <c r="H48" s="138">
        <f t="shared" si="2"/>
        <v>15843278</v>
      </c>
      <c r="I48" s="138">
        <f t="shared" si="3"/>
        <v>31686556</v>
      </c>
      <c r="J48" s="108"/>
    </row>
    <row r="49" spans="1:10" s="16" customFormat="1" ht="25.5" outlineLevel="3">
      <c r="A49" s="91"/>
      <c r="B49" s="35">
        <f>MAXA(B$5:B48)+1</f>
        <v>35</v>
      </c>
      <c r="C49" s="350" t="s">
        <v>46</v>
      </c>
      <c r="D49" s="136" t="s">
        <v>38</v>
      </c>
      <c r="E49" s="137">
        <v>2</v>
      </c>
      <c r="F49" s="232">
        <v>4459104</v>
      </c>
      <c r="G49" s="232">
        <v>2084250</v>
      </c>
      <c r="H49" s="138">
        <f t="shared" si="2"/>
        <v>6543354</v>
      </c>
      <c r="I49" s="138">
        <f t="shared" si="3"/>
        <v>13086708</v>
      </c>
      <c r="J49" s="108"/>
    </row>
    <row r="50" spans="1:10" s="16" customFormat="1" ht="38.25" outlineLevel="3">
      <c r="A50" s="91"/>
      <c r="B50" s="35">
        <f>MAXA(B$5:B49)+1</f>
        <v>36</v>
      </c>
      <c r="C50" s="350" t="s">
        <v>1404</v>
      </c>
      <c r="D50" s="230" t="s">
        <v>25</v>
      </c>
      <c r="E50" s="137">
        <v>44.2</v>
      </c>
      <c r="F50" s="232">
        <v>431976</v>
      </c>
      <c r="G50" s="232">
        <v>31264</v>
      </c>
      <c r="H50" s="138">
        <f t="shared" si="2"/>
        <v>463240</v>
      </c>
      <c r="I50" s="138">
        <f t="shared" si="3"/>
        <v>20475208</v>
      </c>
      <c r="J50" s="108"/>
    </row>
    <row r="51" spans="1:10" s="16" customFormat="1" ht="25.5" outlineLevel="3">
      <c r="A51" s="91"/>
      <c r="B51" s="35">
        <f>MAXA(B$5:B50)+1</f>
        <v>37</v>
      </c>
      <c r="C51" s="358" t="s">
        <v>48</v>
      </c>
      <c r="D51" s="136" t="s">
        <v>49</v>
      </c>
      <c r="E51" s="137">
        <v>1</v>
      </c>
      <c r="F51" s="232">
        <v>13237965</v>
      </c>
      <c r="G51" s="232">
        <v>2605313</v>
      </c>
      <c r="H51" s="138">
        <f t="shared" si="2"/>
        <v>15843278</v>
      </c>
      <c r="I51" s="138">
        <f t="shared" si="3"/>
        <v>15843278</v>
      </c>
      <c r="J51" s="108"/>
    </row>
    <row r="52" spans="1:10" s="16" customFormat="1" ht="25.5" outlineLevel="3">
      <c r="A52" s="91"/>
      <c r="B52" s="35">
        <f>MAXA(B$5:B51)+1</f>
        <v>38</v>
      </c>
      <c r="C52" s="350" t="s">
        <v>50</v>
      </c>
      <c r="D52" s="230" t="s">
        <v>25</v>
      </c>
      <c r="E52" s="137">
        <v>20</v>
      </c>
      <c r="F52" s="232">
        <v>348368</v>
      </c>
      <c r="G52" s="232">
        <v>156319</v>
      </c>
      <c r="H52" s="138">
        <f t="shared" si="2"/>
        <v>504687</v>
      </c>
      <c r="I52" s="138">
        <f t="shared" si="3"/>
        <v>10093740</v>
      </c>
      <c r="J52" s="108"/>
    </row>
    <row r="53" spans="1:10" s="16" customFormat="1" ht="25.5" outlineLevel="3">
      <c r="A53" s="91"/>
      <c r="B53" s="35">
        <f>MAXA(B$5:B52)+1</f>
        <v>39</v>
      </c>
      <c r="C53" s="350" t="s">
        <v>51</v>
      </c>
      <c r="D53" s="136" t="s">
        <v>44</v>
      </c>
      <c r="E53" s="137">
        <v>6</v>
      </c>
      <c r="F53" s="232">
        <v>418041</v>
      </c>
      <c r="G53" s="232">
        <v>156319</v>
      </c>
      <c r="H53" s="138">
        <f t="shared" si="2"/>
        <v>574360</v>
      </c>
      <c r="I53" s="138">
        <f t="shared" si="3"/>
        <v>3446160</v>
      </c>
      <c r="J53" s="108"/>
    </row>
    <row r="54" spans="1:10" s="16" customFormat="1" ht="25.5" outlineLevel="3">
      <c r="A54" s="91"/>
      <c r="B54" s="35">
        <f>MAXA(B$5:B53)+1</f>
        <v>40</v>
      </c>
      <c r="C54" s="359" t="s">
        <v>828</v>
      </c>
      <c r="D54" s="136" t="s">
        <v>38</v>
      </c>
      <c r="E54" s="137">
        <v>1</v>
      </c>
      <c r="F54" s="232">
        <v>27869400</v>
      </c>
      <c r="G54" s="232">
        <v>5002200</v>
      </c>
      <c r="H54" s="138">
        <f t="shared" si="2"/>
        <v>32871600</v>
      </c>
      <c r="I54" s="138">
        <f t="shared" si="3"/>
        <v>32871600</v>
      </c>
      <c r="J54" s="108"/>
    </row>
    <row r="55" spans="1:10" s="16" customFormat="1" ht="89.25" outlineLevel="3">
      <c r="A55" s="91"/>
      <c r="B55" s="35">
        <f>MAXA(B$5:B54)+1</f>
        <v>41</v>
      </c>
      <c r="C55" s="360" t="s">
        <v>1405</v>
      </c>
      <c r="D55" s="136" t="s">
        <v>38</v>
      </c>
      <c r="E55" s="137">
        <v>1</v>
      </c>
      <c r="F55" s="232">
        <v>0</v>
      </c>
      <c r="G55" s="232">
        <v>281373750</v>
      </c>
      <c r="H55" s="138">
        <f t="shared" si="2"/>
        <v>281373750</v>
      </c>
      <c r="I55" s="138">
        <f t="shared" si="3"/>
        <v>281373750</v>
      </c>
      <c r="J55" s="108"/>
    </row>
    <row r="56" spans="1:10" s="110" customFormat="1" ht="27" outlineLevel="3">
      <c r="A56" s="109"/>
      <c r="B56" s="106" t="s">
        <v>54</v>
      </c>
      <c r="C56" s="347" t="s">
        <v>55</v>
      </c>
      <c r="D56" s="348"/>
      <c r="E56" s="352"/>
      <c r="F56" s="232">
        <v>0</v>
      </c>
      <c r="G56" s="232">
        <v>0</v>
      </c>
      <c r="H56" s="326"/>
      <c r="I56" s="326"/>
      <c r="J56" s="107"/>
    </row>
    <row r="57" spans="1:10" s="16" customFormat="1" ht="51" outlineLevel="3">
      <c r="A57" s="91"/>
      <c r="B57" s="35">
        <f>MAXA(B$5:B56)+1</f>
        <v>42</v>
      </c>
      <c r="C57" s="359" t="s">
        <v>1406</v>
      </c>
      <c r="D57" s="136" t="s">
        <v>44</v>
      </c>
      <c r="E57" s="137">
        <v>1</v>
      </c>
      <c r="F57" s="232">
        <v>1164798000</v>
      </c>
      <c r="G57" s="232">
        <v>25805000</v>
      </c>
      <c r="H57" s="138">
        <f t="shared" ref="H57:H62" si="4">G57+F57</f>
        <v>1190603000</v>
      </c>
      <c r="I57" s="138">
        <f t="shared" ref="I57:I62" si="5">H57*E57</f>
        <v>1190603000</v>
      </c>
      <c r="J57" s="108"/>
    </row>
    <row r="58" spans="1:10" s="16" customFormat="1" ht="25.5" outlineLevel="3">
      <c r="A58" s="91"/>
      <c r="B58" s="35">
        <f>MAXA(B$5:B57)+1</f>
        <v>43</v>
      </c>
      <c r="C58" s="359" t="s">
        <v>57</v>
      </c>
      <c r="D58" s="230" t="s">
        <v>25</v>
      </c>
      <c r="E58" s="137">
        <v>208</v>
      </c>
      <c r="F58" s="232">
        <v>773376</v>
      </c>
      <c r="G58" s="232">
        <v>62528</v>
      </c>
      <c r="H58" s="138">
        <f t="shared" si="4"/>
        <v>835904</v>
      </c>
      <c r="I58" s="138">
        <f t="shared" si="5"/>
        <v>173868032</v>
      </c>
      <c r="J58" s="108"/>
    </row>
    <row r="59" spans="1:10" s="16" customFormat="1" ht="25.5" outlineLevel="3">
      <c r="A59" s="91"/>
      <c r="B59" s="35">
        <f>MAXA(B$5:B58)+1</f>
        <v>44</v>
      </c>
      <c r="C59" s="359" t="s">
        <v>58</v>
      </c>
      <c r="D59" s="230" t="s">
        <v>25</v>
      </c>
      <c r="E59" s="137">
        <v>13</v>
      </c>
      <c r="F59" s="232">
        <v>731572</v>
      </c>
      <c r="G59" s="232">
        <v>62528</v>
      </c>
      <c r="H59" s="138">
        <f t="shared" si="4"/>
        <v>794100</v>
      </c>
      <c r="I59" s="138">
        <f t="shared" si="5"/>
        <v>10323300</v>
      </c>
      <c r="J59" s="108"/>
    </row>
    <row r="60" spans="1:10" s="16" customFormat="1" ht="25.5" outlineLevel="3">
      <c r="A60" s="91"/>
      <c r="B60" s="35">
        <f>MAXA(B$5:B59)+1</f>
        <v>45</v>
      </c>
      <c r="C60" s="359" t="s">
        <v>59</v>
      </c>
      <c r="D60" s="230" t="s">
        <v>25</v>
      </c>
      <c r="E60" s="137">
        <v>10</v>
      </c>
      <c r="F60" s="232">
        <v>627062</v>
      </c>
      <c r="G60" s="232">
        <v>156319</v>
      </c>
      <c r="H60" s="138">
        <f t="shared" si="4"/>
        <v>783381</v>
      </c>
      <c r="I60" s="138">
        <f t="shared" si="5"/>
        <v>7833810</v>
      </c>
      <c r="J60" s="108"/>
    </row>
    <row r="61" spans="1:10" s="16" customFormat="1" ht="25.5" outlineLevel="3">
      <c r="A61" s="91"/>
      <c r="B61" s="35">
        <f>MAXA(B$5:B60)+1</f>
        <v>46</v>
      </c>
      <c r="C61" s="359" t="s">
        <v>60</v>
      </c>
      <c r="D61" s="136" t="s">
        <v>28</v>
      </c>
      <c r="E61" s="137">
        <v>2</v>
      </c>
      <c r="F61" s="232">
        <v>627062</v>
      </c>
      <c r="G61" s="232">
        <v>156319</v>
      </c>
      <c r="H61" s="138">
        <f t="shared" si="4"/>
        <v>783381</v>
      </c>
      <c r="I61" s="138">
        <f t="shared" si="5"/>
        <v>1566762</v>
      </c>
      <c r="J61" s="108"/>
    </row>
    <row r="62" spans="1:10" s="16" customFormat="1" ht="25.5" outlineLevel="3">
      <c r="A62" s="91"/>
      <c r="B62" s="35">
        <f>MAXA(B$5:B61)+1</f>
        <v>47</v>
      </c>
      <c r="C62" s="359" t="s">
        <v>320</v>
      </c>
      <c r="D62" s="136" t="s">
        <v>38</v>
      </c>
      <c r="E62" s="137">
        <v>1</v>
      </c>
      <c r="F62" s="232">
        <v>20902050</v>
      </c>
      <c r="G62" s="232">
        <v>3126375</v>
      </c>
      <c r="H62" s="138">
        <f t="shared" si="4"/>
        <v>24028425</v>
      </c>
      <c r="I62" s="138">
        <f t="shared" si="5"/>
        <v>24028425</v>
      </c>
      <c r="J62" s="108"/>
    </row>
    <row r="63" spans="1:10" s="33" customFormat="1" ht="27" outlineLevel="3">
      <c r="A63" s="100"/>
      <c r="B63" s="106" t="s">
        <v>61</v>
      </c>
      <c r="C63" s="361" t="s">
        <v>1407</v>
      </c>
      <c r="D63" s="348"/>
      <c r="E63" s="352"/>
      <c r="F63" s="232">
        <v>0</v>
      </c>
      <c r="G63" s="232">
        <v>0</v>
      </c>
      <c r="H63" s="326"/>
      <c r="I63" s="180">
        <f>SUBTOTAL(9,I64:I81)</f>
        <v>2884381641</v>
      </c>
      <c r="J63" s="107"/>
    </row>
    <row r="64" spans="1:10" s="16" customFormat="1" ht="38.25" outlineLevel="3">
      <c r="A64" s="91"/>
      <c r="B64" s="35">
        <f>MAXA(B$5:B63)+1</f>
        <v>48</v>
      </c>
      <c r="C64" s="359" t="s">
        <v>1408</v>
      </c>
      <c r="D64" s="136" t="s">
        <v>64</v>
      </c>
      <c r="E64" s="137">
        <v>1</v>
      </c>
      <c r="F64" s="232">
        <v>1393470000</v>
      </c>
      <c r="G64" s="232">
        <v>31263750</v>
      </c>
      <c r="H64" s="138">
        <f t="shared" ref="H64:H81" si="6">G64+F64</f>
        <v>1424733750</v>
      </c>
      <c r="I64" s="138">
        <f t="shared" ref="I64:I81" si="7">H64*E64</f>
        <v>1424733750</v>
      </c>
      <c r="J64" s="108"/>
    </row>
    <row r="65" spans="1:10" s="16" customFormat="1" ht="25.5" outlineLevel="3">
      <c r="A65" s="91"/>
      <c r="B65" s="35">
        <f>MAXA(B$5:B64)+1</f>
        <v>49</v>
      </c>
      <c r="C65" s="359" t="s">
        <v>65</v>
      </c>
      <c r="D65" s="136" t="s">
        <v>44</v>
      </c>
      <c r="E65" s="137">
        <v>1</v>
      </c>
      <c r="F65" s="232">
        <v>275442570</v>
      </c>
      <c r="G65" s="232">
        <v>47729325</v>
      </c>
      <c r="H65" s="138">
        <f t="shared" si="6"/>
        <v>323171895</v>
      </c>
      <c r="I65" s="138">
        <f t="shared" si="7"/>
        <v>323171895</v>
      </c>
      <c r="J65" s="108"/>
    </row>
    <row r="66" spans="1:10" s="16" customFormat="1" ht="25.5" outlineLevel="3">
      <c r="A66" s="91"/>
      <c r="B66" s="35">
        <f>MAXA(B$5:B65)+1</f>
        <v>50</v>
      </c>
      <c r="C66" s="238" t="s">
        <v>66</v>
      </c>
      <c r="D66" s="136" t="s">
        <v>44</v>
      </c>
      <c r="E66" s="137">
        <v>1</v>
      </c>
      <c r="F66" s="232">
        <v>204375600</v>
      </c>
      <c r="G66" s="232">
        <v>33147912</v>
      </c>
      <c r="H66" s="138">
        <f t="shared" si="6"/>
        <v>237523512</v>
      </c>
      <c r="I66" s="138">
        <f t="shared" si="7"/>
        <v>237523512</v>
      </c>
      <c r="J66" s="108"/>
    </row>
    <row r="67" spans="1:10" s="16" customFormat="1" ht="25.5" outlineLevel="3">
      <c r="A67" s="91"/>
      <c r="B67" s="35">
        <f>MAXA(B$5:B66)+1</f>
        <v>51</v>
      </c>
      <c r="C67" s="359" t="s">
        <v>1409</v>
      </c>
      <c r="D67" s="136" t="s">
        <v>44</v>
      </c>
      <c r="E67" s="137">
        <v>1</v>
      </c>
      <c r="F67" s="232">
        <v>0</v>
      </c>
      <c r="G67" s="232">
        <v>0</v>
      </c>
      <c r="H67" s="138">
        <f t="shared" si="6"/>
        <v>0</v>
      </c>
      <c r="I67" s="138">
        <f t="shared" si="7"/>
        <v>0</v>
      </c>
      <c r="J67" s="67"/>
    </row>
    <row r="68" spans="1:10" s="16" customFormat="1" ht="25.5" outlineLevel="3">
      <c r="A68" s="91"/>
      <c r="B68" s="35">
        <f>MAXA(B$5:B67)+1</f>
        <v>52</v>
      </c>
      <c r="C68" s="359" t="s">
        <v>68</v>
      </c>
      <c r="D68" s="136" t="s">
        <v>44</v>
      </c>
      <c r="E68" s="137">
        <v>1</v>
      </c>
      <c r="F68" s="232">
        <v>69673500</v>
      </c>
      <c r="G68" s="232">
        <v>5210625</v>
      </c>
      <c r="H68" s="138">
        <f t="shared" si="6"/>
        <v>74884125</v>
      </c>
      <c r="I68" s="138">
        <f t="shared" si="7"/>
        <v>74884125</v>
      </c>
      <c r="J68" s="108"/>
    </row>
    <row r="69" spans="1:10" s="16" customFormat="1" ht="38.25" outlineLevel="3">
      <c r="A69" s="91"/>
      <c r="B69" s="35">
        <f>MAXA(B$5:B68)+1</f>
        <v>53</v>
      </c>
      <c r="C69" s="238" t="s">
        <v>1410</v>
      </c>
      <c r="D69" s="136" t="s">
        <v>44</v>
      </c>
      <c r="E69" s="137">
        <v>1</v>
      </c>
      <c r="F69" s="232">
        <v>189628043</v>
      </c>
      <c r="G69" s="232">
        <v>27616313</v>
      </c>
      <c r="H69" s="138">
        <f t="shared" si="6"/>
        <v>217244356</v>
      </c>
      <c r="I69" s="138">
        <f t="shared" si="7"/>
        <v>217244356</v>
      </c>
      <c r="J69" s="108"/>
    </row>
    <row r="70" spans="1:10" s="16" customFormat="1" ht="25.5" outlineLevel="3">
      <c r="A70" s="91"/>
      <c r="B70" s="35">
        <f>MAXA(B$5:B69)+1</f>
        <v>54</v>
      </c>
      <c r="C70" s="238" t="s">
        <v>70</v>
      </c>
      <c r="D70" s="136" t="s">
        <v>44</v>
      </c>
      <c r="E70" s="137">
        <v>1</v>
      </c>
      <c r="F70" s="232">
        <v>34836750</v>
      </c>
      <c r="G70" s="232">
        <v>2084250</v>
      </c>
      <c r="H70" s="138">
        <f t="shared" si="6"/>
        <v>36921000</v>
      </c>
      <c r="I70" s="138">
        <f t="shared" si="7"/>
        <v>36921000</v>
      </c>
      <c r="J70" s="108"/>
    </row>
    <row r="71" spans="1:10" s="16" customFormat="1" ht="25.5" outlineLevel="3">
      <c r="A71" s="91"/>
      <c r="B71" s="35">
        <f>MAXA(B$5:B70)+1</f>
        <v>55</v>
      </c>
      <c r="C71" s="359" t="s">
        <v>71</v>
      </c>
      <c r="D71" s="136" t="s">
        <v>1411</v>
      </c>
      <c r="E71" s="137">
        <v>3000</v>
      </c>
      <c r="F71" s="232">
        <v>29031</v>
      </c>
      <c r="G71" s="232">
        <v>3126</v>
      </c>
      <c r="H71" s="138">
        <f t="shared" si="6"/>
        <v>32157</v>
      </c>
      <c r="I71" s="138">
        <f t="shared" si="7"/>
        <v>96471000</v>
      </c>
      <c r="J71" s="108"/>
    </row>
    <row r="72" spans="1:10" s="16" customFormat="1" ht="25.5" outlineLevel="3">
      <c r="A72" s="91"/>
      <c r="B72" s="35">
        <f>MAXA(B$5:B71)+1</f>
        <v>56</v>
      </c>
      <c r="C72" s="359" t="s">
        <v>73</v>
      </c>
      <c r="D72" s="136" t="s">
        <v>44</v>
      </c>
      <c r="E72" s="137">
        <v>1</v>
      </c>
      <c r="F72" s="232">
        <v>161893345</v>
      </c>
      <c r="G72" s="232">
        <v>27266159</v>
      </c>
      <c r="H72" s="138">
        <f t="shared" si="6"/>
        <v>189159504</v>
      </c>
      <c r="I72" s="138">
        <f t="shared" si="7"/>
        <v>189159504</v>
      </c>
      <c r="J72" s="108"/>
    </row>
    <row r="73" spans="1:10" s="16" customFormat="1" ht="25.5" outlineLevel="3">
      <c r="A73" s="91"/>
      <c r="B73" s="35">
        <f>MAXA(B$5:B72)+1</f>
        <v>57</v>
      </c>
      <c r="C73" s="359" t="s">
        <v>74</v>
      </c>
      <c r="D73" s="230" t="s">
        <v>25</v>
      </c>
      <c r="E73" s="137">
        <f>24*8</f>
        <v>192</v>
      </c>
      <c r="F73" s="232">
        <v>496284</v>
      </c>
      <c r="G73" s="232">
        <v>46896</v>
      </c>
      <c r="H73" s="138">
        <f t="shared" si="6"/>
        <v>543180</v>
      </c>
      <c r="I73" s="138">
        <f t="shared" si="7"/>
        <v>104290560</v>
      </c>
      <c r="J73" s="108"/>
    </row>
    <row r="74" spans="1:10" s="16" customFormat="1" ht="25.5" outlineLevel="3">
      <c r="A74" s="91"/>
      <c r="B74" s="35">
        <f>MAXA(B$5:B73)+1</f>
        <v>58</v>
      </c>
      <c r="C74" s="359" t="s">
        <v>75</v>
      </c>
      <c r="D74" s="230" t="s">
        <v>25</v>
      </c>
      <c r="E74" s="137">
        <v>24</v>
      </c>
      <c r="F74" s="232">
        <v>467672</v>
      </c>
      <c r="G74" s="232">
        <v>46896</v>
      </c>
      <c r="H74" s="138">
        <f t="shared" si="6"/>
        <v>514568</v>
      </c>
      <c r="I74" s="138">
        <f t="shared" si="7"/>
        <v>12349632</v>
      </c>
      <c r="J74" s="108"/>
    </row>
    <row r="75" spans="1:10" s="16" customFormat="1" ht="25.5" outlineLevel="3">
      <c r="A75" s="91"/>
      <c r="B75" s="35">
        <f>MAXA(B$5:B74)+1</f>
        <v>59</v>
      </c>
      <c r="C75" s="238" t="s">
        <v>76</v>
      </c>
      <c r="D75" s="230" t="s">
        <v>25</v>
      </c>
      <c r="E75" s="362">
        <v>20</v>
      </c>
      <c r="F75" s="232">
        <v>66844</v>
      </c>
      <c r="G75" s="232">
        <v>13006</v>
      </c>
      <c r="H75" s="138">
        <f t="shared" si="6"/>
        <v>79850</v>
      </c>
      <c r="I75" s="138">
        <f t="shared" si="7"/>
        <v>1597000</v>
      </c>
      <c r="J75" s="108"/>
    </row>
    <row r="76" spans="1:10" s="16" customFormat="1" ht="25.5" outlineLevel="3">
      <c r="A76" s="91"/>
      <c r="B76" s="35">
        <f>MAXA(B$5:B75)+1</f>
        <v>60</v>
      </c>
      <c r="C76" s="238" t="s">
        <v>77</v>
      </c>
      <c r="D76" s="230" t="s">
        <v>25</v>
      </c>
      <c r="E76" s="362">
        <v>20</v>
      </c>
      <c r="F76" s="232">
        <v>8145</v>
      </c>
      <c r="G76" s="232">
        <v>4335</v>
      </c>
      <c r="H76" s="138">
        <f t="shared" si="6"/>
        <v>12480</v>
      </c>
      <c r="I76" s="138">
        <f t="shared" si="7"/>
        <v>249600</v>
      </c>
      <c r="J76" s="108"/>
    </row>
    <row r="77" spans="1:10" s="16" customFormat="1" ht="25.5" outlineLevel="3">
      <c r="A77" s="91"/>
      <c r="B77" s="35">
        <f>MAXA(B$5:B76)+1</f>
        <v>61</v>
      </c>
      <c r="C77" s="359" t="s">
        <v>78</v>
      </c>
      <c r="D77" s="230" t="s">
        <v>25</v>
      </c>
      <c r="E77" s="137">
        <v>20</v>
      </c>
      <c r="F77" s="232">
        <v>233406</v>
      </c>
      <c r="G77" s="232">
        <v>156319</v>
      </c>
      <c r="H77" s="138">
        <f t="shared" si="6"/>
        <v>389725</v>
      </c>
      <c r="I77" s="138">
        <f t="shared" si="7"/>
        <v>7794500</v>
      </c>
      <c r="J77" s="108"/>
    </row>
    <row r="78" spans="1:10" s="16" customFormat="1" ht="25.5" outlineLevel="3">
      <c r="A78" s="91"/>
      <c r="B78" s="35">
        <f>MAXA(B$5:B77)+1</f>
        <v>62</v>
      </c>
      <c r="C78" s="359" t="s">
        <v>79</v>
      </c>
      <c r="D78" s="136" t="s">
        <v>28</v>
      </c>
      <c r="E78" s="137">
        <v>2</v>
      </c>
      <c r="F78" s="232">
        <v>401784</v>
      </c>
      <c r="G78" s="232">
        <v>156319</v>
      </c>
      <c r="H78" s="138">
        <f t="shared" si="6"/>
        <v>558103</v>
      </c>
      <c r="I78" s="138">
        <f t="shared" si="7"/>
        <v>1116206</v>
      </c>
      <c r="J78" s="108"/>
    </row>
    <row r="79" spans="1:10" s="16" customFormat="1" ht="25.5" outlineLevel="3">
      <c r="A79" s="91"/>
      <c r="B79" s="35">
        <f>MAXA(B$5:B78)+1</f>
        <v>63</v>
      </c>
      <c r="C79" s="359" t="s">
        <v>80</v>
      </c>
      <c r="D79" s="136" t="s">
        <v>28</v>
      </c>
      <c r="E79" s="137">
        <v>1</v>
      </c>
      <c r="F79" s="232">
        <v>401784</v>
      </c>
      <c r="G79" s="232">
        <v>156319</v>
      </c>
      <c r="H79" s="138">
        <f t="shared" si="6"/>
        <v>558103</v>
      </c>
      <c r="I79" s="138">
        <f t="shared" si="7"/>
        <v>558103</v>
      </c>
      <c r="J79" s="108"/>
    </row>
    <row r="80" spans="1:10" s="16" customFormat="1" ht="25.5" outlineLevel="3">
      <c r="A80" s="91"/>
      <c r="B80" s="35">
        <f>MAXA(B$5:B79)+1</f>
        <v>64</v>
      </c>
      <c r="C80" s="359" t="s">
        <v>828</v>
      </c>
      <c r="D80" s="136" t="s">
        <v>38</v>
      </c>
      <c r="E80" s="137">
        <v>1</v>
      </c>
      <c r="F80" s="232">
        <v>11238419</v>
      </c>
      <c r="G80" s="232">
        <v>4034304</v>
      </c>
      <c r="H80" s="138">
        <f t="shared" si="6"/>
        <v>15272723</v>
      </c>
      <c r="I80" s="138">
        <f t="shared" si="7"/>
        <v>15272723</v>
      </c>
      <c r="J80" s="108"/>
    </row>
    <row r="81" spans="1:14" s="16" customFormat="1" ht="26.25" outlineLevel="3">
      <c r="A81" s="91"/>
      <c r="B81" s="106" t="s">
        <v>1412</v>
      </c>
      <c r="C81" s="361" t="s">
        <v>1413</v>
      </c>
      <c r="D81" s="136" t="s">
        <v>38</v>
      </c>
      <c r="E81" s="352">
        <v>1</v>
      </c>
      <c r="F81" s="232">
        <v>125412300</v>
      </c>
      <c r="G81" s="232">
        <v>15631875</v>
      </c>
      <c r="H81" s="138">
        <f t="shared" si="6"/>
        <v>141044175</v>
      </c>
      <c r="I81" s="138">
        <f t="shared" si="7"/>
        <v>141044175</v>
      </c>
      <c r="J81" s="107"/>
    </row>
    <row r="82" spans="1:14" s="16" customFormat="1" ht="26.25" outlineLevel="2">
      <c r="A82" s="91"/>
      <c r="B82" s="30" t="s">
        <v>83</v>
      </c>
      <c r="C82" s="104" t="s">
        <v>84</v>
      </c>
      <c r="D82" s="212"/>
      <c r="E82" s="105"/>
      <c r="F82" s="232">
        <v>0</v>
      </c>
      <c r="G82" s="232">
        <v>0</v>
      </c>
      <c r="H82" s="276"/>
      <c r="I82" s="180">
        <f>SUBTOTAL(9,I83:I795)</f>
        <v>11119138942</v>
      </c>
      <c r="J82" s="48"/>
      <c r="M82" s="33" t="s">
        <v>83</v>
      </c>
      <c r="N82" s="16" t="s">
        <v>83</v>
      </c>
    </row>
    <row r="83" spans="1:14" s="110" customFormat="1" ht="27" outlineLevel="3">
      <c r="A83" s="109"/>
      <c r="B83" s="38" t="s">
        <v>85</v>
      </c>
      <c r="C83" s="347" t="s">
        <v>1414</v>
      </c>
      <c r="D83" s="363"/>
      <c r="E83" s="352"/>
      <c r="F83" s="232">
        <v>0</v>
      </c>
      <c r="G83" s="232">
        <v>0</v>
      </c>
      <c r="H83" s="326"/>
      <c r="I83" s="180">
        <f>SUBTOTAL(9,I84:I636)</f>
        <v>2023759015</v>
      </c>
      <c r="J83" s="111"/>
    </row>
    <row r="84" spans="1:14" s="16" customFormat="1" ht="25.5" outlineLevel="3">
      <c r="A84" s="91"/>
      <c r="B84" s="35">
        <f>MAXA(B$5:B83)+1</f>
        <v>65</v>
      </c>
      <c r="C84" s="364" t="s">
        <v>1415</v>
      </c>
      <c r="D84" s="136" t="s">
        <v>38</v>
      </c>
      <c r="E84" s="137">
        <v>1</v>
      </c>
      <c r="F84" s="232">
        <v>1202309141</v>
      </c>
      <c r="G84" s="232">
        <v>26053125</v>
      </c>
      <c r="H84" s="138">
        <f>G84+F84</f>
        <v>1228362266</v>
      </c>
      <c r="I84" s="138">
        <f>H84*E84</f>
        <v>1228362266</v>
      </c>
      <c r="J84" s="108"/>
    </row>
    <row r="85" spans="1:14" s="16" customFormat="1" ht="25.5" outlineLevel="3">
      <c r="A85" s="91"/>
      <c r="B85" s="35"/>
      <c r="C85" s="112" t="s">
        <v>1416</v>
      </c>
      <c r="D85" s="136"/>
      <c r="E85" s="137"/>
      <c r="F85" s="232">
        <v>0</v>
      </c>
      <c r="G85" s="232">
        <v>0</v>
      </c>
      <c r="H85" s="138"/>
      <c r="I85" s="138"/>
      <c r="J85" s="108"/>
    </row>
    <row r="86" spans="1:14" s="16" customFormat="1" ht="25.5" outlineLevel="3">
      <c r="A86" s="91"/>
      <c r="B86" s="35"/>
      <c r="C86" s="142" t="s">
        <v>1417</v>
      </c>
      <c r="D86" s="136" t="s">
        <v>28</v>
      </c>
      <c r="E86" s="137">
        <v>1</v>
      </c>
      <c r="F86" s="232">
        <v>0</v>
      </c>
      <c r="G86" s="232">
        <v>0</v>
      </c>
      <c r="H86" s="138">
        <f t="shared" ref="H86:H94" si="8">G86+F86</f>
        <v>0</v>
      </c>
      <c r="I86" s="138">
        <f t="shared" ref="I86:I94" si="9">H86*E86</f>
        <v>0</v>
      </c>
      <c r="J86" s="108"/>
    </row>
    <row r="87" spans="1:14" s="16" customFormat="1" ht="25.5" outlineLevel="3">
      <c r="A87" s="91"/>
      <c r="B87" s="35"/>
      <c r="C87" s="141" t="s">
        <v>90</v>
      </c>
      <c r="D87" s="136" t="s">
        <v>28</v>
      </c>
      <c r="E87" s="137">
        <v>1</v>
      </c>
      <c r="F87" s="232">
        <v>0</v>
      </c>
      <c r="G87" s="232">
        <v>0</v>
      </c>
      <c r="H87" s="138">
        <f t="shared" si="8"/>
        <v>0</v>
      </c>
      <c r="I87" s="138">
        <f t="shared" si="9"/>
        <v>0</v>
      </c>
      <c r="J87" s="108"/>
    </row>
    <row r="88" spans="1:14" s="16" customFormat="1" ht="25.5" outlineLevel="3">
      <c r="A88" s="91"/>
      <c r="B88" s="35"/>
      <c r="C88" s="139" t="s">
        <v>91</v>
      </c>
      <c r="D88" s="136" t="s">
        <v>28</v>
      </c>
      <c r="E88" s="137">
        <v>1</v>
      </c>
      <c r="F88" s="232">
        <v>0</v>
      </c>
      <c r="G88" s="232">
        <v>0</v>
      </c>
      <c r="H88" s="138">
        <f t="shared" si="8"/>
        <v>0</v>
      </c>
      <c r="I88" s="138">
        <f t="shared" si="9"/>
        <v>0</v>
      </c>
      <c r="J88" s="108"/>
    </row>
    <row r="89" spans="1:14" s="16" customFormat="1" ht="25.5" outlineLevel="3">
      <c r="A89" s="91"/>
      <c r="B89" s="35"/>
      <c r="C89" s="141" t="s">
        <v>92</v>
      </c>
      <c r="D89" s="136" t="s">
        <v>28</v>
      </c>
      <c r="E89" s="137">
        <v>1</v>
      </c>
      <c r="F89" s="232">
        <v>0</v>
      </c>
      <c r="G89" s="232">
        <v>0</v>
      </c>
      <c r="H89" s="138">
        <f t="shared" si="8"/>
        <v>0</v>
      </c>
      <c r="I89" s="138">
        <f t="shared" si="9"/>
        <v>0</v>
      </c>
      <c r="J89" s="108"/>
    </row>
    <row r="90" spans="1:14" s="16" customFormat="1" ht="25.5" outlineLevel="3">
      <c r="A90" s="91"/>
      <c r="B90" s="35"/>
      <c r="C90" s="139" t="s">
        <v>1418</v>
      </c>
      <c r="D90" s="136" t="s">
        <v>28</v>
      </c>
      <c r="E90" s="137">
        <v>4</v>
      </c>
      <c r="F90" s="232">
        <v>0</v>
      </c>
      <c r="G90" s="232">
        <v>0</v>
      </c>
      <c r="H90" s="138">
        <f t="shared" si="8"/>
        <v>0</v>
      </c>
      <c r="I90" s="138">
        <f t="shared" si="9"/>
        <v>0</v>
      </c>
      <c r="J90" s="108"/>
    </row>
    <row r="91" spans="1:14" s="16" customFormat="1" ht="25.5" outlineLevel="3">
      <c r="A91" s="91"/>
      <c r="B91" s="35"/>
      <c r="C91" s="139" t="s">
        <v>573</v>
      </c>
      <c r="D91" s="136" t="s">
        <v>28</v>
      </c>
      <c r="E91" s="137">
        <v>9</v>
      </c>
      <c r="F91" s="232">
        <v>0</v>
      </c>
      <c r="G91" s="232">
        <v>0</v>
      </c>
      <c r="H91" s="138">
        <f t="shared" si="8"/>
        <v>0</v>
      </c>
      <c r="I91" s="138">
        <f t="shared" si="9"/>
        <v>0</v>
      </c>
      <c r="J91" s="108"/>
    </row>
    <row r="92" spans="1:14" s="16" customFormat="1" ht="25.5" outlineLevel="3">
      <c r="A92" s="91"/>
      <c r="B92" s="35"/>
      <c r="C92" s="139" t="s">
        <v>574</v>
      </c>
      <c r="D92" s="136" t="s">
        <v>28</v>
      </c>
      <c r="E92" s="137">
        <v>6</v>
      </c>
      <c r="F92" s="232">
        <v>0</v>
      </c>
      <c r="G92" s="232">
        <v>0</v>
      </c>
      <c r="H92" s="138">
        <f t="shared" si="8"/>
        <v>0</v>
      </c>
      <c r="I92" s="138">
        <f t="shared" si="9"/>
        <v>0</v>
      </c>
      <c r="J92" s="108"/>
    </row>
    <row r="93" spans="1:14" s="16" customFormat="1" ht="25.5" outlineLevel="3">
      <c r="A93" s="91"/>
      <c r="B93" s="35"/>
      <c r="C93" s="365" t="s">
        <v>99</v>
      </c>
      <c r="D93" s="136" t="s">
        <v>28</v>
      </c>
      <c r="E93" s="137">
        <v>1</v>
      </c>
      <c r="F93" s="232">
        <v>0</v>
      </c>
      <c r="G93" s="232">
        <v>0</v>
      </c>
      <c r="H93" s="138">
        <f t="shared" si="8"/>
        <v>0</v>
      </c>
      <c r="I93" s="138">
        <f t="shared" si="9"/>
        <v>0</v>
      </c>
      <c r="J93" s="108"/>
    </row>
    <row r="94" spans="1:14" s="16" customFormat="1" ht="25.5" outlineLevel="3">
      <c r="A94" s="91"/>
      <c r="B94" s="35"/>
      <c r="C94" s="139" t="s">
        <v>1419</v>
      </c>
      <c r="D94" s="136" t="s">
        <v>28</v>
      </c>
      <c r="E94" s="137">
        <v>3</v>
      </c>
      <c r="F94" s="232">
        <v>0</v>
      </c>
      <c r="G94" s="232">
        <v>0</v>
      </c>
      <c r="H94" s="138">
        <f t="shared" si="8"/>
        <v>0</v>
      </c>
      <c r="I94" s="138">
        <f t="shared" si="9"/>
        <v>0</v>
      </c>
      <c r="J94" s="108"/>
    </row>
    <row r="95" spans="1:14" s="16" customFormat="1" ht="25.5" outlineLevel="3">
      <c r="A95" s="91"/>
      <c r="B95" s="35"/>
      <c r="C95" s="112" t="s">
        <v>101</v>
      </c>
      <c r="D95" s="136"/>
      <c r="E95" s="113"/>
      <c r="F95" s="232">
        <v>0</v>
      </c>
      <c r="G95" s="232">
        <v>0</v>
      </c>
      <c r="H95" s="138"/>
      <c r="I95" s="138"/>
      <c r="J95" s="108"/>
    </row>
    <row r="96" spans="1:14" s="16" customFormat="1" ht="25.5" outlineLevel="3">
      <c r="A96" s="91"/>
      <c r="B96" s="35"/>
      <c r="C96" s="142" t="s">
        <v>110</v>
      </c>
      <c r="D96" s="136" t="s">
        <v>28</v>
      </c>
      <c r="E96" s="137">
        <v>2</v>
      </c>
      <c r="F96" s="232">
        <v>0</v>
      </c>
      <c r="G96" s="232">
        <v>0</v>
      </c>
      <c r="H96" s="138">
        <f t="shared" ref="H96:H106" si="10">G96+F96</f>
        <v>0</v>
      </c>
      <c r="I96" s="138">
        <f t="shared" ref="I96:I106" si="11">H96*E96</f>
        <v>0</v>
      </c>
      <c r="J96" s="108"/>
    </row>
    <row r="97" spans="1:10" s="16" customFormat="1" ht="25.5" outlineLevel="3">
      <c r="A97" s="91"/>
      <c r="B97" s="35"/>
      <c r="C97" s="141" t="s">
        <v>90</v>
      </c>
      <c r="D97" s="136" t="s">
        <v>28</v>
      </c>
      <c r="E97" s="137">
        <v>2</v>
      </c>
      <c r="F97" s="232">
        <v>0</v>
      </c>
      <c r="G97" s="232">
        <v>0</v>
      </c>
      <c r="H97" s="138">
        <f t="shared" si="10"/>
        <v>0</v>
      </c>
      <c r="I97" s="138">
        <f t="shared" si="11"/>
        <v>0</v>
      </c>
      <c r="J97" s="108"/>
    </row>
    <row r="98" spans="1:10" s="16" customFormat="1" ht="25.5" outlineLevel="3">
      <c r="A98" s="91"/>
      <c r="B98" s="35"/>
      <c r="C98" s="139" t="s">
        <v>91</v>
      </c>
      <c r="D98" s="136" t="s">
        <v>28</v>
      </c>
      <c r="E98" s="137">
        <v>2</v>
      </c>
      <c r="F98" s="232">
        <v>0</v>
      </c>
      <c r="G98" s="232">
        <v>0</v>
      </c>
      <c r="H98" s="138">
        <f t="shared" si="10"/>
        <v>0</v>
      </c>
      <c r="I98" s="138">
        <f t="shared" si="11"/>
        <v>0</v>
      </c>
      <c r="J98" s="108"/>
    </row>
    <row r="99" spans="1:10" s="16" customFormat="1" ht="25.5" outlineLevel="3">
      <c r="A99" s="91"/>
      <c r="B99" s="35"/>
      <c r="C99" s="139" t="s">
        <v>1420</v>
      </c>
      <c r="D99" s="136" t="s">
        <v>28</v>
      </c>
      <c r="E99" s="137">
        <v>2</v>
      </c>
      <c r="F99" s="232">
        <v>0</v>
      </c>
      <c r="G99" s="232">
        <v>0</v>
      </c>
      <c r="H99" s="138">
        <f t="shared" si="10"/>
        <v>0</v>
      </c>
      <c r="I99" s="138">
        <f t="shared" si="11"/>
        <v>0</v>
      </c>
      <c r="J99" s="108"/>
    </row>
    <row r="100" spans="1:10" s="16" customFormat="1" ht="25.5" outlineLevel="3">
      <c r="A100" s="91"/>
      <c r="B100" s="35"/>
      <c r="C100" s="142" t="s">
        <v>1421</v>
      </c>
      <c r="D100" s="136" t="s">
        <v>28</v>
      </c>
      <c r="E100" s="137">
        <v>2</v>
      </c>
      <c r="F100" s="232">
        <v>0</v>
      </c>
      <c r="G100" s="232">
        <v>0</v>
      </c>
      <c r="H100" s="138">
        <f t="shared" si="10"/>
        <v>0</v>
      </c>
      <c r="I100" s="138">
        <f t="shared" si="11"/>
        <v>0</v>
      </c>
      <c r="J100" s="108"/>
    </row>
    <row r="101" spans="1:10" s="16" customFormat="1" ht="25.5" outlineLevel="3">
      <c r="A101" s="91"/>
      <c r="B101" s="35"/>
      <c r="C101" s="142" t="s">
        <v>106</v>
      </c>
      <c r="D101" s="136" t="s">
        <v>28</v>
      </c>
      <c r="E101" s="137">
        <v>2</v>
      </c>
      <c r="F101" s="232">
        <v>0</v>
      </c>
      <c r="G101" s="232">
        <v>0</v>
      </c>
      <c r="H101" s="138">
        <f t="shared" si="10"/>
        <v>0</v>
      </c>
      <c r="I101" s="138">
        <f t="shared" si="11"/>
        <v>0</v>
      </c>
      <c r="J101" s="108"/>
    </row>
    <row r="102" spans="1:10" s="16" customFormat="1" ht="25.5" outlineLevel="3">
      <c r="A102" s="91"/>
      <c r="B102" s="35"/>
      <c r="C102" s="229" t="s">
        <v>107</v>
      </c>
      <c r="D102" s="136" t="s">
        <v>28</v>
      </c>
      <c r="E102" s="137">
        <v>1</v>
      </c>
      <c r="F102" s="232">
        <v>0</v>
      </c>
      <c r="G102" s="232">
        <v>0</v>
      </c>
      <c r="H102" s="138">
        <f t="shared" si="10"/>
        <v>0</v>
      </c>
      <c r="I102" s="138">
        <f t="shared" si="11"/>
        <v>0</v>
      </c>
      <c r="J102" s="108"/>
    </row>
    <row r="103" spans="1:10" s="16" customFormat="1" ht="25.5" outlineLevel="3">
      <c r="A103" s="91"/>
      <c r="B103" s="35"/>
      <c r="C103" s="139" t="s">
        <v>573</v>
      </c>
      <c r="D103" s="136" t="s">
        <v>28</v>
      </c>
      <c r="E103" s="137">
        <v>15</v>
      </c>
      <c r="F103" s="232">
        <v>0</v>
      </c>
      <c r="G103" s="232">
        <v>0</v>
      </c>
      <c r="H103" s="138">
        <f t="shared" si="10"/>
        <v>0</v>
      </c>
      <c r="I103" s="138">
        <f t="shared" si="11"/>
        <v>0</v>
      </c>
      <c r="J103" s="108"/>
    </row>
    <row r="104" spans="1:10" s="16" customFormat="1" ht="25.5" outlineLevel="3">
      <c r="A104" s="91"/>
      <c r="B104" s="35"/>
      <c r="C104" s="139" t="s">
        <v>574</v>
      </c>
      <c r="D104" s="136" t="s">
        <v>28</v>
      </c>
      <c r="E104" s="137">
        <v>12</v>
      </c>
      <c r="F104" s="232">
        <v>0</v>
      </c>
      <c r="G104" s="232">
        <v>0</v>
      </c>
      <c r="H104" s="138">
        <f t="shared" si="10"/>
        <v>0</v>
      </c>
      <c r="I104" s="138">
        <f t="shared" si="11"/>
        <v>0</v>
      </c>
      <c r="J104" s="108"/>
    </row>
    <row r="105" spans="1:10" s="16" customFormat="1" ht="25.5" outlineLevel="3">
      <c r="A105" s="91"/>
      <c r="B105" s="35"/>
      <c r="C105" s="365" t="s">
        <v>99</v>
      </c>
      <c r="D105" s="136" t="s">
        <v>28</v>
      </c>
      <c r="E105" s="137">
        <v>1</v>
      </c>
      <c r="F105" s="232">
        <v>0</v>
      </c>
      <c r="G105" s="232">
        <v>0</v>
      </c>
      <c r="H105" s="138">
        <f t="shared" si="10"/>
        <v>0</v>
      </c>
      <c r="I105" s="138">
        <f t="shared" si="11"/>
        <v>0</v>
      </c>
      <c r="J105" s="108"/>
    </row>
    <row r="106" spans="1:10" s="16" customFormat="1" ht="25.5" outlineLevel="3">
      <c r="A106" s="91"/>
      <c r="B106" s="35"/>
      <c r="C106" s="141" t="s">
        <v>108</v>
      </c>
      <c r="D106" s="136" t="s">
        <v>28</v>
      </c>
      <c r="E106" s="137">
        <v>3</v>
      </c>
      <c r="F106" s="232">
        <v>0</v>
      </c>
      <c r="G106" s="232">
        <v>0</v>
      </c>
      <c r="H106" s="138">
        <f t="shared" si="10"/>
        <v>0</v>
      </c>
      <c r="I106" s="138">
        <f t="shared" si="11"/>
        <v>0</v>
      </c>
      <c r="J106" s="108"/>
    </row>
    <row r="107" spans="1:10" s="16" customFormat="1" ht="25.5" outlineLevel="3">
      <c r="A107" s="91"/>
      <c r="B107" s="35"/>
      <c r="C107" s="112" t="s">
        <v>109</v>
      </c>
      <c r="D107" s="136"/>
      <c r="E107" s="113"/>
      <c r="F107" s="232">
        <v>0</v>
      </c>
      <c r="G107" s="232">
        <v>0</v>
      </c>
      <c r="H107" s="138"/>
      <c r="I107" s="138"/>
      <c r="J107" s="108"/>
    </row>
    <row r="108" spans="1:10" s="16" customFormat="1" ht="25.5" outlineLevel="3">
      <c r="A108" s="91"/>
      <c r="B108" s="35"/>
      <c r="C108" s="142" t="s">
        <v>1422</v>
      </c>
      <c r="D108" s="136" t="s">
        <v>28</v>
      </c>
      <c r="E108" s="137">
        <v>1</v>
      </c>
      <c r="F108" s="232">
        <v>0</v>
      </c>
      <c r="G108" s="232">
        <v>0</v>
      </c>
      <c r="H108" s="138">
        <f t="shared" ref="H108:H128" si="12">G108+F108</f>
        <v>0</v>
      </c>
      <c r="I108" s="138">
        <f t="shared" ref="I108:I128" si="13">H108*E108</f>
        <v>0</v>
      </c>
      <c r="J108" s="108"/>
    </row>
    <row r="109" spans="1:10" s="16" customFormat="1" ht="25.5" outlineLevel="3">
      <c r="A109" s="91"/>
      <c r="B109" s="35"/>
      <c r="C109" s="141" t="s">
        <v>90</v>
      </c>
      <c r="D109" s="136" t="s">
        <v>28</v>
      </c>
      <c r="E109" s="137">
        <v>1</v>
      </c>
      <c r="F109" s="232">
        <v>0</v>
      </c>
      <c r="G109" s="232">
        <v>0</v>
      </c>
      <c r="H109" s="138">
        <f t="shared" si="12"/>
        <v>0</v>
      </c>
      <c r="I109" s="138">
        <f t="shared" si="13"/>
        <v>0</v>
      </c>
      <c r="J109" s="108"/>
    </row>
    <row r="110" spans="1:10" s="16" customFormat="1" ht="25.5" outlineLevel="3">
      <c r="A110" s="91"/>
      <c r="B110" s="35"/>
      <c r="C110" s="139" t="s">
        <v>91</v>
      </c>
      <c r="D110" s="136" t="s">
        <v>28</v>
      </c>
      <c r="E110" s="137">
        <v>1</v>
      </c>
      <c r="F110" s="232">
        <v>0</v>
      </c>
      <c r="G110" s="232">
        <v>0</v>
      </c>
      <c r="H110" s="138">
        <f t="shared" si="12"/>
        <v>0</v>
      </c>
      <c r="I110" s="138">
        <f t="shared" si="13"/>
        <v>0</v>
      </c>
      <c r="J110" s="108"/>
    </row>
    <row r="111" spans="1:10" s="16" customFormat="1" ht="25.5" outlineLevel="3">
      <c r="A111" s="91"/>
      <c r="B111" s="35"/>
      <c r="C111" s="139" t="s">
        <v>573</v>
      </c>
      <c r="D111" s="136" t="s">
        <v>28</v>
      </c>
      <c r="E111" s="137">
        <v>3</v>
      </c>
      <c r="F111" s="232">
        <v>0</v>
      </c>
      <c r="G111" s="232">
        <v>0</v>
      </c>
      <c r="H111" s="138">
        <f t="shared" si="12"/>
        <v>0</v>
      </c>
      <c r="I111" s="138">
        <f t="shared" si="13"/>
        <v>0</v>
      </c>
      <c r="J111" s="108"/>
    </row>
    <row r="112" spans="1:10" s="16" customFormat="1" ht="25.5" outlineLevel="3">
      <c r="A112" s="91"/>
      <c r="B112" s="35"/>
      <c r="C112" s="139" t="s">
        <v>574</v>
      </c>
      <c r="D112" s="136" t="s">
        <v>28</v>
      </c>
      <c r="E112" s="137">
        <v>3</v>
      </c>
      <c r="F112" s="232">
        <v>0</v>
      </c>
      <c r="G112" s="232">
        <v>0</v>
      </c>
      <c r="H112" s="138">
        <f t="shared" si="12"/>
        <v>0</v>
      </c>
      <c r="I112" s="138">
        <f t="shared" si="13"/>
        <v>0</v>
      </c>
      <c r="J112" s="108"/>
    </row>
    <row r="113" spans="1:10" s="16" customFormat="1" ht="25.5" outlineLevel="3">
      <c r="A113" s="91"/>
      <c r="B113" s="35"/>
      <c r="C113" s="142" t="s">
        <v>110</v>
      </c>
      <c r="D113" s="136" t="s">
        <v>28</v>
      </c>
      <c r="E113" s="137">
        <v>1</v>
      </c>
      <c r="F113" s="232">
        <v>0</v>
      </c>
      <c r="G113" s="232">
        <v>0</v>
      </c>
      <c r="H113" s="138">
        <f t="shared" si="12"/>
        <v>0</v>
      </c>
      <c r="I113" s="138">
        <f t="shared" si="13"/>
        <v>0</v>
      </c>
      <c r="J113" s="108"/>
    </row>
    <row r="114" spans="1:10" s="16" customFormat="1" ht="25.5" outlineLevel="3">
      <c r="A114" s="91"/>
      <c r="B114" s="35"/>
      <c r="C114" s="141" t="s">
        <v>90</v>
      </c>
      <c r="D114" s="136" t="s">
        <v>28</v>
      </c>
      <c r="E114" s="137">
        <v>1</v>
      </c>
      <c r="F114" s="232">
        <v>0</v>
      </c>
      <c r="G114" s="232">
        <v>0</v>
      </c>
      <c r="H114" s="138">
        <f t="shared" si="12"/>
        <v>0</v>
      </c>
      <c r="I114" s="138">
        <f t="shared" si="13"/>
        <v>0</v>
      </c>
      <c r="J114" s="108"/>
    </row>
    <row r="115" spans="1:10" s="16" customFormat="1" ht="25.5" outlineLevel="3">
      <c r="A115" s="91"/>
      <c r="B115" s="35"/>
      <c r="C115" s="139" t="s">
        <v>91</v>
      </c>
      <c r="D115" s="136" t="s">
        <v>28</v>
      </c>
      <c r="E115" s="137">
        <v>1</v>
      </c>
      <c r="F115" s="232">
        <v>0</v>
      </c>
      <c r="G115" s="232">
        <v>0</v>
      </c>
      <c r="H115" s="138">
        <f t="shared" si="12"/>
        <v>0</v>
      </c>
      <c r="I115" s="138">
        <f t="shared" si="13"/>
        <v>0</v>
      </c>
      <c r="J115" s="108"/>
    </row>
    <row r="116" spans="1:10" s="16" customFormat="1" ht="25.5" outlineLevel="3">
      <c r="A116" s="91"/>
      <c r="B116" s="35"/>
      <c r="C116" s="142" t="s">
        <v>1423</v>
      </c>
      <c r="D116" s="136" t="s">
        <v>28</v>
      </c>
      <c r="E116" s="137">
        <v>1</v>
      </c>
      <c r="F116" s="232">
        <v>0</v>
      </c>
      <c r="G116" s="232">
        <v>0</v>
      </c>
      <c r="H116" s="138">
        <f t="shared" si="12"/>
        <v>0</v>
      </c>
      <c r="I116" s="138">
        <f t="shared" si="13"/>
        <v>0</v>
      </c>
      <c r="J116" s="108"/>
    </row>
    <row r="117" spans="1:10" s="16" customFormat="1" ht="25.5" outlineLevel="3">
      <c r="A117" s="91"/>
      <c r="B117" s="35"/>
      <c r="C117" s="142" t="s">
        <v>1424</v>
      </c>
      <c r="D117" s="136" t="s">
        <v>28</v>
      </c>
      <c r="E117" s="137">
        <v>4</v>
      </c>
      <c r="F117" s="232">
        <v>0</v>
      </c>
      <c r="G117" s="232">
        <v>0</v>
      </c>
      <c r="H117" s="138">
        <f t="shared" si="12"/>
        <v>0</v>
      </c>
      <c r="I117" s="138">
        <f t="shared" si="13"/>
        <v>0</v>
      </c>
      <c r="J117" s="108"/>
    </row>
    <row r="118" spans="1:10" s="16" customFormat="1" ht="25.5" outlineLevel="3">
      <c r="A118" s="91"/>
      <c r="B118" s="35"/>
      <c r="C118" s="142" t="s">
        <v>1425</v>
      </c>
      <c r="D118" s="136" t="s">
        <v>28</v>
      </c>
      <c r="E118" s="137">
        <v>1</v>
      </c>
      <c r="F118" s="232">
        <v>0</v>
      </c>
      <c r="G118" s="232">
        <v>0</v>
      </c>
      <c r="H118" s="138">
        <f t="shared" si="12"/>
        <v>0</v>
      </c>
      <c r="I118" s="138">
        <f t="shared" si="13"/>
        <v>0</v>
      </c>
      <c r="J118" s="108"/>
    </row>
    <row r="119" spans="1:10" s="16" customFormat="1" ht="25.5" outlineLevel="3">
      <c r="A119" s="91"/>
      <c r="B119" s="35"/>
      <c r="C119" s="142" t="s">
        <v>114</v>
      </c>
      <c r="D119" s="136" t="s">
        <v>28</v>
      </c>
      <c r="E119" s="137">
        <v>2</v>
      </c>
      <c r="F119" s="232">
        <v>0</v>
      </c>
      <c r="G119" s="232">
        <v>0</v>
      </c>
      <c r="H119" s="138">
        <f t="shared" si="12"/>
        <v>0</v>
      </c>
      <c r="I119" s="138">
        <f t="shared" si="13"/>
        <v>0</v>
      </c>
      <c r="J119" s="108"/>
    </row>
    <row r="120" spans="1:10" s="16" customFormat="1" ht="25.5" outlineLevel="3">
      <c r="A120" s="91"/>
      <c r="B120" s="35"/>
      <c r="C120" s="142" t="s">
        <v>115</v>
      </c>
      <c r="D120" s="136" t="s">
        <v>28</v>
      </c>
      <c r="E120" s="137">
        <v>1</v>
      </c>
      <c r="F120" s="232">
        <v>0</v>
      </c>
      <c r="G120" s="232">
        <v>0</v>
      </c>
      <c r="H120" s="138">
        <f t="shared" si="12"/>
        <v>0</v>
      </c>
      <c r="I120" s="138">
        <f t="shared" si="13"/>
        <v>0</v>
      </c>
      <c r="J120" s="108"/>
    </row>
    <row r="121" spans="1:10" s="16" customFormat="1" ht="25.5" outlineLevel="3">
      <c r="A121" s="91"/>
      <c r="B121" s="35"/>
      <c r="C121" s="139" t="s">
        <v>118</v>
      </c>
      <c r="D121" s="136" t="s">
        <v>28</v>
      </c>
      <c r="E121" s="137">
        <v>6</v>
      </c>
      <c r="F121" s="232">
        <v>0</v>
      </c>
      <c r="G121" s="232">
        <v>0</v>
      </c>
      <c r="H121" s="138">
        <f t="shared" si="12"/>
        <v>0</v>
      </c>
      <c r="I121" s="138">
        <f t="shared" si="13"/>
        <v>0</v>
      </c>
      <c r="J121" s="108"/>
    </row>
    <row r="122" spans="1:10" s="16" customFormat="1" ht="25.5" outlineLevel="3">
      <c r="A122" s="91"/>
      <c r="B122" s="35"/>
      <c r="C122" s="141" t="s">
        <v>92</v>
      </c>
      <c r="D122" s="136" t="s">
        <v>28</v>
      </c>
      <c r="E122" s="137">
        <v>2</v>
      </c>
      <c r="F122" s="232">
        <v>0</v>
      </c>
      <c r="G122" s="232">
        <v>0</v>
      </c>
      <c r="H122" s="138">
        <f t="shared" si="12"/>
        <v>0</v>
      </c>
      <c r="I122" s="138">
        <f t="shared" si="13"/>
        <v>0</v>
      </c>
      <c r="J122" s="108"/>
    </row>
    <row r="123" spans="1:10" s="16" customFormat="1" ht="25.5" outlineLevel="3">
      <c r="A123" s="91"/>
      <c r="B123" s="35"/>
      <c r="C123" s="139" t="s">
        <v>1426</v>
      </c>
      <c r="D123" s="136" t="s">
        <v>28</v>
      </c>
      <c r="E123" s="137">
        <v>5</v>
      </c>
      <c r="F123" s="232">
        <v>0</v>
      </c>
      <c r="G123" s="232">
        <v>0</v>
      </c>
      <c r="H123" s="138">
        <f t="shared" si="12"/>
        <v>0</v>
      </c>
      <c r="I123" s="138">
        <f t="shared" si="13"/>
        <v>0</v>
      </c>
      <c r="J123" s="108"/>
    </row>
    <row r="124" spans="1:10" s="16" customFormat="1" ht="25.5" outlineLevel="3">
      <c r="A124" s="91"/>
      <c r="B124" s="35"/>
      <c r="C124" s="139" t="s">
        <v>1427</v>
      </c>
      <c r="D124" s="136" t="s">
        <v>28</v>
      </c>
      <c r="E124" s="137">
        <v>4</v>
      </c>
      <c r="F124" s="232">
        <v>0</v>
      </c>
      <c r="G124" s="232">
        <v>0</v>
      </c>
      <c r="H124" s="138">
        <f t="shared" si="12"/>
        <v>0</v>
      </c>
      <c r="I124" s="138">
        <f t="shared" si="13"/>
        <v>0</v>
      </c>
      <c r="J124" s="108"/>
    </row>
    <row r="125" spans="1:10" s="16" customFormat="1" ht="25.5" outlineLevel="3">
      <c r="A125" s="91"/>
      <c r="B125" s="35"/>
      <c r="C125" s="139" t="s">
        <v>1428</v>
      </c>
      <c r="D125" s="136" t="s">
        <v>28</v>
      </c>
      <c r="E125" s="137">
        <v>4</v>
      </c>
      <c r="F125" s="232">
        <v>0</v>
      </c>
      <c r="G125" s="232">
        <v>0</v>
      </c>
      <c r="H125" s="138">
        <f t="shared" si="12"/>
        <v>0</v>
      </c>
      <c r="I125" s="138">
        <f t="shared" si="13"/>
        <v>0</v>
      </c>
      <c r="J125" s="108"/>
    </row>
    <row r="126" spans="1:10" s="16" customFormat="1" ht="25.5" outlineLevel="3">
      <c r="A126" s="91"/>
      <c r="B126" s="35"/>
      <c r="C126" s="141" t="s">
        <v>1429</v>
      </c>
      <c r="D126" s="136" t="s">
        <v>28</v>
      </c>
      <c r="E126" s="137">
        <v>5</v>
      </c>
      <c r="F126" s="232">
        <v>0</v>
      </c>
      <c r="G126" s="232">
        <v>0</v>
      </c>
      <c r="H126" s="138">
        <f t="shared" si="12"/>
        <v>0</v>
      </c>
      <c r="I126" s="138">
        <f t="shared" si="13"/>
        <v>0</v>
      </c>
      <c r="J126" s="108"/>
    </row>
    <row r="127" spans="1:10" s="16" customFormat="1" ht="25.5" outlineLevel="3">
      <c r="A127" s="91"/>
      <c r="B127" s="35"/>
      <c r="C127" s="142" t="s">
        <v>112</v>
      </c>
      <c r="D127" s="136" t="s">
        <v>28</v>
      </c>
      <c r="E127" s="137">
        <v>1</v>
      </c>
      <c r="F127" s="232">
        <v>0</v>
      </c>
      <c r="G127" s="232">
        <v>0</v>
      </c>
      <c r="H127" s="138">
        <f t="shared" si="12"/>
        <v>0</v>
      </c>
      <c r="I127" s="138">
        <f t="shared" si="13"/>
        <v>0</v>
      </c>
      <c r="J127" s="108"/>
    </row>
    <row r="128" spans="1:10" s="16" customFormat="1" ht="25.5" outlineLevel="3">
      <c r="A128" s="91"/>
      <c r="B128" s="35"/>
      <c r="C128" s="139" t="s">
        <v>121</v>
      </c>
      <c r="D128" s="136" t="s">
        <v>44</v>
      </c>
      <c r="E128" s="137">
        <v>1</v>
      </c>
      <c r="F128" s="232">
        <v>0</v>
      </c>
      <c r="G128" s="232">
        <v>0</v>
      </c>
      <c r="H128" s="138">
        <f t="shared" si="12"/>
        <v>0</v>
      </c>
      <c r="I128" s="138">
        <f t="shared" si="13"/>
        <v>0</v>
      </c>
      <c r="J128" s="108"/>
    </row>
    <row r="129" spans="1:10" s="16" customFormat="1" ht="25.5" outlineLevel="3">
      <c r="A129" s="91"/>
      <c r="B129" s="35"/>
      <c r="C129" s="144" t="s">
        <v>1430</v>
      </c>
      <c r="D129" s="136"/>
      <c r="E129" s="137"/>
      <c r="F129" s="232">
        <v>0</v>
      </c>
      <c r="G129" s="232">
        <v>0</v>
      </c>
      <c r="H129" s="138"/>
      <c r="I129" s="138"/>
      <c r="J129" s="108"/>
    </row>
    <row r="130" spans="1:10" s="16" customFormat="1" ht="25.5" outlineLevel="3">
      <c r="A130" s="91"/>
      <c r="B130" s="35"/>
      <c r="C130" s="142" t="s">
        <v>1431</v>
      </c>
      <c r="D130" s="136" t="s">
        <v>28</v>
      </c>
      <c r="E130" s="137">
        <v>1</v>
      </c>
      <c r="F130" s="232">
        <v>0</v>
      </c>
      <c r="G130" s="232">
        <v>0</v>
      </c>
      <c r="H130" s="138">
        <f t="shared" ref="H130:H136" si="14">G130+F130</f>
        <v>0</v>
      </c>
      <c r="I130" s="138">
        <f t="shared" ref="I130:I136" si="15">H130*E130</f>
        <v>0</v>
      </c>
      <c r="J130" s="108"/>
    </row>
    <row r="131" spans="1:10" s="16" customFormat="1" ht="25.5" outlineLevel="3">
      <c r="A131" s="91"/>
      <c r="B131" s="35"/>
      <c r="C131" s="142" t="s">
        <v>125</v>
      </c>
      <c r="D131" s="136" t="s">
        <v>28</v>
      </c>
      <c r="E131" s="137">
        <v>8</v>
      </c>
      <c r="F131" s="232">
        <v>0</v>
      </c>
      <c r="G131" s="232">
        <v>0</v>
      </c>
      <c r="H131" s="138">
        <f t="shared" si="14"/>
        <v>0</v>
      </c>
      <c r="I131" s="138">
        <f t="shared" si="15"/>
        <v>0</v>
      </c>
      <c r="J131" s="108"/>
    </row>
    <row r="132" spans="1:10" s="16" customFormat="1" ht="25.5" outlineLevel="3">
      <c r="A132" s="91"/>
      <c r="B132" s="35"/>
      <c r="C132" s="142" t="s">
        <v>126</v>
      </c>
      <c r="D132" s="136" t="s">
        <v>28</v>
      </c>
      <c r="E132" s="137">
        <v>8</v>
      </c>
      <c r="F132" s="232">
        <v>0</v>
      </c>
      <c r="G132" s="232">
        <v>0</v>
      </c>
      <c r="H132" s="138">
        <f t="shared" si="14"/>
        <v>0</v>
      </c>
      <c r="I132" s="138">
        <f t="shared" si="15"/>
        <v>0</v>
      </c>
      <c r="J132" s="108"/>
    </row>
    <row r="133" spans="1:10" s="16" customFormat="1" ht="25.5" outlineLevel="3">
      <c r="A133" s="91"/>
      <c r="B133" s="35"/>
      <c r="C133" s="141" t="s">
        <v>127</v>
      </c>
      <c r="D133" s="136" t="s">
        <v>28</v>
      </c>
      <c r="E133" s="137">
        <v>16</v>
      </c>
      <c r="F133" s="232">
        <v>0</v>
      </c>
      <c r="G133" s="232">
        <v>0</v>
      </c>
      <c r="H133" s="138">
        <f t="shared" si="14"/>
        <v>0</v>
      </c>
      <c r="I133" s="138">
        <f t="shared" si="15"/>
        <v>0</v>
      </c>
      <c r="J133" s="108"/>
    </row>
    <row r="134" spans="1:10" s="16" customFormat="1" ht="25.5" outlineLevel="3">
      <c r="A134" s="91"/>
      <c r="B134" s="35"/>
      <c r="C134" s="141" t="s">
        <v>128</v>
      </c>
      <c r="D134" s="136" t="s">
        <v>28</v>
      </c>
      <c r="E134" s="137">
        <v>8</v>
      </c>
      <c r="F134" s="232">
        <v>0</v>
      </c>
      <c r="G134" s="232">
        <v>0</v>
      </c>
      <c r="H134" s="138">
        <f t="shared" si="14"/>
        <v>0</v>
      </c>
      <c r="I134" s="138">
        <f t="shared" si="15"/>
        <v>0</v>
      </c>
      <c r="J134" s="108"/>
    </row>
    <row r="135" spans="1:10" s="16" customFormat="1" ht="25.5" outlineLevel="3">
      <c r="A135" s="91"/>
      <c r="B135" s="35"/>
      <c r="C135" s="141" t="s">
        <v>1432</v>
      </c>
      <c r="D135" s="136" t="s">
        <v>28</v>
      </c>
      <c r="E135" s="137">
        <v>1</v>
      </c>
      <c r="F135" s="232">
        <v>0</v>
      </c>
      <c r="G135" s="232">
        <v>0</v>
      </c>
      <c r="H135" s="138">
        <f t="shared" si="14"/>
        <v>0</v>
      </c>
      <c r="I135" s="138">
        <f t="shared" si="15"/>
        <v>0</v>
      </c>
      <c r="J135" s="108"/>
    </row>
    <row r="136" spans="1:10" s="16" customFormat="1" ht="25.5" outlineLevel="3">
      <c r="A136" s="91"/>
      <c r="B136" s="35"/>
      <c r="C136" s="139" t="s">
        <v>1419</v>
      </c>
      <c r="D136" s="136" t="s">
        <v>28</v>
      </c>
      <c r="E136" s="137">
        <v>1</v>
      </c>
      <c r="F136" s="232">
        <v>0</v>
      </c>
      <c r="G136" s="232">
        <v>0</v>
      </c>
      <c r="H136" s="138">
        <f t="shared" si="14"/>
        <v>0</v>
      </c>
      <c r="I136" s="138">
        <f t="shared" si="15"/>
        <v>0</v>
      </c>
      <c r="J136" s="108"/>
    </row>
    <row r="137" spans="1:10" s="16" customFormat="1" ht="25.5" outlineLevel="3">
      <c r="A137" s="91"/>
      <c r="B137" s="35"/>
      <c r="C137" s="112" t="s">
        <v>130</v>
      </c>
      <c r="D137" s="136"/>
      <c r="E137" s="113"/>
      <c r="F137" s="232">
        <v>0</v>
      </c>
      <c r="G137" s="232">
        <v>0</v>
      </c>
      <c r="H137" s="138"/>
      <c r="I137" s="138"/>
      <c r="J137" s="108"/>
    </row>
    <row r="138" spans="1:10" s="16" customFormat="1" ht="25.5" outlineLevel="3">
      <c r="A138" s="91"/>
      <c r="B138" s="35"/>
      <c r="C138" s="142" t="s">
        <v>111</v>
      </c>
      <c r="D138" s="136" t="s">
        <v>28</v>
      </c>
      <c r="E138" s="137">
        <v>2</v>
      </c>
      <c r="F138" s="232">
        <v>0</v>
      </c>
      <c r="G138" s="232">
        <v>0</v>
      </c>
      <c r="H138" s="138">
        <f t="shared" ref="H138:H157" si="16">G138+F138</f>
        <v>0</v>
      </c>
      <c r="I138" s="138">
        <f t="shared" ref="I138:I157" si="17">H138*E138</f>
        <v>0</v>
      </c>
      <c r="J138" s="108"/>
    </row>
    <row r="139" spans="1:10" s="16" customFormat="1" ht="25.5" outlineLevel="3">
      <c r="A139" s="91"/>
      <c r="B139" s="35"/>
      <c r="C139" s="142" t="s">
        <v>1433</v>
      </c>
      <c r="D139" s="136" t="s">
        <v>28</v>
      </c>
      <c r="E139" s="137">
        <v>1</v>
      </c>
      <c r="F139" s="232">
        <v>0</v>
      </c>
      <c r="G139" s="232">
        <v>0</v>
      </c>
      <c r="H139" s="138">
        <f t="shared" si="16"/>
        <v>0</v>
      </c>
      <c r="I139" s="138">
        <f t="shared" si="17"/>
        <v>0</v>
      </c>
      <c r="J139" s="108"/>
    </row>
    <row r="140" spans="1:10" s="16" customFormat="1" ht="25.5" outlineLevel="3">
      <c r="A140" s="91"/>
      <c r="B140" s="35"/>
      <c r="C140" s="142" t="s">
        <v>1434</v>
      </c>
      <c r="D140" s="136" t="s">
        <v>28</v>
      </c>
      <c r="E140" s="137">
        <v>1</v>
      </c>
      <c r="F140" s="232">
        <v>0</v>
      </c>
      <c r="G140" s="232">
        <v>0</v>
      </c>
      <c r="H140" s="138">
        <f t="shared" si="16"/>
        <v>0</v>
      </c>
      <c r="I140" s="138">
        <f t="shared" si="17"/>
        <v>0</v>
      </c>
      <c r="J140" s="108"/>
    </row>
    <row r="141" spans="1:10" s="16" customFormat="1" ht="25.5" outlineLevel="3">
      <c r="A141" s="91"/>
      <c r="B141" s="35"/>
      <c r="C141" s="142" t="s">
        <v>132</v>
      </c>
      <c r="D141" s="136" t="s">
        <v>28</v>
      </c>
      <c r="E141" s="137">
        <v>2</v>
      </c>
      <c r="F141" s="232">
        <v>0</v>
      </c>
      <c r="G141" s="232">
        <v>0</v>
      </c>
      <c r="H141" s="138">
        <f t="shared" si="16"/>
        <v>0</v>
      </c>
      <c r="I141" s="138">
        <f t="shared" si="17"/>
        <v>0</v>
      </c>
      <c r="J141" s="108"/>
    </row>
    <row r="142" spans="1:10" s="16" customFormat="1" ht="25.5" outlineLevel="3">
      <c r="A142" s="91"/>
      <c r="B142" s="35"/>
      <c r="C142" s="142" t="s">
        <v>133</v>
      </c>
      <c r="D142" s="136" t="s">
        <v>28</v>
      </c>
      <c r="E142" s="137">
        <v>2</v>
      </c>
      <c r="F142" s="232">
        <v>0</v>
      </c>
      <c r="G142" s="232">
        <v>0</v>
      </c>
      <c r="H142" s="138">
        <f t="shared" si="16"/>
        <v>0</v>
      </c>
      <c r="I142" s="138">
        <f t="shared" si="17"/>
        <v>0</v>
      </c>
      <c r="J142" s="108"/>
    </row>
    <row r="143" spans="1:10" s="16" customFormat="1" ht="25.5" outlineLevel="3">
      <c r="A143" s="91"/>
      <c r="B143" s="35"/>
      <c r="C143" s="142" t="s">
        <v>134</v>
      </c>
      <c r="D143" s="136" t="s">
        <v>28</v>
      </c>
      <c r="E143" s="137">
        <v>2</v>
      </c>
      <c r="F143" s="232">
        <v>0</v>
      </c>
      <c r="G143" s="232">
        <v>0</v>
      </c>
      <c r="H143" s="138">
        <f t="shared" si="16"/>
        <v>0</v>
      </c>
      <c r="I143" s="138">
        <f t="shared" si="17"/>
        <v>0</v>
      </c>
      <c r="J143" s="108"/>
    </row>
    <row r="144" spans="1:10" s="16" customFormat="1" ht="25.5" outlineLevel="3">
      <c r="A144" s="91"/>
      <c r="B144" s="35"/>
      <c r="C144" s="142" t="s">
        <v>112</v>
      </c>
      <c r="D144" s="136" t="s">
        <v>28</v>
      </c>
      <c r="E144" s="137">
        <v>1</v>
      </c>
      <c r="F144" s="232">
        <v>0</v>
      </c>
      <c r="G144" s="232">
        <v>0</v>
      </c>
      <c r="H144" s="138">
        <f t="shared" si="16"/>
        <v>0</v>
      </c>
      <c r="I144" s="138">
        <f t="shared" si="17"/>
        <v>0</v>
      </c>
      <c r="J144" s="108"/>
    </row>
    <row r="145" spans="1:10" s="16" customFormat="1" ht="25.5" outlineLevel="3">
      <c r="A145" s="91"/>
      <c r="B145" s="35"/>
      <c r="C145" s="142" t="s">
        <v>114</v>
      </c>
      <c r="D145" s="136" t="s">
        <v>28</v>
      </c>
      <c r="E145" s="137">
        <v>2</v>
      </c>
      <c r="F145" s="232">
        <v>0</v>
      </c>
      <c r="G145" s="232">
        <v>0</v>
      </c>
      <c r="H145" s="138">
        <f t="shared" si="16"/>
        <v>0</v>
      </c>
      <c r="I145" s="138">
        <f t="shared" si="17"/>
        <v>0</v>
      </c>
      <c r="J145" s="108"/>
    </row>
    <row r="146" spans="1:10" s="16" customFormat="1" ht="25.5" outlineLevel="3">
      <c r="A146" s="91"/>
      <c r="B146" s="35"/>
      <c r="C146" s="142" t="s">
        <v>115</v>
      </c>
      <c r="D146" s="136" t="s">
        <v>28</v>
      </c>
      <c r="E146" s="137">
        <v>3</v>
      </c>
      <c r="F146" s="232">
        <v>0</v>
      </c>
      <c r="G146" s="232">
        <v>0</v>
      </c>
      <c r="H146" s="138">
        <f t="shared" si="16"/>
        <v>0</v>
      </c>
      <c r="I146" s="138">
        <f t="shared" si="17"/>
        <v>0</v>
      </c>
      <c r="J146" s="108"/>
    </row>
    <row r="147" spans="1:10" s="16" customFormat="1" ht="25.5" outlineLevel="3">
      <c r="A147" s="91"/>
      <c r="B147" s="35"/>
      <c r="C147" s="142" t="s">
        <v>135</v>
      </c>
      <c r="D147" s="136" t="s">
        <v>28</v>
      </c>
      <c r="E147" s="137">
        <v>2</v>
      </c>
      <c r="F147" s="232">
        <v>0</v>
      </c>
      <c r="G147" s="232">
        <v>0</v>
      </c>
      <c r="H147" s="138">
        <f t="shared" si="16"/>
        <v>0</v>
      </c>
      <c r="I147" s="138">
        <f t="shared" si="17"/>
        <v>0</v>
      </c>
      <c r="J147" s="108"/>
    </row>
    <row r="148" spans="1:10" s="16" customFormat="1" ht="25.5" outlineLevel="3">
      <c r="A148" s="91"/>
      <c r="B148" s="35"/>
      <c r="C148" s="142" t="s">
        <v>117</v>
      </c>
      <c r="D148" s="136" t="s">
        <v>28</v>
      </c>
      <c r="E148" s="137">
        <v>2</v>
      </c>
      <c r="F148" s="232">
        <v>0</v>
      </c>
      <c r="G148" s="232">
        <v>0</v>
      </c>
      <c r="H148" s="138">
        <f t="shared" si="16"/>
        <v>0</v>
      </c>
      <c r="I148" s="138">
        <f t="shared" si="17"/>
        <v>0</v>
      </c>
      <c r="J148" s="108"/>
    </row>
    <row r="149" spans="1:10" s="16" customFormat="1" ht="25.5" outlineLevel="3">
      <c r="A149" s="91"/>
      <c r="B149" s="35"/>
      <c r="C149" s="142" t="s">
        <v>1435</v>
      </c>
      <c r="D149" s="136" t="s">
        <v>28</v>
      </c>
      <c r="E149" s="137">
        <v>4</v>
      </c>
      <c r="F149" s="232">
        <v>0</v>
      </c>
      <c r="G149" s="232">
        <v>0</v>
      </c>
      <c r="H149" s="138">
        <f t="shared" si="16"/>
        <v>0</v>
      </c>
      <c r="I149" s="138">
        <f t="shared" si="17"/>
        <v>0</v>
      </c>
      <c r="J149" s="108"/>
    </row>
    <row r="150" spans="1:10" s="16" customFormat="1" ht="25.5" outlineLevel="3">
      <c r="A150" s="91"/>
      <c r="B150" s="35"/>
      <c r="C150" s="139" t="s">
        <v>118</v>
      </c>
      <c r="D150" s="136" t="s">
        <v>28</v>
      </c>
      <c r="E150" s="137">
        <v>9</v>
      </c>
      <c r="F150" s="232">
        <v>0</v>
      </c>
      <c r="G150" s="232">
        <v>0</v>
      </c>
      <c r="H150" s="138">
        <f t="shared" si="16"/>
        <v>0</v>
      </c>
      <c r="I150" s="138">
        <f t="shared" si="17"/>
        <v>0</v>
      </c>
      <c r="J150" s="108"/>
    </row>
    <row r="151" spans="1:10" s="16" customFormat="1" ht="25.5" outlineLevel="3">
      <c r="A151" s="91"/>
      <c r="B151" s="35"/>
      <c r="C151" s="141" t="s">
        <v>92</v>
      </c>
      <c r="D151" s="136" t="s">
        <v>28</v>
      </c>
      <c r="E151" s="137">
        <v>1</v>
      </c>
      <c r="F151" s="232">
        <v>0</v>
      </c>
      <c r="G151" s="232">
        <v>0</v>
      </c>
      <c r="H151" s="138">
        <f t="shared" si="16"/>
        <v>0</v>
      </c>
      <c r="I151" s="138">
        <f t="shared" si="17"/>
        <v>0</v>
      </c>
      <c r="J151" s="108"/>
    </row>
    <row r="152" spans="1:10" s="16" customFormat="1" ht="25.5" outlineLevel="3">
      <c r="A152" s="91"/>
      <c r="B152" s="35"/>
      <c r="C152" s="139" t="s">
        <v>1426</v>
      </c>
      <c r="D152" s="136" t="s">
        <v>28</v>
      </c>
      <c r="E152" s="137">
        <v>7</v>
      </c>
      <c r="F152" s="232">
        <v>0</v>
      </c>
      <c r="G152" s="232">
        <v>0</v>
      </c>
      <c r="H152" s="138">
        <f t="shared" si="16"/>
        <v>0</v>
      </c>
      <c r="I152" s="138">
        <f t="shared" si="17"/>
        <v>0</v>
      </c>
      <c r="J152" s="108"/>
    </row>
    <row r="153" spans="1:10" s="16" customFormat="1" ht="25.5" outlineLevel="3">
      <c r="A153" s="91"/>
      <c r="B153" s="35"/>
      <c r="C153" s="139" t="s">
        <v>119</v>
      </c>
      <c r="D153" s="136" t="s">
        <v>28</v>
      </c>
      <c r="E153" s="137">
        <v>4</v>
      </c>
      <c r="F153" s="232">
        <v>0</v>
      </c>
      <c r="G153" s="232">
        <v>0</v>
      </c>
      <c r="H153" s="138">
        <f t="shared" si="16"/>
        <v>0</v>
      </c>
      <c r="I153" s="138">
        <f t="shared" si="17"/>
        <v>0</v>
      </c>
      <c r="J153" s="108"/>
    </row>
    <row r="154" spans="1:10" s="16" customFormat="1" ht="25.5" outlineLevel="3">
      <c r="A154" s="91"/>
      <c r="B154" s="35"/>
      <c r="C154" s="141" t="s">
        <v>1429</v>
      </c>
      <c r="D154" s="136" t="s">
        <v>28</v>
      </c>
      <c r="E154" s="137">
        <v>3</v>
      </c>
      <c r="F154" s="232">
        <v>0</v>
      </c>
      <c r="G154" s="232">
        <v>0</v>
      </c>
      <c r="H154" s="138">
        <f t="shared" si="16"/>
        <v>0</v>
      </c>
      <c r="I154" s="138">
        <f t="shared" si="17"/>
        <v>0</v>
      </c>
      <c r="J154" s="108"/>
    </row>
    <row r="155" spans="1:10" s="16" customFormat="1" ht="25.5" outlineLevel="3">
      <c r="A155" s="91"/>
      <c r="B155" s="35"/>
      <c r="C155" s="141" t="s">
        <v>1429</v>
      </c>
      <c r="D155" s="136" t="s">
        <v>28</v>
      </c>
      <c r="E155" s="137">
        <v>4</v>
      </c>
      <c r="F155" s="232">
        <v>0</v>
      </c>
      <c r="G155" s="232">
        <v>0</v>
      </c>
      <c r="H155" s="138">
        <f t="shared" si="16"/>
        <v>0</v>
      </c>
      <c r="I155" s="138">
        <f t="shared" si="17"/>
        <v>0</v>
      </c>
      <c r="J155" s="108"/>
    </row>
    <row r="156" spans="1:10" s="16" customFormat="1" ht="25.5" outlineLevel="3">
      <c r="A156" s="91"/>
      <c r="B156" s="35"/>
      <c r="C156" s="141" t="s">
        <v>1436</v>
      </c>
      <c r="D156" s="136" t="s">
        <v>38</v>
      </c>
      <c r="E156" s="137">
        <v>1</v>
      </c>
      <c r="F156" s="232">
        <v>0</v>
      </c>
      <c r="G156" s="232">
        <v>0</v>
      </c>
      <c r="H156" s="138">
        <f t="shared" si="16"/>
        <v>0</v>
      </c>
      <c r="I156" s="138">
        <f t="shared" si="17"/>
        <v>0</v>
      </c>
      <c r="J156" s="108"/>
    </row>
    <row r="157" spans="1:10" s="16" customFormat="1" ht="25.5" outlineLevel="3">
      <c r="A157" s="91"/>
      <c r="B157" s="35">
        <f>MAXA(B$5:B156)+1</f>
        <v>66</v>
      </c>
      <c r="C157" s="114" t="s">
        <v>140</v>
      </c>
      <c r="D157" s="136" t="s">
        <v>38</v>
      </c>
      <c r="E157" s="137">
        <v>1</v>
      </c>
      <c r="F157" s="232">
        <v>42923521</v>
      </c>
      <c r="G157" s="232">
        <v>3647438</v>
      </c>
      <c r="H157" s="138">
        <f t="shared" si="16"/>
        <v>46570959</v>
      </c>
      <c r="I157" s="138">
        <f t="shared" si="17"/>
        <v>46570959</v>
      </c>
      <c r="J157" s="108"/>
    </row>
    <row r="158" spans="1:10" s="16" customFormat="1" ht="25.5" outlineLevel="3">
      <c r="A158" s="91"/>
      <c r="B158" s="35"/>
      <c r="C158" s="112" t="s">
        <v>141</v>
      </c>
      <c r="D158" s="136"/>
      <c r="E158" s="137"/>
      <c r="F158" s="232">
        <v>0</v>
      </c>
      <c r="G158" s="232">
        <v>0</v>
      </c>
      <c r="H158" s="138"/>
      <c r="I158" s="138"/>
      <c r="J158" s="108"/>
    </row>
    <row r="159" spans="1:10" s="16" customFormat="1" ht="25.5" outlineLevel="3">
      <c r="A159" s="91"/>
      <c r="B159" s="35"/>
      <c r="C159" s="142" t="s">
        <v>207</v>
      </c>
      <c r="D159" s="136" t="s">
        <v>28</v>
      </c>
      <c r="E159" s="137">
        <v>1</v>
      </c>
      <c r="F159" s="232">
        <v>0</v>
      </c>
      <c r="G159" s="232">
        <v>0</v>
      </c>
      <c r="H159" s="138">
        <f t="shared" ref="H159:H166" si="18">G159+F159</f>
        <v>0</v>
      </c>
      <c r="I159" s="138">
        <f t="shared" ref="I159:I166" si="19">H159*E159</f>
        <v>0</v>
      </c>
      <c r="J159" s="108"/>
    </row>
    <row r="160" spans="1:10" s="16" customFormat="1" ht="25.5" outlineLevel="3">
      <c r="A160" s="91"/>
      <c r="B160" s="35"/>
      <c r="C160" s="139" t="s">
        <v>573</v>
      </c>
      <c r="D160" s="136" t="s">
        <v>28</v>
      </c>
      <c r="E160" s="137">
        <v>9</v>
      </c>
      <c r="F160" s="232">
        <v>0</v>
      </c>
      <c r="G160" s="232">
        <v>0</v>
      </c>
      <c r="H160" s="138">
        <f t="shared" si="18"/>
        <v>0</v>
      </c>
      <c r="I160" s="138">
        <f t="shared" si="19"/>
        <v>0</v>
      </c>
      <c r="J160" s="108"/>
    </row>
    <row r="161" spans="1:10" s="16" customFormat="1" ht="25.5" outlineLevel="3">
      <c r="A161" s="91"/>
      <c r="B161" s="35"/>
      <c r="C161" s="139" t="s">
        <v>574</v>
      </c>
      <c r="D161" s="136" t="s">
        <v>28</v>
      </c>
      <c r="E161" s="137">
        <v>6</v>
      </c>
      <c r="F161" s="232">
        <v>0</v>
      </c>
      <c r="G161" s="232">
        <v>0</v>
      </c>
      <c r="H161" s="138">
        <f t="shared" si="18"/>
        <v>0</v>
      </c>
      <c r="I161" s="138">
        <f t="shared" si="19"/>
        <v>0</v>
      </c>
      <c r="J161" s="108"/>
    </row>
    <row r="162" spans="1:10" s="16" customFormat="1" ht="25.5" outlineLevel="3">
      <c r="A162" s="91"/>
      <c r="B162" s="35"/>
      <c r="C162" s="139" t="s">
        <v>143</v>
      </c>
      <c r="D162" s="136" t="s">
        <v>28</v>
      </c>
      <c r="E162" s="137">
        <v>1</v>
      </c>
      <c r="F162" s="232">
        <v>0</v>
      </c>
      <c r="G162" s="232">
        <v>0</v>
      </c>
      <c r="H162" s="138">
        <f t="shared" si="18"/>
        <v>0</v>
      </c>
      <c r="I162" s="138">
        <f t="shared" si="19"/>
        <v>0</v>
      </c>
      <c r="J162" s="108"/>
    </row>
    <row r="163" spans="1:10" s="16" customFormat="1" ht="25.5" outlineLevel="3">
      <c r="A163" s="91"/>
      <c r="B163" s="35"/>
      <c r="C163" s="139" t="s">
        <v>144</v>
      </c>
      <c r="D163" s="136" t="s">
        <v>28</v>
      </c>
      <c r="E163" s="137">
        <v>1</v>
      </c>
      <c r="F163" s="232">
        <v>0</v>
      </c>
      <c r="G163" s="232">
        <v>0</v>
      </c>
      <c r="H163" s="138">
        <f t="shared" si="18"/>
        <v>0</v>
      </c>
      <c r="I163" s="138">
        <f t="shared" si="19"/>
        <v>0</v>
      </c>
      <c r="J163" s="108"/>
    </row>
    <row r="164" spans="1:10" s="16" customFormat="1" ht="25.5" outlineLevel="3">
      <c r="A164" s="91"/>
      <c r="B164" s="35"/>
      <c r="C164" s="139" t="s">
        <v>233</v>
      </c>
      <c r="D164" s="136" t="s">
        <v>28</v>
      </c>
      <c r="E164" s="137">
        <v>1</v>
      </c>
      <c r="F164" s="232">
        <v>0</v>
      </c>
      <c r="G164" s="232">
        <v>0</v>
      </c>
      <c r="H164" s="138">
        <f t="shared" si="18"/>
        <v>0</v>
      </c>
      <c r="I164" s="138">
        <f t="shared" si="19"/>
        <v>0</v>
      </c>
      <c r="J164" s="108"/>
    </row>
    <row r="165" spans="1:10" s="16" customFormat="1" ht="25.5" outlineLevel="3">
      <c r="A165" s="91"/>
      <c r="B165" s="35"/>
      <c r="C165" s="139" t="s">
        <v>146</v>
      </c>
      <c r="D165" s="136" t="s">
        <v>28</v>
      </c>
      <c r="E165" s="137">
        <v>1</v>
      </c>
      <c r="F165" s="232">
        <v>0</v>
      </c>
      <c r="G165" s="232">
        <v>0</v>
      </c>
      <c r="H165" s="138">
        <f t="shared" si="18"/>
        <v>0</v>
      </c>
      <c r="I165" s="138">
        <f t="shared" si="19"/>
        <v>0</v>
      </c>
      <c r="J165" s="108"/>
    </row>
    <row r="166" spans="1:10" s="16" customFormat="1" ht="25.5" outlineLevel="3">
      <c r="A166" s="91"/>
      <c r="B166" s="35"/>
      <c r="C166" s="139" t="s">
        <v>234</v>
      </c>
      <c r="D166" s="136" t="s">
        <v>28</v>
      </c>
      <c r="E166" s="137">
        <v>3</v>
      </c>
      <c r="F166" s="232">
        <v>0</v>
      </c>
      <c r="G166" s="232">
        <v>0</v>
      </c>
      <c r="H166" s="138">
        <f t="shared" si="18"/>
        <v>0</v>
      </c>
      <c r="I166" s="138">
        <f t="shared" si="19"/>
        <v>0</v>
      </c>
      <c r="J166" s="108"/>
    </row>
    <row r="167" spans="1:10" s="16" customFormat="1" ht="25.5" outlineLevel="3">
      <c r="A167" s="91"/>
      <c r="B167" s="35"/>
      <c r="C167" s="112" t="s">
        <v>148</v>
      </c>
      <c r="D167" s="136"/>
      <c r="E167" s="137"/>
      <c r="F167" s="232">
        <v>0</v>
      </c>
      <c r="G167" s="232">
        <v>0</v>
      </c>
      <c r="H167" s="138"/>
      <c r="I167" s="138"/>
      <c r="J167" s="108"/>
    </row>
    <row r="168" spans="1:10" s="16" customFormat="1" ht="25.5" outlineLevel="3">
      <c r="A168" s="91"/>
      <c r="B168" s="35"/>
      <c r="C168" s="142" t="s">
        <v>149</v>
      </c>
      <c r="D168" s="136" t="s">
        <v>28</v>
      </c>
      <c r="E168" s="137">
        <v>20</v>
      </c>
      <c r="F168" s="232">
        <v>0</v>
      </c>
      <c r="G168" s="232">
        <v>0</v>
      </c>
      <c r="H168" s="138">
        <f t="shared" ref="H168:H179" si="20">G168+F168</f>
        <v>0</v>
      </c>
      <c r="I168" s="138">
        <f t="shared" ref="I168:I179" si="21">H168*E168</f>
        <v>0</v>
      </c>
      <c r="J168" s="108"/>
    </row>
    <row r="169" spans="1:10" s="16" customFormat="1" ht="25.5" outlineLevel="3">
      <c r="A169" s="91"/>
      <c r="B169" s="35"/>
      <c r="C169" s="142" t="s">
        <v>150</v>
      </c>
      <c r="D169" s="136" t="s">
        <v>28</v>
      </c>
      <c r="E169" s="137">
        <v>3</v>
      </c>
      <c r="F169" s="232">
        <v>0</v>
      </c>
      <c r="G169" s="232">
        <v>0</v>
      </c>
      <c r="H169" s="138">
        <f t="shared" si="20"/>
        <v>0</v>
      </c>
      <c r="I169" s="138">
        <f t="shared" si="21"/>
        <v>0</v>
      </c>
      <c r="J169" s="108"/>
    </row>
    <row r="170" spans="1:10" s="16" customFormat="1" ht="25.5" outlineLevel="3">
      <c r="A170" s="91"/>
      <c r="B170" s="35"/>
      <c r="C170" s="142" t="s">
        <v>155</v>
      </c>
      <c r="D170" s="136" t="s">
        <v>28</v>
      </c>
      <c r="E170" s="137">
        <v>2</v>
      </c>
      <c r="F170" s="232">
        <v>0</v>
      </c>
      <c r="G170" s="232">
        <v>0</v>
      </c>
      <c r="H170" s="138">
        <f t="shared" si="20"/>
        <v>0</v>
      </c>
      <c r="I170" s="138">
        <f t="shared" si="21"/>
        <v>0</v>
      </c>
      <c r="J170" s="108"/>
    </row>
    <row r="171" spans="1:10" s="16" customFormat="1" ht="25.5" outlineLevel="3">
      <c r="A171" s="91"/>
      <c r="B171" s="35"/>
      <c r="C171" s="142" t="s">
        <v>203</v>
      </c>
      <c r="D171" s="136" t="s">
        <v>28</v>
      </c>
      <c r="E171" s="137">
        <v>1</v>
      </c>
      <c r="F171" s="232">
        <v>0</v>
      </c>
      <c r="G171" s="232">
        <v>0</v>
      </c>
      <c r="H171" s="138">
        <f t="shared" si="20"/>
        <v>0</v>
      </c>
      <c r="I171" s="138">
        <f t="shared" si="21"/>
        <v>0</v>
      </c>
      <c r="J171" s="108"/>
    </row>
    <row r="172" spans="1:10" s="16" customFormat="1" ht="25.5" outlineLevel="3">
      <c r="A172" s="91"/>
      <c r="B172" s="35"/>
      <c r="C172" s="139" t="s">
        <v>161</v>
      </c>
      <c r="D172" s="136" t="s">
        <v>44</v>
      </c>
      <c r="E172" s="137">
        <v>1</v>
      </c>
      <c r="F172" s="232">
        <v>0</v>
      </c>
      <c r="G172" s="232">
        <v>0</v>
      </c>
      <c r="H172" s="138">
        <f t="shared" si="20"/>
        <v>0</v>
      </c>
      <c r="I172" s="138">
        <f t="shared" si="21"/>
        <v>0</v>
      </c>
      <c r="J172" s="108"/>
    </row>
    <row r="173" spans="1:10" s="16" customFormat="1" ht="25.5" outlineLevel="3">
      <c r="A173" s="91"/>
      <c r="B173" s="35"/>
      <c r="C173" s="142" t="s">
        <v>172</v>
      </c>
      <c r="D173" s="136" t="s">
        <v>28</v>
      </c>
      <c r="E173" s="137">
        <v>2</v>
      </c>
      <c r="F173" s="232">
        <v>0</v>
      </c>
      <c r="G173" s="232">
        <v>0</v>
      </c>
      <c r="H173" s="138">
        <f t="shared" si="20"/>
        <v>0</v>
      </c>
      <c r="I173" s="138">
        <f t="shared" si="21"/>
        <v>0</v>
      </c>
      <c r="J173" s="108"/>
    </row>
    <row r="174" spans="1:10" s="16" customFormat="1" ht="25.5" outlineLevel="3">
      <c r="A174" s="91"/>
      <c r="B174" s="35"/>
      <c r="C174" s="142" t="s">
        <v>1141</v>
      </c>
      <c r="D174" s="136" t="s">
        <v>28</v>
      </c>
      <c r="E174" s="137">
        <v>4</v>
      </c>
      <c r="F174" s="232">
        <v>0</v>
      </c>
      <c r="G174" s="232">
        <v>0</v>
      </c>
      <c r="H174" s="138">
        <f t="shared" si="20"/>
        <v>0</v>
      </c>
      <c r="I174" s="138">
        <f t="shared" si="21"/>
        <v>0</v>
      </c>
      <c r="J174" s="108"/>
    </row>
    <row r="175" spans="1:10" s="16" customFormat="1" ht="25.5" outlineLevel="3">
      <c r="A175" s="91"/>
      <c r="B175" s="35"/>
      <c r="C175" s="139" t="s">
        <v>266</v>
      </c>
      <c r="D175" s="136" t="s">
        <v>28</v>
      </c>
      <c r="E175" s="137">
        <v>4</v>
      </c>
      <c r="F175" s="232">
        <v>0</v>
      </c>
      <c r="G175" s="232">
        <v>0</v>
      </c>
      <c r="H175" s="138">
        <f t="shared" si="20"/>
        <v>0</v>
      </c>
      <c r="I175" s="138">
        <f t="shared" si="21"/>
        <v>0</v>
      </c>
      <c r="J175" s="108"/>
    </row>
    <row r="176" spans="1:10" s="16" customFormat="1" ht="25.5" outlineLevel="3">
      <c r="A176" s="91"/>
      <c r="B176" s="35"/>
      <c r="C176" s="141" t="s">
        <v>166</v>
      </c>
      <c r="D176" s="136" t="s">
        <v>28</v>
      </c>
      <c r="E176" s="137">
        <v>3</v>
      </c>
      <c r="F176" s="232">
        <v>0</v>
      </c>
      <c r="G176" s="232">
        <v>0</v>
      </c>
      <c r="H176" s="138">
        <f t="shared" si="20"/>
        <v>0</v>
      </c>
      <c r="I176" s="138">
        <f t="shared" si="21"/>
        <v>0</v>
      </c>
      <c r="J176" s="108"/>
    </row>
    <row r="177" spans="1:10" s="16" customFormat="1" ht="25.5" outlineLevel="3">
      <c r="A177" s="91"/>
      <c r="B177" s="35"/>
      <c r="C177" s="141" t="s">
        <v>167</v>
      </c>
      <c r="D177" s="136" t="s">
        <v>28</v>
      </c>
      <c r="E177" s="137">
        <v>3</v>
      </c>
      <c r="F177" s="232">
        <v>0</v>
      </c>
      <c r="G177" s="232">
        <v>0</v>
      </c>
      <c r="H177" s="138">
        <f t="shared" si="20"/>
        <v>0</v>
      </c>
      <c r="I177" s="138">
        <f t="shared" si="21"/>
        <v>0</v>
      </c>
      <c r="J177" s="108"/>
    </row>
    <row r="178" spans="1:10" s="16" customFormat="1" ht="25.5" outlineLevel="3">
      <c r="A178" s="91"/>
      <c r="B178" s="35"/>
      <c r="C178" s="141" t="s">
        <v>1436</v>
      </c>
      <c r="D178" s="136" t="s">
        <v>38</v>
      </c>
      <c r="E178" s="137">
        <v>1</v>
      </c>
      <c r="F178" s="232">
        <v>0</v>
      </c>
      <c r="G178" s="232">
        <v>0</v>
      </c>
      <c r="H178" s="138">
        <f t="shared" si="20"/>
        <v>0</v>
      </c>
      <c r="I178" s="138">
        <f t="shared" si="21"/>
        <v>0</v>
      </c>
      <c r="J178" s="108"/>
    </row>
    <row r="179" spans="1:10" s="16" customFormat="1" ht="25.5" outlineLevel="3">
      <c r="A179" s="91"/>
      <c r="B179" s="35">
        <f>MAXA(B$5:B178)+1</f>
        <v>67</v>
      </c>
      <c r="C179" s="114" t="s">
        <v>1437</v>
      </c>
      <c r="D179" s="136" t="s">
        <v>38</v>
      </c>
      <c r="E179" s="137">
        <v>1</v>
      </c>
      <c r="F179" s="232">
        <v>12875663</v>
      </c>
      <c r="G179" s="232">
        <v>1563188</v>
      </c>
      <c r="H179" s="138">
        <f t="shared" si="20"/>
        <v>14438851</v>
      </c>
      <c r="I179" s="138">
        <f t="shared" si="21"/>
        <v>14438851</v>
      </c>
      <c r="J179" s="108"/>
    </row>
    <row r="180" spans="1:10" s="16" customFormat="1" ht="25.5" outlineLevel="3">
      <c r="A180" s="91"/>
      <c r="B180" s="35"/>
      <c r="C180" s="112" t="s">
        <v>141</v>
      </c>
      <c r="D180" s="136"/>
      <c r="E180" s="137"/>
      <c r="F180" s="232">
        <v>0</v>
      </c>
      <c r="G180" s="232">
        <v>0</v>
      </c>
      <c r="H180" s="138"/>
      <c r="I180" s="138"/>
      <c r="J180" s="108"/>
    </row>
    <row r="181" spans="1:10" s="16" customFormat="1" ht="25.5" outlineLevel="3">
      <c r="A181" s="91"/>
      <c r="B181" s="35"/>
      <c r="C181" s="142" t="s">
        <v>1438</v>
      </c>
      <c r="D181" s="136" t="s">
        <v>28</v>
      </c>
      <c r="E181" s="137">
        <v>1</v>
      </c>
      <c r="F181" s="232">
        <v>0</v>
      </c>
      <c r="G181" s="232">
        <v>0</v>
      </c>
      <c r="H181" s="138">
        <f>G181+F181</f>
        <v>0</v>
      </c>
      <c r="I181" s="138">
        <f>H181*E181</f>
        <v>0</v>
      </c>
      <c r="J181" s="108"/>
    </row>
    <row r="182" spans="1:10" s="16" customFormat="1" ht="25.5" outlineLevel="3">
      <c r="A182" s="91"/>
      <c r="B182" s="35"/>
      <c r="C182" s="139" t="s">
        <v>573</v>
      </c>
      <c r="D182" s="136" t="s">
        <v>28</v>
      </c>
      <c r="E182" s="137">
        <v>1</v>
      </c>
      <c r="F182" s="232">
        <v>0</v>
      </c>
      <c r="G182" s="232">
        <v>0</v>
      </c>
      <c r="H182" s="138">
        <f>G182+F182</f>
        <v>0</v>
      </c>
      <c r="I182" s="138">
        <f>H182*E182</f>
        <v>0</v>
      </c>
      <c r="J182" s="108"/>
    </row>
    <row r="183" spans="1:10" s="16" customFormat="1" ht="25.5" outlineLevel="3">
      <c r="A183" s="91"/>
      <c r="B183" s="35"/>
      <c r="C183" s="139" t="s">
        <v>1439</v>
      </c>
      <c r="D183" s="136" t="s">
        <v>28</v>
      </c>
      <c r="E183" s="137">
        <v>1</v>
      </c>
      <c r="F183" s="232">
        <v>0</v>
      </c>
      <c r="G183" s="232">
        <v>0</v>
      </c>
      <c r="H183" s="138">
        <f>G183+F183</f>
        <v>0</v>
      </c>
      <c r="I183" s="138">
        <f>H183*E183</f>
        <v>0</v>
      </c>
      <c r="J183" s="108"/>
    </row>
    <row r="184" spans="1:10" s="16" customFormat="1" ht="25.5" outlineLevel="3">
      <c r="A184" s="91"/>
      <c r="B184" s="35"/>
      <c r="C184" s="112" t="s">
        <v>148</v>
      </c>
      <c r="D184" s="136"/>
      <c r="E184" s="137"/>
      <c r="F184" s="232">
        <v>0</v>
      </c>
      <c r="G184" s="232">
        <v>0</v>
      </c>
      <c r="H184" s="138"/>
      <c r="I184" s="138"/>
      <c r="J184" s="108"/>
    </row>
    <row r="185" spans="1:10" s="16" customFormat="1" ht="25.5" outlineLevel="3">
      <c r="A185" s="91"/>
      <c r="B185" s="35"/>
      <c r="C185" s="142" t="s">
        <v>170</v>
      </c>
      <c r="D185" s="136" t="s">
        <v>28</v>
      </c>
      <c r="E185" s="137">
        <v>2</v>
      </c>
      <c r="F185" s="232">
        <v>0</v>
      </c>
      <c r="G185" s="232">
        <v>0</v>
      </c>
      <c r="H185" s="138">
        <f t="shared" ref="H185:H190" si="22">G185+F185</f>
        <v>0</v>
      </c>
      <c r="I185" s="138">
        <f t="shared" ref="I185:I190" si="23">H185*E185</f>
        <v>0</v>
      </c>
      <c r="J185" s="108"/>
    </row>
    <row r="186" spans="1:10" s="16" customFormat="1" ht="25.5" outlineLevel="3">
      <c r="A186" s="91"/>
      <c r="B186" s="35"/>
      <c r="C186" s="142" t="s">
        <v>1440</v>
      </c>
      <c r="D186" s="136" t="s">
        <v>28</v>
      </c>
      <c r="E186" s="137">
        <v>1</v>
      </c>
      <c r="F186" s="232">
        <v>0</v>
      </c>
      <c r="G186" s="232">
        <v>0</v>
      </c>
      <c r="H186" s="138">
        <f t="shared" si="22"/>
        <v>0</v>
      </c>
      <c r="I186" s="138">
        <f t="shared" si="23"/>
        <v>0</v>
      </c>
      <c r="J186" s="108"/>
    </row>
    <row r="187" spans="1:10" s="16" customFormat="1" ht="25.5" outlineLevel="3">
      <c r="A187" s="91"/>
      <c r="B187" s="35"/>
      <c r="C187" s="142" t="s">
        <v>1441</v>
      </c>
      <c r="D187" s="136" t="s">
        <v>28</v>
      </c>
      <c r="E187" s="137">
        <v>1</v>
      </c>
      <c r="F187" s="232">
        <v>0</v>
      </c>
      <c r="G187" s="232">
        <v>0</v>
      </c>
      <c r="H187" s="138">
        <f t="shared" si="22"/>
        <v>0</v>
      </c>
      <c r="I187" s="138">
        <f t="shared" si="23"/>
        <v>0</v>
      </c>
      <c r="J187" s="108"/>
    </row>
    <row r="188" spans="1:10" s="16" customFormat="1" ht="25.5" outlineLevel="3">
      <c r="A188" s="91"/>
      <c r="B188" s="35"/>
      <c r="C188" s="142" t="s">
        <v>172</v>
      </c>
      <c r="D188" s="136" t="s">
        <v>28</v>
      </c>
      <c r="E188" s="137">
        <v>4</v>
      </c>
      <c r="F188" s="232">
        <v>0</v>
      </c>
      <c r="G188" s="232">
        <v>0</v>
      </c>
      <c r="H188" s="138">
        <f t="shared" si="22"/>
        <v>0</v>
      </c>
      <c r="I188" s="138">
        <f t="shared" si="23"/>
        <v>0</v>
      </c>
      <c r="J188" s="108"/>
    </row>
    <row r="189" spans="1:10" s="16" customFormat="1" ht="25.5" outlineLevel="3">
      <c r="A189" s="91"/>
      <c r="B189" s="35"/>
      <c r="C189" s="141" t="s">
        <v>1436</v>
      </c>
      <c r="D189" s="136" t="s">
        <v>38</v>
      </c>
      <c r="E189" s="137">
        <v>1</v>
      </c>
      <c r="F189" s="232">
        <v>0</v>
      </c>
      <c r="G189" s="232">
        <v>0</v>
      </c>
      <c r="H189" s="138">
        <f t="shared" si="22"/>
        <v>0</v>
      </c>
      <c r="I189" s="138">
        <f t="shared" si="23"/>
        <v>0</v>
      </c>
      <c r="J189" s="108"/>
    </row>
    <row r="190" spans="1:10" s="16" customFormat="1" ht="25.5" outlineLevel="3">
      <c r="A190" s="91"/>
      <c r="B190" s="35">
        <f>MAXA(B$5:B189)+1</f>
        <v>68</v>
      </c>
      <c r="C190" s="141" t="s">
        <v>1442</v>
      </c>
      <c r="D190" s="136" t="s">
        <v>38</v>
      </c>
      <c r="E190" s="137">
        <v>1</v>
      </c>
      <c r="F190" s="232">
        <v>12727026</v>
      </c>
      <c r="G190" s="232">
        <v>1563188</v>
      </c>
      <c r="H190" s="138">
        <f t="shared" si="22"/>
        <v>14290214</v>
      </c>
      <c r="I190" s="138">
        <f t="shared" si="23"/>
        <v>14290214</v>
      </c>
      <c r="J190" s="108"/>
    </row>
    <row r="191" spans="1:10" s="16" customFormat="1" ht="25.5" outlineLevel="3">
      <c r="A191" s="91"/>
      <c r="B191" s="35"/>
      <c r="C191" s="112" t="s">
        <v>141</v>
      </c>
      <c r="D191" s="136"/>
      <c r="E191" s="137"/>
      <c r="F191" s="232">
        <v>0</v>
      </c>
      <c r="G191" s="232">
        <v>0</v>
      </c>
      <c r="H191" s="138"/>
      <c r="I191" s="138"/>
      <c r="J191" s="108"/>
    </row>
    <row r="192" spans="1:10" s="16" customFormat="1" ht="25.5" outlineLevel="3">
      <c r="A192" s="91"/>
      <c r="B192" s="35"/>
      <c r="C192" s="142" t="s">
        <v>232</v>
      </c>
      <c r="D192" s="136" t="s">
        <v>28</v>
      </c>
      <c r="E192" s="137">
        <v>1</v>
      </c>
      <c r="F192" s="232">
        <v>0</v>
      </c>
      <c r="G192" s="232">
        <v>0</v>
      </c>
      <c r="H192" s="138">
        <f>G192+F192</f>
        <v>0</v>
      </c>
      <c r="I192" s="138">
        <f>H192*E192</f>
        <v>0</v>
      </c>
      <c r="J192" s="108"/>
    </row>
    <row r="193" spans="1:10" s="16" customFormat="1" ht="25.5" outlineLevel="3">
      <c r="A193" s="91"/>
      <c r="B193" s="35"/>
      <c r="C193" s="139" t="s">
        <v>573</v>
      </c>
      <c r="D193" s="136" t="s">
        <v>28</v>
      </c>
      <c r="E193" s="137">
        <v>3</v>
      </c>
      <c r="F193" s="232">
        <v>0</v>
      </c>
      <c r="G193" s="232">
        <v>0</v>
      </c>
      <c r="H193" s="138">
        <f>G193+F193</f>
        <v>0</v>
      </c>
      <c r="I193" s="138">
        <f>H193*E193</f>
        <v>0</v>
      </c>
      <c r="J193" s="108"/>
    </row>
    <row r="194" spans="1:10" s="16" customFormat="1" ht="25.5" outlineLevel="3">
      <c r="A194" s="91"/>
      <c r="B194" s="35"/>
      <c r="C194" s="139" t="s">
        <v>1443</v>
      </c>
      <c r="D194" s="136" t="s">
        <v>28</v>
      </c>
      <c r="E194" s="137">
        <v>3</v>
      </c>
      <c r="F194" s="232">
        <v>0</v>
      </c>
      <c r="G194" s="232">
        <v>0</v>
      </c>
      <c r="H194" s="138">
        <f>G194+F194</f>
        <v>0</v>
      </c>
      <c r="I194" s="138">
        <f>H194*E194</f>
        <v>0</v>
      </c>
      <c r="J194" s="108"/>
    </row>
    <row r="195" spans="1:10" s="16" customFormat="1" ht="25.5" outlineLevel="3">
      <c r="A195" s="91"/>
      <c r="B195" s="35"/>
      <c r="C195" s="112" t="s">
        <v>148</v>
      </c>
      <c r="D195" s="136"/>
      <c r="E195" s="137"/>
      <c r="F195" s="232">
        <v>0</v>
      </c>
      <c r="G195" s="232">
        <v>0</v>
      </c>
      <c r="H195" s="138"/>
      <c r="I195" s="138"/>
      <c r="J195" s="108"/>
    </row>
    <row r="196" spans="1:10" s="16" customFormat="1" ht="25.5" outlineLevel="3">
      <c r="A196" s="91"/>
      <c r="B196" s="35"/>
      <c r="C196" s="142" t="s">
        <v>200</v>
      </c>
      <c r="D196" s="136" t="s">
        <v>28</v>
      </c>
      <c r="E196" s="137">
        <v>3</v>
      </c>
      <c r="F196" s="232">
        <v>0</v>
      </c>
      <c r="G196" s="232">
        <v>0</v>
      </c>
      <c r="H196" s="138">
        <f>G196+F196</f>
        <v>0</v>
      </c>
      <c r="I196" s="138">
        <f>H196*E196</f>
        <v>0</v>
      </c>
      <c r="J196" s="108"/>
    </row>
    <row r="197" spans="1:10" s="16" customFormat="1" ht="25.5" outlineLevel="3">
      <c r="A197" s="91"/>
      <c r="B197" s="35"/>
      <c r="C197" s="142" t="s">
        <v>1440</v>
      </c>
      <c r="D197" s="136" t="s">
        <v>28</v>
      </c>
      <c r="E197" s="137">
        <v>3</v>
      </c>
      <c r="F197" s="232">
        <v>0</v>
      </c>
      <c r="G197" s="232">
        <v>0</v>
      </c>
      <c r="H197" s="138">
        <f>G197+F197</f>
        <v>0</v>
      </c>
      <c r="I197" s="138">
        <f>H197*E197</f>
        <v>0</v>
      </c>
      <c r="J197" s="108"/>
    </row>
    <row r="198" spans="1:10" s="16" customFormat="1" ht="25.5" outlineLevel="3">
      <c r="A198" s="91"/>
      <c r="B198" s="35"/>
      <c r="C198" s="141" t="s">
        <v>1436</v>
      </c>
      <c r="D198" s="136" t="s">
        <v>38</v>
      </c>
      <c r="E198" s="137"/>
      <c r="F198" s="232">
        <v>0</v>
      </c>
      <c r="G198" s="232">
        <v>0</v>
      </c>
      <c r="H198" s="138"/>
      <c r="I198" s="138"/>
      <c r="J198" s="108"/>
    </row>
    <row r="199" spans="1:10" s="16" customFormat="1" ht="25.5" outlineLevel="3">
      <c r="A199" s="91"/>
      <c r="B199" s="35">
        <f>MAXA(B$5:B198)+1</f>
        <v>69</v>
      </c>
      <c r="C199" s="114" t="s">
        <v>1444</v>
      </c>
      <c r="D199" s="136" t="s">
        <v>38</v>
      </c>
      <c r="E199" s="137">
        <v>1</v>
      </c>
      <c r="F199" s="232">
        <v>8616290</v>
      </c>
      <c r="G199" s="232">
        <v>1563188</v>
      </c>
      <c r="H199" s="138">
        <f>G199+F199</f>
        <v>10179478</v>
      </c>
      <c r="I199" s="138">
        <f>H199*E199</f>
        <v>10179478</v>
      </c>
      <c r="J199" s="108"/>
    </row>
    <row r="200" spans="1:10" s="16" customFormat="1" ht="25.5" outlineLevel="3">
      <c r="A200" s="91"/>
      <c r="B200" s="35"/>
      <c r="C200" s="112" t="s">
        <v>141</v>
      </c>
      <c r="D200" s="136"/>
      <c r="E200" s="137"/>
      <c r="F200" s="232">
        <v>0</v>
      </c>
      <c r="G200" s="232">
        <v>0</v>
      </c>
      <c r="H200" s="138"/>
      <c r="I200" s="138"/>
      <c r="J200" s="108"/>
    </row>
    <row r="201" spans="1:10" s="16" customFormat="1" ht="25.5" outlineLevel="3">
      <c r="A201" s="91"/>
      <c r="B201" s="35"/>
      <c r="C201" s="142" t="s">
        <v>230</v>
      </c>
      <c r="D201" s="136" t="s">
        <v>28</v>
      </c>
      <c r="E201" s="137">
        <v>1</v>
      </c>
      <c r="F201" s="232">
        <v>0</v>
      </c>
      <c r="G201" s="232">
        <v>0</v>
      </c>
      <c r="H201" s="138">
        <f>G201+F201</f>
        <v>0</v>
      </c>
      <c r="I201" s="138">
        <f>H201*E201</f>
        <v>0</v>
      </c>
      <c r="J201" s="108"/>
    </row>
    <row r="202" spans="1:10" s="16" customFormat="1" ht="25.5" outlineLevel="3">
      <c r="A202" s="91"/>
      <c r="B202" s="35"/>
      <c r="C202" s="139" t="s">
        <v>573</v>
      </c>
      <c r="D202" s="136" t="s">
        <v>28</v>
      </c>
      <c r="E202" s="137">
        <v>1</v>
      </c>
      <c r="F202" s="232">
        <v>0</v>
      </c>
      <c r="G202" s="232">
        <v>0</v>
      </c>
      <c r="H202" s="138">
        <f>G202+F202</f>
        <v>0</v>
      </c>
      <c r="I202" s="138">
        <f>H202*E202</f>
        <v>0</v>
      </c>
      <c r="J202" s="108"/>
    </row>
    <row r="203" spans="1:10" s="16" customFormat="1" ht="25.5" outlineLevel="3">
      <c r="A203" s="91"/>
      <c r="B203" s="35"/>
      <c r="C203" s="139" t="s">
        <v>1439</v>
      </c>
      <c r="D203" s="136" t="s">
        <v>28</v>
      </c>
      <c r="E203" s="137">
        <v>1</v>
      </c>
      <c r="F203" s="232">
        <v>0</v>
      </c>
      <c r="G203" s="232">
        <v>0</v>
      </c>
      <c r="H203" s="138">
        <f>G203+F203</f>
        <v>0</v>
      </c>
      <c r="I203" s="138">
        <f>H203*E203</f>
        <v>0</v>
      </c>
      <c r="J203" s="108"/>
    </row>
    <row r="204" spans="1:10" s="16" customFormat="1" ht="25.5" outlineLevel="3">
      <c r="A204" s="91"/>
      <c r="B204" s="35"/>
      <c r="C204" s="112" t="s">
        <v>148</v>
      </c>
      <c r="D204" s="136"/>
      <c r="E204" s="137"/>
      <c r="F204" s="232">
        <v>0</v>
      </c>
      <c r="G204" s="232">
        <v>0</v>
      </c>
      <c r="H204" s="138"/>
      <c r="I204" s="138"/>
      <c r="J204" s="108"/>
    </row>
    <row r="205" spans="1:10" s="16" customFormat="1" ht="25.5" outlineLevel="3">
      <c r="A205" s="91"/>
      <c r="B205" s="35"/>
      <c r="C205" s="142" t="s">
        <v>170</v>
      </c>
      <c r="D205" s="136" t="s">
        <v>28</v>
      </c>
      <c r="E205" s="137">
        <v>2</v>
      </c>
      <c r="F205" s="232">
        <v>0</v>
      </c>
      <c r="G205" s="232">
        <v>0</v>
      </c>
      <c r="H205" s="138">
        <f>G205+F205</f>
        <v>0</v>
      </c>
      <c r="I205" s="138">
        <f>H205*E205</f>
        <v>0</v>
      </c>
      <c r="J205" s="108"/>
    </row>
    <row r="206" spans="1:10" s="16" customFormat="1" ht="25.5" outlineLevel="3">
      <c r="A206" s="91"/>
      <c r="B206" s="35"/>
      <c r="C206" s="142" t="s">
        <v>171</v>
      </c>
      <c r="D206" s="136" t="s">
        <v>28</v>
      </c>
      <c r="E206" s="137">
        <v>1</v>
      </c>
      <c r="F206" s="232">
        <v>0</v>
      </c>
      <c r="G206" s="232">
        <v>0</v>
      </c>
      <c r="H206" s="138">
        <f>G206+F206</f>
        <v>0</v>
      </c>
      <c r="I206" s="138">
        <f>H206*E206</f>
        <v>0</v>
      </c>
      <c r="J206" s="108"/>
    </row>
    <row r="207" spans="1:10" s="16" customFormat="1" ht="25.5" outlineLevel="3">
      <c r="A207" s="91"/>
      <c r="B207" s="35"/>
      <c r="C207" s="142" t="s">
        <v>172</v>
      </c>
      <c r="D207" s="136" t="s">
        <v>28</v>
      </c>
      <c r="E207" s="137">
        <v>3</v>
      </c>
      <c r="F207" s="232">
        <v>0</v>
      </c>
      <c r="G207" s="232">
        <v>0</v>
      </c>
      <c r="H207" s="138">
        <f>G207+F207</f>
        <v>0</v>
      </c>
      <c r="I207" s="138">
        <f>H207*E207</f>
        <v>0</v>
      </c>
      <c r="J207" s="108"/>
    </row>
    <row r="208" spans="1:10" s="16" customFormat="1" ht="25.5" outlineLevel="3">
      <c r="A208" s="91"/>
      <c r="B208" s="35"/>
      <c r="C208" s="141" t="s">
        <v>1436</v>
      </c>
      <c r="D208" s="136" t="s">
        <v>38</v>
      </c>
      <c r="E208" s="137">
        <v>1</v>
      </c>
      <c r="F208" s="232">
        <v>0</v>
      </c>
      <c r="G208" s="232">
        <v>0</v>
      </c>
      <c r="H208" s="138">
        <f>G208+F208</f>
        <v>0</v>
      </c>
      <c r="I208" s="138">
        <f>H208*E208</f>
        <v>0</v>
      </c>
      <c r="J208" s="108"/>
    </row>
    <row r="209" spans="1:10" s="16" customFormat="1" ht="25.5" outlineLevel="3">
      <c r="A209" s="91"/>
      <c r="B209" s="35">
        <f>MAXA(B$5:B208)+1</f>
        <v>70</v>
      </c>
      <c r="C209" s="114" t="s">
        <v>1445</v>
      </c>
      <c r="D209" s="136" t="s">
        <v>38</v>
      </c>
      <c r="E209" s="137">
        <v>1</v>
      </c>
      <c r="F209" s="232">
        <v>10409221</v>
      </c>
      <c r="G209" s="232">
        <v>1563188</v>
      </c>
      <c r="H209" s="138">
        <f>G209+F209</f>
        <v>11972409</v>
      </c>
      <c r="I209" s="138">
        <f>H209*E209</f>
        <v>11972409</v>
      </c>
      <c r="J209" s="108"/>
    </row>
    <row r="210" spans="1:10" s="16" customFormat="1" ht="25.5" outlineLevel="3">
      <c r="A210" s="91"/>
      <c r="B210" s="35"/>
      <c r="C210" s="112" t="s">
        <v>141</v>
      </c>
      <c r="D210" s="136"/>
      <c r="E210" s="137"/>
      <c r="F210" s="232">
        <v>0</v>
      </c>
      <c r="G210" s="232">
        <v>0</v>
      </c>
      <c r="H210" s="138"/>
      <c r="I210" s="138"/>
      <c r="J210" s="108"/>
    </row>
    <row r="211" spans="1:10" s="16" customFormat="1" ht="25.5" outlineLevel="3">
      <c r="A211" s="91"/>
      <c r="B211" s="35"/>
      <c r="C211" s="142" t="s">
        <v>230</v>
      </c>
      <c r="D211" s="136" t="s">
        <v>28</v>
      </c>
      <c r="E211" s="137">
        <v>1</v>
      </c>
      <c r="F211" s="232">
        <v>0</v>
      </c>
      <c r="G211" s="232">
        <v>0</v>
      </c>
      <c r="H211" s="138">
        <f>G211+F211</f>
        <v>0</v>
      </c>
      <c r="I211" s="138">
        <f>H211*E211</f>
        <v>0</v>
      </c>
      <c r="J211" s="108"/>
    </row>
    <row r="212" spans="1:10" s="16" customFormat="1" ht="25.5" outlineLevel="3">
      <c r="A212" s="91"/>
      <c r="B212" s="35"/>
      <c r="C212" s="139" t="s">
        <v>573</v>
      </c>
      <c r="D212" s="136" t="s">
        <v>28</v>
      </c>
      <c r="E212" s="137">
        <v>1</v>
      </c>
      <c r="F212" s="232">
        <v>0</v>
      </c>
      <c r="G212" s="232">
        <v>0</v>
      </c>
      <c r="H212" s="138">
        <f>G212+F212</f>
        <v>0</v>
      </c>
      <c r="I212" s="138">
        <f>H212*E212</f>
        <v>0</v>
      </c>
      <c r="J212" s="108"/>
    </row>
    <row r="213" spans="1:10" s="16" customFormat="1" ht="25.5" outlineLevel="3">
      <c r="A213" s="91"/>
      <c r="B213" s="35"/>
      <c r="C213" s="139" t="s">
        <v>1439</v>
      </c>
      <c r="D213" s="136" t="s">
        <v>28</v>
      </c>
      <c r="E213" s="137">
        <v>1</v>
      </c>
      <c r="F213" s="232">
        <v>0</v>
      </c>
      <c r="G213" s="232">
        <v>0</v>
      </c>
      <c r="H213" s="138">
        <f>G213+F213</f>
        <v>0</v>
      </c>
      <c r="I213" s="138">
        <f>H213*E213</f>
        <v>0</v>
      </c>
      <c r="J213" s="108"/>
    </row>
    <row r="214" spans="1:10" s="16" customFormat="1" ht="25.5" outlineLevel="3">
      <c r="A214" s="91"/>
      <c r="B214" s="35"/>
      <c r="C214" s="112" t="s">
        <v>148</v>
      </c>
      <c r="D214" s="136"/>
      <c r="E214" s="137"/>
      <c r="F214" s="232">
        <v>0</v>
      </c>
      <c r="G214" s="232">
        <v>0</v>
      </c>
      <c r="H214" s="138"/>
      <c r="I214" s="138"/>
      <c r="J214" s="108"/>
    </row>
    <row r="215" spans="1:10" s="16" customFormat="1" ht="25.5" outlineLevel="3">
      <c r="A215" s="91"/>
      <c r="B215" s="35"/>
      <c r="C215" s="142" t="s">
        <v>170</v>
      </c>
      <c r="D215" s="136" t="s">
        <v>28</v>
      </c>
      <c r="E215" s="137">
        <v>3</v>
      </c>
      <c r="F215" s="232">
        <v>0</v>
      </c>
      <c r="G215" s="232">
        <v>0</v>
      </c>
      <c r="H215" s="138">
        <f>G215+F215</f>
        <v>0</v>
      </c>
      <c r="I215" s="138">
        <f>H215*E215</f>
        <v>0</v>
      </c>
      <c r="J215" s="108"/>
    </row>
    <row r="216" spans="1:10" s="16" customFormat="1" ht="25.5" outlineLevel="3">
      <c r="A216" s="91"/>
      <c r="B216" s="35"/>
      <c r="C216" s="142" t="s">
        <v>171</v>
      </c>
      <c r="D216" s="136" t="s">
        <v>28</v>
      </c>
      <c r="E216" s="137">
        <v>1</v>
      </c>
      <c r="F216" s="232">
        <v>0</v>
      </c>
      <c r="G216" s="232">
        <v>0</v>
      </c>
      <c r="H216" s="138">
        <f>G216+F216</f>
        <v>0</v>
      </c>
      <c r="I216" s="138">
        <f>H216*E216</f>
        <v>0</v>
      </c>
      <c r="J216" s="108"/>
    </row>
    <row r="217" spans="1:10" s="16" customFormat="1" ht="25.5" outlineLevel="3">
      <c r="A217" s="91"/>
      <c r="B217" s="35"/>
      <c r="C217" s="142" t="s">
        <v>172</v>
      </c>
      <c r="D217" s="136" t="s">
        <v>28</v>
      </c>
      <c r="E217" s="137">
        <v>4</v>
      </c>
      <c r="F217" s="232">
        <v>0</v>
      </c>
      <c r="G217" s="232">
        <v>0</v>
      </c>
      <c r="H217" s="138">
        <f>G217+F217</f>
        <v>0</v>
      </c>
      <c r="I217" s="138">
        <f>H217*E217</f>
        <v>0</v>
      </c>
      <c r="J217" s="108"/>
    </row>
    <row r="218" spans="1:10" s="16" customFormat="1" ht="25.5" outlineLevel="3">
      <c r="A218" s="91"/>
      <c r="B218" s="35"/>
      <c r="C218" s="141" t="s">
        <v>1436</v>
      </c>
      <c r="D218" s="136" t="s">
        <v>38</v>
      </c>
      <c r="E218" s="137">
        <v>1</v>
      </c>
      <c r="F218" s="232">
        <v>0</v>
      </c>
      <c r="G218" s="232">
        <v>0</v>
      </c>
      <c r="H218" s="138">
        <f>G218+F218</f>
        <v>0</v>
      </c>
      <c r="I218" s="138">
        <f>H218*E218</f>
        <v>0</v>
      </c>
      <c r="J218" s="108"/>
    </row>
    <row r="219" spans="1:10" s="16" customFormat="1" ht="25.5" outlineLevel="3">
      <c r="A219" s="91"/>
      <c r="B219" s="35">
        <f>MAXA(B$5:B218)+1</f>
        <v>71</v>
      </c>
      <c r="C219" s="114" t="s">
        <v>1446</v>
      </c>
      <c r="D219" s="136" t="s">
        <v>38</v>
      </c>
      <c r="E219" s="137">
        <v>1</v>
      </c>
      <c r="F219" s="232">
        <v>8699898</v>
      </c>
      <c r="G219" s="232">
        <v>1563188</v>
      </c>
      <c r="H219" s="138">
        <f>G219+F219</f>
        <v>10263086</v>
      </c>
      <c r="I219" s="138">
        <f>H219*E219</f>
        <v>10263086</v>
      </c>
      <c r="J219" s="108"/>
    </row>
    <row r="220" spans="1:10" s="16" customFormat="1" ht="25.5" outlineLevel="3">
      <c r="A220" s="91"/>
      <c r="B220" s="35"/>
      <c r="C220" s="112" t="s">
        <v>141</v>
      </c>
      <c r="D220" s="136"/>
      <c r="E220" s="137"/>
      <c r="F220" s="232">
        <v>0</v>
      </c>
      <c r="G220" s="232">
        <v>0</v>
      </c>
      <c r="H220" s="138"/>
      <c r="I220" s="138"/>
      <c r="J220" s="108"/>
    </row>
    <row r="221" spans="1:10" s="16" customFormat="1" ht="25.5" outlineLevel="3">
      <c r="A221" s="91"/>
      <c r="B221" s="35"/>
      <c r="C221" s="142" t="s">
        <v>176</v>
      </c>
      <c r="D221" s="136" t="s">
        <v>28</v>
      </c>
      <c r="E221" s="137">
        <v>1</v>
      </c>
      <c r="F221" s="232">
        <v>0</v>
      </c>
      <c r="G221" s="232">
        <v>0</v>
      </c>
      <c r="H221" s="138">
        <f>G221+F221</f>
        <v>0</v>
      </c>
      <c r="I221" s="138">
        <f>H221*E221</f>
        <v>0</v>
      </c>
      <c r="J221" s="108"/>
    </row>
    <row r="222" spans="1:10" s="16" customFormat="1" ht="25.5" outlineLevel="3">
      <c r="A222" s="91"/>
      <c r="B222" s="35"/>
      <c r="C222" s="139" t="s">
        <v>573</v>
      </c>
      <c r="D222" s="136" t="s">
        <v>28</v>
      </c>
      <c r="E222" s="137">
        <v>1</v>
      </c>
      <c r="F222" s="232">
        <v>0</v>
      </c>
      <c r="G222" s="232">
        <v>0</v>
      </c>
      <c r="H222" s="138">
        <f>G222+F222</f>
        <v>0</v>
      </c>
      <c r="I222" s="138">
        <f>H222*E222</f>
        <v>0</v>
      </c>
      <c r="J222" s="108"/>
    </row>
    <row r="223" spans="1:10" s="16" customFormat="1" ht="25.5" outlineLevel="3">
      <c r="A223" s="91"/>
      <c r="B223" s="35"/>
      <c r="C223" s="139" t="s">
        <v>1439</v>
      </c>
      <c r="D223" s="136" t="s">
        <v>28</v>
      </c>
      <c r="E223" s="137">
        <v>1</v>
      </c>
      <c r="F223" s="232">
        <v>0</v>
      </c>
      <c r="G223" s="232">
        <v>0</v>
      </c>
      <c r="H223" s="138">
        <f>G223+F223</f>
        <v>0</v>
      </c>
      <c r="I223" s="138">
        <f>H223*E223</f>
        <v>0</v>
      </c>
      <c r="J223" s="108"/>
    </row>
    <row r="224" spans="1:10" s="16" customFormat="1" ht="25.5" outlineLevel="3">
      <c r="A224" s="91"/>
      <c r="B224" s="35"/>
      <c r="C224" s="112" t="s">
        <v>148</v>
      </c>
      <c r="D224" s="136"/>
      <c r="E224" s="137"/>
      <c r="F224" s="232">
        <v>0</v>
      </c>
      <c r="G224" s="232">
        <v>0</v>
      </c>
      <c r="H224" s="138"/>
      <c r="I224" s="138"/>
      <c r="J224" s="108"/>
    </row>
    <row r="225" spans="1:10" s="16" customFormat="1" ht="25.5" outlineLevel="3">
      <c r="A225" s="91"/>
      <c r="B225" s="35"/>
      <c r="C225" s="142" t="s">
        <v>170</v>
      </c>
      <c r="D225" s="136" t="s">
        <v>28</v>
      </c>
      <c r="E225" s="137">
        <v>2</v>
      </c>
      <c r="F225" s="232">
        <v>0</v>
      </c>
      <c r="G225" s="232">
        <v>0</v>
      </c>
      <c r="H225" s="138">
        <f>G225+F225</f>
        <v>0</v>
      </c>
      <c r="I225" s="138">
        <f>H225*E225</f>
        <v>0</v>
      </c>
      <c r="J225" s="108"/>
    </row>
    <row r="226" spans="1:10" s="16" customFormat="1" ht="25.5" outlineLevel="3">
      <c r="A226" s="91"/>
      <c r="B226" s="35"/>
      <c r="C226" s="142" t="s">
        <v>171</v>
      </c>
      <c r="D226" s="136" t="s">
        <v>28</v>
      </c>
      <c r="E226" s="137">
        <v>1</v>
      </c>
      <c r="F226" s="232">
        <v>0</v>
      </c>
      <c r="G226" s="232">
        <v>0</v>
      </c>
      <c r="H226" s="138">
        <f>G226+F226</f>
        <v>0</v>
      </c>
      <c r="I226" s="138">
        <f>H226*E226</f>
        <v>0</v>
      </c>
      <c r="J226" s="108"/>
    </row>
    <row r="227" spans="1:10" s="16" customFormat="1" ht="25.5" outlineLevel="3">
      <c r="A227" s="91"/>
      <c r="B227" s="35"/>
      <c r="C227" s="142" t="s">
        <v>172</v>
      </c>
      <c r="D227" s="136" t="s">
        <v>28</v>
      </c>
      <c r="E227" s="137">
        <v>2</v>
      </c>
      <c r="F227" s="232">
        <v>0</v>
      </c>
      <c r="G227" s="232">
        <v>0</v>
      </c>
      <c r="H227" s="138">
        <f>G227+F227</f>
        <v>0</v>
      </c>
      <c r="I227" s="138">
        <f>H227*E227</f>
        <v>0</v>
      </c>
      <c r="J227" s="108"/>
    </row>
    <row r="228" spans="1:10" s="16" customFormat="1" ht="25.5" outlineLevel="3">
      <c r="A228" s="91"/>
      <c r="B228" s="35"/>
      <c r="C228" s="141" t="s">
        <v>1436</v>
      </c>
      <c r="D228" s="136" t="s">
        <v>38</v>
      </c>
      <c r="E228" s="137">
        <v>1</v>
      </c>
      <c r="F228" s="232">
        <v>0</v>
      </c>
      <c r="G228" s="232">
        <v>0</v>
      </c>
      <c r="H228" s="138">
        <f>G228+F228</f>
        <v>0</v>
      </c>
      <c r="I228" s="138">
        <f>H228*E228</f>
        <v>0</v>
      </c>
      <c r="J228" s="108"/>
    </row>
    <row r="229" spans="1:10" s="16" customFormat="1" ht="25.5" outlineLevel="3">
      <c r="A229" s="91"/>
      <c r="B229" s="35">
        <f>MAXA(B$5:B228)+1</f>
        <v>72</v>
      </c>
      <c r="C229" s="114" t="s">
        <v>1447</v>
      </c>
      <c r="D229" s="136" t="s">
        <v>38</v>
      </c>
      <c r="E229" s="137">
        <v>1</v>
      </c>
      <c r="F229" s="232">
        <v>4450975</v>
      </c>
      <c r="G229" s="232">
        <v>1563188</v>
      </c>
      <c r="H229" s="138">
        <f>G229+F229</f>
        <v>6014163</v>
      </c>
      <c r="I229" s="138">
        <f>H229*E229</f>
        <v>6014163</v>
      </c>
      <c r="J229" s="108"/>
    </row>
    <row r="230" spans="1:10" s="16" customFormat="1" ht="25.5" outlineLevel="3">
      <c r="A230" s="91"/>
      <c r="B230" s="35"/>
      <c r="C230" s="112" t="s">
        <v>141</v>
      </c>
      <c r="D230" s="136"/>
      <c r="E230" s="137"/>
      <c r="F230" s="232">
        <v>0</v>
      </c>
      <c r="G230" s="232">
        <v>0</v>
      </c>
      <c r="H230" s="138"/>
      <c r="I230" s="138"/>
      <c r="J230" s="108"/>
    </row>
    <row r="231" spans="1:10" s="16" customFormat="1" ht="25.5" outlineLevel="3">
      <c r="A231" s="91"/>
      <c r="B231" s="35"/>
      <c r="C231" s="142" t="s">
        <v>169</v>
      </c>
      <c r="D231" s="136" t="s">
        <v>28</v>
      </c>
      <c r="E231" s="137">
        <v>1</v>
      </c>
      <c r="F231" s="232">
        <v>0</v>
      </c>
      <c r="G231" s="232">
        <v>0</v>
      </c>
      <c r="H231" s="138">
        <f>G231+F231</f>
        <v>0</v>
      </c>
      <c r="I231" s="138">
        <f>H231*E231</f>
        <v>0</v>
      </c>
      <c r="J231" s="108"/>
    </row>
    <row r="232" spans="1:10" s="16" customFormat="1" ht="25.5" outlineLevel="3">
      <c r="A232" s="91"/>
      <c r="B232" s="35"/>
      <c r="C232" s="139" t="s">
        <v>573</v>
      </c>
      <c r="D232" s="136" t="s">
        <v>28</v>
      </c>
      <c r="E232" s="137">
        <v>1</v>
      </c>
      <c r="F232" s="232">
        <v>0</v>
      </c>
      <c r="G232" s="232">
        <v>0</v>
      </c>
      <c r="H232" s="138">
        <f>G232+F232</f>
        <v>0</v>
      </c>
      <c r="I232" s="138">
        <f>H232*E232</f>
        <v>0</v>
      </c>
      <c r="J232" s="108"/>
    </row>
    <row r="233" spans="1:10" s="16" customFormat="1" ht="25.5" outlineLevel="3">
      <c r="A233" s="91"/>
      <c r="B233" s="35"/>
      <c r="C233" s="139" t="s">
        <v>1439</v>
      </c>
      <c r="D233" s="136" t="s">
        <v>28</v>
      </c>
      <c r="E233" s="137">
        <v>1</v>
      </c>
      <c r="F233" s="232">
        <v>0</v>
      </c>
      <c r="G233" s="232">
        <v>0</v>
      </c>
      <c r="H233" s="138">
        <f>G233+F233</f>
        <v>0</v>
      </c>
      <c r="I233" s="138">
        <f>H233*E233</f>
        <v>0</v>
      </c>
      <c r="J233" s="108"/>
    </row>
    <row r="234" spans="1:10" s="16" customFormat="1" ht="25.5" outlineLevel="3">
      <c r="A234" s="91"/>
      <c r="B234" s="35"/>
      <c r="C234" s="112" t="s">
        <v>148</v>
      </c>
      <c r="D234" s="136"/>
      <c r="E234" s="137"/>
      <c r="F234" s="232">
        <v>0</v>
      </c>
      <c r="G234" s="232">
        <v>0</v>
      </c>
      <c r="H234" s="138"/>
      <c r="I234" s="138"/>
      <c r="J234" s="108"/>
    </row>
    <row r="235" spans="1:10" s="16" customFormat="1" ht="25.5" outlineLevel="3">
      <c r="A235" s="91"/>
      <c r="B235" s="35"/>
      <c r="C235" s="142" t="s">
        <v>170</v>
      </c>
      <c r="D235" s="136" t="s">
        <v>28</v>
      </c>
      <c r="E235" s="137">
        <v>2</v>
      </c>
      <c r="F235" s="232">
        <v>0</v>
      </c>
      <c r="G235" s="232">
        <v>0</v>
      </c>
      <c r="H235" s="138">
        <f>G235+F235</f>
        <v>0</v>
      </c>
      <c r="I235" s="138">
        <f>H235*E235</f>
        <v>0</v>
      </c>
      <c r="J235" s="108"/>
    </row>
    <row r="236" spans="1:10" s="16" customFormat="1" ht="25.5" outlineLevel="3">
      <c r="A236" s="91"/>
      <c r="B236" s="35"/>
      <c r="C236" s="142" t="s">
        <v>171</v>
      </c>
      <c r="D236" s="136" t="s">
        <v>28</v>
      </c>
      <c r="E236" s="137">
        <v>1</v>
      </c>
      <c r="F236" s="232">
        <v>0</v>
      </c>
      <c r="G236" s="232">
        <v>0</v>
      </c>
      <c r="H236" s="138">
        <f>G236+F236</f>
        <v>0</v>
      </c>
      <c r="I236" s="138">
        <f>H236*E236</f>
        <v>0</v>
      </c>
      <c r="J236" s="108"/>
    </row>
    <row r="237" spans="1:10" s="16" customFormat="1" ht="25.5" outlineLevel="3">
      <c r="A237" s="91"/>
      <c r="B237" s="35"/>
      <c r="C237" s="142" t="s">
        <v>172</v>
      </c>
      <c r="D237" s="136" t="s">
        <v>28</v>
      </c>
      <c r="E237" s="137">
        <v>1</v>
      </c>
      <c r="F237" s="232">
        <v>0</v>
      </c>
      <c r="G237" s="232">
        <v>0</v>
      </c>
      <c r="H237" s="138">
        <f>G237+F237</f>
        <v>0</v>
      </c>
      <c r="I237" s="138">
        <f>H237*E237</f>
        <v>0</v>
      </c>
      <c r="J237" s="108"/>
    </row>
    <row r="238" spans="1:10" s="16" customFormat="1" ht="25.5" outlineLevel="3">
      <c r="A238" s="91"/>
      <c r="B238" s="35"/>
      <c r="C238" s="141" t="s">
        <v>1436</v>
      </c>
      <c r="D238" s="136" t="s">
        <v>38</v>
      </c>
      <c r="E238" s="137">
        <v>1</v>
      </c>
      <c r="F238" s="232">
        <v>0</v>
      </c>
      <c r="G238" s="232">
        <v>0</v>
      </c>
      <c r="H238" s="138">
        <f>G238+F238</f>
        <v>0</v>
      </c>
      <c r="I238" s="138">
        <f>H238*E238</f>
        <v>0</v>
      </c>
      <c r="J238" s="108"/>
    </row>
    <row r="239" spans="1:10" s="16" customFormat="1" ht="25.5" outlineLevel="3">
      <c r="A239" s="91"/>
      <c r="B239" s="35">
        <f>MAXA(B$5:B238)+1</f>
        <v>73</v>
      </c>
      <c r="C239" s="114" t="s">
        <v>1448</v>
      </c>
      <c r="D239" s="136" t="s">
        <v>38</v>
      </c>
      <c r="E239" s="137">
        <v>1</v>
      </c>
      <c r="F239" s="232">
        <v>4575227</v>
      </c>
      <c r="G239" s="232">
        <v>1563188</v>
      </c>
      <c r="H239" s="138">
        <f>G239+F239</f>
        <v>6138415</v>
      </c>
      <c r="I239" s="138">
        <f>H239*E239</f>
        <v>6138415</v>
      </c>
      <c r="J239" s="108"/>
    </row>
    <row r="240" spans="1:10" s="16" customFormat="1" ht="25.5" outlineLevel="3">
      <c r="A240" s="91"/>
      <c r="B240" s="35"/>
      <c r="C240" s="112" t="s">
        <v>141</v>
      </c>
      <c r="D240" s="136"/>
      <c r="E240" s="137"/>
      <c r="F240" s="232">
        <v>0</v>
      </c>
      <c r="G240" s="232">
        <v>0</v>
      </c>
      <c r="H240" s="138"/>
      <c r="I240" s="138"/>
      <c r="J240" s="108"/>
    </row>
    <row r="241" spans="1:10" s="16" customFormat="1" ht="25.5" outlineLevel="3">
      <c r="A241" s="91"/>
      <c r="B241" s="35"/>
      <c r="C241" s="142" t="s">
        <v>169</v>
      </c>
      <c r="D241" s="136" t="s">
        <v>28</v>
      </c>
      <c r="E241" s="137">
        <v>1</v>
      </c>
      <c r="F241" s="232">
        <v>0</v>
      </c>
      <c r="G241" s="232">
        <v>0</v>
      </c>
      <c r="H241" s="138">
        <f>G241+F241</f>
        <v>0</v>
      </c>
      <c r="I241" s="138">
        <f>H241*E241</f>
        <v>0</v>
      </c>
      <c r="J241" s="108"/>
    </row>
    <row r="242" spans="1:10" s="16" customFormat="1" ht="25.5" outlineLevel="3">
      <c r="A242" s="91"/>
      <c r="B242" s="35"/>
      <c r="C242" s="139" t="s">
        <v>573</v>
      </c>
      <c r="D242" s="136" t="s">
        <v>28</v>
      </c>
      <c r="E242" s="137">
        <v>1</v>
      </c>
      <c r="F242" s="232">
        <v>0</v>
      </c>
      <c r="G242" s="232">
        <v>0</v>
      </c>
      <c r="H242" s="138">
        <f>G242+F242</f>
        <v>0</v>
      </c>
      <c r="I242" s="138">
        <f>H242*E242</f>
        <v>0</v>
      </c>
      <c r="J242" s="108"/>
    </row>
    <row r="243" spans="1:10" s="16" customFormat="1" ht="25.5" outlineLevel="3">
      <c r="A243" s="91"/>
      <c r="B243" s="35"/>
      <c r="C243" s="139" t="s">
        <v>1439</v>
      </c>
      <c r="D243" s="136" t="s">
        <v>28</v>
      </c>
      <c r="E243" s="137">
        <v>1</v>
      </c>
      <c r="F243" s="232">
        <v>0</v>
      </c>
      <c r="G243" s="232">
        <v>0</v>
      </c>
      <c r="H243" s="138">
        <f>G243+F243</f>
        <v>0</v>
      </c>
      <c r="I243" s="138">
        <f>H243*E243</f>
        <v>0</v>
      </c>
      <c r="J243" s="108"/>
    </row>
    <row r="244" spans="1:10" s="16" customFormat="1" ht="25.5" outlineLevel="3">
      <c r="A244" s="91"/>
      <c r="B244" s="35"/>
      <c r="C244" s="112" t="s">
        <v>148</v>
      </c>
      <c r="D244" s="136"/>
      <c r="E244" s="137"/>
      <c r="F244" s="232">
        <v>0</v>
      </c>
      <c r="G244" s="232">
        <v>0</v>
      </c>
      <c r="H244" s="138"/>
      <c r="I244" s="138"/>
      <c r="J244" s="108"/>
    </row>
    <row r="245" spans="1:10" s="16" customFormat="1" ht="25.5" outlineLevel="3">
      <c r="A245" s="91"/>
      <c r="B245" s="35"/>
      <c r="C245" s="142" t="s">
        <v>170</v>
      </c>
      <c r="D245" s="136" t="s">
        <v>28</v>
      </c>
      <c r="E245" s="137">
        <v>1</v>
      </c>
      <c r="F245" s="232">
        <v>0</v>
      </c>
      <c r="G245" s="232">
        <v>0</v>
      </c>
      <c r="H245" s="138">
        <f t="shared" ref="H245:H250" si="24">G245+F245</f>
        <v>0</v>
      </c>
      <c r="I245" s="138">
        <f t="shared" ref="I245:I250" si="25">H245*E245</f>
        <v>0</v>
      </c>
      <c r="J245" s="108"/>
    </row>
    <row r="246" spans="1:10" s="16" customFormat="1" ht="25.5" outlineLevel="3">
      <c r="A246" s="91"/>
      <c r="B246" s="35"/>
      <c r="C246" s="142" t="s">
        <v>171</v>
      </c>
      <c r="D246" s="136" t="s">
        <v>28</v>
      </c>
      <c r="E246" s="137">
        <v>1</v>
      </c>
      <c r="F246" s="232">
        <v>0</v>
      </c>
      <c r="G246" s="232">
        <v>0</v>
      </c>
      <c r="H246" s="138">
        <f t="shared" si="24"/>
        <v>0</v>
      </c>
      <c r="I246" s="138">
        <f t="shared" si="25"/>
        <v>0</v>
      </c>
      <c r="J246" s="108"/>
    </row>
    <row r="247" spans="1:10" s="16" customFormat="1" ht="25.5" outlineLevel="3">
      <c r="A247" s="91"/>
      <c r="B247" s="35"/>
      <c r="C247" s="142" t="s">
        <v>172</v>
      </c>
      <c r="D247" s="136" t="s">
        <v>28</v>
      </c>
      <c r="E247" s="137">
        <v>1</v>
      </c>
      <c r="F247" s="232">
        <v>0</v>
      </c>
      <c r="G247" s="232">
        <v>0</v>
      </c>
      <c r="H247" s="138">
        <f t="shared" si="24"/>
        <v>0</v>
      </c>
      <c r="I247" s="138">
        <f t="shared" si="25"/>
        <v>0</v>
      </c>
      <c r="J247" s="108"/>
    </row>
    <row r="248" spans="1:10" s="16" customFormat="1" ht="25.5" outlineLevel="3">
      <c r="A248" s="91"/>
      <c r="B248" s="35"/>
      <c r="C248" s="142" t="s">
        <v>216</v>
      </c>
      <c r="D248" s="136" t="s">
        <v>28</v>
      </c>
      <c r="E248" s="137">
        <v>1</v>
      </c>
      <c r="F248" s="232">
        <v>0</v>
      </c>
      <c r="G248" s="232">
        <v>0</v>
      </c>
      <c r="H248" s="138">
        <f t="shared" si="24"/>
        <v>0</v>
      </c>
      <c r="I248" s="138">
        <f t="shared" si="25"/>
        <v>0</v>
      </c>
      <c r="J248" s="108"/>
    </row>
    <row r="249" spans="1:10" s="16" customFormat="1" ht="25.5" outlineLevel="3">
      <c r="A249" s="91"/>
      <c r="B249" s="35"/>
      <c r="C249" s="141" t="s">
        <v>1436</v>
      </c>
      <c r="D249" s="136" t="s">
        <v>38</v>
      </c>
      <c r="E249" s="137">
        <v>1</v>
      </c>
      <c r="F249" s="232">
        <v>0</v>
      </c>
      <c r="G249" s="232">
        <v>0</v>
      </c>
      <c r="H249" s="138">
        <f t="shared" si="24"/>
        <v>0</v>
      </c>
      <c r="I249" s="138">
        <f t="shared" si="25"/>
        <v>0</v>
      </c>
      <c r="J249" s="108"/>
    </row>
    <row r="250" spans="1:10" s="16" customFormat="1" ht="25.5" outlineLevel="3">
      <c r="A250" s="91"/>
      <c r="B250" s="35">
        <f>MAXA(B$5:B249)+1</f>
        <v>74</v>
      </c>
      <c r="C250" s="114" t="s">
        <v>1449</v>
      </c>
      <c r="D250" s="136" t="s">
        <v>38</v>
      </c>
      <c r="E250" s="137">
        <v>1</v>
      </c>
      <c r="F250" s="232">
        <v>4575227</v>
      </c>
      <c r="G250" s="232">
        <v>1563188</v>
      </c>
      <c r="H250" s="138">
        <f t="shared" si="24"/>
        <v>6138415</v>
      </c>
      <c r="I250" s="138">
        <f t="shared" si="25"/>
        <v>6138415</v>
      </c>
      <c r="J250" s="108"/>
    </row>
    <row r="251" spans="1:10" s="16" customFormat="1" ht="25.5" outlineLevel="3">
      <c r="A251" s="91"/>
      <c r="B251" s="35"/>
      <c r="C251" s="112" t="s">
        <v>141</v>
      </c>
      <c r="D251" s="136"/>
      <c r="E251" s="137"/>
      <c r="F251" s="232">
        <v>0</v>
      </c>
      <c r="G251" s="232">
        <v>0</v>
      </c>
      <c r="H251" s="138"/>
      <c r="I251" s="138"/>
      <c r="J251" s="108"/>
    </row>
    <row r="252" spans="1:10" s="16" customFormat="1" ht="25.5" outlineLevel="3">
      <c r="A252" s="91"/>
      <c r="B252" s="35"/>
      <c r="C252" s="142" t="s">
        <v>169</v>
      </c>
      <c r="D252" s="136" t="s">
        <v>28</v>
      </c>
      <c r="E252" s="137">
        <v>1</v>
      </c>
      <c r="F252" s="232">
        <v>0</v>
      </c>
      <c r="G252" s="232">
        <v>0</v>
      </c>
      <c r="H252" s="138">
        <f>G252+F252</f>
        <v>0</v>
      </c>
      <c r="I252" s="138">
        <f>H252*E252</f>
        <v>0</v>
      </c>
      <c r="J252" s="108"/>
    </row>
    <row r="253" spans="1:10" s="16" customFormat="1" ht="25.5" outlineLevel="3">
      <c r="A253" s="91"/>
      <c r="B253" s="35"/>
      <c r="C253" s="139" t="s">
        <v>573</v>
      </c>
      <c r="D253" s="136" t="s">
        <v>28</v>
      </c>
      <c r="E253" s="137">
        <v>1</v>
      </c>
      <c r="F253" s="232">
        <v>0</v>
      </c>
      <c r="G253" s="232">
        <v>0</v>
      </c>
      <c r="H253" s="138">
        <f>G253+F253</f>
        <v>0</v>
      </c>
      <c r="I253" s="138">
        <f>H253*E253</f>
        <v>0</v>
      </c>
      <c r="J253" s="108"/>
    </row>
    <row r="254" spans="1:10" s="16" customFormat="1" ht="25.5" outlineLevel="3">
      <c r="A254" s="91"/>
      <c r="B254" s="35"/>
      <c r="C254" s="139" t="s">
        <v>1439</v>
      </c>
      <c r="D254" s="136" t="s">
        <v>28</v>
      </c>
      <c r="E254" s="137">
        <v>1</v>
      </c>
      <c r="F254" s="232">
        <v>0</v>
      </c>
      <c r="G254" s="232">
        <v>0</v>
      </c>
      <c r="H254" s="138">
        <f>G254+F254</f>
        <v>0</v>
      </c>
      <c r="I254" s="138">
        <f>H254*E254</f>
        <v>0</v>
      </c>
      <c r="J254" s="108"/>
    </row>
    <row r="255" spans="1:10" s="16" customFormat="1" ht="25.5" outlineLevel="3">
      <c r="A255" s="91"/>
      <c r="B255" s="35"/>
      <c r="C255" s="112" t="s">
        <v>148</v>
      </c>
      <c r="D255" s="136"/>
      <c r="E255" s="137"/>
      <c r="F255" s="232">
        <v>0</v>
      </c>
      <c r="G255" s="232">
        <v>0</v>
      </c>
      <c r="H255" s="138"/>
      <c r="I255" s="138"/>
      <c r="J255" s="108"/>
    </row>
    <row r="256" spans="1:10" s="16" customFormat="1" ht="25.5" outlineLevel="3">
      <c r="A256" s="91"/>
      <c r="B256" s="35"/>
      <c r="C256" s="142" t="s">
        <v>170</v>
      </c>
      <c r="D256" s="136" t="s">
        <v>28</v>
      </c>
      <c r="E256" s="137">
        <v>1</v>
      </c>
      <c r="F256" s="232">
        <v>0</v>
      </c>
      <c r="G256" s="232">
        <v>0</v>
      </c>
      <c r="H256" s="138">
        <f t="shared" ref="H256:H261" si="26">G256+F256</f>
        <v>0</v>
      </c>
      <c r="I256" s="138">
        <f t="shared" ref="I256:I261" si="27">H256*E256</f>
        <v>0</v>
      </c>
      <c r="J256" s="108"/>
    </row>
    <row r="257" spans="1:10" s="16" customFormat="1" ht="25.5" outlineLevel="3">
      <c r="A257" s="91"/>
      <c r="B257" s="35"/>
      <c r="C257" s="142" t="s">
        <v>171</v>
      </c>
      <c r="D257" s="136" t="s">
        <v>28</v>
      </c>
      <c r="E257" s="137">
        <v>1</v>
      </c>
      <c r="F257" s="232">
        <v>0</v>
      </c>
      <c r="G257" s="232">
        <v>0</v>
      </c>
      <c r="H257" s="138">
        <f t="shared" si="26"/>
        <v>0</v>
      </c>
      <c r="I257" s="138">
        <f t="shared" si="27"/>
        <v>0</v>
      </c>
      <c r="J257" s="108"/>
    </row>
    <row r="258" spans="1:10" s="16" customFormat="1" ht="25.5" outlineLevel="3">
      <c r="A258" s="91"/>
      <c r="B258" s="35"/>
      <c r="C258" s="142" t="s">
        <v>172</v>
      </c>
      <c r="D258" s="136" t="s">
        <v>28</v>
      </c>
      <c r="E258" s="137">
        <v>1</v>
      </c>
      <c r="F258" s="232">
        <v>0</v>
      </c>
      <c r="G258" s="232">
        <v>0</v>
      </c>
      <c r="H258" s="138">
        <f t="shared" si="26"/>
        <v>0</v>
      </c>
      <c r="I258" s="138">
        <f t="shared" si="27"/>
        <v>0</v>
      </c>
      <c r="J258" s="108"/>
    </row>
    <row r="259" spans="1:10" s="16" customFormat="1" ht="25.5" outlineLevel="3">
      <c r="A259" s="91"/>
      <c r="B259" s="35"/>
      <c r="C259" s="142" t="s">
        <v>216</v>
      </c>
      <c r="D259" s="136" t="s">
        <v>28</v>
      </c>
      <c r="E259" s="137">
        <v>1</v>
      </c>
      <c r="F259" s="232">
        <v>0</v>
      </c>
      <c r="G259" s="232">
        <v>0</v>
      </c>
      <c r="H259" s="138">
        <f t="shared" si="26"/>
        <v>0</v>
      </c>
      <c r="I259" s="138">
        <f t="shared" si="27"/>
        <v>0</v>
      </c>
      <c r="J259" s="108"/>
    </row>
    <row r="260" spans="1:10" s="16" customFormat="1" ht="25.5" outlineLevel="3">
      <c r="A260" s="91"/>
      <c r="B260" s="35"/>
      <c r="C260" s="141" t="s">
        <v>1436</v>
      </c>
      <c r="D260" s="136" t="s">
        <v>38</v>
      </c>
      <c r="E260" s="137">
        <v>1</v>
      </c>
      <c r="F260" s="232">
        <v>0</v>
      </c>
      <c r="G260" s="232">
        <v>0</v>
      </c>
      <c r="H260" s="138">
        <f t="shared" si="26"/>
        <v>0</v>
      </c>
      <c r="I260" s="138">
        <f t="shared" si="27"/>
        <v>0</v>
      </c>
      <c r="J260" s="108"/>
    </row>
    <row r="261" spans="1:10" s="16" customFormat="1" ht="25.5" outlineLevel="3">
      <c r="A261" s="91"/>
      <c r="B261" s="35">
        <f>MAXA(B$5:B260)+1</f>
        <v>75</v>
      </c>
      <c r="C261" s="114" t="s">
        <v>1450</v>
      </c>
      <c r="D261" s="136" t="s">
        <v>38</v>
      </c>
      <c r="E261" s="137">
        <v>1</v>
      </c>
      <c r="F261" s="232">
        <v>4450975</v>
      </c>
      <c r="G261" s="232">
        <v>1563188</v>
      </c>
      <c r="H261" s="138">
        <f t="shared" si="26"/>
        <v>6014163</v>
      </c>
      <c r="I261" s="138">
        <f t="shared" si="27"/>
        <v>6014163</v>
      </c>
      <c r="J261" s="108"/>
    </row>
    <row r="262" spans="1:10" s="16" customFormat="1" ht="25.5" outlineLevel="3">
      <c r="A262" s="91"/>
      <c r="B262" s="35"/>
      <c r="C262" s="112" t="s">
        <v>141</v>
      </c>
      <c r="D262" s="136"/>
      <c r="E262" s="137"/>
      <c r="F262" s="232">
        <v>0</v>
      </c>
      <c r="G262" s="232">
        <v>0</v>
      </c>
      <c r="H262" s="138"/>
      <c r="I262" s="138"/>
      <c r="J262" s="108"/>
    </row>
    <row r="263" spans="1:10" s="16" customFormat="1" ht="25.5" outlineLevel="3">
      <c r="A263" s="91"/>
      <c r="B263" s="35"/>
      <c r="C263" s="142" t="s">
        <v>169</v>
      </c>
      <c r="D263" s="136" t="s">
        <v>28</v>
      </c>
      <c r="E263" s="137">
        <v>1</v>
      </c>
      <c r="F263" s="232">
        <v>0</v>
      </c>
      <c r="G263" s="232">
        <v>0</v>
      </c>
      <c r="H263" s="138">
        <f>G263+F263</f>
        <v>0</v>
      </c>
      <c r="I263" s="138">
        <f>H263*E263</f>
        <v>0</v>
      </c>
      <c r="J263" s="108"/>
    </row>
    <row r="264" spans="1:10" s="16" customFormat="1" ht="25.5" outlineLevel="3">
      <c r="A264" s="91"/>
      <c r="B264" s="35"/>
      <c r="C264" s="139" t="s">
        <v>573</v>
      </c>
      <c r="D264" s="136" t="s">
        <v>28</v>
      </c>
      <c r="E264" s="137">
        <v>1</v>
      </c>
      <c r="F264" s="232">
        <v>0</v>
      </c>
      <c r="G264" s="232">
        <v>0</v>
      </c>
      <c r="H264" s="138">
        <f>G264+F264</f>
        <v>0</v>
      </c>
      <c r="I264" s="138">
        <f>H264*E264</f>
        <v>0</v>
      </c>
      <c r="J264" s="108"/>
    </row>
    <row r="265" spans="1:10" s="16" customFormat="1" ht="25.5" outlineLevel="3">
      <c r="A265" s="91"/>
      <c r="B265" s="35"/>
      <c r="C265" s="139" t="s">
        <v>1439</v>
      </c>
      <c r="D265" s="136" t="s">
        <v>28</v>
      </c>
      <c r="E265" s="137">
        <v>1</v>
      </c>
      <c r="F265" s="232">
        <v>0</v>
      </c>
      <c r="G265" s="232">
        <v>0</v>
      </c>
      <c r="H265" s="138">
        <f>G265+F265</f>
        <v>0</v>
      </c>
      <c r="I265" s="138">
        <f>H265*E265</f>
        <v>0</v>
      </c>
      <c r="J265" s="108"/>
    </row>
    <row r="266" spans="1:10" s="16" customFormat="1" ht="25.5" outlineLevel="3">
      <c r="A266" s="91"/>
      <c r="B266" s="35"/>
      <c r="C266" s="112" t="s">
        <v>148</v>
      </c>
      <c r="D266" s="136"/>
      <c r="E266" s="137"/>
      <c r="F266" s="232">
        <v>0</v>
      </c>
      <c r="G266" s="232">
        <v>0</v>
      </c>
      <c r="H266" s="138"/>
      <c r="I266" s="138"/>
      <c r="J266" s="108"/>
    </row>
    <row r="267" spans="1:10" s="16" customFormat="1" ht="25.5" outlineLevel="3">
      <c r="A267" s="91"/>
      <c r="B267" s="35"/>
      <c r="C267" s="142" t="s">
        <v>170</v>
      </c>
      <c r="D267" s="136" t="s">
        <v>28</v>
      </c>
      <c r="E267" s="137">
        <v>1</v>
      </c>
      <c r="F267" s="232">
        <v>0</v>
      </c>
      <c r="G267" s="232">
        <v>0</v>
      </c>
      <c r="H267" s="138">
        <f>G267+F267</f>
        <v>0</v>
      </c>
      <c r="I267" s="138">
        <f>H267*E267</f>
        <v>0</v>
      </c>
      <c r="J267" s="108"/>
    </row>
    <row r="268" spans="1:10" s="16" customFormat="1" ht="25.5" outlineLevel="3">
      <c r="A268" s="91"/>
      <c r="B268" s="35"/>
      <c r="C268" s="142" t="s">
        <v>171</v>
      </c>
      <c r="D268" s="136" t="s">
        <v>28</v>
      </c>
      <c r="E268" s="137">
        <v>1</v>
      </c>
      <c r="F268" s="232">
        <v>0</v>
      </c>
      <c r="G268" s="232">
        <v>0</v>
      </c>
      <c r="H268" s="138">
        <f>G268+F268</f>
        <v>0</v>
      </c>
      <c r="I268" s="138">
        <f>H268*E268</f>
        <v>0</v>
      </c>
      <c r="J268" s="108"/>
    </row>
    <row r="269" spans="1:10" s="16" customFormat="1" ht="25.5" outlineLevel="3">
      <c r="A269" s="91"/>
      <c r="B269" s="35"/>
      <c r="C269" s="142" t="s">
        <v>172</v>
      </c>
      <c r="D269" s="136" t="s">
        <v>28</v>
      </c>
      <c r="E269" s="137">
        <v>1</v>
      </c>
      <c r="F269" s="232">
        <v>0</v>
      </c>
      <c r="G269" s="232">
        <v>0</v>
      </c>
      <c r="H269" s="138">
        <f>G269+F269</f>
        <v>0</v>
      </c>
      <c r="I269" s="138">
        <f>H269*E269</f>
        <v>0</v>
      </c>
      <c r="J269" s="108"/>
    </row>
    <row r="270" spans="1:10" s="16" customFormat="1" ht="25.5" outlineLevel="3">
      <c r="A270" s="91"/>
      <c r="B270" s="35"/>
      <c r="C270" s="141" t="s">
        <v>1436</v>
      </c>
      <c r="D270" s="136" t="s">
        <v>38</v>
      </c>
      <c r="E270" s="137">
        <v>1</v>
      </c>
      <c r="F270" s="232">
        <v>0</v>
      </c>
      <c r="G270" s="232">
        <v>0</v>
      </c>
      <c r="H270" s="138">
        <f>G270+F270</f>
        <v>0</v>
      </c>
      <c r="I270" s="138">
        <f>H270*E270</f>
        <v>0</v>
      </c>
      <c r="J270" s="108"/>
    </row>
    <row r="271" spans="1:10" s="16" customFormat="1" ht="25.5" outlineLevel="3">
      <c r="A271" s="91"/>
      <c r="B271" s="35">
        <f>MAXA(B$5:B270)+1</f>
        <v>76</v>
      </c>
      <c r="C271" s="114" t="s">
        <v>1451</v>
      </c>
      <c r="D271" s="136" t="s">
        <v>38</v>
      </c>
      <c r="E271" s="137">
        <v>1</v>
      </c>
      <c r="F271" s="232">
        <v>4450975</v>
      </c>
      <c r="G271" s="232">
        <v>1563188</v>
      </c>
      <c r="H271" s="138">
        <f>G271+F271</f>
        <v>6014163</v>
      </c>
      <c r="I271" s="138">
        <f>H271*E271</f>
        <v>6014163</v>
      </c>
      <c r="J271" s="108"/>
    </row>
    <row r="272" spans="1:10" s="16" customFormat="1" ht="25.5" outlineLevel="3">
      <c r="A272" s="91"/>
      <c r="B272" s="35"/>
      <c r="C272" s="112" t="s">
        <v>141</v>
      </c>
      <c r="D272" s="136"/>
      <c r="E272" s="137"/>
      <c r="F272" s="232">
        <v>0</v>
      </c>
      <c r="G272" s="232">
        <v>0</v>
      </c>
      <c r="H272" s="138"/>
      <c r="I272" s="138"/>
      <c r="J272" s="108"/>
    </row>
    <row r="273" spans="1:10" s="16" customFormat="1" ht="25.5" outlineLevel="3">
      <c r="A273" s="91"/>
      <c r="B273" s="35"/>
      <c r="C273" s="142" t="s">
        <v>169</v>
      </c>
      <c r="D273" s="136" t="s">
        <v>28</v>
      </c>
      <c r="E273" s="137">
        <v>1</v>
      </c>
      <c r="F273" s="232">
        <v>0</v>
      </c>
      <c r="G273" s="232">
        <v>0</v>
      </c>
      <c r="H273" s="138">
        <f>G273+F273</f>
        <v>0</v>
      </c>
      <c r="I273" s="138">
        <f>H273*E273</f>
        <v>0</v>
      </c>
      <c r="J273" s="108"/>
    </row>
    <row r="274" spans="1:10" s="16" customFormat="1" ht="25.5" outlineLevel="3">
      <c r="A274" s="91"/>
      <c r="B274" s="35"/>
      <c r="C274" s="139" t="s">
        <v>573</v>
      </c>
      <c r="D274" s="136" t="s">
        <v>28</v>
      </c>
      <c r="E274" s="137">
        <v>1</v>
      </c>
      <c r="F274" s="232">
        <v>0</v>
      </c>
      <c r="G274" s="232">
        <v>0</v>
      </c>
      <c r="H274" s="138">
        <f>G274+F274</f>
        <v>0</v>
      </c>
      <c r="I274" s="138">
        <f>H274*E274</f>
        <v>0</v>
      </c>
      <c r="J274" s="108"/>
    </row>
    <row r="275" spans="1:10" s="16" customFormat="1" ht="25.5" outlineLevel="3">
      <c r="A275" s="91"/>
      <c r="B275" s="35"/>
      <c r="C275" s="139" t="s">
        <v>1439</v>
      </c>
      <c r="D275" s="136" t="s">
        <v>28</v>
      </c>
      <c r="E275" s="137">
        <v>1</v>
      </c>
      <c r="F275" s="232">
        <v>0</v>
      </c>
      <c r="G275" s="232">
        <v>0</v>
      </c>
      <c r="H275" s="138">
        <f>G275+F275</f>
        <v>0</v>
      </c>
      <c r="I275" s="138">
        <f>H275*E275</f>
        <v>0</v>
      </c>
      <c r="J275" s="108"/>
    </row>
    <row r="276" spans="1:10" s="16" customFormat="1" ht="25.5" outlineLevel="3">
      <c r="A276" s="91"/>
      <c r="B276" s="35"/>
      <c r="C276" s="112" t="s">
        <v>148</v>
      </c>
      <c r="D276" s="136"/>
      <c r="E276" s="137"/>
      <c r="F276" s="232">
        <v>0</v>
      </c>
      <c r="G276" s="232">
        <v>0</v>
      </c>
      <c r="H276" s="138"/>
      <c r="I276" s="138"/>
      <c r="J276" s="108"/>
    </row>
    <row r="277" spans="1:10" s="16" customFormat="1" ht="25.5" outlineLevel="3">
      <c r="A277" s="91"/>
      <c r="B277" s="35"/>
      <c r="C277" s="142" t="s">
        <v>170</v>
      </c>
      <c r="D277" s="136" t="s">
        <v>28</v>
      </c>
      <c r="E277" s="137">
        <v>1</v>
      </c>
      <c r="F277" s="232">
        <v>0</v>
      </c>
      <c r="G277" s="232">
        <v>0</v>
      </c>
      <c r="H277" s="138">
        <f>G277+F277</f>
        <v>0</v>
      </c>
      <c r="I277" s="138">
        <f>H277*E277</f>
        <v>0</v>
      </c>
      <c r="J277" s="108"/>
    </row>
    <row r="278" spans="1:10" s="16" customFormat="1" ht="25.5" outlineLevel="3">
      <c r="A278" s="91"/>
      <c r="B278" s="35"/>
      <c r="C278" s="142" t="s">
        <v>171</v>
      </c>
      <c r="D278" s="136" t="s">
        <v>28</v>
      </c>
      <c r="E278" s="137">
        <v>1</v>
      </c>
      <c r="F278" s="232">
        <v>0</v>
      </c>
      <c r="G278" s="232">
        <v>0</v>
      </c>
      <c r="H278" s="138">
        <f>G278+F278</f>
        <v>0</v>
      </c>
      <c r="I278" s="138">
        <f>H278*E278</f>
        <v>0</v>
      </c>
      <c r="J278" s="108"/>
    </row>
    <row r="279" spans="1:10" s="16" customFormat="1" ht="25.5" outlineLevel="3">
      <c r="A279" s="91"/>
      <c r="B279" s="35"/>
      <c r="C279" s="142" t="s">
        <v>172</v>
      </c>
      <c r="D279" s="136" t="s">
        <v>28</v>
      </c>
      <c r="E279" s="137">
        <v>1</v>
      </c>
      <c r="F279" s="232">
        <v>0</v>
      </c>
      <c r="G279" s="232">
        <v>0</v>
      </c>
      <c r="H279" s="138">
        <f>G279+F279</f>
        <v>0</v>
      </c>
      <c r="I279" s="138">
        <f>H279*E279</f>
        <v>0</v>
      </c>
      <c r="J279" s="108"/>
    </row>
    <row r="280" spans="1:10" s="16" customFormat="1" ht="25.5" outlineLevel="3">
      <c r="A280" s="91"/>
      <c r="B280" s="35"/>
      <c r="C280" s="141" t="s">
        <v>1436</v>
      </c>
      <c r="D280" s="136" t="s">
        <v>38</v>
      </c>
      <c r="E280" s="137">
        <v>1</v>
      </c>
      <c r="F280" s="232">
        <v>0</v>
      </c>
      <c r="G280" s="232">
        <v>0</v>
      </c>
      <c r="H280" s="138">
        <f>G280+F280</f>
        <v>0</v>
      </c>
      <c r="I280" s="138">
        <f>H280*E280</f>
        <v>0</v>
      </c>
      <c r="J280" s="108"/>
    </row>
    <row r="281" spans="1:10" s="16" customFormat="1" ht="25.5" outlineLevel="3">
      <c r="A281" s="91"/>
      <c r="B281" s="35">
        <f>MAXA(B$5:B280)+1</f>
        <v>77</v>
      </c>
      <c r="C281" s="114" t="s">
        <v>199</v>
      </c>
      <c r="D281" s="136" t="s">
        <v>38</v>
      </c>
      <c r="E281" s="137">
        <v>1</v>
      </c>
      <c r="F281" s="232">
        <v>31637575</v>
      </c>
      <c r="G281" s="232">
        <v>1563188</v>
      </c>
      <c r="H281" s="138">
        <f>G281+F281</f>
        <v>33200763</v>
      </c>
      <c r="I281" s="138">
        <f>H281*E281</f>
        <v>33200763</v>
      </c>
      <c r="J281" s="108"/>
    </row>
    <row r="282" spans="1:10" s="16" customFormat="1" ht="25.5" outlineLevel="3">
      <c r="A282" s="91"/>
      <c r="B282" s="35"/>
      <c r="C282" s="112" t="s">
        <v>141</v>
      </c>
      <c r="D282" s="136"/>
      <c r="E282" s="137"/>
      <c r="F282" s="232">
        <v>0</v>
      </c>
      <c r="G282" s="232">
        <v>0</v>
      </c>
      <c r="H282" s="138"/>
      <c r="I282" s="138"/>
      <c r="J282" s="108"/>
    </row>
    <row r="283" spans="1:10" s="16" customFormat="1" ht="25.5" outlineLevel="3">
      <c r="A283" s="91"/>
      <c r="B283" s="35"/>
      <c r="C283" s="142" t="s">
        <v>200</v>
      </c>
      <c r="D283" s="136" t="s">
        <v>28</v>
      </c>
      <c r="E283" s="137">
        <v>1</v>
      </c>
      <c r="F283" s="232">
        <v>0</v>
      </c>
      <c r="G283" s="232">
        <v>0</v>
      </c>
      <c r="H283" s="138">
        <f t="shared" ref="H283:H290" si="28">G283+F283</f>
        <v>0</v>
      </c>
      <c r="I283" s="138">
        <f t="shared" ref="I283:I290" si="29">H283*E283</f>
        <v>0</v>
      </c>
      <c r="J283" s="108"/>
    </row>
    <row r="284" spans="1:10" s="16" customFormat="1" ht="25.5" outlineLevel="3">
      <c r="A284" s="91"/>
      <c r="B284" s="35"/>
      <c r="C284" s="139" t="s">
        <v>573</v>
      </c>
      <c r="D284" s="136" t="s">
        <v>28</v>
      </c>
      <c r="E284" s="137">
        <v>9</v>
      </c>
      <c r="F284" s="232">
        <v>0</v>
      </c>
      <c r="G284" s="232">
        <v>0</v>
      </c>
      <c r="H284" s="138">
        <f t="shared" si="28"/>
        <v>0</v>
      </c>
      <c r="I284" s="138">
        <f t="shared" si="29"/>
        <v>0</v>
      </c>
      <c r="J284" s="108"/>
    </row>
    <row r="285" spans="1:10" s="16" customFormat="1" ht="25.5" outlineLevel="3">
      <c r="A285" s="91"/>
      <c r="B285" s="35"/>
      <c r="C285" s="139" t="s">
        <v>574</v>
      </c>
      <c r="D285" s="136" t="s">
        <v>28</v>
      </c>
      <c r="E285" s="137">
        <v>6</v>
      </c>
      <c r="F285" s="232">
        <v>0</v>
      </c>
      <c r="G285" s="232">
        <v>0</v>
      </c>
      <c r="H285" s="138">
        <f t="shared" si="28"/>
        <v>0</v>
      </c>
      <c r="I285" s="138">
        <f t="shared" si="29"/>
        <v>0</v>
      </c>
      <c r="J285" s="108"/>
    </row>
    <row r="286" spans="1:10" s="16" customFormat="1" ht="25.5" outlineLevel="3">
      <c r="A286" s="91"/>
      <c r="B286" s="35"/>
      <c r="C286" s="139" t="s">
        <v>143</v>
      </c>
      <c r="D286" s="136" t="s">
        <v>28</v>
      </c>
      <c r="E286" s="137">
        <v>1</v>
      </c>
      <c r="F286" s="232">
        <v>0</v>
      </c>
      <c r="G286" s="232">
        <v>0</v>
      </c>
      <c r="H286" s="138">
        <f t="shared" si="28"/>
        <v>0</v>
      </c>
      <c r="I286" s="138">
        <f t="shared" si="29"/>
        <v>0</v>
      </c>
      <c r="J286" s="108"/>
    </row>
    <row r="287" spans="1:10" s="16" customFormat="1" ht="25.5" outlineLevel="3">
      <c r="A287" s="91"/>
      <c r="B287" s="35"/>
      <c r="C287" s="139" t="s">
        <v>144</v>
      </c>
      <c r="D287" s="136" t="s">
        <v>28</v>
      </c>
      <c r="E287" s="137">
        <v>1</v>
      </c>
      <c r="F287" s="232">
        <v>0</v>
      </c>
      <c r="G287" s="232">
        <v>0</v>
      </c>
      <c r="H287" s="138">
        <f t="shared" si="28"/>
        <v>0</v>
      </c>
      <c r="I287" s="138">
        <f t="shared" si="29"/>
        <v>0</v>
      </c>
      <c r="J287" s="108"/>
    </row>
    <row r="288" spans="1:10" s="16" customFormat="1" ht="25.5" outlineLevel="3">
      <c r="A288" s="91"/>
      <c r="B288" s="35"/>
      <c r="C288" s="139" t="s">
        <v>1452</v>
      </c>
      <c r="D288" s="136" t="s">
        <v>28</v>
      </c>
      <c r="E288" s="137">
        <v>1</v>
      </c>
      <c r="F288" s="232">
        <v>0</v>
      </c>
      <c r="G288" s="232">
        <v>0</v>
      </c>
      <c r="H288" s="138">
        <f t="shared" si="28"/>
        <v>0</v>
      </c>
      <c r="I288" s="138">
        <f t="shared" si="29"/>
        <v>0</v>
      </c>
      <c r="J288" s="108"/>
    </row>
    <row r="289" spans="1:10" s="16" customFormat="1" ht="25.5" outlineLevel="3">
      <c r="A289" s="91"/>
      <c r="B289" s="35"/>
      <c r="C289" s="139" t="s">
        <v>146</v>
      </c>
      <c r="D289" s="136" t="s">
        <v>28</v>
      </c>
      <c r="E289" s="137">
        <v>1</v>
      </c>
      <c r="F289" s="232">
        <v>0</v>
      </c>
      <c r="G289" s="232">
        <v>0</v>
      </c>
      <c r="H289" s="138">
        <f t="shared" si="28"/>
        <v>0</v>
      </c>
      <c r="I289" s="138">
        <f t="shared" si="29"/>
        <v>0</v>
      </c>
      <c r="J289" s="108"/>
    </row>
    <row r="290" spans="1:10" s="16" customFormat="1" ht="25.5" outlineLevel="3">
      <c r="A290" s="91"/>
      <c r="B290" s="35"/>
      <c r="C290" s="141" t="s">
        <v>202</v>
      </c>
      <c r="D290" s="136" t="s">
        <v>28</v>
      </c>
      <c r="E290" s="137">
        <v>3</v>
      </c>
      <c r="F290" s="232">
        <v>0</v>
      </c>
      <c r="G290" s="232">
        <v>0</v>
      </c>
      <c r="H290" s="138">
        <f t="shared" si="28"/>
        <v>0</v>
      </c>
      <c r="I290" s="138">
        <f t="shared" si="29"/>
        <v>0</v>
      </c>
      <c r="J290" s="108"/>
    </row>
    <row r="291" spans="1:10" s="16" customFormat="1" ht="25.5" outlineLevel="3">
      <c r="A291" s="91"/>
      <c r="B291" s="35"/>
      <c r="C291" s="112" t="s">
        <v>148</v>
      </c>
      <c r="D291" s="136"/>
      <c r="E291" s="137"/>
      <c r="F291" s="232">
        <v>0</v>
      </c>
      <c r="G291" s="232">
        <v>0</v>
      </c>
      <c r="H291" s="138"/>
      <c r="I291" s="138"/>
      <c r="J291" s="108"/>
    </row>
    <row r="292" spans="1:10" s="16" customFormat="1" ht="25.5" outlineLevel="3">
      <c r="A292" s="91"/>
      <c r="B292" s="35"/>
      <c r="C292" s="142" t="s">
        <v>188</v>
      </c>
      <c r="D292" s="136" t="s">
        <v>28</v>
      </c>
      <c r="E292" s="137">
        <v>1</v>
      </c>
      <c r="F292" s="232">
        <v>0</v>
      </c>
      <c r="G292" s="232">
        <v>0</v>
      </c>
      <c r="H292" s="138">
        <f t="shared" ref="H292:H299" si="30">G292+F292</f>
        <v>0</v>
      </c>
      <c r="I292" s="138">
        <f t="shared" ref="I292:I299" si="31">H292*E292</f>
        <v>0</v>
      </c>
      <c r="J292" s="108"/>
    </row>
    <row r="293" spans="1:10" s="16" customFormat="1" ht="25.5" outlineLevel="3">
      <c r="A293" s="91"/>
      <c r="B293" s="35"/>
      <c r="C293" s="142" t="s">
        <v>149</v>
      </c>
      <c r="D293" s="136" t="s">
        <v>28</v>
      </c>
      <c r="E293" s="137">
        <v>1</v>
      </c>
      <c r="F293" s="232">
        <v>0</v>
      </c>
      <c r="G293" s="232">
        <v>0</v>
      </c>
      <c r="H293" s="138">
        <f t="shared" si="30"/>
        <v>0</v>
      </c>
      <c r="I293" s="138">
        <f t="shared" si="31"/>
        <v>0</v>
      </c>
      <c r="J293" s="108"/>
    </row>
    <row r="294" spans="1:10" s="16" customFormat="1" ht="25.5" outlineLevel="3">
      <c r="A294" s="91"/>
      <c r="B294" s="35"/>
      <c r="C294" s="142" t="s">
        <v>203</v>
      </c>
      <c r="D294" s="136" t="s">
        <v>28</v>
      </c>
      <c r="E294" s="137">
        <v>1</v>
      </c>
      <c r="F294" s="232">
        <v>0</v>
      </c>
      <c r="G294" s="232">
        <v>0</v>
      </c>
      <c r="H294" s="138">
        <f t="shared" si="30"/>
        <v>0</v>
      </c>
      <c r="I294" s="138">
        <f t="shared" si="31"/>
        <v>0</v>
      </c>
      <c r="J294" s="108"/>
    </row>
    <row r="295" spans="1:10" s="16" customFormat="1" ht="25.5" outlineLevel="3">
      <c r="A295" s="91"/>
      <c r="B295" s="35"/>
      <c r="C295" s="139" t="s">
        <v>161</v>
      </c>
      <c r="D295" s="136" t="s">
        <v>1453</v>
      </c>
      <c r="E295" s="137">
        <v>1</v>
      </c>
      <c r="F295" s="232">
        <v>0</v>
      </c>
      <c r="G295" s="232">
        <v>0</v>
      </c>
      <c r="H295" s="138">
        <f t="shared" si="30"/>
        <v>0</v>
      </c>
      <c r="I295" s="138">
        <f t="shared" si="31"/>
        <v>0</v>
      </c>
      <c r="J295" s="108"/>
    </row>
    <row r="296" spans="1:10" s="16" customFormat="1" ht="25.5" outlineLevel="3">
      <c r="A296" s="91"/>
      <c r="B296" s="35"/>
      <c r="C296" s="142" t="s">
        <v>163</v>
      </c>
      <c r="D296" s="136" t="s">
        <v>28</v>
      </c>
      <c r="E296" s="137">
        <v>7</v>
      </c>
      <c r="F296" s="232">
        <v>0</v>
      </c>
      <c r="G296" s="232">
        <v>0</v>
      </c>
      <c r="H296" s="138">
        <f t="shared" si="30"/>
        <v>0</v>
      </c>
      <c r="I296" s="138">
        <f t="shared" si="31"/>
        <v>0</v>
      </c>
      <c r="J296" s="108"/>
    </row>
    <row r="297" spans="1:10" s="16" customFormat="1" ht="25.5" outlineLevel="3">
      <c r="A297" s="91"/>
      <c r="B297" s="35"/>
      <c r="C297" s="142" t="s">
        <v>164</v>
      </c>
      <c r="D297" s="136" t="s">
        <v>28</v>
      </c>
      <c r="E297" s="137">
        <v>3</v>
      </c>
      <c r="F297" s="232">
        <v>0</v>
      </c>
      <c r="G297" s="232">
        <v>0</v>
      </c>
      <c r="H297" s="138">
        <f t="shared" si="30"/>
        <v>0</v>
      </c>
      <c r="I297" s="138">
        <f t="shared" si="31"/>
        <v>0</v>
      </c>
      <c r="J297" s="108"/>
    </row>
    <row r="298" spans="1:10" s="16" customFormat="1" ht="25.5" outlineLevel="3">
      <c r="A298" s="91"/>
      <c r="B298" s="35"/>
      <c r="C298" s="141" t="s">
        <v>1436</v>
      </c>
      <c r="D298" s="136" t="s">
        <v>38</v>
      </c>
      <c r="E298" s="137">
        <v>1</v>
      </c>
      <c r="F298" s="232">
        <v>0</v>
      </c>
      <c r="G298" s="232">
        <v>0</v>
      </c>
      <c r="H298" s="138">
        <f t="shared" si="30"/>
        <v>0</v>
      </c>
      <c r="I298" s="138">
        <f t="shared" si="31"/>
        <v>0</v>
      </c>
      <c r="J298" s="108"/>
    </row>
    <row r="299" spans="1:10" s="16" customFormat="1" ht="25.5" outlineLevel="3">
      <c r="A299" s="91"/>
      <c r="B299" s="35">
        <f>MAXA(B$5:B298)+1</f>
        <v>78</v>
      </c>
      <c r="C299" s="114" t="s">
        <v>1454</v>
      </c>
      <c r="D299" s="136" t="s">
        <v>38</v>
      </c>
      <c r="E299" s="137">
        <v>1</v>
      </c>
      <c r="F299" s="232">
        <v>6119656</v>
      </c>
      <c r="G299" s="232">
        <v>1563188</v>
      </c>
      <c r="H299" s="138">
        <f t="shared" si="30"/>
        <v>7682844</v>
      </c>
      <c r="I299" s="138">
        <f t="shared" si="31"/>
        <v>7682844</v>
      </c>
      <c r="J299" s="108"/>
    </row>
    <row r="300" spans="1:10" s="16" customFormat="1" ht="25.5" outlineLevel="3">
      <c r="A300" s="91"/>
      <c r="B300" s="35"/>
      <c r="C300" s="112" t="s">
        <v>141</v>
      </c>
      <c r="D300" s="136"/>
      <c r="E300" s="137"/>
      <c r="F300" s="232">
        <v>0</v>
      </c>
      <c r="G300" s="232">
        <v>0</v>
      </c>
      <c r="H300" s="138"/>
      <c r="I300" s="138"/>
      <c r="J300" s="108"/>
    </row>
    <row r="301" spans="1:10" s="16" customFormat="1" ht="25.5" outlineLevel="3">
      <c r="A301" s="91"/>
      <c r="B301" s="35"/>
      <c r="C301" s="142" t="s">
        <v>169</v>
      </c>
      <c r="D301" s="136" t="s">
        <v>28</v>
      </c>
      <c r="E301" s="137">
        <v>1</v>
      </c>
      <c r="F301" s="232">
        <v>0</v>
      </c>
      <c r="G301" s="232">
        <v>0</v>
      </c>
      <c r="H301" s="138">
        <f>G301+F301</f>
        <v>0</v>
      </c>
      <c r="I301" s="138">
        <f>H301*E301</f>
        <v>0</v>
      </c>
      <c r="J301" s="108"/>
    </row>
    <row r="302" spans="1:10" s="16" customFormat="1" ht="25.5" outlineLevel="3">
      <c r="A302" s="91"/>
      <c r="B302" s="35"/>
      <c r="C302" s="139" t="s">
        <v>573</v>
      </c>
      <c r="D302" s="136" t="s">
        <v>28</v>
      </c>
      <c r="E302" s="137">
        <v>1</v>
      </c>
      <c r="F302" s="232">
        <v>0</v>
      </c>
      <c r="G302" s="232">
        <v>0</v>
      </c>
      <c r="H302" s="138">
        <f>G302+F302</f>
        <v>0</v>
      </c>
      <c r="I302" s="138">
        <f>H302*E302</f>
        <v>0</v>
      </c>
      <c r="J302" s="108"/>
    </row>
    <row r="303" spans="1:10" s="16" customFormat="1" ht="25.5" outlineLevel="3">
      <c r="A303" s="91"/>
      <c r="B303" s="35"/>
      <c r="C303" s="139" t="s">
        <v>1439</v>
      </c>
      <c r="D303" s="136" t="s">
        <v>28</v>
      </c>
      <c r="E303" s="137">
        <v>1</v>
      </c>
      <c r="F303" s="232">
        <v>0</v>
      </c>
      <c r="G303" s="232">
        <v>0</v>
      </c>
      <c r="H303" s="138">
        <f>G303+F303</f>
        <v>0</v>
      </c>
      <c r="I303" s="138">
        <f>H303*E303</f>
        <v>0</v>
      </c>
      <c r="J303" s="108"/>
    </row>
    <row r="304" spans="1:10" s="16" customFormat="1" ht="25.5" outlineLevel="3">
      <c r="A304" s="91"/>
      <c r="B304" s="35"/>
      <c r="C304" s="112" t="s">
        <v>148</v>
      </c>
      <c r="D304" s="136"/>
      <c r="E304" s="137"/>
      <c r="F304" s="232">
        <v>0</v>
      </c>
      <c r="G304" s="232">
        <v>0</v>
      </c>
      <c r="H304" s="138"/>
      <c r="I304" s="138"/>
      <c r="J304" s="108"/>
    </row>
    <row r="305" spans="1:10" s="16" customFormat="1" ht="25.5" outlineLevel="3">
      <c r="A305" s="91"/>
      <c r="B305" s="35"/>
      <c r="C305" s="142" t="s">
        <v>170</v>
      </c>
      <c r="D305" s="136" t="s">
        <v>28</v>
      </c>
      <c r="E305" s="137">
        <v>1</v>
      </c>
      <c r="F305" s="232">
        <v>0</v>
      </c>
      <c r="G305" s="232">
        <v>0</v>
      </c>
      <c r="H305" s="138">
        <f>G305+F305</f>
        <v>0</v>
      </c>
      <c r="I305" s="138">
        <f>H305*E305</f>
        <v>0</v>
      </c>
      <c r="J305" s="108"/>
    </row>
    <row r="306" spans="1:10" s="16" customFormat="1" ht="25.5" outlineLevel="3">
      <c r="A306" s="91"/>
      <c r="B306" s="35"/>
      <c r="C306" s="142" t="s">
        <v>171</v>
      </c>
      <c r="D306" s="136" t="s">
        <v>28</v>
      </c>
      <c r="E306" s="137">
        <v>1</v>
      </c>
      <c r="F306" s="232">
        <v>0</v>
      </c>
      <c r="G306" s="232">
        <v>0</v>
      </c>
      <c r="H306" s="138">
        <f>G306+F306</f>
        <v>0</v>
      </c>
      <c r="I306" s="138">
        <f>H306*E306</f>
        <v>0</v>
      </c>
      <c r="J306" s="108"/>
    </row>
    <row r="307" spans="1:10" s="16" customFormat="1" ht="25.5" outlineLevel="3">
      <c r="A307" s="91"/>
      <c r="B307" s="35"/>
      <c r="C307" s="142" t="s">
        <v>172</v>
      </c>
      <c r="D307" s="136" t="s">
        <v>28</v>
      </c>
      <c r="E307" s="137">
        <v>2</v>
      </c>
      <c r="F307" s="232">
        <v>0</v>
      </c>
      <c r="G307" s="232">
        <v>0</v>
      </c>
      <c r="H307" s="138">
        <f>G307+F307</f>
        <v>0</v>
      </c>
      <c r="I307" s="138">
        <f>H307*E307</f>
        <v>0</v>
      </c>
      <c r="J307" s="108"/>
    </row>
    <row r="308" spans="1:10" s="16" customFormat="1" ht="25.5" outlineLevel="3">
      <c r="A308" s="91"/>
      <c r="B308" s="35"/>
      <c r="C308" s="141" t="s">
        <v>1436</v>
      </c>
      <c r="D308" s="136" t="s">
        <v>38</v>
      </c>
      <c r="E308" s="137">
        <v>1</v>
      </c>
      <c r="F308" s="232">
        <v>0</v>
      </c>
      <c r="G308" s="232">
        <v>0</v>
      </c>
      <c r="H308" s="138">
        <f>G308+F308</f>
        <v>0</v>
      </c>
      <c r="I308" s="138">
        <f>H308*E308</f>
        <v>0</v>
      </c>
      <c r="J308" s="108"/>
    </row>
    <row r="309" spans="1:10" s="16" customFormat="1" ht="25.5" outlineLevel="3">
      <c r="A309" s="91"/>
      <c r="B309" s="35">
        <f>MAXA(B$5:B308)+1</f>
        <v>79</v>
      </c>
      <c r="C309" s="114" t="s">
        <v>208</v>
      </c>
      <c r="D309" s="136" t="s">
        <v>38</v>
      </c>
      <c r="E309" s="137">
        <v>1</v>
      </c>
      <c r="F309" s="232">
        <v>78409396</v>
      </c>
      <c r="G309" s="232">
        <v>2605313</v>
      </c>
      <c r="H309" s="138">
        <f>G309+F309</f>
        <v>81014709</v>
      </c>
      <c r="I309" s="138">
        <f>H309*E309</f>
        <v>81014709</v>
      </c>
      <c r="J309" s="108"/>
    </row>
    <row r="310" spans="1:10" s="16" customFormat="1" ht="25.5" outlineLevel="3">
      <c r="A310" s="91"/>
      <c r="B310" s="35"/>
      <c r="C310" s="112" t="s">
        <v>141</v>
      </c>
      <c r="D310" s="136"/>
      <c r="E310" s="137"/>
      <c r="F310" s="232">
        <v>0</v>
      </c>
      <c r="G310" s="232">
        <v>0</v>
      </c>
      <c r="H310" s="138"/>
      <c r="I310" s="138"/>
      <c r="J310" s="108"/>
    </row>
    <row r="311" spans="1:10" s="16" customFormat="1" ht="25.5" outlineLevel="3">
      <c r="A311" s="91"/>
      <c r="B311" s="35"/>
      <c r="C311" s="142" t="s">
        <v>1455</v>
      </c>
      <c r="D311" s="136" t="s">
        <v>28</v>
      </c>
      <c r="E311" s="137">
        <v>1</v>
      </c>
      <c r="F311" s="232">
        <v>0</v>
      </c>
      <c r="G311" s="232">
        <v>0</v>
      </c>
      <c r="H311" s="138">
        <f t="shared" ref="H311:H318" si="32">G311+F311</f>
        <v>0</v>
      </c>
      <c r="I311" s="138">
        <f t="shared" ref="I311:I318" si="33">H311*E311</f>
        <v>0</v>
      </c>
      <c r="J311" s="108"/>
    </row>
    <row r="312" spans="1:10" s="16" customFormat="1" ht="25.5" outlineLevel="3">
      <c r="A312" s="91"/>
      <c r="B312" s="35"/>
      <c r="C312" s="139" t="s">
        <v>573</v>
      </c>
      <c r="D312" s="136" t="s">
        <v>28</v>
      </c>
      <c r="E312" s="137">
        <v>9</v>
      </c>
      <c r="F312" s="232">
        <v>0</v>
      </c>
      <c r="G312" s="232">
        <v>0</v>
      </c>
      <c r="H312" s="138">
        <f t="shared" si="32"/>
        <v>0</v>
      </c>
      <c r="I312" s="138">
        <f t="shared" si="33"/>
        <v>0</v>
      </c>
      <c r="J312" s="108"/>
    </row>
    <row r="313" spans="1:10" s="16" customFormat="1" ht="25.5" outlineLevel="3">
      <c r="A313" s="91"/>
      <c r="B313" s="35"/>
      <c r="C313" s="139" t="s">
        <v>574</v>
      </c>
      <c r="D313" s="136" t="s">
        <v>28</v>
      </c>
      <c r="E313" s="137">
        <v>6</v>
      </c>
      <c r="F313" s="232">
        <v>0</v>
      </c>
      <c r="G313" s="232">
        <v>0</v>
      </c>
      <c r="H313" s="138">
        <f t="shared" si="32"/>
        <v>0</v>
      </c>
      <c r="I313" s="138">
        <f t="shared" si="33"/>
        <v>0</v>
      </c>
      <c r="J313" s="108"/>
    </row>
    <row r="314" spans="1:10" s="16" customFormat="1" ht="25.5" outlineLevel="3">
      <c r="A314" s="91"/>
      <c r="B314" s="35"/>
      <c r="C314" s="139" t="s">
        <v>143</v>
      </c>
      <c r="D314" s="136" t="s">
        <v>28</v>
      </c>
      <c r="E314" s="137">
        <v>1</v>
      </c>
      <c r="F314" s="232">
        <v>0</v>
      </c>
      <c r="G314" s="232">
        <v>0</v>
      </c>
      <c r="H314" s="138">
        <f t="shared" si="32"/>
        <v>0</v>
      </c>
      <c r="I314" s="138">
        <f t="shared" si="33"/>
        <v>0</v>
      </c>
      <c r="J314" s="108"/>
    </row>
    <row r="315" spans="1:10" s="16" customFormat="1" ht="25.5" outlineLevel="3">
      <c r="A315" s="91"/>
      <c r="B315" s="35"/>
      <c r="C315" s="139" t="s">
        <v>144</v>
      </c>
      <c r="D315" s="136" t="s">
        <v>28</v>
      </c>
      <c r="E315" s="137">
        <v>1</v>
      </c>
      <c r="F315" s="232">
        <v>0</v>
      </c>
      <c r="G315" s="232">
        <v>0</v>
      </c>
      <c r="H315" s="138">
        <f t="shared" si="32"/>
        <v>0</v>
      </c>
      <c r="I315" s="138">
        <f t="shared" si="33"/>
        <v>0</v>
      </c>
      <c r="J315" s="108"/>
    </row>
    <row r="316" spans="1:10" s="16" customFormat="1" ht="25.5" outlineLevel="3">
      <c r="A316" s="91"/>
      <c r="B316" s="35"/>
      <c r="C316" s="141" t="s">
        <v>145</v>
      </c>
      <c r="D316" s="136" t="s">
        <v>28</v>
      </c>
      <c r="E316" s="137">
        <v>1</v>
      </c>
      <c r="F316" s="232">
        <v>0</v>
      </c>
      <c r="G316" s="232">
        <v>0</v>
      </c>
      <c r="H316" s="138">
        <f t="shared" si="32"/>
        <v>0</v>
      </c>
      <c r="I316" s="138">
        <f t="shared" si="33"/>
        <v>0</v>
      </c>
      <c r="J316" s="108"/>
    </row>
    <row r="317" spans="1:10" s="16" customFormat="1" ht="25.5" outlineLevel="3">
      <c r="A317" s="91"/>
      <c r="B317" s="35"/>
      <c r="C317" s="139" t="s">
        <v>146</v>
      </c>
      <c r="D317" s="136" t="s">
        <v>28</v>
      </c>
      <c r="E317" s="137">
        <v>1</v>
      </c>
      <c r="F317" s="232">
        <v>0</v>
      </c>
      <c r="G317" s="232">
        <v>0</v>
      </c>
      <c r="H317" s="138">
        <f t="shared" si="32"/>
        <v>0</v>
      </c>
      <c r="I317" s="138">
        <f t="shared" si="33"/>
        <v>0</v>
      </c>
      <c r="J317" s="108"/>
    </row>
    <row r="318" spans="1:10" s="16" customFormat="1" ht="25.5" outlineLevel="3">
      <c r="A318" s="91"/>
      <c r="B318" s="35"/>
      <c r="C318" s="141" t="s">
        <v>147</v>
      </c>
      <c r="D318" s="136" t="s">
        <v>28</v>
      </c>
      <c r="E318" s="137">
        <v>3</v>
      </c>
      <c r="F318" s="232">
        <v>0</v>
      </c>
      <c r="G318" s="232">
        <v>0</v>
      </c>
      <c r="H318" s="138">
        <f t="shared" si="32"/>
        <v>0</v>
      </c>
      <c r="I318" s="138">
        <f t="shared" si="33"/>
        <v>0</v>
      </c>
      <c r="J318" s="108"/>
    </row>
    <row r="319" spans="1:10" s="16" customFormat="1" ht="25.5" outlineLevel="3">
      <c r="A319" s="91"/>
      <c r="B319" s="35"/>
      <c r="C319" s="112" t="s">
        <v>148</v>
      </c>
      <c r="D319" s="136"/>
      <c r="E319" s="137"/>
      <c r="F319" s="232">
        <v>0</v>
      </c>
      <c r="G319" s="232">
        <v>0</v>
      </c>
      <c r="H319" s="138"/>
      <c r="I319" s="138"/>
      <c r="J319" s="108"/>
    </row>
    <row r="320" spans="1:10" s="16" customFormat="1" ht="25.5" outlineLevel="3">
      <c r="A320" s="91"/>
      <c r="B320" s="35"/>
      <c r="C320" s="142" t="s">
        <v>149</v>
      </c>
      <c r="D320" s="136" t="s">
        <v>28</v>
      </c>
      <c r="E320" s="137">
        <v>26</v>
      </c>
      <c r="F320" s="232">
        <v>0</v>
      </c>
      <c r="G320" s="232">
        <v>0</v>
      </c>
      <c r="H320" s="138">
        <f t="shared" ref="H320:H333" si="34">G320+F320</f>
        <v>0</v>
      </c>
      <c r="I320" s="138">
        <f t="shared" ref="I320:I333" si="35">H320*E320</f>
        <v>0</v>
      </c>
      <c r="J320" s="108"/>
    </row>
    <row r="321" spans="1:10" s="16" customFormat="1" ht="25.5" outlineLevel="3">
      <c r="A321" s="91"/>
      <c r="B321" s="35"/>
      <c r="C321" s="142" t="s">
        <v>150</v>
      </c>
      <c r="D321" s="136" t="s">
        <v>28</v>
      </c>
      <c r="E321" s="137">
        <v>1</v>
      </c>
      <c r="F321" s="232">
        <v>0</v>
      </c>
      <c r="G321" s="232">
        <v>0</v>
      </c>
      <c r="H321" s="138">
        <f t="shared" si="34"/>
        <v>0</v>
      </c>
      <c r="I321" s="138">
        <f t="shared" si="35"/>
        <v>0</v>
      </c>
      <c r="J321" s="108"/>
    </row>
    <row r="322" spans="1:10" s="16" customFormat="1" ht="25.5" outlineLevel="3">
      <c r="A322" s="91"/>
      <c r="B322" s="35"/>
      <c r="C322" s="142" t="s">
        <v>151</v>
      </c>
      <c r="D322" s="136" t="s">
        <v>28</v>
      </c>
      <c r="E322" s="137">
        <v>7</v>
      </c>
      <c r="F322" s="232">
        <v>0</v>
      </c>
      <c r="G322" s="232">
        <v>0</v>
      </c>
      <c r="H322" s="138">
        <f t="shared" si="34"/>
        <v>0</v>
      </c>
      <c r="I322" s="138">
        <f t="shared" si="35"/>
        <v>0</v>
      </c>
      <c r="J322" s="108"/>
    </row>
    <row r="323" spans="1:10" s="16" customFormat="1" ht="25.5" outlineLevel="3">
      <c r="A323" s="91"/>
      <c r="B323" s="35"/>
      <c r="C323" s="142" t="s">
        <v>152</v>
      </c>
      <c r="D323" s="136" t="s">
        <v>28</v>
      </c>
      <c r="E323" s="137">
        <v>1</v>
      </c>
      <c r="F323" s="232">
        <v>0</v>
      </c>
      <c r="G323" s="232">
        <v>0</v>
      </c>
      <c r="H323" s="138">
        <f t="shared" si="34"/>
        <v>0</v>
      </c>
      <c r="I323" s="138">
        <f t="shared" si="35"/>
        <v>0</v>
      </c>
      <c r="J323" s="108"/>
    </row>
    <row r="324" spans="1:10" s="16" customFormat="1" ht="25.5" outlineLevel="3">
      <c r="A324" s="91"/>
      <c r="B324" s="35"/>
      <c r="C324" s="142" t="s">
        <v>235</v>
      </c>
      <c r="D324" s="136" t="s">
        <v>28</v>
      </c>
      <c r="E324" s="137">
        <v>2</v>
      </c>
      <c r="F324" s="232">
        <v>0</v>
      </c>
      <c r="G324" s="232">
        <v>0</v>
      </c>
      <c r="H324" s="138">
        <f t="shared" si="34"/>
        <v>0</v>
      </c>
      <c r="I324" s="138">
        <f t="shared" si="35"/>
        <v>0</v>
      </c>
      <c r="J324" s="108"/>
    </row>
    <row r="325" spans="1:10" s="16" customFormat="1" ht="25.5" outlineLevel="3">
      <c r="A325" s="91"/>
      <c r="B325" s="35"/>
      <c r="C325" s="142" t="s">
        <v>212</v>
      </c>
      <c r="D325" s="136" t="s">
        <v>28</v>
      </c>
      <c r="E325" s="137">
        <v>1</v>
      </c>
      <c r="F325" s="232">
        <v>0</v>
      </c>
      <c r="G325" s="232">
        <v>0</v>
      </c>
      <c r="H325" s="138">
        <f t="shared" si="34"/>
        <v>0</v>
      </c>
      <c r="I325" s="138">
        <f t="shared" si="35"/>
        <v>0</v>
      </c>
      <c r="J325" s="108"/>
    </row>
    <row r="326" spans="1:10" s="16" customFormat="1" ht="25.5" outlineLevel="3">
      <c r="A326" s="91"/>
      <c r="B326" s="35"/>
      <c r="C326" s="142" t="s">
        <v>203</v>
      </c>
      <c r="D326" s="136" t="s">
        <v>28</v>
      </c>
      <c r="E326" s="137">
        <v>1</v>
      </c>
      <c r="F326" s="232">
        <v>0</v>
      </c>
      <c r="G326" s="232">
        <v>0</v>
      </c>
      <c r="H326" s="138">
        <f t="shared" si="34"/>
        <v>0</v>
      </c>
      <c r="I326" s="138">
        <f t="shared" si="35"/>
        <v>0</v>
      </c>
      <c r="J326" s="108"/>
    </row>
    <row r="327" spans="1:10" s="16" customFormat="1" ht="25.5" outlineLevel="3">
      <c r="A327" s="91"/>
      <c r="B327" s="35"/>
      <c r="C327" s="139" t="s">
        <v>161</v>
      </c>
      <c r="D327" s="136" t="s">
        <v>44</v>
      </c>
      <c r="E327" s="137">
        <v>1</v>
      </c>
      <c r="F327" s="232">
        <v>0</v>
      </c>
      <c r="G327" s="232">
        <v>0</v>
      </c>
      <c r="H327" s="138">
        <f t="shared" si="34"/>
        <v>0</v>
      </c>
      <c r="I327" s="138">
        <f t="shared" si="35"/>
        <v>0</v>
      </c>
      <c r="J327" s="108"/>
    </row>
    <row r="328" spans="1:10" s="16" customFormat="1" ht="25.5" outlineLevel="3">
      <c r="A328" s="91"/>
      <c r="B328" s="35"/>
      <c r="C328" s="142" t="s">
        <v>163</v>
      </c>
      <c r="D328" s="136" t="s">
        <v>28</v>
      </c>
      <c r="E328" s="137">
        <v>8</v>
      </c>
      <c r="F328" s="232">
        <v>0</v>
      </c>
      <c r="G328" s="232">
        <v>0</v>
      </c>
      <c r="H328" s="138">
        <f t="shared" si="34"/>
        <v>0</v>
      </c>
      <c r="I328" s="138">
        <f t="shared" si="35"/>
        <v>0</v>
      </c>
      <c r="J328" s="108"/>
    </row>
    <row r="329" spans="1:10" s="16" customFormat="1" ht="25.5" outlineLevel="3">
      <c r="A329" s="91"/>
      <c r="B329" s="35"/>
      <c r="C329" s="142" t="s">
        <v>165</v>
      </c>
      <c r="D329" s="136" t="s">
        <v>28</v>
      </c>
      <c r="E329" s="137">
        <v>14</v>
      </c>
      <c r="F329" s="232">
        <v>0</v>
      </c>
      <c r="G329" s="232">
        <v>0</v>
      </c>
      <c r="H329" s="138">
        <f t="shared" si="34"/>
        <v>0</v>
      </c>
      <c r="I329" s="138">
        <f t="shared" si="35"/>
        <v>0</v>
      </c>
      <c r="J329" s="108"/>
    </row>
    <row r="330" spans="1:10" s="16" customFormat="1" ht="25.5" outlineLevel="3">
      <c r="A330" s="91"/>
      <c r="B330" s="35"/>
      <c r="C330" s="141" t="s">
        <v>166</v>
      </c>
      <c r="D330" s="136" t="s">
        <v>28</v>
      </c>
      <c r="E330" s="137">
        <v>6</v>
      </c>
      <c r="F330" s="232">
        <v>0</v>
      </c>
      <c r="G330" s="232">
        <v>0</v>
      </c>
      <c r="H330" s="138">
        <f t="shared" si="34"/>
        <v>0</v>
      </c>
      <c r="I330" s="138">
        <f t="shared" si="35"/>
        <v>0</v>
      </c>
      <c r="J330" s="108"/>
    </row>
    <row r="331" spans="1:10" s="16" customFormat="1" ht="25.5" outlineLevel="3">
      <c r="A331" s="91"/>
      <c r="B331" s="35"/>
      <c r="C331" s="141" t="s">
        <v>167</v>
      </c>
      <c r="D331" s="136" t="s">
        <v>28</v>
      </c>
      <c r="E331" s="137">
        <v>6</v>
      </c>
      <c r="F331" s="232">
        <v>0</v>
      </c>
      <c r="G331" s="232">
        <v>0</v>
      </c>
      <c r="H331" s="138">
        <f t="shared" si="34"/>
        <v>0</v>
      </c>
      <c r="I331" s="138">
        <f t="shared" si="35"/>
        <v>0</v>
      </c>
      <c r="J331" s="108"/>
    </row>
    <row r="332" spans="1:10" s="16" customFormat="1" ht="25.5" outlineLevel="3">
      <c r="A332" s="91"/>
      <c r="B332" s="35"/>
      <c r="C332" s="141" t="s">
        <v>1436</v>
      </c>
      <c r="D332" s="136" t="s">
        <v>38</v>
      </c>
      <c r="E332" s="137">
        <v>1</v>
      </c>
      <c r="F332" s="232">
        <v>0</v>
      </c>
      <c r="G332" s="232">
        <v>0</v>
      </c>
      <c r="H332" s="138">
        <f t="shared" si="34"/>
        <v>0</v>
      </c>
      <c r="I332" s="138">
        <f t="shared" si="35"/>
        <v>0</v>
      </c>
      <c r="J332" s="108"/>
    </row>
    <row r="333" spans="1:10" s="16" customFormat="1" ht="25.5" outlineLevel="3">
      <c r="A333" s="91"/>
      <c r="B333" s="35">
        <f>MAXA(B$5:B332)+1</f>
        <v>80</v>
      </c>
      <c r="C333" s="114" t="s">
        <v>1456</v>
      </c>
      <c r="D333" s="136" t="s">
        <v>38</v>
      </c>
      <c r="E333" s="137">
        <v>1</v>
      </c>
      <c r="F333" s="232">
        <v>7321524</v>
      </c>
      <c r="G333" s="232">
        <v>1563188</v>
      </c>
      <c r="H333" s="138">
        <f t="shared" si="34"/>
        <v>8884712</v>
      </c>
      <c r="I333" s="138">
        <f t="shared" si="35"/>
        <v>8884712</v>
      </c>
      <c r="J333" s="108"/>
    </row>
    <row r="334" spans="1:10" s="16" customFormat="1" ht="25.5" outlineLevel="3">
      <c r="A334" s="91"/>
      <c r="B334" s="35"/>
      <c r="C334" s="112" t="s">
        <v>141</v>
      </c>
      <c r="D334" s="136"/>
      <c r="E334" s="137"/>
      <c r="F334" s="232">
        <v>0</v>
      </c>
      <c r="G334" s="232">
        <v>0</v>
      </c>
      <c r="H334" s="138"/>
      <c r="I334" s="138"/>
      <c r="J334" s="108"/>
    </row>
    <row r="335" spans="1:10" s="16" customFormat="1" ht="25.5" outlineLevel="3">
      <c r="A335" s="91"/>
      <c r="B335" s="35"/>
      <c r="C335" s="142" t="s">
        <v>226</v>
      </c>
      <c r="D335" s="136" t="s">
        <v>28</v>
      </c>
      <c r="E335" s="137">
        <v>1</v>
      </c>
      <c r="F335" s="232">
        <v>0</v>
      </c>
      <c r="G335" s="232">
        <v>0</v>
      </c>
      <c r="H335" s="138">
        <f>G335+F335</f>
        <v>0</v>
      </c>
      <c r="I335" s="138">
        <f>H335*E335</f>
        <v>0</v>
      </c>
      <c r="J335" s="108"/>
    </row>
    <row r="336" spans="1:10" s="16" customFormat="1" ht="25.5" outlineLevel="3">
      <c r="A336" s="91"/>
      <c r="B336" s="35"/>
      <c r="C336" s="139" t="s">
        <v>573</v>
      </c>
      <c r="D336" s="136" t="s">
        <v>28</v>
      </c>
      <c r="E336" s="137">
        <v>1</v>
      </c>
      <c r="F336" s="232">
        <v>0</v>
      </c>
      <c r="G336" s="232">
        <v>0</v>
      </c>
      <c r="H336" s="138">
        <f>G336+F336</f>
        <v>0</v>
      </c>
      <c r="I336" s="138">
        <f>H336*E336</f>
        <v>0</v>
      </c>
      <c r="J336" s="108"/>
    </row>
    <row r="337" spans="1:10" s="16" customFormat="1" ht="25.5" outlineLevel="3">
      <c r="A337" s="91"/>
      <c r="B337" s="35"/>
      <c r="C337" s="139" t="s">
        <v>1439</v>
      </c>
      <c r="D337" s="136" t="s">
        <v>28</v>
      </c>
      <c r="E337" s="137">
        <v>1</v>
      </c>
      <c r="F337" s="232">
        <v>0</v>
      </c>
      <c r="G337" s="232">
        <v>0</v>
      </c>
      <c r="H337" s="138">
        <f>G337+F337</f>
        <v>0</v>
      </c>
      <c r="I337" s="138">
        <f>H337*E337</f>
        <v>0</v>
      </c>
      <c r="J337" s="108"/>
    </row>
    <row r="338" spans="1:10" s="16" customFormat="1" ht="25.5" outlineLevel="3">
      <c r="A338" s="91"/>
      <c r="B338" s="35"/>
      <c r="C338" s="112" t="s">
        <v>148</v>
      </c>
      <c r="D338" s="136"/>
      <c r="E338" s="137"/>
      <c r="F338" s="232">
        <v>0</v>
      </c>
      <c r="G338" s="232">
        <v>0</v>
      </c>
      <c r="H338" s="138"/>
      <c r="I338" s="138"/>
      <c r="J338" s="108"/>
    </row>
    <row r="339" spans="1:10" s="16" customFormat="1" ht="25.5" outlineLevel="3">
      <c r="A339" s="91"/>
      <c r="B339" s="35"/>
      <c r="C339" s="142" t="s">
        <v>170</v>
      </c>
      <c r="D339" s="136" t="s">
        <v>28</v>
      </c>
      <c r="E339" s="137">
        <v>5</v>
      </c>
      <c r="F339" s="232">
        <v>0</v>
      </c>
      <c r="G339" s="232">
        <v>0</v>
      </c>
      <c r="H339" s="138">
        <f>G339+F339</f>
        <v>0</v>
      </c>
      <c r="I339" s="138">
        <f>H339*E339</f>
        <v>0</v>
      </c>
      <c r="J339" s="108"/>
    </row>
    <row r="340" spans="1:10" s="16" customFormat="1" ht="25.5" outlineLevel="3">
      <c r="A340" s="91"/>
      <c r="B340" s="35"/>
      <c r="C340" s="142" t="s">
        <v>171</v>
      </c>
      <c r="D340" s="136" t="s">
        <v>28</v>
      </c>
      <c r="E340" s="137">
        <v>1</v>
      </c>
      <c r="F340" s="232">
        <v>0</v>
      </c>
      <c r="G340" s="232">
        <v>0</v>
      </c>
      <c r="H340" s="138">
        <f>G340+F340</f>
        <v>0</v>
      </c>
      <c r="I340" s="138">
        <f>H340*E340</f>
        <v>0</v>
      </c>
      <c r="J340" s="108"/>
    </row>
    <row r="341" spans="1:10" s="16" customFormat="1" ht="25.5" outlineLevel="3">
      <c r="A341" s="91"/>
      <c r="B341" s="35"/>
      <c r="C341" s="142" t="s">
        <v>172</v>
      </c>
      <c r="D341" s="136" t="s">
        <v>28</v>
      </c>
      <c r="E341" s="137">
        <v>2</v>
      </c>
      <c r="F341" s="232">
        <v>0</v>
      </c>
      <c r="G341" s="232">
        <v>0</v>
      </c>
      <c r="H341" s="138">
        <f>G341+F341</f>
        <v>0</v>
      </c>
      <c r="I341" s="138">
        <f>H341*E341</f>
        <v>0</v>
      </c>
      <c r="J341" s="108"/>
    </row>
    <row r="342" spans="1:10" s="16" customFormat="1" ht="25.5" outlineLevel="3">
      <c r="A342" s="91"/>
      <c r="B342" s="35"/>
      <c r="C342" s="141" t="s">
        <v>1436</v>
      </c>
      <c r="D342" s="136" t="s">
        <v>38</v>
      </c>
      <c r="E342" s="137">
        <v>1</v>
      </c>
      <c r="F342" s="232">
        <v>0</v>
      </c>
      <c r="G342" s="232">
        <v>0</v>
      </c>
      <c r="H342" s="138">
        <f>G342+F342</f>
        <v>0</v>
      </c>
      <c r="I342" s="138">
        <f>H342*E342</f>
        <v>0</v>
      </c>
      <c r="J342" s="108"/>
    </row>
    <row r="343" spans="1:10" s="16" customFormat="1" ht="25.5" outlineLevel="3">
      <c r="A343" s="91"/>
      <c r="B343" s="35">
        <f>MAXA(B$5:B342)+1</f>
        <v>81</v>
      </c>
      <c r="C343" s="114" t="s">
        <v>1457</v>
      </c>
      <c r="D343" s="136" t="s">
        <v>38</v>
      </c>
      <c r="E343" s="137">
        <v>1</v>
      </c>
      <c r="F343" s="232">
        <v>10409221</v>
      </c>
      <c r="G343" s="232">
        <v>156319</v>
      </c>
      <c r="H343" s="138">
        <f>G343+F343</f>
        <v>10565540</v>
      </c>
      <c r="I343" s="138">
        <f>H343*E343</f>
        <v>10565540</v>
      </c>
      <c r="J343" s="108"/>
    </row>
    <row r="344" spans="1:10" s="16" customFormat="1" ht="25.5" outlineLevel="3">
      <c r="A344" s="91"/>
      <c r="B344" s="35"/>
      <c r="C344" s="112" t="s">
        <v>141</v>
      </c>
      <c r="D344" s="136"/>
      <c r="E344" s="137"/>
      <c r="F344" s="232">
        <v>0</v>
      </c>
      <c r="G344" s="232">
        <v>0</v>
      </c>
      <c r="H344" s="138"/>
      <c r="I344" s="138"/>
      <c r="J344" s="108"/>
    </row>
    <row r="345" spans="1:10" s="16" customFormat="1" ht="25.5" outlineLevel="3">
      <c r="A345" s="91"/>
      <c r="B345" s="35"/>
      <c r="C345" s="142" t="s">
        <v>230</v>
      </c>
      <c r="D345" s="136" t="s">
        <v>28</v>
      </c>
      <c r="E345" s="137">
        <v>1</v>
      </c>
      <c r="F345" s="232">
        <v>0</v>
      </c>
      <c r="G345" s="232">
        <v>0</v>
      </c>
      <c r="H345" s="138">
        <f>G345+F345</f>
        <v>0</v>
      </c>
      <c r="I345" s="138">
        <f>H345*E345</f>
        <v>0</v>
      </c>
      <c r="J345" s="108"/>
    </row>
    <row r="346" spans="1:10" s="16" customFormat="1" ht="25.5" outlineLevel="3">
      <c r="A346" s="91"/>
      <c r="B346" s="35"/>
      <c r="C346" s="139" t="s">
        <v>573</v>
      </c>
      <c r="D346" s="136" t="s">
        <v>28</v>
      </c>
      <c r="E346" s="137">
        <v>1</v>
      </c>
      <c r="F346" s="232">
        <v>0</v>
      </c>
      <c r="G346" s="232">
        <v>0</v>
      </c>
      <c r="H346" s="138">
        <f>G346+F346</f>
        <v>0</v>
      </c>
      <c r="I346" s="138">
        <f>H346*E346</f>
        <v>0</v>
      </c>
      <c r="J346" s="108"/>
    </row>
    <row r="347" spans="1:10" s="16" customFormat="1" ht="25.5" outlineLevel="3">
      <c r="A347" s="91"/>
      <c r="B347" s="35"/>
      <c r="C347" s="139" t="s">
        <v>1439</v>
      </c>
      <c r="D347" s="136" t="s">
        <v>28</v>
      </c>
      <c r="E347" s="137">
        <v>1</v>
      </c>
      <c r="F347" s="232">
        <v>0</v>
      </c>
      <c r="G347" s="232">
        <v>0</v>
      </c>
      <c r="H347" s="138">
        <f>G347+F347</f>
        <v>0</v>
      </c>
      <c r="I347" s="138">
        <f>H347*E347</f>
        <v>0</v>
      </c>
      <c r="J347" s="108"/>
    </row>
    <row r="348" spans="1:10" s="16" customFormat="1" ht="25.5" outlineLevel="3">
      <c r="A348" s="91"/>
      <c r="B348" s="35"/>
      <c r="C348" s="112" t="s">
        <v>148</v>
      </c>
      <c r="D348" s="136"/>
      <c r="E348" s="137"/>
      <c r="F348" s="232">
        <v>0</v>
      </c>
      <c r="G348" s="232">
        <v>0</v>
      </c>
      <c r="H348" s="138"/>
      <c r="I348" s="138"/>
      <c r="J348" s="108"/>
    </row>
    <row r="349" spans="1:10" s="16" customFormat="1" ht="25.5" outlineLevel="3">
      <c r="A349" s="91"/>
      <c r="B349" s="35"/>
      <c r="C349" s="142" t="s">
        <v>170</v>
      </c>
      <c r="D349" s="136" t="s">
        <v>28</v>
      </c>
      <c r="E349" s="137">
        <v>3</v>
      </c>
      <c r="F349" s="232">
        <v>0</v>
      </c>
      <c r="G349" s="232">
        <v>0</v>
      </c>
      <c r="H349" s="138">
        <f>G349+F349</f>
        <v>0</v>
      </c>
      <c r="I349" s="138">
        <f>H349*E349</f>
        <v>0</v>
      </c>
      <c r="J349" s="108"/>
    </row>
    <row r="350" spans="1:10" s="16" customFormat="1" ht="25.5" outlineLevel="3">
      <c r="A350" s="91"/>
      <c r="B350" s="35"/>
      <c r="C350" s="142" t="s">
        <v>171</v>
      </c>
      <c r="D350" s="136" t="s">
        <v>28</v>
      </c>
      <c r="E350" s="137">
        <v>1</v>
      </c>
      <c r="F350" s="232">
        <v>0</v>
      </c>
      <c r="G350" s="232">
        <v>0</v>
      </c>
      <c r="H350" s="138">
        <f>G350+F350</f>
        <v>0</v>
      </c>
      <c r="I350" s="138">
        <f>H350*E350</f>
        <v>0</v>
      </c>
      <c r="J350" s="108"/>
    </row>
    <row r="351" spans="1:10" s="16" customFormat="1" ht="25.5" outlineLevel="3">
      <c r="A351" s="91"/>
      <c r="B351" s="35"/>
      <c r="C351" s="142" t="s">
        <v>172</v>
      </c>
      <c r="D351" s="136" t="s">
        <v>28</v>
      </c>
      <c r="E351" s="137">
        <v>4</v>
      </c>
      <c r="F351" s="232">
        <v>0</v>
      </c>
      <c r="G351" s="232">
        <v>0</v>
      </c>
      <c r="H351" s="138">
        <f>G351+F351</f>
        <v>0</v>
      </c>
      <c r="I351" s="138">
        <f>H351*E351</f>
        <v>0</v>
      </c>
      <c r="J351" s="108"/>
    </row>
    <row r="352" spans="1:10" s="16" customFormat="1" ht="25.5" outlineLevel="3">
      <c r="A352" s="91"/>
      <c r="B352" s="35"/>
      <c r="C352" s="141" t="s">
        <v>1436</v>
      </c>
      <c r="D352" s="136" t="s">
        <v>38</v>
      </c>
      <c r="E352" s="137">
        <v>1</v>
      </c>
      <c r="F352" s="232">
        <v>0</v>
      </c>
      <c r="G352" s="232">
        <v>0</v>
      </c>
      <c r="H352" s="138">
        <f>G352+F352</f>
        <v>0</v>
      </c>
      <c r="I352" s="138">
        <f>H352*E352</f>
        <v>0</v>
      </c>
      <c r="J352" s="108"/>
    </row>
    <row r="353" spans="1:10" s="16" customFormat="1" ht="25.5" outlineLevel="3">
      <c r="A353" s="91"/>
      <c r="B353" s="35">
        <f>MAXA(B$5:B352)+1</f>
        <v>82</v>
      </c>
      <c r="C353" s="114" t="s">
        <v>1458</v>
      </c>
      <c r="D353" s="136" t="s">
        <v>44</v>
      </c>
      <c r="E353" s="137">
        <v>4</v>
      </c>
      <c r="F353" s="232">
        <v>4450975</v>
      </c>
      <c r="G353" s="232">
        <v>1563188</v>
      </c>
      <c r="H353" s="138">
        <f>G353+F353</f>
        <v>6014163</v>
      </c>
      <c r="I353" s="138">
        <f>H353*E353</f>
        <v>24056652</v>
      </c>
      <c r="J353" s="108"/>
    </row>
    <row r="354" spans="1:10" s="16" customFormat="1" ht="25.5" outlineLevel="3">
      <c r="A354" s="91"/>
      <c r="B354" s="35"/>
      <c r="C354" s="112" t="s">
        <v>141</v>
      </c>
      <c r="D354" s="136"/>
      <c r="E354" s="137"/>
      <c r="F354" s="232">
        <v>0</v>
      </c>
      <c r="G354" s="232">
        <v>0</v>
      </c>
      <c r="H354" s="138"/>
      <c r="I354" s="138"/>
      <c r="J354" s="108"/>
    </row>
    <row r="355" spans="1:10" s="16" customFormat="1" ht="25.5" outlineLevel="3">
      <c r="A355" s="91"/>
      <c r="B355" s="35"/>
      <c r="C355" s="142" t="s">
        <v>169</v>
      </c>
      <c r="D355" s="136" t="s">
        <v>28</v>
      </c>
      <c r="E355" s="137">
        <v>4</v>
      </c>
      <c r="F355" s="232">
        <v>0</v>
      </c>
      <c r="G355" s="232">
        <v>0</v>
      </c>
      <c r="H355" s="138">
        <f>G355+F355</f>
        <v>0</v>
      </c>
      <c r="I355" s="138">
        <f>H355*E355</f>
        <v>0</v>
      </c>
      <c r="J355" s="108"/>
    </row>
    <row r="356" spans="1:10" s="16" customFormat="1" ht="25.5" outlineLevel="3">
      <c r="A356" s="91"/>
      <c r="B356" s="35"/>
      <c r="C356" s="139" t="s">
        <v>573</v>
      </c>
      <c r="D356" s="136" t="s">
        <v>28</v>
      </c>
      <c r="E356" s="137">
        <v>4</v>
      </c>
      <c r="F356" s="232">
        <v>0</v>
      </c>
      <c r="G356" s="232">
        <v>0</v>
      </c>
      <c r="H356" s="138">
        <f>G356+F356</f>
        <v>0</v>
      </c>
      <c r="I356" s="138">
        <f>H356*E356</f>
        <v>0</v>
      </c>
      <c r="J356" s="108"/>
    </row>
    <row r="357" spans="1:10" s="16" customFormat="1" ht="25.5" outlineLevel="3">
      <c r="A357" s="91"/>
      <c r="B357" s="35"/>
      <c r="C357" s="139" t="s">
        <v>1439</v>
      </c>
      <c r="D357" s="136" t="s">
        <v>28</v>
      </c>
      <c r="E357" s="137">
        <v>4</v>
      </c>
      <c r="F357" s="232">
        <v>0</v>
      </c>
      <c r="G357" s="232">
        <v>0</v>
      </c>
      <c r="H357" s="138">
        <f>G357+F357</f>
        <v>0</v>
      </c>
      <c r="I357" s="138">
        <f>H357*E357</f>
        <v>0</v>
      </c>
      <c r="J357" s="108"/>
    </row>
    <row r="358" spans="1:10" s="16" customFormat="1" ht="25.5" outlineLevel="3">
      <c r="A358" s="91"/>
      <c r="B358" s="35"/>
      <c r="C358" s="112" t="s">
        <v>148</v>
      </c>
      <c r="D358" s="136"/>
      <c r="E358" s="137"/>
      <c r="F358" s="232">
        <v>0</v>
      </c>
      <c r="G358" s="232">
        <v>0</v>
      </c>
      <c r="H358" s="138"/>
      <c r="I358" s="138"/>
      <c r="J358" s="108"/>
    </row>
    <row r="359" spans="1:10" s="16" customFormat="1" ht="25.5" outlineLevel="3">
      <c r="A359" s="91"/>
      <c r="B359" s="35"/>
      <c r="C359" s="142" t="s">
        <v>170</v>
      </c>
      <c r="D359" s="136" t="s">
        <v>28</v>
      </c>
      <c r="E359" s="137">
        <v>4</v>
      </c>
      <c r="F359" s="232">
        <v>0</v>
      </c>
      <c r="G359" s="232">
        <v>0</v>
      </c>
      <c r="H359" s="138">
        <f>G359+F359</f>
        <v>0</v>
      </c>
      <c r="I359" s="138">
        <f>H359*E359</f>
        <v>0</v>
      </c>
      <c r="J359" s="108"/>
    </row>
    <row r="360" spans="1:10" s="16" customFormat="1" ht="25.5" outlineLevel="3">
      <c r="A360" s="91"/>
      <c r="B360" s="35"/>
      <c r="C360" s="142" t="s">
        <v>171</v>
      </c>
      <c r="D360" s="136" t="s">
        <v>28</v>
      </c>
      <c r="E360" s="137">
        <v>4</v>
      </c>
      <c r="F360" s="232">
        <v>0</v>
      </c>
      <c r="G360" s="232">
        <v>0</v>
      </c>
      <c r="H360" s="138">
        <f>G360+F360</f>
        <v>0</v>
      </c>
      <c r="I360" s="138">
        <f>H360*E360</f>
        <v>0</v>
      </c>
      <c r="J360" s="108"/>
    </row>
    <row r="361" spans="1:10" s="16" customFormat="1" ht="25.5" outlineLevel="3">
      <c r="A361" s="91"/>
      <c r="B361" s="35"/>
      <c r="C361" s="142" t="s">
        <v>172</v>
      </c>
      <c r="D361" s="136" t="s">
        <v>28</v>
      </c>
      <c r="E361" s="137">
        <v>4</v>
      </c>
      <c r="F361" s="232">
        <v>0</v>
      </c>
      <c r="G361" s="232">
        <v>0</v>
      </c>
      <c r="H361" s="138">
        <f>G361+F361</f>
        <v>0</v>
      </c>
      <c r="I361" s="138">
        <f>H361*E361</f>
        <v>0</v>
      </c>
      <c r="J361" s="108"/>
    </row>
    <row r="362" spans="1:10" s="16" customFormat="1" ht="25.5" outlineLevel="3">
      <c r="A362" s="91"/>
      <c r="B362" s="35"/>
      <c r="C362" s="141" t="s">
        <v>1436</v>
      </c>
      <c r="D362" s="136" t="s">
        <v>38</v>
      </c>
      <c r="E362" s="137">
        <v>4</v>
      </c>
      <c r="F362" s="232">
        <v>0</v>
      </c>
      <c r="G362" s="232">
        <v>0</v>
      </c>
      <c r="H362" s="138">
        <f>G362+F362</f>
        <v>0</v>
      </c>
      <c r="I362" s="138">
        <f>H362*E362</f>
        <v>0</v>
      </c>
      <c r="J362" s="108"/>
    </row>
    <row r="363" spans="1:10" s="16" customFormat="1" ht="25.5" outlineLevel="3">
      <c r="A363" s="91"/>
      <c r="B363" s="35">
        <f>MAXA(B$5:B362)+1</f>
        <v>83</v>
      </c>
      <c r="C363" s="114" t="s">
        <v>1459</v>
      </c>
      <c r="D363" s="136" t="s">
        <v>38</v>
      </c>
      <c r="E363" s="137">
        <v>1</v>
      </c>
      <c r="F363" s="232">
        <v>6479636</v>
      </c>
      <c r="G363" s="232">
        <v>1563188</v>
      </c>
      <c r="H363" s="138">
        <f>G363+F363</f>
        <v>8042824</v>
      </c>
      <c r="I363" s="138">
        <f>H363*E363</f>
        <v>8042824</v>
      </c>
      <c r="J363" s="108"/>
    </row>
    <row r="364" spans="1:10" s="16" customFormat="1" ht="25.5" outlineLevel="3">
      <c r="A364" s="91"/>
      <c r="B364" s="35"/>
      <c r="C364" s="112" t="s">
        <v>141</v>
      </c>
      <c r="D364" s="136"/>
      <c r="E364" s="137"/>
      <c r="F364" s="232">
        <v>0</v>
      </c>
      <c r="G364" s="232">
        <v>0</v>
      </c>
      <c r="H364" s="138"/>
      <c r="I364" s="138"/>
      <c r="J364" s="108"/>
    </row>
    <row r="365" spans="1:10" s="16" customFormat="1" ht="25.5" outlineLevel="3">
      <c r="A365" s="91"/>
      <c r="B365" s="35"/>
      <c r="C365" s="142" t="s">
        <v>176</v>
      </c>
      <c r="D365" s="136" t="s">
        <v>28</v>
      </c>
      <c r="E365" s="137">
        <v>1</v>
      </c>
      <c r="F365" s="232">
        <v>0</v>
      </c>
      <c r="G365" s="232">
        <v>0</v>
      </c>
      <c r="H365" s="138">
        <f>G365+F365</f>
        <v>0</v>
      </c>
      <c r="I365" s="138">
        <f>H365*E365</f>
        <v>0</v>
      </c>
      <c r="J365" s="108"/>
    </row>
    <row r="366" spans="1:10" s="16" customFormat="1" ht="25.5" outlineLevel="3">
      <c r="A366" s="91"/>
      <c r="B366" s="35"/>
      <c r="C366" s="139" t="s">
        <v>573</v>
      </c>
      <c r="D366" s="136" t="s">
        <v>28</v>
      </c>
      <c r="E366" s="137">
        <v>1</v>
      </c>
      <c r="F366" s="232">
        <v>0</v>
      </c>
      <c r="G366" s="232">
        <v>0</v>
      </c>
      <c r="H366" s="138">
        <f>G366+F366</f>
        <v>0</v>
      </c>
      <c r="I366" s="138">
        <f>H366*E366</f>
        <v>0</v>
      </c>
      <c r="J366" s="108"/>
    </row>
    <row r="367" spans="1:10" s="16" customFormat="1" ht="25.5" outlineLevel="3">
      <c r="A367" s="91"/>
      <c r="B367" s="35"/>
      <c r="C367" s="139" t="s">
        <v>1439</v>
      </c>
      <c r="D367" s="136" t="s">
        <v>28</v>
      </c>
      <c r="E367" s="137">
        <v>1</v>
      </c>
      <c r="F367" s="232">
        <v>0</v>
      </c>
      <c r="G367" s="232">
        <v>0</v>
      </c>
      <c r="H367" s="138">
        <f>G367+F367</f>
        <v>0</v>
      </c>
      <c r="I367" s="138">
        <f>H367*E367</f>
        <v>0</v>
      </c>
      <c r="J367" s="108"/>
    </row>
    <row r="368" spans="1:10" s="16" customFormat="1" ht="25.5" outlineLevel="3">
      <c r="A368" s="91"/>
      <c r="B368" s="35"/>
      <c r="C368" s="112" t="s">
        <v>148</v>
      </c>
      <c r="D368" s="136"/>
      <c r="E368" s="137"/>
      <c r="F368" s="232">
        <v>0</v>
      </c>
      <c r="G368" s="232">
        <v>0</v>
      </c>
      <c r="H368" s="138"/>
      <c r="I368" s="138"/>
      <c r="J368" s="108"/>
    </row>
    <row r="369" spans="1:10" s="16" customFormat="1" ht="25.5" outlineLevel="3">
      <c r="A369" s="91"/>
      <c r="B369" s="35"/>
      <c r="C369" s="142" t="s">
        <v>170</v>
      </c>
      <c r="D369" s="136" t="s">
        <v>28</v>
      </c>
      <c r="E369" s="137">
        <v>2</v>
      </c>
      <c r="F369" s="232">
        <v>0</v>
      </c>
      <c r="G369" s="232">
        <v>0</v>
      </c>
      <c r="H369" s="138">
        <f>G369+F369</f>
        <v>0</v>
      </c>
      <c r="I369" s="138">
        <f>H369*E369</f>
        <v>0</v>
      </c>
      <c r="J369" s="108"/>
    </row>
    <row r="370" spans="1:10" s="16" customFormat="1" ht="25.5" outlineLevel="3">
      <c r="A370" s="91"/>
      <c r="B370" s="35"/>
      <c r="C370" s="142" t="s">
        <v>171</v>
      </c>
      <c r="D370" s="136" t="s">
        <v>28</v>
      </c>
      <c r="E370" s="137">
        <v>1</v>
      </c>
      <c r="F370" s="232">
        <v>0</v>
      </c>
      <c r="G370" s="232">
        <v>0</v>
      </c>
      <c r="H370" s="138">
        <f>G370+F370</f>
        <v>0</v>
      </c>
      <c r="I370" s="138">
        <f>H370*E370</f>
        <v>0</v>
      </c>
      <c r="J370" s="108"/>
    </row>
    <row r="371" spans="1:10" s="16" customFormat="1" ht="25.5" outlineLevel="3">
      <c r="A371" s="91"/>
      <c r="B371" s="35"/>
      <c r="C371" s="142" t="s">
        <v>172</v>
      </c>
      <c r="D371" s="136" t="s">
        <v>28</v>
      </c>
      <c r="E371" s="137">
        <v>2</v>
      </c>
      <c r="F371" s="232">
        <v>0</v>
      </c>
      <c r="G371" s="232">
        <v>0</v>
      </c>
      <c r="H371" s="138">
        <f>G371+F371</f>
        <v>0</v>
      </c>
      <c r="I371" s="138">
        <f>H371*E371</f>
        <v>0</v>
      </c>
      <c r="J371" s="108"/>
    </row>
    <row r="372" spans="1:10" s="16" customFormat="1" ht="25.5" outlineLevel="3">
      <c r="A372" s="91"/>
      <c r="B372" s="35"/>
      <c r="C372" s="141" t="s">
        <v>1436</v>
      </c>
      <c r="D372" s="136" t="s">
        <v>38</v>
      </c>
      <c r="E372" s="137">
        <v>1</v>
      </c>
      <c r="F372" s="232">
        <v>0</v>
      </c>
      <c r="G372" s="232">
        <v>0</v>
      </c>
      <c r="H372" s="138">
        <f>G372+F372</f>
        <v>0</v>
      </c>
      <c r="I372" s="138">
        <f>H372*E372</f>
        <v>0</v>
      </c>
      <c r="J372" s="108"/>
    </row>
    <row r="373" spans="1:10" s="16" customFormat="1" ht="25.5" outlineLevel="3">
      <c r="A373" s="91"/>
      <c r="B373" s="35">
        <f>MAXA(B$5:B372)+1</f>
        <v>84</v>
      </c>
      <c r="C373" s="114" t="s">
        <v>1460</v>
      </c>
      <c r="D373" s="136" t="s">
        <v>38</v>
      </c>
      <c r="E373" s="137">
        <v>1</v>
      </c>
      <c r="F373" s="232">
        <v>4450975</v>
      </c>
      <c r="G373" s="232">
        <v>1563188</v>
      </c>
      <c r="H373" s="138">
        <f>G373+F373</f>
        <v>6014163</v>
      </c>
      <c r="I373" s="138">
        <f>H373*E373</f>
        <v>6014163</v>
      </c>
      <c r="J373" s="108"/>
    </row>
    <row r="374" spans="1:10" s="16" customFormat="1" ht="25.5" outlineLevel="3">
      <c r="A374" s="91"/>
      <c r="B374" s="35"/>
      <c r="C374" s="112" t="s">
        <v>141</v>
      </c>
      <c r="D374" s="136"/>
      <c r="E374" s="137"/>
      <c r="F374" s="232">
        <v>0</v>
      </c>
      <c r="G374" s="232">
        <v>0</v>
      </c>
      <c r="H374" s="138"/>
      <c r="I374" s="138"/>
      <c r="J374" s="108"/>
    </row>
    <row r="375" spans="1:10" s="16" customFormat="1" ht="25.5" outlineLevel="3">
      <c r="A375" s="91"/>
      <c r="B375" s="35"/>
      <c r="C375" s="142" t="s">
        <v>169</v>
      </c>
      <c r="D375" s="136" t="s">
        <v>28</v>
      </c>
      <c r="E375" s="137">
        <v>1</v>
      </c>
      <c r="F375" s="232">
        <v>0</v>
      </c>
      <c r="G375" s="232">
        <v>0</v>
      </c>
      <c r="H375" s="138">
        <f>G375+F375</f>
        <v>0</v>
      </c>
      <c r="I375" s="138">
        <f>H375*E375</f>
        <v>0</v>
      </c>
      <c r="J375" s="108"/>
    </row>
    <row r="376" spans="1:10" s="16" customFormat="1" ht="25.5" outlineLevel="3">
      <c r="A376" s="91"/>
      <c r="B376" s="35"/>
      <c r="C376" s="139" t="s">
        <v>573</v>
      </c>
      <c r="D376" s="136" t="s">
        <v>28</v>
      </c>
      <c r="E376" s="137">
        <v>1</v>
      </c>
      <c r="F376" s="232">
        <v>0</v>
      </c>
      <c r="G376" s="232">
        <v>0</v>
      </c>
      <c r="H376" s="138">
        <f>G376+F376</f>
        <v>0</v>
      </c>
      <c r="I376" s="138">
        <f>H376*E376</f>
        <v>0</v>
      </c>
      <c r="J376" s="108"/>
    </row>
    <row r="377" spans="1:10" s="16" customFormat="1" ht="25.5" outlineLevel="3">
      <c r="A377" s="91"/>
      <c r="B377" s="35"/>
      <c r="C377" s="139" t="s">
        <v>1439</v>
      </c>
      <c r="D377" s="136" t="s">
        <v>28</v>
      </c>
      <c r="E377" s="137">
        <v>1</v>
      </c>
      <c r="F377" s="232">
        <v>0</v>
      </c>
      <c r="G377" s="232">
        <v>0</v>
      </c>
      <c r="H377" s="138">
        <f>G377+F377</f>
        <v>0</v>
      </c>
      <c r="I377" s="138">
        <f>H377*E377</f>
        <v>0</v>
      </c>
      <c r="J377" s="108"/>
    </row>
    <row r="378" spans="1:10" s="16" customFormat="1" ht="25.5" outlineLevel="3">
      <c r="A378" s="91"/>
      <c r="B378" s="35"/>
      <c r="C378" s="112" t="s">
        <v>148</v>
      </c>
      <c r="D378" s="136"/>
      <c r="E378" s="137"/>
      <c r="F378" s="232">
        <v>0</v>
      </c>
      <c r="G378" s="232">
        <v>0</v>
      </c>
      <c r="H378" s="138"/>
      <c r="I378" s="138"/>
      <c r="J378" s="108"/>
    </row>
    <row r="379" spans="1:10" s="16" customFormat="1" ht="25.5" outlineLevel="3">
      <c r="A379" s="91"/>
      <c r="B379" s="35"/>
      <c r="C379" s="142" t="s">
        <v>170</v>
      </c>
      <c r="D379" s="136" t="s">
        <v>28</v>
      </c>
      <c r="E379" s="137">
        <v>1</v>
      </c>
      <c r="F379" s="232">
        <v>0</v>
      </c>
      <c r="G379" s="232">
        <v>0</v>
      </c>
      <c r="H379" s="138">
        <f>G379+F379</f>
        <v>0</v>
      </c>
      <c r="I379" s="138">
        <f>H379*E379</f>
        <v>0</v>
      </c>
      <c r="J379" s="108"/>
    </row>
    <row r="380" spans="1:10" s="16" customFormat="1" ht="25.5" outlineLevel="3">
      <c r="A380" s="91"/>
      <c r="B380" s="35"/>
      <c r="C380" s="142" t="s">
        <v>171</v>
      </c>
      <c r="D380" s="136" t="s">
        <v>28</v>
      </c>
      <c r="E380" s="137">
        <v>1</v>
      </c>
      <c r="F380" s="232">
        <v>0</v>
      </c>
      <c r="G380" s="232">
        <v>0</v>
      </c>
      <c r="H380" s="138">
        <f>G380+F380</f>
        <v>0</v>
      </c>
      <c r="I380" s="138">
        <f>H380*E380</f>
        <v>0</v>
      </c>
      <c r="J380" s="108"/>
    </row>
    <row r="381" spans="1:10" s="16" customFormat="1" ht="25.5" outlineLevel="3">
      <c r="A381" s="91"/>
      <c r="B381" s="35"/>
      <c r="C381" s="142" t="s">
        <v>172</v>
      </c>
      <c r="D381" s="136" t="s">
        <v>28</v>
      </c>
      <c r="E381" s="137">
        <v>1</v>
      </c>
      <c r="F381" s="232">
        <v>0</v>
      </c>
      <c r="G381" s="232">
        <v>0</v>
      </c>
      <c r="H381" s="138">
        <f>G381+F381</f>
        <v>0</v>
      </c>
      <c r="I381" s="138">
        <f>H381*E381</f>
        <v>0</v>
      </c>
      <c r="J381" s="108"/>
    </row>
    <row r="382" spans="1:10" s="16" customFormat="1" ht="25.5" outlineLevel="3">
      <c r="A382" s="91"/>
      <c r="B382" s="35"/>
      <c r="C382" s="141" t="s">
        <v>1436</v>
      </c>
      <c r="D382" s="136" t="s">
        <v>38</v>
      </c>
      <c r="E382" s="137">
        <v>1</v>
      </c>
      <c r="F382" s="232">
        <v>0</v>
      </c>
      <c r="G382" s="232">
        <v>0</v>
      </c>
      <c r="H382" s="138">
        <f>G382+F382</f>
        <v>0</v>
      </c>
      <c r="I382" s="138">
        <f>H382*E382</f>
        <v>0</v>
      </c>
      <c r="J382" s="108"/>
    </row>
    <row r="383" spans="1:10" s="16" customFormat="1" ht="25.5" outlineLevel="3">
      <c r="A383" s="91"/>
      <c r="B383" s="35">
        <f>MAXA(B$5:B382)+1</f>
        <v>85</v>
      </c>
      <c r="C383" s="114" t="s">
        <v>1461</v>
      </c>
      <c r="D383" s="136" t="s">
        <v>38</v>
      </c>
      <c r="E383" s="137">
        <v>1</v>
      </c>
      <c r="F383" s="232">
        <v>14495572</v>
      </c>
      <c r="G383" s="232">
        <v>1563188</v>
      </c>
      <c r="H383" s="138">
        <f>G383+F383</f>
        <v>16058760</v>
      </c>
      <c r="I383" s="138">
        <f>H383*E383</f>
        <v>16058760</v>
      </c>
      <c r="J383" s="108"/>
    </row>
    <row r="384" spans="1:10" s="16" customFormat="1" ht="25.5" outlineLevel="3">
      <c r="A384" s="91"/>
      <c r="B384" s="35"/>
      <c r="C384" s="112" t="s">
        <v>141</v>
      </c>
      <c r="D384" s="136"/>
      <c r="E384" s="137"/>
      <c r="F384" s="232">
        <v>0</v>
      </c>
      <c r="G384" s="232">
        <v>0</v>
      </c>
      <c r="H384" s="138"/>
      <c r="I384" s="138"/>
      <c r="J384" s="108"/>
    </row>
    <row r="385" spans="1:10" s="16" customFormat="1" ht="25.5" outlineLevel="3">
      <c r="A385" s="91"/>
      <c r="B385" s="35"/>
      <c r="C385" s="142" t="s">
        <v>226</v>
      </c>
      <c r="D385" s="136" t="s">
        <v>28</v>
      </c>
      <c r="E385" s="137">
        <v>1</v>
      </c>
      <c r="F385" s="232">
        <v>0</v>
      </c>
      <c r="G385" s="232">
        <v>0</v>
      </c>
      <c r="H385" s="138">
        <f>G385+F385</f>
        <v>0</v>
      </c>
      <c r="I385" s="138">
        <f>H385*E385</f>
        <v>0</v>
      </c>
      <c r="J385" s="108"/>
    </row>
    <row r="386" spans="1:10" s="16" customFormat="1" ht="25.5" outlineLevel="3">
      <c r="A386" s="91"/>
      <c r="B386" s="35"/>
      <c r="C386" s="139" t="s">
        <v>573</v>
      </c>
      <c r="D386" s="136" t="s">
        <v>28</v>
      </c>
      <c r="E386" s="137">
        <v>1</v>
      </c>
      <c r="F386" s="232">
        <v>0</v>
      </c>
      <c r="G386" s="232">
        <v>0</v>
      </c>
      <c r="H386" s="138">
        <f>G386+F386</f>
        <v>0</v>
      </c>
      <c r="I386" s="138">
        <f>H386*E386</f>
        <v>0</v>
      </c>
      <c r="J386" s="108"/>
    </row>
    <row r="387" spans="1:10" s="16" customFormat="1" ht="25.5" outlineLevel="3">
      <c r="A387" s="91"/>
      <c r="B387" s="35"/>
      <c r="C387" s="139" t="s">
        <v>1439</v>
      </c>
      <c r="D387" s="136" t="s">
        <v>28</v>
      </c>
      <c r="E387" s="137">
        <v>1</v>
      </c>
      <c r="F387" s="232">
        <v>0</v>
      </c>
      <c r="G387" s="232">
        <v>0</v>
      </c>
      <c r="H387" s="138">
        <f>G387+F387</f>
        <v>0</v>
      </c>
      <c r="I387" s="138">
        <f>H387*E387</f>
        <v>0</v>
      </c>
      <c r="J387" s="108"/>
    </row>
    <row r="388" spans="1:10" s="16" customFormat="1" ht="25.5" outlineLevel="3">
      <c r="A388" s="91"/>
      <c r="B388" s="35"/>
      <c r="C388" s="112" t="s">
        <v>148</v>
      </c>
      <c r="D388" s="136"/>
      <c r="E388" s="137"/>
      <c r="F388" s="232">
        <v>0</v>
      </c>
      <c r="G388" s="232">
        <v>0</v>
      </c>
      <c r="H388" s="138"/>
      <c r="I388" s="138"/>
      <c r="J388" s="108"/>
    </row>
    <row r="389" spans="1:10" s="16" customFormat="1" ht="25.5" outlineLevel="3">
      <c r="A389" s="91"/>
      <c r="B389" s="35"/>
      <c r="C389" s="142" t="s">
        <v>170</v>
      </c>
      <c r="D389" s="136" t="s">
        <v>28</v>
      </c>
      <c r="E389" s="137">
        <v>2</v>
      </c>
      <c r="F389" s="232">
        <v>0</v>
      </c>
      <c r="G389" s="232">
        <v>0</v>
      </c>
      <c r="H389" s="138">
        <f t="shared" ref="H389:H395" si="36">G389+F389</f>
        <v>0</v>
      </c>
      <c r="I389" s="138">
        <f t="shared" ref="I389:I395" si="37">H389*E389</f>
        <v>0</v>
      </c>
      <c r="J389" s="108"/>
    </row>
    <row r="390" spans="1:10" s="16" customFormat="1" ht="25.5" outlineLevel="3">
      <c r="A390" s="91"/>
      <c r="B390" s="35"/>
      <c r="C390" s="142" t="s">
        <v>171</v>
      </c>
      <c r="D390" s="136" t="s">
        <v>28</v>
      </c>
      <c r="E390" s="137">
        <v>1</v>
      </c>
      <c r="F390" s="232">
        <v>0</v>
      </c>
      <c r="G390" s="232">
        <v>0</v>
      </c>
      <c r="H390" s="138">
        <f t="shared" si="36"/>
        <v>0</v>
      </c>
      <c r="I390" s="138">
        <f t="shared" si="37"/>
        <v>0</v>
      </c>
      <c r="J390" s="108"/>
    </row>
    <row r="391" spans="1:10" s="16" customFormat="1" ht="25.5" outlineLevel="3">
      <c r="A391" s="91"/>
      <c r="B391" s="35"/>
      <c r="C391" s="142" t="s">
        <v>172</v>
      </c>
      <c r="D391" s="136" t="s">
        <v>28</v>
      </c>
      <c r="E391" s="137">
        <v>3</v>
      </c>
      <c r="F391" s="232">
        <v>0</v>
      </c>
      <c r="G391" s="232">
        <v>0</v>
      </c>
      <c r="H391" s="138">
        <f t="shared" si="36"/>
        <v>0</v>
      </c>
      <c r="I391" s="138">
        <f t="shared" si="37"/>
        <v>0</v>
      </c>
      <c r="J391" s="108"/>
    </row>
    <row r="392" spans="1:10" s="16" customFormat="1" ht="25.5" outlineLevel="3">
      <c r="A392" s="91"/>
      <c r="B392" s="35"/>
      <c r="C392" s="142" t="s">
        <v>178</v>
      </c>
      <c r="D392" s="136" t="s">
        <v>28</v>
      </c>
      <c r="E392" s="137">
        <v>1</v>
      </c>
      <c r="F392" s="232">
        <v>0</v>
      </c>
      <c r="G392" s="232">
        <v>0</v>
      </c>
      <c r="H392" s="138">
        <f t="shared" si="36"/>
        <v>0</v>
      </c>
      <c r="I392" s="138">
        <f t="shared" si="37"/>
        <v>0</v>
      </c>
      <c r="J392" s="108"/>
    </row>
    <row r="393" spans="1:10" s="16" customFormat="1" ht="25.5" outlineLevel="3">
      <c r="A393" s="91"/>
      <c r="B393" s="35"/>
      <c r="C393" s="142" t="s">
        <v>173</v>
      </c>
      <c r="D393" s="136" t="s">
        <v>28</v>
      </c>
      <c r="E393" s="137">
        <v>1</v>
      </c>
      <c r="F393" s="232">
        <v>0</v>
      </c>
      <c r="G393" s="232">
        <v>0</v>
      </c>
      <c r="H393" s="138">
        <f t="shared" si="36"/>
        <v>0</v>
      </c>
      <c r="I393" s="138">
        <f t="shared" si="37"/>
        <v>0</v>
      </c>
      <c r="J393" s="108"/>
    </row>
    <row r="394" spans="1:10" s="16" customFormat="1" ht="25.5" outlineLevel="3">
      <c r="A394" s="91"/>
      <c r="B394" s="35"/>
      <c r="C394" s="141" t="s">
        <v>1436</v>
      </c>
      <c r="D394" s="136" t="s">
        <v>38</v>
      </c>
      <c r="E394" s="137">
        <v>1</v>
      </c>
      <c r="F394" s="232">
        <v>0</v>
      </c>
      <c r="G394" s="232">
        <v>0</v>
      </c>
      <c r="H394" s="138">
        <f t="shared" si="36"/>
        <v>0</v>
      </c>
      <c r="I394" s="138">
        <f t="shared" si="37"/>
        <v>0</v>
      </c>
      <c r="J394" s="108"/>
    </row>
    <row r="395" spans="1:10" s="16" customFormat="1" ht="25.5" outlineLevel="3">
      <c r="A395" s="91"/>
      <c r="B395" s="35">
        <f>MAXA(B$5:B394)+1</f>
        <v>86</v>
      </c>
      <c r="C395" s="114" t="s">
        <v>1462</v>
      </c>
      <c r="D395" s="136" t="s">
        <v>38</v>
      </c>
      <c r="E395" s="137">
        <v>1</v>
      </c>
      <c r="F395" s="232">
        <v>8022904</v>
      </c>
      <c r="G395" s="232">
        <v>1563188</v>
      </c>
      <c r="H395" s="138">
        <f t="shared" si="36"/>
        <v>9586092</v>
      </c>
      <c r="I395" s="138">
        <f t="shared" si="37"/>
        <v>9586092</v>
      </c>
      <c r="J395" s="108"/>
    </row>
    <row r="396" spans="1:10" s="16" customFormat="1" ht="25.5" outlineLevel="3">
      <c r="A396" s="91"/>
      <c r="B396" s="35"/>
      <c r="C396" s="112" t="s">
        <v>141</v>
      </c>
      <c r="D396" s="136"/>
      <c r="E396" s="137"/>
      <c r="F396" s="232">
        <v>0</v>
      </c>
      <c r="G396" s="232">
        <v>0</v>
      </c>
      <c r="H396" s="138"/>
      <c r="I396" s="138"/>
      <c r="J396" s="108"/>
    </row>
    <row r="397" spans="1:10" s="16" customFormat="1" ht="25.5" outlineLevel="3">
      <c r="A397" s="91"/>
      <c r="B397" s="35"/>
      <c r="C397" s="142" t="s">
        <v>226</v>
      </c>
      <c r="D397" s="136" t="s">
        <v>28</v>
      </c>
      <c r="E397" s="137">
        <v>1</v>
      </c>
      <c r="F397" s="232">
        <v>0</v>
      </c>
      <c r="G397" s="232">
        <v>0</v>
      </c>
      <c r="H397" s="138">
        <f>G397+F397</f>
        <v>0</v>
      </c>
      <c r="I397" s="138">
        <f>H397*E397</f>
        <v>0</v>
      </c>
      <c r="J397" s="108"/>
    </row>
    <row r="398" spans="1:10" s="16" customFormat="1" ht="25.5" outlineLevel="3">
      <c r="A398" s="91"/>
      <c r="B398" s="35"/>
      <c r="C398" s="139" t="s">
        <v>573</v>
      </c>
      <c r="D398" s="136" t="s">
        <v>28</v>
      </c>
      <c r="E398" s="137">
        <v>1</v>
      </c>
      <c r="F398" s="232">
        <v>0</v>
      </c>
      <c r="G398" s="232">
        <v>0</v>
      </c>
      <c r="H398" s="138">
        <f>G398+F398</f>
        <v>0</v>
      </c>
      <c r="I398" s="138">
        <f>H398*E398</f>
        <v>0</v>
      </c>
      <c r="J398" s="108"/>
    </row>
    <row r="399" spans="1:10" s="16" customFormat="1" ht="25.5" outlineLevel="3">
      <c r="A399" s="91"/>
      <c r="B399" s="35"/>
      <c r="C399" s="139" t="s">
        <v>1439</v>
      </c>
      <c r="D399" s="136" t="s">
        <v>28</v>
      </c>
      <c r="E399" s="137">
        <v>1</v>
      </c>
      <c r="F399" s="232">
        <v>0</v>
      </c>
      <c r="G399" s="232">
        <v>0</v>
      </c>
      <c r="H399" s="138">
        <f>G399+F399</f>
        <v>0</v>
      </c>
      <c r="I399" s="138">
        <f>H399*E399</f>
        <v>0</v>
      </c>
      <c r="J399" s="108"/>
    </row>
    <row r="400" spans="1:10" s="16" customFormat="1" ht="25.5" outlineLevel="3">
      <c r="A400" s="91"/>
      <c r="B400" s="35"/>
      <c r="C400" s="112" t="s">
        <v>148</v>
      </c>
      <c r="D400" s="136"/>
      <c r="E400" s="137"/>
      <c r="F400" s="232">
        <v>0</v>
      </c>
      <c r="G400" s="232">
        <v>0</v>
      </c>
      <c r="H400" s="138"/>
      <c r="I400" s="138"/>
      <c r="J400" s="108"/>
    </row>
    <row r="401" spans="1:10" s="16" customFormat="1" ht="25.5" outlineLevel="3">
      <c r="A401" s="91"/>
      <c r="B401" s="35"/>
      <c r="C401" s="142" t="s">
        <v>170</v>
      </c>
      <c r="D401" s="136" t="s">
        <v>28</v>
      </c>
      <c r="E401" s="137">
        <v>1</v>
      </c>
      <c r="F401" s="232">
        <v>0</v>
      </c>
      <c r="G401" s="232">
        <v>0</v>
      </c>
      <c r="H401" s="138">
        <f>G401+F401</f>
        <v>0</v>
      </c>
      <c r="I401" s="138">
        <f>H401*E401</f>
        <v>0</v>
      </c>
      <c r="J401" s="108"/>
    </row>
    <row r="402" spans="1:10" s="16" customFormat="1" ht="25.5" outlineLevel="3">
      <c r="A402" s="91"/>
      <c r="B402" s="35"/>
      <c r="C402" s="142" t="s">
        <v>171</v>
      </c>
      <c r="D402" s="136" t="s">
        <v>28</v>
      </c>
      <c r="E402" s="137">
        <v>1</v>
      </c>
      <c r="F402" s="232">
        <v>0</v>
      </c>
      <c r="G402" s="232">
        <v>0</v>
      </c>
      <c r="H402" s="138">
        <f>G402+F402</f>
        <v>0</v>
      </c>
      <c r="I402" s="138">
        <f>H402*E402</f>
        <v>0</v>
      </c>
      <c r="J402" s="108"/>
    </row>
    <row r="403" spans="1:10" s="16" customFormat="1" ht="25.5" outlineLevel="3">
      <c r="A403" s="91"/>
      <c r="B403" s="35"/>
      <c r="C403" s="142" t="s">
        <v>172</v>
      </c>
      <c r="D403" s="136" t="s">
        <v>28</v>
      </c>
      <c r="E403" s="137">
        <v>3</v>
      </c>
      <c r="F403" s="232">
        <v>0</v>
      </c>
      <c r="G403" s="232">
        <v>0</v>
      </c>
      <c r="H403" s="138">
        <f>G403+F403</f>
        <v>0</v>
      </c>
      <c r="I403" s="138">
        <f>H403*E403</f>
        <v>0</v>
      </c>
      <c r="J403" s="108"/>
    </row>
    <row r="404" spans="1:10" s="16" customFormat="1" ht="25.5" outlineLevel="3">
      <c r="A404" s="91"/>
      <c r="B404" s="35"/>
      <c r="C404" s="141" t="s">
        <v>1436</v>
      </c>
      <c r="D404" s="136" t="s">
        <v>38</v>
      </c>
      <c r="E404" s="137">
        <v>1</v>
      </c>
      <c r="F404" s="232">
        <v>0</v>
      </c>
      <c r="G404" s="232">
        <v>0</v>
      </c>
      <c r="H404" s="138">
        <f>G404+F404</f>
        <v>0</v>
      </c>
      <c r="I404" s="138">
        <f>H404*E404</f>
        <v>0</v>
      </c>
      <c r="J404" s="108"/>
    </row>
    <row r="405" spans="1:10" s="16" customFormat="1" ht="25.5" outlineLevel="3">
      <c r="A405" s="91"/>
      <c r="B405" s="35">
        <f>MAXA(B$5:B404)+1</f>
        <v>87</v>
      </c>
      <c r="C405" s="114" t="s">
        <v>1463</v>
      </c>
      <c r="D405" s="136" t="s">
        <v>38</v>
      </c>
      <c r="E405" s="137">
        <v>1</v>
      </c>
      <c r="F405" s="232">
        <v>4450975</v>
      </c>
      <c r="G405" s="232">
        <v>1563188</v>
      </c>
      <c r="H405" s="138">
        <f>G405+F405</f>
        <v>6014163</v>
      </c>
      <c r="I405" s="138">
        <f>H405*E405</f>
        <v>6014163</v>
      </c>
      <c r="J405" s="108"/>
    </row>
    <row r="406" spans="1:10" s="16" customFormat="1" ht="25.5" outlineLevel="3">
      <c r="A406" s="91"/>
      <c r="B406" s="35"/>
      <c r="C406" s="112" t="s">
        <v>141</v>
      </c>
      <c r="D406" s="136"/>
      <c r="E406" s="137"/>
      <c r="F406" s="232">
        <v>0</v>
      </c>
      <c r="G406" s="232">
        <v>0</v>
      </c>
      <c r="H406" s="138"/>
      <c r="I406" s="138"/>
      <c r="J406" s="108"/>
    </row>
    <row r="407" spans="1:10" s="16" customFormat="1" ht="25.5" outlineLevel="3">
      <c r="A407" s="91"/>
      <c r="B407" s="35"/>
      <c r="C407" s="142" t="s">
        <v>169</v>
      </c>
      <c r="D407" s="136" t="s">
        <v>28</v>
      </c>
      <c r="E407" s="137">
        <v>1</v>
      </c>
      <c r="F407" s="232">
        <v>0</v>
      </c>
      <c r="G407" s="232">
        <v>0</v>
      </c>
      <c r="H407" s="138">
        <f>G407+F407</f>
        <v>0</v>
      </c>
      <c r="I407" s="138">
        <f>H407*E407</f>
        <v>0</v>
      </c>
      <c r="J407" s="108"/>
    </row>
    <row r="408" spans="1:10" s="16" customFormat="1" ht="25.5" outlineLevel="3">
      <c r="A408" s="91"/>
      <c r="B408" s="35"/>
      <c r="C408" s="139" t="s">
        <v>573</v>
      </c>
      <c r="D408" s="136" t="s">
        <v>28</v>
      </c>
      <c r="E408" s="137">
        <v>1</v>
      </c>
      <c r="F408" s="232">
        <v>0</v>
      </c>
      <c r="G408" s="232">
        <v>0</v>
      </c>
      <c r="H408" s="138">
        <f>G408+F408</f>
        <v>0</v>
      </c>
      <c r="I408" s="138">
        <f>H408*E408</f>
        <v>0</v>
      </c>
      <c r="J408" s="108"/>
    </row>
    <row r="409" spans="1:10" s="16" customFormat="1" ht="25.5" outlineLevel="3">
      <c r="A409" s="91"/>
      <c r="B409" s="35"/>
      <c r="C409" s="139" t="s">
        <v>1439</v>
      </c>
      <c r="D409" s="136" t="s">
        <v>28</v>
      </c>
      <c r="E409" s="137">
        <v>1</v>
      </c>
      <c r="F409" s="232">
        <v>0</v>
      </c>
      <c r="G409" s="232">
        <v>0</v>
      </c>
      <c r="H409" s="138">
        <f>G409+F409</f>
        <v>0</v>
      </c>
      <c r="I409" s="138">
        <f>H409*E409</f>
        <v>0</v>
      </c>
      <c r="J409" s="108"/>
    </row>
    <row r="410" spans="1:10" s="16" customFormat="1" ht="25.5" outlineLevel="3">
      <c r="A410" s="91"/>
      <c r="B410" s="35"/>
      <c r="C410" s="112" t="s">
        <v>148</v>
      </c>
      <c r="D410" s="136"/>
      <c r="E410" s="137"/>
      <c r="F410" s="232">
        <v>0</v>
      </c>
      <c r="G410" s="232">
        <v>0</v>
      </c>
      <c r="H410" s="138"/>
      <c r="I410" s="138"/>
      <c r="J410" s="108"/>
    </row>
    <row r="411" spans="1:10" s="16" customFormat="1" ht="25.5" outlineLevel="3">
      <c r="A411" s="91"/>
      <c r="B411" s="35"/>
      <c r="C411" s="142" t="s">
        <v>170</v>
      </c>
      <c r="D411" s="136" t="s">
        <v>28</v>
      </c>
      <c r="E411" s="137">
        <v>1</v>
      </c>
      <c r="F411" s="232">
        <v>0</v>
      </c>
      <c r="G411" s="232">
        <v>0</v>
      </c>
      <c r="H411" s="138">
        <f>G411+F411</f>
        <v>0</v>
      </c>
      <c r="I411" s="138">
        <f>H411*E411</f>
        <v>0</v>
      </c>
      <c r="J411" s="108"/>
    </row>
    <row r="412" spans="1:10" s="16" customFormat="1" ht="25.5" outlineLevel="3">
      <c r="A412" s="91"/>
      <c r="B412" s="35"/>
      <c r="C412" s="142" t="s">
        <v>171</v>
      </c>
      <c r="D412" s="136" t="s">
        <v>28</v>
      </c>
      <c r="E412" s="137">
        <v>1</v>
      </c>
      <c r="F412" s="232">
        <v>0</v>
      </c>
      <c r="G412" s="232">
        <v>0</v>
      </c>
      <c r="H412" s="138">
        <f>G412+F412</f>
        <v>0</v>
      </c>
      <c r="I412" s="138">
        <f>H412*E412</f>
        <v>0</v>
      </c>
      <c r="J412" s="108"/>
    </row>
    <row r="413" spans="1:10" s="16" customFormat="1" ht="25.5" outlineLevel="3">
      <c r="A413" s="91"/>
      <c r="B413" s="35"/>
      <c r="C413" s="142" t="s">
        <v>172</v>
      </c>
      <c r="D413" s="136" t="s">
        <v>28</v>
      </c>
      <c r="E413" s="137">
        <v>1</v>
      </c>
      <c r="F413" s="232">
        <v>0</v>
      </c>
      <c r="G413" s="232">
        <v>0</v>
      </c>
      <c r="H413" s="138">
        <f>G413+F413</f>
        <v>0</v>
      </c>
      <c r="I413" s="138">
        <f>H413*E413</f>
        <v>0</v>
      </c>
      <c r="J413" s="108"/>
    </row>
    <row r="414" spans="1:10" s="16" customFormat="1" ht="25.5" outlineLevel="3">
      <c r="A414" s="91"/>
      <c r="B414" s="35"/>
      <c r="C414" s="141" t="s">
        <v>1436</v>
      </c>
      <c r="D414" s="136" t="s">
        <v>38</v>
      </c>
      <c r="E414" s="137">
        <v>1</v>
      </c>
      <c r="F414" s="232">
        <v>0</v>
      </c>
      <c r="G414" s="232">
        <v>0</v>
      </c>
      <c r="H414" s="138">
        <f>G414+F414</f>
        <v>0</v>
      </c>
      <c r="I414" s="138">
        <f>H414*E414</f>
        <v>0</v>
      </c>
      <c r="J414" s="108"/>
    </row>
    <row r="415" spans="1:10" s="16" customFormat="1" ht="25.5" outlineLevel="3">
      <c r="A415" s="91"/>
      <c r="B415" s="35">
        <f>MAXA(B$5:B414)+1</f>
        <v>88</v>
      </c>
      <c r="C415" s="114" t="s">
        <v>231</v>
      </c>
      <c r="D415" s="136" t="s">
        <v>38</v>
      </c>
      <c r="E415" s="137">
        <v>1</v>
      </c>
      <c r="F415" s="232">
        <v>76293644</v>
      </c>
      <c r="G415" s="232">
        <v>1563188</v>
      </c>
      <c r="H415" s="138">
        <f>G415+F415</f>
        <v>77856832</v>
      </c>
      <c r="I415" s="138">
        <f>H415*E415</f>
        <v>77856832</v>
      </c>
      <c r="J415" s="108"/>
    </row>
    <row r="416" spans="1:10" s="16" customFormat="1" ht="25.5" outlineLevel="3">
      <c r="A416" s="91"/>
      <c r="B416" s="35"/>
      <c r="C416" s="112" t="s">
        <v>141</v>
      </c>
      <c r="D416" s="136"/>
      <c r="E416" s="137"/>
      <c r="F416" s="232">
        <v>0</v>
      </c>
      <c r="G416" s="232">
        <v>0</v>
      </c>
      <c r="H416" s="138"/>
      <c r="I416" s="138"/>
      <c r="J416" s="108"/>
    </row>
    <row r="417" spans="1:10" s="16" customFormat="1" ht="25.5" outlineLevel="3">
      <c r="A417" s="91"/>
      <c r="B417" s="35"/>
      <c r="C417" s="142" t="s">
        <v>142</v>
      </c>
      <c r="D417" s="136" t="s">
        <v>28</v>
      </c>
      <c r="E417" s="137">
        <v>1</v>
      </c>
      <c r="F417" s="232">
        <v>0</v>
      </c>
      <c r="G417" s="232">
        <v>0</v>
      </c>
      <c r="H417" s="138">
        <f t="shared" ref="H417:H424" si="38">G417+F417</f>
        <v>0</v>
      </c>
      <c r="I417" s="138">
        <f t="shared" ref="I417:I424" si="39">H417*E417</f>
        <v>0</v>
      </c>
      <c r="J417" s="108"/>
    </row>
    <row r="418" spans="1:10" s="16" customFormat="1" ht="25.5" outlineLevel="3">
      <c r="A418" s="91"/>
      <c r="B418" s="35"/>
      <c r="C418" s="139" t="s">
        <v>573</v>
      </c>
      <c r="D418" s="136" t="s">
        <v>28</v>
      </c>
      <c r="E418" s="137">
        <v>9</v>
      </c>
      <c r="F418" s="232">
        <v>0</v>
      </c>
      <c r="G418" s="232">
        <v>0</v>
      </c>
      <c r="H418" s="138">
        <f t="shared" si="38"/>
        <v>0</v>
      </c>
      <c r="I418" s="138">
        <f t="shared" si="39"/>
        <v>0</v>
      </c>
      <c r="J418" s="108"/>
    </row>
    <row r="419" spans="1:10" s="16" customFormat="1" ht="25.5" outlineLevel="3">
      <c r="A419" s="91"/>
      <c r="B419" s="35"/>
      <c r="C419" s="139" t="s">
        <v>574</v>
      </c>
      <c r="D419" s="136" t="s">
        <v>28</v>
      </c>
      <c r="E419" s="137">
        <v>6</v>
      </c>
      <c r="F419" s="232">
        <v>0</v>
      </c>
      <c r="G419" s="232">
        <v>0</v>
      </c>
      <c r="H419" s="138">
        <f t="shared" si="38"/>
        <v>0</v>
      </c>
      <c r="I419" s="138">
        <f t="shared" si="39"/>
        <v>0</v>
      </c>
      <c r="J419" s="108"/>
    </row>
    <row r="420" spans="1:10" s="16" customFormat="1" ht="25.5" outlineLevel="3">
      <c r="A420" s="91"/>
      <c r="B420" s="35"/>
      <c r="C420" s="139" t="s">
        <v>143</v>
      </c>
      <c r="D420" s="136" t="s">
        <v>28</v>
      </c>
      <c r="E420" s="137">
        <v>1</v>
      </c>
      <c r="F420" s="232">
        <v>0</v>
      </c>
      <c r="G420" s="232">
        <v>0</v>
      </c>
      <c r="H420" s="138">
        <f t="shared" si="38"/>
        <v>0</v>
      </c>
      <c r="I420" s="138">
        <f t="shared" si="39"/>
        <v>0</v>
      </c>
      <c r="J420" s="108"/>
    </row>
    <row r="421" spans="1:10" s="16" customFormat="1" ht="25.5" outlineLevel="3">
      <c r="A421" s="91"/>
      <c r="B421" s="35"/>
      <c r="C421" s="139" t="s">
        <v>144</v>
      </c>
      <c r="D421" s="136" t="s">
        <v>28</v>
      </c>
      <c r="E421" s="137">
        <v>1</v>
      </c>
      <c r="F421" s="232">
        <v>0</v>
      </c>
      <c r="G421" s="232">
        <v>0</v>
      </c>
      <c r="H421" s="138">
        <f t="shared" si="38"/>
        <v>0</v>
      </c>
      <c r="I421" s="138">
        <f t="shared" si="39"/>
        <v>0</v>
      </c>
      <c r="J421" s="108"/>
    </row>
    <row r="422" spans="1:10" s="16" customFormat="1" ht="25.5" outlineLevel="3">
      <c r="A422" s="91"/>
      <c r="B422" s="35"/>
      <c r="C422" s="141" t="s">
        <v>145</v>
      </c>
      <c r="D422" s="136" t="s">
        <v>28</v>
      </c>
      <c r="E422" s="137">
        <v>1</v>
      </c>
      <c r="F422" s="232">
        <v>0</v>
      </c>
      <c r="G422" s="232">
        <v>0</v>
      </c>
      <c r="H422" s="138">
        <f t="shared" si="38"/>
        <v>0</v>
      </c>
      <c r="I422" s="138">
        <f t="shared" si="39"/>
        <v>0</v>
      </c>
      <c r="J422" s="108"/>
    </row>
    <row r="423" spans="1:10" s="16" customFormat="1" ht="25.5" outlineLevel="3">
      <c r="A423" s="91"/>
      <c r="B423" s="35"/>
      <c r="C423" s="139" t="s">
        <v>146</v>
      </c>
      <c r="D423" s="136" t="s">
        <v>28</v>
      </c>
      <c r="E423" s="137">
        <v>1</v>
      </c>
      <c r="F423" s="232">
        <v>0</v>
      </c>
      <c r="G423" s="232">
        <v>0</v>
      </c>
      <c r="H423" s="138">
        <f t="shared" si="38"/>
        <v>0</v>
      </c>
      <c r="I423" s="138">
        <f t="shared" si="39"/>
        <v>0</v>
      </c>
      <c r="J423" s="108"/>
    </row>
    <row r="424" spans="1:10" s="16" customFormat="1" ht="25.5" outlineLevel="3">
      <c r="A424" s="91"/>
      <c r="B424" s="35"/>
      <c r="C424" s="141" t="s">
        <v>147</v>
      </c>
      <c r="D424" s="136" t="s">
        <v>28</v>
      </c>
      <c r="E424" s="137">
        <v>3</v>
      </c>
      <c r="F424" s="232">
        <v>0</v>
      </c>
      <c r="G424" s="232">
        <v>0</v>
      </c>
      <c r="H424" s="138">
        <f t="shared" si="38"/>
        <v>0</v>
      </c>
      <c r="I424" s="138">
        <f t="shared" si="39"/>
        <v>0</v>
      </c>
      <c r="J424" s="108"/>
    </row>
    <row r="425" spans="1:10" s="16" customFormat="1" ht="25.5" outlineLevel="3">
      <c r="A425" s="91"/>
      <c r="B425" s="35"/>
      <c r="C425" s="112" t="s">
        <v>148</v>
      </c>
      <c r="D425" s="136"/>
      <c r="E425" s="137"/>
      <c r="F425" s="232">
        <v>0</v>
      </c>
      <c r="G425" s="232">
        <v>0</v>
      </c>
      <c r="H425" s="138"/>
      <c r="I425" s="138"/>
      <c r="J425" s="108"/>
    </row>
    <row r="426" spans="1:10" s="16" customFormat="1" ht="25.5" outlineLevel="3">
      <c r="A426" s="91"/>
      <c r="B426" s="35"/>
      <c r="C426" s="142" t="s">
        <v>149</v>
      </c>
      <c r="D426" s="136" t="s">
        <v>28</v>
      </c>
      <c r="E426" s="137">
        <v>16</v>
      </c>
      <c r="F426" s="232">
        <v>0</v>
      </c>
      <c r="G426" s="232">
        <v>0</v>
      </c>
      <c r="H426" s="138">
        <f t="shared" ref="H426:H439" si="40">G426+F426</f>
        <v>0</v>
      </c>
      <c r="I426" s="138">
        <f t="shared" ref="I426:I439" si="41">H426*E426</f>
        <v>0</v>
      </c>
      <c r="J426" s="108"/>
    </row>
    <row r="427" spans="1:10" s="16" customFormat="1" ht="25.5" outlineLevel="3">
      <c r="A427" s="91"/>
      <c r="B427" s="35"/>
      <c r="C427" s="142" t="s">
        <v>150</v>
      </c>
      <c r="D427" s="136" t="s">
        <v>28</v>
      </c>
      <c r="E427" s="137">
        <v>1</v>
      </c>
      <c r="F427" s="232">
        <v>0</v>
      </c>
      <c r="G427" s="232">
        <v>0</v>
      </c>
      <c r="H427" s="138">
        <f t="shared" si="40"/>
        <v>0</v>
      </c>
      <c r="I427" s="138">
        <f t="shared" si="41"/>
        <v>0</v>
      </c>
      <c r="J427" s="108"/>
    </row>
    <row r="428" spans="1:10" s="16" customFormat="1" ht="25.5" outlineLevel="3">
      <c r="A428" s="91"/>
      <c r="B428" s="35"/>
      <c r="C428" s="142" t="s">
        <v>151</v>
      </c>
      <c r="D428" s="136" t="s">
        <v>28</v>
      </c>
      <c r="E428" s="137">
        <v>8</v>
      </c>
      <c r="F428" s="232">
        <v>0</v>
      </c>
      <c r="G428" s="232">
        <v>0</v>
      </c>
      <c r="H428" s="138">
        <f t="shared" si="40"/>
        <v>0</v>
      </c>
      <c r="I428" s="138">
        <f t="shared" si="41"/>
        <v>0</v>
      </c>
      <c r="J428" s="108"/>
    </row>
    <row r="429" spans="1:10" s="16" customFormat="1" ht="25.5" outlineLevel="3">
      <c r="A429" s="91"/>
      <c r="B429" s="35"/>
      <c r="C429" s="142" t="s">
        <v>153</v>
      </c>
      <c r="D429" s="136" t="s">
        <v>28</v>
      </c>
      <c r="E429" s="137">
        <v>3</v>
      </c>
      <c r="F429" s="232">
        <v>0</v>
      </c>
      <c r="G429" s="232">
        <v>0</v>
      </c>
      <c r="H429" s="138">
        <f t="shared" si="40"/>
        <v>0</v>
      </c>
      <c r="I429" s="138">
        <f t="shared" si="41"/>
        <v>0</v>
      </c>
      <c r="J429" s="108"/>
    </row>
    <row r="430" spans="1:10" s="16" customFormat="1" ht="25.5" outlineLevel="3">
      <c r="A430" s="91"/>
      <c r="B430" s="35"/>
      <c r="C430" s="142" t="s">
        <v>235</v>
      </c>
      <c r="D430" s="136" t="s">
        <v>28</v>
      </c>
      <c r="E430" s="137">
        <v>1</v>
      </c>
      <c r="F430" s="232">
        <v>0</v>
      </c>
      <c r="G430" s="232">
        <v>0</v>
      </c>
      <c r="H430" s="138">
        <f t="shared" si="40"/>
        <v>0</v>
      </c>
      <c r="I430" s="138">
        <f t="shared" si="41"/>
        <v>0</v>
      </c>
      <c r="J430" s="108"/>
    </row>
    <row r="431" spans="1:10" s="16" customFormat="1" ht="25.5" outlineLevel="3">
      <c r="A431" s="91"/>
      <c r="B431" s="35"/>
      <c r="C431" s="142" t="s">
        <v>203</v>
      </c>
      <c r="D431" s="136" t="s">
        <v>28</v>
      </c>
      <c r="E431" s="137">
        <v>1</v>
      </c>
      <c r="F431" s="232">
        <v>0</v>
      </c>
      <c r="G431" s="232">
        <v>0</v>
      </c>
      <c r="H431" s="138">
        <f t="shared" si="40"/>
        <v>0</v>
      </c>
      <c r="I431" s="138">
        <f t="shared" si="41"/>
        <v>0</v>
      </c>
      <c r="J431" s="108"/>
    </row>
    <row r="432" spans="1:10" s="16" customFormat="1" ht="25.5" outlineLevel="3">
      <c r="A432" s="91"/>
      <c r="B432" s="35"/>
      <c r="C432" s="139" t="s">
        <v>161</v>
      </c>
      <c r="D432" s="136" t="s">
        <v>44</v>
      </c>
      <c r="E432" s="137">
        <v>1</v>
      </c>
      <c r="F432" s="232">
        <v>0</v>
      </c>
      <c r="G432" s="232">
        <v>0</v>
      </c>
      <c r="H432" s="138">
        <f t="shared" si="40"/>
        <v>0</v>
      </c>
      <c r="I432" s="138">
        <f t="shared" si="41"/>
        <v>0</v>
      </c>
      <c r="J432" s="108"/>
    </row>
    <row r="433" spans="1:10" s="16" customFormat="1" ht="25.5" outlineLevel="3">
      <c r="A433" s="91"/>
      <c r="B433" s="35"/>
      <c r="C433" s="142" t="s">
        <v>172</v>
      </c>
      <c r="D433" s="136" t="s">
        <v>28</v>
      </c>
      <c r="E433" s="137">
        <v>8</v>
      </c>
      <c r="F433" s="232">
        <v>0</v>
      </c>
      <c r="G433" s="232">
        <v>0</v>
      </c>
      <c r="H433" s="138">
        <f t="shared" si="40"/>
        <v>0</v>
      </c>
      <c r="I433" s="138">
        <f t="shared" si="41"/>
        <v>0</v>
      </c>
      <c r="J433" s="108"/>
    </row>
    <row r="434" spans="1:10" s="16" customFormat="1" ht="25.5" outlineLevel="3">
      <c r="A434" s="91"/>
      <c r="B434" s="35"/>
      <c r="C434" s="142" t="s">
        <v>204</v>
      </c>
      <c r="D434" s="136" t="s">
        <v>28</v>
      </c>
      <c r="E434" s="137">
        <v>2</v>
      </c>
      <c r="F434" s="232">
        <v>0</v>
      </c>
      <c r="G434" s="232">
        <v>0</v>
      </c>
      <c r="H434" s="138">
        <f t="shared" si="40"/>
        <v>0</v>
      </c>
      <c r="I434" s="138">
        <f t="shared" si="41"/>
        <v>0</v>
      </c>
      <c r="J434" s="108"/>
    </row>
    <row r="435" spans="1:10" s="16" customFormat="1" ht="25.5" outlineLevel="3">
      <c r="A435" s="91"/>
      <c r="B435" s="35"/>
      <c r="C435" s="142" t="s">
        <v>165</v>
      </c>
      <c r="D435" s="136" t="s">
        <v>28</v>
      </c>
      <c r="E435" s="137">
        <v>2</v>
      </c>
      <c r="F435" s="232">
        <v>0</v>
      </c>
      <c r="G435" s="232">
        <v>0</v>
      </c>
      <c r="H435" s="138">
        <f t="shared" si="40"/>
        <v>0</v>
      </c>
      <c r="I435" s="138">
        <f t="shared" si="41"/>
        <v>0</v>
      </c>
      <c r="J435" s="108"/>
    </row>
    <row r="436" spans="1:10" s="16" customFormat="1" ht="25.5" outlineLevel="3">
      <c r="A436" s="91"/>
      <c r="B436" s="35"/>
      <c r="C436" s="141" t="s">
        <v>166</v>
      </c>
      <c r="D436" s="136" t="s">
        <v>28</v>
      </c>
      <c r="E436" s="137">
        <v>2</v>
      </c>
      <c r="F436" s="232">
        <v>0</v>
      </c>
      <c r="G436" s="232">
        <v>0</v>
      </c>
      <c r="H436" s="138">
        <f t="shared" si="40"/>
        <v>0</v>
      </c>
      <c r="I436" s="138">
        <f t="shared" si="41"/>
        <v>0</v>
      </c>
      <c r="J436" s="108"/>
    </row>
    <row r="437" spans="1:10" s="16" customFormat="1" ht="25.5" outlineLevel="3">
      <c r="A437" s="91"/>
      <c r="B437" s="35"/>
      <c r="C437" s="141" t="s">
        <v>167</v>
      </c>
      <c r="D437" s="136" t="s">
        <v>28</v>
      </c>
      <c r="E437" s="137">
        <v>2</v>
      </c>
      <c r="F437" s="232">
        <v>0</v>
      </c>
      <c r="G437" s="232">
        <v>0</v>
      </c>
      <c r="H437" s="138">
        <f t="shared" si="40"/>
        <v>0</v>
      </c>
      <c r="I437" s="138">
        <f t="shared" si="41"/>
        <v>0</v>
      </c>
      <c r="J437" s="108"/>
    </row>
    <row r="438" spans="1:10" s="16" customFormat="1" ht="25.5" outlineLevel="3">
      <c r="A438" s="91"/>
      <c r="B438" s="35"/>
      <c r="C438" s="141" t="s">
        <v>1436</v>
      </c>
      <c r="D438" s="136" t="s">
        <v>38</v>
      </c>
      <c r="E438" s="137">
        <v>1</v>
      </c>
      <c r="F438" s="232">
        <v>0</v>
      </c>
      <c r="G438" s="232">
        <v>0</v>
      </c>
      <c r="H438" s="138">
        <f t="shared" si="40"/>
        <v>0</v>
      </c>
      <c r="I438" s="138">
        <f t="shared" si="41"/>
        <v>0</v>
      </c>
      <c r="J438" s="108"/>
    </row>
    <row r="439" spans="1:10" s="16" customFormat="1" ht="25.5" outlineLevel="3">
      <c r="A439" s="91"/>
      <c r="B439" s="35">
        <f>MAXA(B$5:B438)+1</f>
        <v>89</v>
      </c>
      <c r="C439" s="114" t="s">
        <v>1464</v>
      </c>
      <c r="D439" s="136" t="s">
        <v>38</v>
      </c>
      <c r="E439" s="137">
        <v>1</v>
      </c>
      <c r="F439" s="232">
        <v>15797305</v>
      </c>
      <c r="G439" s="232">
        <v>1563188</v>
      </c>
      <c r="H439" s="138">
        <f t="shared" si="40"/>
        <v>17360493</v>
      </c>
      <c r="I439" s="138">
        <f t="shared" si="41"/>
        <v>17360493</v>
      </c>
      <c r="J439" s="108"/>
    </row>
    <row r="440" spans="1:10" s="16" customFormat="1" ht="25.5" outlineLevel="3">
      <c r="A440" s="91"/>
      <c r="B440" s="35"/>
      <c r="C440" s="112" t="s">
        <v>141</v>
      </c>
      <c r="D440" s="136"/>
      <c r="E440" s="137"/>
      <c r="F440" s="232">
        <v>0</v>
      </c>
      <c r="G440" s="232">
        <v>0</v>
      </c>
      <c r="H440" s="138"/>
      <c r="I440" s="138"/>
      <c r="J440" s="108"/>
    </row>
    <row r="441" spans="1:10" s="16" customFormat="1" ht="25.5" outlineLevel="3">
      <c r="A441" s="91"/>
      <c r="B441" s="35"/>
      <c r="C441" s="142" t="s">
        <v>1438</v>
      </c>
      <c r="D441" s="136" t="s">
        <v>28</v>
      </c>
      <c r="E441" s="137">
        <v>1</v>
      </c>
      <c r="F441" s="232">
        <v>0</v>
      </c>
      <c r="G441" s="232">
        <v>0</v>
      </c>
      <c r="H441" s="138">
        <f>G441+F441</f>
        <v>0</v>
      </c>
      <c r="I441" s="138">
        <f>H441*E441</f>
        <v>0</v>
      </c>
      <c r="J441" s="108"/>
    </row>
    <row r="442" spans="1:10" s="16" customFormat="1" ht="25.5" outlineLevel="3">
      <c r="A442" s="91"/>
      <c r="B442" s="35"/>
      <c r="C442" s="139" t="s">
        <v>573</v>
      </c>
      <c r="D442" s="136" t="s">
        <v>28</v>
      </c>
      <c r="E442" s="137">
        <v>3</v>
      </c>
      <c r="F442" s="232">
        <v>0</v>
      </c>
      <c r="G442" s="232">
        <v>0</v>
      </c>
      <c r="H442" s="138">
        <f>G442+F442</f>
        <v>0</v>
      </c>
      <c r="I442" s="138">
        <f>H442*E442</f>
        <v>0</v>
      </c>
      <c r="J442" s="108"/>
    </row>
    <row r="443" spans="1:10" s="16" customFormat="1" ht="25.5" outlineLevel="3">
      <c r="A443" s="91"/>
      <c r="B443" s="35"/>
      <c r="C443" s="139" t="s">
        <v>574</v>
      </c>
      <c r="D443" s="136" t="s">
        <v>28</v>
      </c>
      <c r="E443" s="137">
        <v>3</v>
      </c>
      <c r="F443" s="232">
        <v>0</v>
      </c>
      <c r="G443" s="232">
        <v>0</v>
      </c>
      <c r="H443" s="138">
        <f>G443+F443</f>
        <v>0</v>
      </c>
      <c r="I443" s="138">
        <f>H443*E443</f>
        <v>0</v>
      </c>
      <c r="J443" s="108"/>
    </row>
    <row r="444" spans="1:10" s="16" customFormat="1" ht="25.5" outlineLevel="3">
      <c r="A444" s="91"/>
      <c r="B444" s="35"/>
      <c r="C444" s="112" t="s">
        <v>148</v>
      </c>
      <c r="D444" s="136"/>
      <c r="E444" s="137"/>
      <c r="F444" s="232">
        <v>0</v>
      </c>
      <c r="G444" s="232">
        <v>0</v>
      </c>
      <c r="H444" s="138"/>
      <c r="I444" s="138"/>
      <c r="J444" s="108"/>
    </row>
    <row r="445" spans="1:10" s="16" customFormat="1" ht="25.5" outlineLevel="3">
      <c r="A445" s="91"/>
      <c r="B445" s="35"/>
      <c r="C445" s="142" t="s">
        <v>171</v>
      </c>
      <c r="D445" s="136" t="s">
        <v>28</v>
      </c>
      <c r="E445" s="137">
        <v>4</v>
      </c>
      <c r="F445" s="232">
        <v>0</v>
      </c>
      <c r="G445" s="232">
        <v>0</v>
      </c>
      <c r="H445" s="138">
        <f t="shared" ref="H445:H451" si="42">G445+F445</f>
        <v>0</v>
      </c>
      <c r="I445" s="138">
        <f t="shared" ref="I445:I451" si="43">H445*E445</f>
        <v>0</v>
      </c>
      <c r="J445" s="108"/>
    </row>
    <row r="446" spans="1:10" s="16" customFormat="1" ht="25.5" outlineLevel="3">
      <c r="A446" s="91"/>
      <c r="B446" s="35"/>
      <c r="C446" s="142" t="s">
        <v>263</v>
      </c>
      <c r="D446" s="136" t="s">
        <v>28</v>
      </c>
      <c r="E446" s="137">
        <v>2</v>
      </c>
      <c r="F446" s="232">
        <v>0</v>
      </c>
      <c r="G446" s="232">
        <v>0</v>
      </c>
      <c r="H446" s="138">
        <f t="shared" si="42"/>
        <v>0</v>
      </c>
      <c r="I446" s="138">
        <f t="shared" si="43"/>
        <v>0</v>
      </c>
      <c r="J446" s="108"/>
    </row>
    <row r="447" spans="1:10" s="16" customFormat="1" ht="25.5" outlineLevel="3">
      <c r="A447" s="91"/>
      <c r="B447" s="35"/>
      <c r="C447" s="142" t="s">
        <v>1440</v>
      </c>
      <c r="D447" s="136" t="s">
        <v>28</v>
      </c>
      <c r="E447" s="137">
        <v>6</v>
      </c>
      <c r="F447" s="232">
        <v>0</v>
      </c>
      <c r="G447" s="232">
        <v>0</v>
      </c>
      <c r="H447" s="138">
        <f t="shared" si="42"/>
        <v>0</v>
      </c>
      <c r="I447" s="138">
        <f t="shared" si="43"/>
        <v>0</v>
      </c>
      <c r="J447" s="108"/>
    </row>
    <row r="448" spans="1:10" s="16" customFormat="1" ht="25.5" outlineLevel="3">
      <c r="A448" s="91"/>
      <c r="B448" s="35"/>
      <c r="C448" s="142" t="s">
        <v>172</v>
      </c>
      <c r="D448" s="136" t="s">
        <v>28</v>
      </c>
      <c r="E448" s="137">
        <v>4</v>
      </c>
      <c r="F448" s="232">
        <v>0</v>
      </c>
      <c r="G448" s="232">
        <v>0</v>
      </c>
      <c r="H448" s="138">
        <f t="shared" si="42"/>
        <v>0</v>
      </c>
      <c r="I448" s="138">
        <f t="shared" si="43"/>
        <v>0</v>
      </c>
      <c r="J448" s="108"/>
    </row>
    <row r="449" spans="1:10" s="16" customFormat="1" ht="25.5" outlineLevel="3">
      <c r="A449" s="91"/>
      <c r="B449" s="35"/>
      <c r="C449" s="142" t="s">
        <v>204</v>
      </c>
      <c r="D449" s="136" t="s">
        <v>28</v>
      </c>
      <c r="E449" s="137">
        <v>1</v>
      </c>
      <c r="F449" s="232">
        <v>0</v>
      </c>
      <c r="G449" s="232">
        <v>0</v>
      </c>
      <c r="H449" s="138">
        <f t="shared" si="42"/>
        <v>0</v>
      </c>
      <c r="I449" s="138">
        <f t="shared" si="43"/>
        <v>0</v>
      </c>
      <c r="J449" s="108"/>
    </row>
    <row r="450" spans="1:10" s="16" customFormat="1" ht="25.5" outlineLevel="3">
      <c r="A450" s="91"/>
      <c r="B450" s="35"/>
      <c r="C450" s="141" t="s">
        <v>1436</v>
      </c>
      <c r="D450" s="136" t="s">
        <v>38</v>
      </c>
      <c r="E450" s="137">
        <v>1</v>
      </c>
      <c r="F450" s="232">
        <v>0</v>
      </c>
      <c r="G450" s="232">
        <v>0</v>
      </c>
      <c r="H450" s="138">
        <f t="shared" si="42"/>
        <v>0</v>
      </c>
      <c r="I450" s="138">
        <f t="shared" si="43"/>
        <v>0</v>
      </c>
      <c r="J450" s="108"/>
    </row>
    <row r="451" spans="1:10" s="16" customFormat="1" ht="25.5" outlineLevel="3">
      <c r="A451" s="91"/>
      <c r="B451" s="35">
        <f>MAXA(B$5:B450)+1</f>
        <v>90</v>
      </c>
      <c r="C451" s="114" t="s">
        <v>1465</v>
      </c>
      <c r="D451" s="136" t="s">
        <v>38</v>
      </c>
      <c r="E451" s="137">
        <v>1</v>
      </c>
      <c r="F451" s="232">
        <v>8780022</v>
      </c>
      <c r="G451" s="232">
        <v>1563188</v>
      </c>
      <c r="H451" s="138">
        <f t="shared" si="42"/>
        <v>10343210</v>
      </c>
      <c r="I451" s="138">
        <f t="shared" si="43"/>
        <v>10343210</v>
      </c>
      <c r="J451" s="108"/>
    </row>
    <row r="452" spans="1:10" s="16" customFormat="1" ht="25.5" outlineLevel="3">
      <c r="A452" s="91"/>
      <c r="B452" s="35"/>
      <c r="C452" s="112" t="s">
        <v>141</v>
      </c>
      <c r="D452" s="136"/>
      <c r="E452" s="137"/>
      <c r="F452" s="232">
        <v>0</v>
      </c>
      <c r="G452" s="232">
        <v>0</v>
      </c>
      <c r="H452" s="138"/>
      <c r="I452" s="138"/>
      <c r="J452" s="108"/>
    </row>
    <row r="453" spans="1:10" s="16" customFormat="1" ht="25.5" outlineLevel="3">
      <c r="A453" s="91"/>
      <c r="B453" s="35"/>
      <c r="C453" s="142" t="s">
        <v>226</v>
      </c>
      <c r="D453" s="136" t="s">
        <v>28</v>
      </c>
      <c r="E453" s="137">
        <v>1</v>
      </c>
      <c r="F453" s="232">
        <v>0</v>
      </c>
      <c r="G453" s="232">
        <v>0</v>
      </c>
      <c r="H453" s="138">
        <f>G453+F453</f>
        <v>0</v>
      </c>
      <c r="I453" s="138">
        <f>H453*E453</f>
        <v>0</v>
      </c>
      <c r="J453" s="108"/>
    </row>
    <row r="454" spans="1:10" s="16" customFormat="1" ht="25.5" outlineLevel="3">
      <c r="A454" s="91"/>
      <c r="B454" s="35"/>
      <c r="C454" s="139" t="s">
        <v>573</v>
      </c>
      <c r="D454" s="136" t="s">
        <v>28</v>
      </c>
      <c r="E454" s="137">
        <v>1</v>
      </c>
      <c r="F454" s="232">
        <v>0</v>
      </c>
      <c r="G454" s="232">
        <v>0</v>
      </c>
      <c r="H454" s="138">
        <f>G454+F454</f>
        <v>0</v>
      </c>
      <c r="I454" s="138">
        <f>H454*E454</f>
        <v>0</v>
      </c>
      <c r="J454" s="108"/>
    </row>
    <row r="455" spans="1:10" s="16" customFormat="1" ht="25.5" outlineLevel="3">
      <c r="A455" s="91"/>
      <c r="B455" s="35"/>
      <c r="C455" s="139" t="s">
        <v>1439</v>
      </c>
      <c r="D455" s="136" t="s">
        <v>28</v>
      </c>
      <c r="E455" s="137">
        <v>1</v>
      </c>
      <c r="F455" s="232">
        <v>0</v>
      </c>
      <c r="G455" s="232">
        <v>0</v>
      </c>
      <c r="H455" s="138">
        <f>G455+F455</f>
        <v>0</v>
      </c>
      <c r="I455" s="138">
        <f>H455*E455</f>
        <v>0</v>
      </c>
      <c r="J455" s="108"/>
    </row>
    <row r="456" spans="1:10" s="16" customFormat="1" ht="25.5" outlineLevel="3">
      <c r="A456" s="91"/>
      <c r="B456" s="35"/>
      <c r="C456" s="112" t="s">
        <v>148</v>
      </c>
      <c r="D456" s="136"/>
      <c r="E456" s="137"/>
      <c r="F456" s="232">
        <v>0</v>
      </c>
      <c r="G456" s="232">
        <v>0</v>
      </c>
      <c r="H456" s="138"/>
      <c r="I456" s="138"/>
      <c r="J456" s="108"/>
    </row>
    <row r="457" spans="1:10" s="16" customFormat="1" ht="25.5" outlineLevel="3">
      <c r="A457" s="91"/>
      <c r="B457" s="35"/>
      <c r="C457" s="142" t="s">
        <v>170</v>
      </c>
      <c r="D457" s="136" t="s">
        <v>28</v>
      </c>
      <c r="E457" s="137">
        <v>2</v>
      </c>
      <c r="F457" s="232">
        <v>0</v>
      </c>
      <c r="G457" s="232">
        <v>0</v>
      </c>
      <c r="H457" s="138">
        <f t="shared" ref="H457:H462" si="44">G457+F457</f>
        <v>0</v>
      </c>
      <c r="I457" s="138">
        <f t="shared" ref="I457:I462" si="45">H457*E457</f>
        <v>0</v>
      </c>
      <c r="J457" s="108"/>
    </row>
    <row r="458" spans="1:10" s="16" customFormat="1" ht="25.5" outlineLevel="3">
      <c r="A458" s="91"/>
      <c r="B458" s="35"/>
      <c r="C458" s="142" t="s">
        <v>171</v>
      </c>
      <c r="D458" s="136" t="s">
        <v>28</v>
      </c>
      <c r="E458" s="137">
        <v>1</v>
      </c>
      <c r="F458" s="232">
        <v>0</v>
      </c>
      <c r="G458" s="232">
        <v>0</v>
      </c>
      <c r="H458" s="138">
        <f t="shared" si="44"/>
        <v>0</v>
      </c>
      <c r="I458" s="138">
        <f t="shared" si="45"/>
        <v>0</v>
      </c>
      <c r="J458" s="108"/>
    </row>
    <row r="459" spans="1:10" s="16" customFormat="1" ht="25.5" outlineLevel="3">
      <c r="A459" s="91"/>
      <c r="B459" s="35"/>
      <c r="C459" s="142" t="s">
        <v>172</v>
      </c>
      <c r="D459" s="136" t="s">
        <v>28</v>
      </c>
      <c r="E459" s="137">
        <v>2</v>
      </c>
      <c r="F459" s="232">
        <v>0</v>
      </c>
      <c r="G459" s="232">
        <v>0</v>
      </c>
      <c r="H459" s="138">
        <f t="shared" si="44"/>
        <v>0</v>
      </c>
      <c r="I459" s="138">
        <f t="shared" si="45"/>
        <v>0</v>
      </c>
      <c r="J459" s="108"/>
    </row>
    <row r="460" spans="1:10" s="16" customFormat="1" ht="25.5" outlineLevel="3">
      <c r="A460" s="91"/>
      <c r="B460" s="35"/>
      <c r="C460" s="142" t="s">
        <v>204</v>
      </c>
      <c r="D460" s="136" t="s">
        <v>28</v>
      </c>
      <c r="E460" s="137">
        <v>1</v>
      </c>
      <c r="F460" s="232">
        <v>0</v>
      </c>
      <c r="G460" s="232">
        <v>0</v>
      </c>
      <c r="H460" s="138">
        <f t="shared" si="44"/>
        <v>0</v>
      </c>
      <c r="I460" s="138">
        <f t="shared" si="45"/>
        <v>0</v>
      </c>
      <c r="J460" s="108"/>
    </row>
    <row r="461" spans="1:10" s="16" customFormat="1" ht="25.5" outlineLevel="3">
      <c r="A461" s="91"/>
      <c r="B461" s="35"/>
      <c r="C461" s="141" t="s">
        <v>1436</v>
      </c>
      <c r="D461" s="136" t="s">
        <v>38</v>
      </c>
      <c r="E461" s="137">
        <v>1</v>
      </c>
      <c r="F461" s="232">
        <v>0</v>
      </c>
      <c r="G461" s="232">
        <v>0</v>
      </c>
      <c r="H461" s="138">
        <f t="shared" si="44"/>
        <v>0</v>
      </c>
      <c r="I461" s="138">
        <f t="shared" si="45"/>
        <v>0</v>
      </c>
      <c r="J461" s="108"/>
    </row>
    <row r="462" spans="1:10" s="16" customFormat="1" ht="25.5" outlineLevel="3">
      <c r="A462" s="91"/>
      <c r="B462" s="35">
        <f>MAXA(B$5:B461)+1</f>
        <v>91</v>
      </c>
      <c r="C462" s="114" t="s">
        <v>1466</v>
      </c>
      <c r="D462" s="136" t="s">
        <v>38</v>
      </c>
      <c r="E462" s="137">
        <v>4</v>
      </c>
      <c r="F462" s="232">
        <v>4450975</v>
      </c>
      <c r="G462" s="232">
        <v>1563188</v>
      </c>
      <c r="H462" s="138">
        <f t="shared" si="44"/>
        <v>6014163</v>
      </c>
      <c r="I462" s="138">
        <f t="shared" si="45"/>
        <v>24056652</v>
      </c>
      <c r="J462" s="108"/>
    </row>
    <row r="463" spans="1:10" s="16" customFormat="1" ht="25.5" outlineLevel="3">
      <c r="A463" s="91"/>
      <c r="B463" s="35"/>
      <c r="C463" s="112" t="s">
        <v>141</v>
      </c>
      <c r="D463" s="136"/>
      <c r="E463" s="137"/>
      <c r="F463" s="232">
        <v>0</v>
      </c>
      <c r="G463" s="232">
        <v>0</v>
      </c>
      <c r="H463" s="138"/>
      <c r="I463" s="138"/>
      <c r="J463" s="108"/>
    </row>
    <row r="464" spans="1:10" s="16" customFormat="1" ht="25.5" outlineLevel="3">
      <c r="A464" s="91"/>
      <c r="B464" s="35"/>
      <c r="C464" s="142" t="s">
        <v>169</v>
      </c>
      <c r="D464" s="136" t="s">
        <v>28</v>
      </c>
      <c r="E464" s="137">
        <v>4</v>
      </c>
      <c r="F464" s="232">
        <v>0</v>
      </c>
      <c r="G464" s="232">
        <v>0</v>
      </c>
      <c r="H464" s="138">
        <f>G464+F464</f>
        <v>0</v>
      </c>
      <c r="I464" s="138">
        <f>H464*E464</f>
        <v>0</v>
      </c>
      <c r="J464" s="108"/>
    </row>
    <row r="465" spans="1:10" s="16" customFormat="1" ht="25.5" outlineLevel="3">
      <c r="A465" s="91"/>
      <c r="B465" s="35"/>
      <c r="C465" s="139" t="s">
        <v>573</v>
      </c>
      <c r="D465" s="136" t="s">
        <v>28</v>
      </c>
      <c r="E465" s="137">
        <v>4</v>
      </c>
      <c r="F465" s="232">
        <v>0</v>
      </c>
      <c r="G465" s="232">
        <v>0</v>
      </c>
      <c r="H465" s="138">
        <f>G465+F465</f>
        <v>0</v>
      </c>
      <c r="I465" s="138">
        <f>H465*E465</f>
        <v>0</v>
      </c>
      <c r="J465" s="108"/>
    </row>
    <row r="466" spans="1:10" s="16" customFormat="1" ht="25.5" outlineLevel="3">
      <c r="A466" s="91"/>
      <c r="B466" s="35"/>
      <c r="C466" s="139" t="s">
        <v>1439</v>
      </c>
      <c r="D466" s="136" t="s">
        <v>28</v>
      </c>
      <c r="E466" s="137">
        <v>4</v>
      </c>
      <c r="F466" s="232">
        <v>0</v>
      </c>
      <c r="G466" s="232">
        <v>0</v>
      </c>
      <c r="H466" s="138">
        <f>G466+F466</f>
        <v>0</v>
      </c>
      <c r="I466" s="138">
        <f>H466*E466</f>
        <v>0</v>
      </c>
      <c r="J466" s="108"/>
    </row>
    <row r="467" spans="1:10" s="16" customFormat="1" ht="25.5" outlineLevel="3">
      <c r="A467" s="91"/>
      <c r="B467" s="35"/>
      <c r="C467" s="112" t="s">
        <v>148</v>
      </c>
      <c r="D467" s="136"/>
      <c r="E467" s="137"/>
      <c r="F467" s="232">
        <v>0</v>
      </c>
      <c r="G467" s="232">
        <v>0</v>
      </c>
      <c r="H467" s="138"/>
      <c r="I467" s="138"/>
      <c r="J467" s="108"/>
    </row>
    <row r="468" spans="1:10" s="16" customFormat="1" ht="25.5" outlineLevel="3">
      <c r="A468" s="91"/>
      <c r="B468" s="35"/>
      <c r="C468" s="142" t="s">
        <v>170</v>
      </c>
      <c r="D468" s="136" t="s">
        <v>28</v>
      </c>
      <c r="E468" s="137">
        <v>4</v>
      </c>
      <c r="F468" s="232">
        <v>0</v>
      </c>
      <c r="G468" s="232">
        <v>0</v>
      </c>
      <c r="H468" s="138">
        <f>G468+F468</f>
        <v>0</v>
      </c>
      <c r="I468" s="138">
        <f>H468*E468</f>
        <v>0</v>
      </c>
      <c r="J468" s="108"/>
    </row>
    <row r="469" spans="1:10" s="16" customFormat="1" ht="25.5" outlineLevel="3">
      <c r="A469" s="91"/>
      <c r="B469" s="35"/>
      <c r="C469" s="142" t="s">
        <v>171</v>
      </c>
      <c r="D469" s="136" t="s">
        <v>28</v>
      </c>
      <c r="E469" s="137">
        <v>4</v>
      </c>
      <c r="F469" s="232">
        <v>0</v>
      </c>
      <c r="G469" s="232">
        <v>0</v>
      </c>
      <c r="H469" s="138">
        <f>G469+F469</f>
        <v>0</v>
      </c>
      <c r="I469" s="138">
        <f>H469*E469</f>
        <v>0</v>
      </c>
      <c r="J469" s="108"/>
    </row>
    <row r="470" spans="1:10" s="16" customFormat="1" ht="25.5" outlineLevel="3">
      <c r="A470" s="91"/>
      <c r="B470" s="35"/>
      <c r="C470" s="142" t="s">
        <v>172</v>
      </c>
      <c r="D470" s="136" t="s">
        <v>28</v>
      </c>
      <c r="E470" s="137">
        <v>4</v>
      </c>
      <c r="F470" s="232">
        <v>0</v>
      </c>
      <c r="G470" s="232">
        <v>0</v>
      </c>
      <c r="H470" s="138">
        <f>G470+F470</f>
        <v>0</v>
      </c>
      <c r="I470" s="138">
        <f>H470*E470</f>
        <v>0</v>
      </c>
      <c r="J470" s="108"/>
    </row>
    <row r="471" spans="1:10" s="16" customFormat="1" ht="25.5" outlineLevel="3">
      <c r="A471" s="91"/>
      <c r="B471" s="35"/>
      <c r="C471" s="141" t="s">
        <v>1436</v>
      </c>
      <c r="D471" s="136" t="s">
        <v>38</v>
      </c>
      <c r="E471" s="137">
        <v>4</v>
      </c>
      <c r="F471" s="232">
        <v>0</v>
      </c>
      <c r="G471" s="232">
        <v>0</v>
      </c>
      <c r="H471" s="138">
        <f>G471+F471</f>
        <v>0</v>
      </c>
      <c r="I471" s="138">
        <f>H471*E471</f>
        <v>0</v>
      </c>
      <c r="J471" s="108"/>
    </row>
    <row r="472" spans="1:10" s="16" customFormat="1" ht="25.5" outlineLevel="3">
      <c r="A472" s="91"/>
      <c r="B472" s="35">
        <f>MAXA(B$5:B471)+1</f>
        <v>92</v>
      </c>
      <c r="C472" s="114" t="s">
        <v>1467</v>
      </c>
      <c r="D472" s="136" t="s">
        <v>38</v>
      </c>
      <c r="E472" s="137">
        <v>1</v>
      </c>
      <c r="F472" s="232">
        <v>6479636</v>
      </c>
      <c r="G472" s="232">
        <v>1563188</v>
      </c>
      <c r="H472" s="138">
        <f>G472+F472</f>
        <v>8042824</v>
      </c>
      <c r="I472" s="138">
        <f>H472*E472</f>
        <v>8042824</v>
      </c>
      <c r="J472" s="108"/>
    </row>
    <row r="473" spans="1:10" s="16" customFormat="1" ht="25.5" outlineLevel="3">
      <c r="A473" s="91"/>
      <c r="B473" s="35"/>
      <c r="C473" s="112" t="s">
        <v>141</v>
      </c>
      <c r="D473" s="136"/>
      <c r="E473" s="137"/>
      <c r="F473" s="232">
        <v>0</v>
      </c>
      <c r="G473" s="232">
        <v>0</v>
      </c>
      <c r="H473" s="138"/>
      <c r="I473" s="138"/>
      <c r="J473" s="108"/>
    </row>
    <row r="474" spans="1:10" s="16" customFormat="1" ht="25.5" outlineLevel="3">
      <c r="A474" s="91"/>
      <c r="B474" s="35"/>
      <c r="C474" s="142" t="s">
        <v>226</v>
      </c>
      <c r="D474" s="136" t="s">
        <v>28</v>
      </c>
      <c r="E474" s="137">
        <v>1</v>
      </c>
      <c r="F474" s="232">
        <v>0</v>
      </c>
      <c r="G474" s="232">
        <v>0</v>
      </c>
      <c r="H474" s="138">
        <f>G474+F474</f>
        <v>0</v>
      </c>
      <c r="I474" s="138">
        <f>H474*E474</f>
        <v>0</v>
      </c>
      <c r="J474" s="108"/>
    </row>
    <row r="475" spans="1:10" s="16" customFormat="1" ht="25.5" outlineLevel="3">
      <c r="A475" s="91"/>
      <c r="B475" s="35"/>
      <c r="C475" s="139" t="s">
        <v>573</v>
      </c>
      <c r="D475" s="136" t="s">
        <v>28</v>
      </c>
      <c r="E475" s="137">
        <v>1</v>
      </c>
      <c r="F475" s="232">
        <v>0</v>
      </c>
      <c r="G475" s="232">
        <v>0</v>
      </c>
      <c r="H475" s="138">
        <f>G475+F475</f>
        <v>0</v>
      </c>
      <c r="I475" s="138">
        <f>H475*E475</f>
        <v>0</v>
      </c>
      <c r="J475" s="108"/>
    </row>
    <row r="476" spans="1:10" s="16" customFormat="1" ht="25.5" outlineLevel="3">
      <c r="A476" s="91"/>
      <c r="B476" s="35"/>
      <c r="C476" s="139" t="s">
        <v>1439</v>
      </c>
      <c r="D476" s="136" t="s">
        <v>28</v>
      </c>
      <c r="E476" s="137">
        <v>1</v>
      </c>
      <c r="F476" s="232">
        <v>0</v>
      </c>
      <c r="G476" s="232">
        <v>0</v>
      </c>
      <c r="H476" s="138">
        <f>G476+F476</f>
        <v>0</v>
      </c>
      <c r="I476" s="138">
        <f>H476*E476</f>
        <v>0</v>
      </c>
      <c r="J476" s="108"/>
    </row>
    <row r="477" spans="1:10" s="16" customFormat="1" ht="25.5" outlineLevel="3">
      <c r="A477" s="91"/>
      <c r="B477" s="35"/>
      <c r="C477" s="112" t="s">
        <v>148</v>
      </c>
      <c r="D477" s="136"/>
      <c r="E477" s="137"/>
      <c r="F477" s="232">
        <v>0</v>
      </c>
      <c r="G477" s="232">
        <v>0</v>
      </c>
      <c r="H477" s="138"/>
      <c r="I477" s="138"/>
      <c r="J477" s="108"/>
    </row>
    <row r="478" spans="1:10" s="16" customFormat="1" ht="25.5" outlineLevel="3">
      <c r="A478" s="91"/>
      <c r="B478" s="35"/>
      <c r="C478" s="142" t="s">
        <v>170</v>
      </c>
      <c r="D478" s="136" t="s">
        <v>28</v>
      </c>
      <c r="E478" s="137">
        <v>2</v>
      </c>
      <c r="F478" s="232">
        <v>0</v>
      </c>
      <c r="G478" s="232">
        <v>0</v>
      </c>
      <c r="H478" s="138">
        <f>G478+F478</f>
        <v>0</v>
      </c>
      <c r="I478" s="138">
        <f>H478*E478</f>
        <v>0</v>
      </c>
      <c r="J478" s="108"/>
    </row>
    <row r="479" spans="1:10" s="16" customFormat="1" ht="25.5" outlineLevel="3">
      <c r="A479" s="91"/>
      <c r="B479" s="35"/>
      <c r="C479" s="142" t="s">
        <v>171</v>
      </c>
      <c r="D479" s="136" t="s">
        <v>28</v>
      </c>
      <c r="E479" s="137">
        <v>1</v>
      </c>
      <c r="F479" s="232">
        <v>0</v>
      </c>
      <c r="G479" s="232">
        <v>0</v>
      </c>
      <c r="H479" s="138">
        <f>G479+F479</f>
        <v>0</v>
      </c>
      <c r="I479" s="138">
        <f>H479*E479</f>
        <v>0</v>
      </c>
      <c r="J479" s="108"/>
    </row>
    <row r="480" spans="1:10" s="16" customFormat="1" ht="25.5" outlineLevel="3">
      <c r="A480" s="91"/>
      <c r="B480" s="35"/>
      <c r="C480" s="142" t="s">
        <v>172</v>
      </c>
      <c r="D480" s="136" t="s">
        <v>28</v>
      </c>
      <c r="E480" s="137">
        <v>2</v>
      </c>
      <c r="F480" s="232">
        <v>0</v>
      </c>
      <c r="G480" s="232">
        <v>0</v>
      </c>
      <c r="H480" s="138">
        <f>G480+F480</f>
        <v>0</v>
      </c>
      <c r="I480" s="138">
        <f>H480*E480</f>
        <v>0</v>
      </c>
      <c r="J480" s="108"/>
    </row>
    <row r="481" spans="1:10" s="16" customFormat="1" ht="25.5" outlineLevel="3">
      <c r="A481" s="91"/>
      <c r="B481" s="35"/>
      <c r="C481" s="141" t="s">
        <v>1436</v>
      </c>
      <c r="D481" s="136" t="s">
        <v>38</v>
      </c>
      <c r="E481" s="137">
        <v>1</v>
      </c>
      <c r="F481" s="232">
        <v>0</v>
      </c>
      <c r="G481" s="232">
        <v>0</v>
      </c>
      <c r="H481" s="138">
        <f>G481+F481</f>
        <v>0</v>
      </c>
      <c r="I481" s="138">
        <f>H481*E481</f>
        <v>0</v>
      </c>
      <c r="J481" s="108"/>
    </row>
    <row r="482" spans="1:10" s="16" customFormat="1" ht="25.5" outlineLevel="3">
      <c r="A482" s="91"/>
      <c r="B482" s="35">
        <f>MAXA(B$5:B481)+1</f>
        <v>93</v>
      </c>
      <c r="C482" s="114" t="s">
        <v>1468</v>
      </c>
      <c r="D482" s="136" t="s">
        <v>38</v>
      </c>
      <c r="E482" s="137">
        <v>1</v>
      </c>
      <c r="F482" s="232">
        <v>4450975</v>
      </c>
      <c r="G482" s="232">
        <v>1563188</v>
      </c>
      <c r="H482" s="138">
        <f>G482+F482</f>
        <v>6014163</v>
      </c>
      <c r="I482" s="138">
        <f>H482*E482</f>
        <v>6014163</v>
      </c>
      <c r="J482" s="108"/>
    </row>
    <row r="483" spans="1:10" s="16" customFormat="1" ht="25.5" outlineLevel="3">
      <c r="A483" s="91"/>
      <c r="B483" s="35"/>
      <c r="C483" s="112" t="s">
        <v>141</v>
      </c>
      <c r="D483" s="136"/>
      <c r="E483" s="137"/>
      <c r="F483" s="232">
        <v>0</v>
      </c>
      <c r="G483" s="232">
        <v>0</v>
      </c>
      <c r="H483" s="138"/>
      <c r="I483" s="138"/>
      <c r="J483" s="108"/>
    </row>
    <row r="484" spans="1:10" s="16" customFormat="1" ht="25.5" outlineLevel="3">
      <c r="A484" s="91"/>
      <c r="B484" s="35"/>
      <c r="C484" s="142" t="s">
        <v>169</v>
      </c>
      <c r="D484" s="136" t="s">
        <v>28</v>
      </c>
      <c r="E484" s="137">
        <v>1</v>
      </c>
      <c r="F484" s="232">
        <v>0</v>
      </c>
      <c r="G484" s="232">
        <v>0</v>
      </c>
      <c r="H484" s="138">
        <f>G484+F484</f>
        <v>0</v>
      </c>
      <c r="I484" s="138">
        <f>H484*E484</f>
        <v>0</v>
      </c>
      <c r="J484" s="108"/>
    </row>
    <row r="485" spans="1:10" s="16" customFormat="1" ht="25.5" outlineLevel="3">
      <c r="A485" s="91"/>
      <c r="B485" s="35"/>
      <c r="C485" s="139" t="s">
        <v>573</v>
      </c>
      <c r="D485" s="136" t="s">
        <v>28</v>
      </c>
      <c r="E485" s="137">
        <v>1</v>
      </c>
      <c r="F485" s="232">
        <v>0</v>
      </c>
      <c r="G485" s="232">
        <v>0</v>
      </c>
      <c r="H485" s="138">
        <f>G485+F485</f>
        <v>0</v>
      </c>
      <c r="I485" s="138">
        <f>H485*E485</f>
        <v>0</v>
      </c>
      <c r="J485" s="108"/>
    </row>
    <row r="486" spans="1:10" s="16" customFormat="1" ht="25.5" outlineLevel="3">
      <c r="A486" s="91"/>
      <c r="B486" s="35"/>
      <c r="C486" s="139" t="s">
        <v>1439</v>
      </c>
      <c r="D486" s="136" t="s">
        <v>28</v>
      </c>
      <c r="E486" s="137">
        <v>1</v>
      </c>
      <c r="F486" s="232">
        <v>0</v>
      </c>
      <c r="G486" s="232">
        <v>0</v>
      </c>
      <c r="H486" s="138">
        <f>G486+F486</f>
        <v>0</v>
      </c>
      <c r="I486" s="138">
        <f>H486*E486</f>
        <v>0</v>
      </c>
      <c r="J486" s="108"/>
    </row>
    <row r="487" spans="1:10" s="16" customFormat="1" ht="25.5" outlineLevel="3">
      <c r="A487" s="91"/>
      <c r="B487" s="35"/>
      <c r="C487" s="112" t="s">
        <v>148</v>
      </c>
      <c r="D487" s="136"/>
      <c r="E487" s="137"/>
      <c r="F487" s="232">
        <v>0</v>
      </c>
      <c r="G487" s="232">
        <v>0</v>
      </c>
      <c r="H487" s="138"/>
      <c r="I487" s="138"/>
      <c r="J487" s="108"/>
    </row>
    <row r="488" spans="1:10" s="16" customFormat="1" ht="25.5" outlineLevel="3">
      <c r="A488" s="91"/>
      <c r="B488" s="35"/>
      <c r="C488" s="142" t="s">
        <v>170</v>
      </c>
      <c r="D488" s="136" t="s">
        <v>28</v>
      </c>
      <c r="E488" s="137">
        <v>1</v>
      </c>
      <c r="F488" s="232">
        <v>0</v>
      </c>
      <c r="G488" s="232">
        <v>0</v>
      </c>
      <c r="H488" s="138">
        <f>G488+F488</f>
        <v>0</v>
      </c>
      <c r="I488" s="138">
        <f>H488*E488</f>
        <v>0</v>
      </c>
      <c r="J488" s="108"/>
    </row>
    <row r="489" spans="1:10" s="16" customFormat="1" ht="25.5" outlineLevel="3">
      <c r="A489" s="91"/>
      <c r="B489" s="35"/>
      <c r="C489" s="142" t="s">
        <v>171</v>
      </c>
      <c r="D489" s="136" t="s">
        <v>28</v>
      </c>
      <c r="E489" s="137">
        <v>1</v>
      </c>
      <c r="F489" s="232">
        <v>0</v>
      </c>
      <c r="G489" s="232">
        <v>0</v>
      </c>
      <c r="H489" s="138">
        <f>G489+F489</f>
        <v>0</v>
      </c>
      <c r="I489" s="138">
        <f>H489*E489</f>
        <v>0</v>
      </c>
      <c r="J489" s="108"/>
    </row>
    <row r="490" spans="1:10" s="16" customFormat="1" ht="25.5" outlineLevel="3">
      <c r="A490" s="91"/>
      <c r="B490" s="35"/>
      <c r="C490" s="142" t="s">
        <v>172</v>
      </c>
      <c r="D490" s="136" t="s">
        <v>28</v>
      </c>
      <c r="E490" s="137">
        <v>1</v>
      </c>
      <c r="F490" s="232">
        <v>0</v>
      </c>
      <c r="G490" s="232">
        <v>0</v>
      </c>
      <c r="H490" s="138">
        <f>G490+F490</f>
        <v>0</v>
      </c>
      <c r="I490" s="138">
        <f>H490*E490</f>
        <v>0</v>
      </c>
      <c r="J490" s="108"/>
    </row>
    <row r="491" spans="1:10" s="16" customFormat="1" ht="25.5" outlineLevel="3">
      <c r="A491" s="91"/>
      <c r="B491" s="35"/>
      <c r="C491" s="141" t="s">
        <v>1436</v>
      </c>
      <c r="D491" s="136" t="s">
        <v>38</v>
      </c>
      <c r="E491" s="137">
        <v>1</v>
      </c>
      <c r="F491" s="232">
        <v>0</v>
      </c>
      <c r="G491" s="232">
        <v>0</v>
      </c>
      <c r="H491" s="138">
        <f>G491+F491</f>
        <v>0</v>
      </c>
      <c r="I491" s="138">
        <f>H491*E491</f>
        <v>0</v>
      </c>
      <c r="J491" s="108"/>
    </row>
    <row r="492" spans="1:10" s="16" customFormat="1" ht="25.5" outlineLevel="3">
      <c r="A492" s="91"/>
      <c r="B492" s="35">
        <f>MAXA(B$5:B491)+1</f>
        <v>94</v>
      </c>
      <c r="C492" s="114" t="s">
        <v>1469</v>
      </c>
      <c r="D492" s="136" t="s">
        <v>38</v>
      </c>
      <c r="E492" s="137">
        <v>1</v>
      </c>
      <c r="F492" s="232">
        <v>14495572</v>
      </c>
      <c r="G492" s="232">
        <v>1563188</v>
      </c>
      <c r="H492" s="138">
        <f>G492+F492</f>
        <v>16058760</v>
      </c>
      <c r="I492" s="138">
        <f>H492*E492</f>
        <v>16058760</v>
      </c>
      <c r="J492" s="108"/>
    </row>
    <row r="493" spans="1:10" s="16" customFormat="1" ht="25.5" outlineLevel="3">
      <c r="A493" s="91"/>
      <c r="B493" s="35"/>
      <c r="C493" s="112" t="s">
        <v>141</v>
      </c>
      <c r="D493" s="136"/>
      <c r="E493" s="137"/>
      <c r="F493" s="232">
        <v>0</v>
      </c>
      <c r="G493" s="232">
        <v>0</v>
      </c>
      <c r="H493" s="138"/>
      <c r="I493" s="138"/>
      <c r="J493" s="108"/>
    </row>
    <row r="494" spans="1:10" s="16" customFormat="1" ht="25.5" outlineLevel="3">
      <c r="A494" s="91"/>
      <c r="B494" s="35"/>
      <c r="C494" s="142" t="s">
        <v>226</v>
      </c>
      <c r="D494" s="136" t="s">
        <v>28</v>
      </c>
      <c r="E494" s="137">
        <v>1</v>
      </c>
      <c r="F494" s="232">
        <v>0</v>
      </c>
      <c r="G494" s="232">
        <v>0</v>
      </c>
      <c r="H494" s="138">
        <f>G494+F494</f>
        <v>0</v>
      </c>
      <c r="I494" s="138">
        <f>H494*E494</f>
        <v>0</v>
      </c>
      <c r="J494" s="108"/>
    </row>
    <row r="495" spans="1:10" s="16" customFormat="1" ht="25.5" outlineLevel="3">
      <c r="A495" s="91"/>
      <c r="B495" s="35"/>
      <c r="C495" s="139" t="s">
        <v>573</v>
      </c>
      <c r="D495" s="136" t="s">
        <v>28</v>
      </c>
      <c r="E495" s="137">
        <v>1</v>
      </c>
      <c r="F495" s="232">
        <v>0</v>
      </c>
      <c r="G495" s="232">
        <v>0</v>
      </c>
      <c r="H495" s="138">
        <f>G495+F495</f>
        <v>0</v>
      </c>
      <c r="I495" s="138">
        <f>H495*E495</f>
        <v>0</v>
      </c>
      <c r="J495" s="108"/>
    </row>
    <row r="496" spans="1:10" s="16" customFormat="1" ht="25.5" outlineLevel="3">
      <c r="A496" s="91"/>
      <c r="B496" s="35"/>
      <c r="C496" s="139" t="s">
        <v>1439</v>
      </c>
      <c r="D496" s="136" t="s">
        <v>28</v>
      </c>
      <c r="E496" s="137">
        <v>1</v>
      </c>
      <c r="F496" s="232">
        <v>0</v>
      </c>
      <c r="G496" s="232">
        <v>0</v>
      </c>
      <c r="H496" s="138">
        <f>G496+F496</f>
        <v>0</v>
      </c>
      <c r="I496" s="138">
        <f>H496*E496</f>
        <v>0</v>
      </c>
      <c r="J496" s="108"/>
    </row>
    <row r="497" spans="1:10" s="16" customFormat="1" ht="25.5" outlineLevel="3">
      <c r="A497" s="91"/>
      <c r="B497" s="35"/>
      <c r="C497" s="112" t="s">
        <v>148</v>
      </c>
      <c r="D497" s="136"/>
      <c r="E497" s="137"/>
      <c r="F497" s="232">
        <v>0</v>
      </c>
      <c r="G497" s="232">
        <v>0</v>
      </c>
      <c r="H497" s="138"/>
      <c r="I497" s="138"/>
      <c r="J497" s="108"/>
    </row>
    <row r="498" spans="1:10" s="16" customFormat="1" ht="25.5" outlineLevel="3">
      <c r="A498" s="91"/>
      <c r="B498" s="35"/>
      <c r="C498" s="142" t="s">
        <v>170</v>
      </c>
      <c r="D498" s="136" t="s">
        <v>28</v>
      </c>
      <c r="E498" s="137">
        <v>2</v>
      </c>
      <c r="F498" s="232">
        <v>0</v>
      </c>
      <c r="G498" s="232">
        <v>0</v>
      </c>
      <c r="H498" s="138">
        <f t="shared" ref="H498:H504" si="46">G498+F498</f>
        <v>0</v>
      </c>
      <c r="I498" s="138">
        <f t="shared" ref="I498:I504" si="47">H498*E498</f>
        <v>0</v>
      </c>
      <c r="J498" s="108"/>
    </row>
    <row r="499" spans="1:10" s="16" customFormat="1" ht="25.5" outlineLevel="3">
      <c r="A499" s="91"/>
      <c r="B499" s="35"/>
      <c r="C499" s="142" t="s">
        <v>171</v>
      </c>
      <c r="D499" s="136" t="s">
        <v>28</v>
      </c>
      <c r="E499" s="137">
        <v>1</v>
      </c>
      <c r="F499" s="232">
        <v>0</v>
      </c>
      <c r="G499" s="232">
        <v>0</v>
      </c>
      <c r="H499" s="138">
        <f t="shared" si="46"/>
        <v>0</v>
      </c>
      <c r="I499" s="138">
        <f t="shared" si="47"/>
        <v>0</v>
      </c>
      <c r="J499" s="108"/>
    </row>
    <row r="500" spans="1:10" s="16" customFormat="1" ht="25.5" outlineLevel="3">
      <c r="A500" s="91"/>
      <c r="B500" s="35"/>
      <c r="C500" s="142" t="s">
        <v>172</v>
      </c>
      <c r="D500" s="136" t="s">
        <v>28</v>
      </c>
      <c r="E500" s="137">
        <v>3</v>
      </c>
      <c r="F500" s="232">
        <v>0</v>
      </c>
      <c r="G500" s="232">
        <v>0</v>
      </c>
      <c r="H500" s="138">
        <f t="shared" si="46"/>
        <v>0</v>
      </c>
      <c r="I500" s="138">
        <f t="shared" si="47"/>
        <v>0</v>
      </c>
      <c r="J500" s="108"/>
    </row>
    <row r="501" spans="1:10" s="16" customFormat="1" ht="25.5" outlineLevel="3">
      <c r="A501" s="91"/>
      <c r="B501" s="35"/>
      <c r="C501" s="142" t="s">
        <v>178</v>
      </c>
      <c r="D501" s="136" t="s">
        <v>28</v>
      </c>
      <c r="E501" s="137">
        <v>1</v>
      </c>
      <c r="F501" s="232">
        <v>0</v>
      </c>
      <c r="G501" s="232">
        <v>0</v>
      </c>
      <c r="H501" s="138">
        <f t="shared" si="46"/>
        <v>0</v>
      </c>
      <c r="I501" s="138">
        <f t="shared" si="47"/>
        <v>0</v>
      </c>
      <c r="J501" s="108"/>
    </row>
    <row r="502" spans="1:10" s="16" customFormat="1" ht="25.5" outlineLevel="3">
      <c r="A502" s="91"/>
      <c r="B502" s="35"/>
      <c r="C502" s="142" t="s">
        <v>173</v>
      </c>
      <c r="D502" s="136" t="s">
        <v>28</v>
      </c>
      <c r="E502" s="137">
        <v>1</v>
      </c>
      <c r="F502" s="232">
        <v>0</v>
      </c>
      <c r="G502" s="232">
        <v>0</v>
      </c>
      <c r="H502" s="138">
        <f t="shared" si="46"/>
        <v>0</v>
      </c>
      <c r="I502" s="138">
        <f t="shared" si="47"/>
        <v>0</v>
      </c>
      <c r="J502" s="108"/>
    </row>
    <row r="503" spans="1:10" s="16" customFormat="1" ht="25.5" outlineLevel="3">
      <c r="A503" s="91"/>
      <c r="B503" s="35"/>
      <c r="C503" s="141" t="s">
        <v>1436</v>
      </c>
      <c r="D503" s="136" t="s">
        <v>38</v>
      </c>
      <c r="E503" s="137">
        <v>1</v>
      </c>
      <c r="F503" s="232">
        <v>0</v>
      </c>
      <c r="G503" s="232">
        <v>0</v>
      </c>
      <c r="H503" s="138">
        <f t="shared" si="46"/>
        <v>0</v>
      </c>
      <c r="I503" s="138">
        <f t="shared" si="47"/>
        <v>0</v>
      </c>
      <c r="J503" s="108"/>
    </row>
    <row r="504" spans="1:10" s="16" customFormat="1" ht="25.5" outlineLevel="3">
      <c r="A504" s="91"/>
      <c r="B504" s="35">
        <f>MAXA(B$5:B503)+1</f>
        <v>95</v>
      </c>
      <c r="C504" s="114" t="s">
        <v>1470</v>
      </c>
      <c r="D504" s="136" t="s">
        <v>38</v>
      </c>
      <c r="E504" s="137">
        <v>1</v>
      </c>
      <c r="F504" s="232">
        <v>4450975</v>
      </c>
      <c r="G504" s="232">
        <v>1563188</v>
      </c>
      <c r="H504" s="138">
        <f t="shared" si="46"/>
        <v>6014163</v>
      </c>
      <c r="I504" s="138">
        <f t="shared" si="47"/>
        <v>6014163</v>
      </c>
      <c r="J504" s="108"/>
    </row>
    <row r="505" spans="1:10" s="16" customFormat="1" ht="25.5" outlineLevel="3">
      <c r="A505" s="91"/>
      <c r="B505" s="35"/>
      <c r="C505" s="112" t="s">
        <v>141</v>
      </c>
      <c r="D505" s="136"/>
      <c r="E505" s="137"/>
      <c r="F505" s="232">
        <v>0</v>
      </c>
      <c r="G505" s="232">
        <v>0</v>
      </c>
      <c r="H505" s="138"/>
      <c r="I505" s="138"/>
      <c r="J505" s="108"/>
    </row>
    <row r="506" spans="1:10" s="16" customFormat="1" ht="25.5" outlineLevel="3">
      <c r="A506" s="91"/>
      <c r="B506" s="35"/>
      <c r="C506" s="142" t="s">
        <v>169</v>
      </c>
      <c r="D506" s="136" t="s">
        <v>28</v>
      </c>
      <c r="E506" s="137">
        <v>1</v>
      </c>
      <c r="F506" s="232">
        <v>0</v>
      </c>
      <c r="G506" s="232">
        <v>0</v>
      </c>
      <c r="H506" s="138">
        <f>G506+F506</f>
        <v>0</v>
      </c>
      <c r="I506" s="138">
        <f>H506*E506</f>
        <v>0</v>
      </c>
      <c r="J506" s="108"/>
    </row>
    <row r="507" spans="1:10" s="16" customFormat="1" ht="25.5" outlineLevel="3">
      <c r="A507" s="91"/>
      <c r="B507" s="35"/>
      <c r="C507" s="139" t="s">
        <v>573</v>
      </c>
      <c r="D507" s="136" t="s">
        <v>28</v>
      </c>
      <c r="E507" s="137">
        <v>1</v>
      </c>
      <c r="F507" s="232">
        <v>0</v>
      </c>
      <c r="G507" s="232">
        <v>0</v>
      </c>
      <c r="H507" s="138">
        <f>G507+F507</f>
        <v>0</v>
      </c>
      <c r="I507" s="138">
        <f>H507*E507</f>
        <v>0</v>
      </c>
      <c r="J507" s="108"/>
    </row>
    <row r="508" spans="1:10" s="16" customFormat="1" ht="25.5" outlineLevel="3">
      <c r="A508" s="91"/>
      <c r="B508" s="35"/>
      <c r="C508" s="139" t="s">
        <v>1439</v>
      </c>
      <c r="D508" s="136" t="s">
        <v>28</v>
      </c>
      <c r="E508" s="137">
        <v>1</v>
      </c>
      <c r="F508" s="232">
        <v>0</v>
      </c>
      <c r="G508" s="232">
        <v>0</v>
      </c>
      <c r="H508" s="138">
        <f>G508+F508</f>
        <v>0</v>
      </c>
      <c r="I508" s="138">
        <f>H508*E508</f>
        <v>0</v>
      </c>
      <c r="J508" s="108"/>
    </row>
    <row r="509" spans="1:10" s="16" customFormat="1" ht="25.5" outlineLevel="3">
      <c r="A509" s="91"/>
      <c r="B509" s="35"/>
      <c r="C509" s="112" t="s">
        <v>148</v>
      </c>
      <c r="D509" s="136"/>
      <c r="E509" s="137"/>
      <c r="F509" s="232">
        <v>0</v>
      </c>
      <c r="G509" s="232">
        <v>0</v>
      </c>
      <c r="H509" s="138"/>
      <c r="I509" s="138"/>
      <c r="J509" s="108"/>
    </row>
    <row r="510" spans="1:10" s="16" customFormat="1" ht="25.5" outlineLevel="3">
      <c r="A510" s="91"/>
      <c r="B510" s="35"/>
      <c r="C510" s="142" t="s">
        <v>170</v>
      </c>
      <c r="D510" s="136" t="s">
        <v>28</v>
      </c>
      <c r="E510" s="137">
        <v>1</v>
      </c>
      <c r="F510" s="232">
        <v>0</v>
      </c>
      <c r="G510" s="232">
        <v>0</v>
      </c>
      <c r="H510" s="138">
        <f>G510+F510</f>
        <v>0</v>
      </c>
      <c r="I510" s="138">
        <f>H510*E510</f>
        <v>0</v>
      </c>
      <c r="J510" s="108"/>
    </row>
    <row r="511" spans="1:10" s="16" customFormat="1" ht="25.5" outlineLevel="3">
      <c r="A511" s="91"/>
      <c r="B511" s="35"/>
      <c r="C511" s="142" t="s">
        <v>171</v>
      </c>
      <c r="D511" s="136" t="s">
        <v>28</v>
      </c>
      <c r="E511" s="137">
        <v>1</v>
      </c>
      <c r="F511" s="232">
        <v>0</v>
      </c>
      <c r="G511" s="232">
        <v>0</v>
      </c>
      <c r="H511" s="138">
        <f>G511+F511</f>
        <v>0</v>
      </c>
      <c r="I511" s="138">
        <f>H511*E511</f>
        <v>0</v>
      </c>
      <c r="J511" s="108"/>
    </row>
    <row r="512" spans="1:10" s="16" customFormat="1" ht="25.5" outlineLevel="3">
      <c r="A512" s="91"/>
      <c r="B512" s="35"/>
      <c r="C512" s="142" t="s">
        <v>172</v>
      </c>
      <c r="D512" s="136" t="s">
        <v>28</v>
      </c>
      <c r="E512" s="137">
        <v>1</v>
      </c>
      <c r="F512" s="232">
        <v>0</v>
      </c>
      <c r="G512" s="232">
        <v>0</v>
      </c>
      <c r="H512" s="138">
        <f>G512+F512</f>
        <v>0</v>
      </c>
      <c r="I512" s="138">
        <f>H512*E512</f>
        <v>0</v>
      </c>
      <c r="J512" s="108"/>
    </row>
    <row r="513" spans="1:10" s="16" customFormat="1" ht="25.5" outlineLevel="3">
      <c r="A513" s="91"/>
      <c r="B513" s="35"/>
      <c r="C513" s="141" t="s">
        <v>1436</v>
      </c>
      <c r="D513" s="136" t="s">
        <v>38</v>
      </c>
      <c r="E513" s="137">
        <v>1</v>
      </c>
      <c r="F513" s="232">
        <v>0</v>
      </c>
      <c r="G513" s="232">
        <v>0</v>
      </c>
      <c r="H513" s="138">
        <f>G513+F513</f>
        <v>0</v>
      </c>
      <c r="I513" s="138">
        <f>H513*E513</f>
        <v>0</v>
      </c>
      <c r="J513" s="108"/>
    </row>
    <row r="514" spans="1:10" s="16" customFormat="1" ht="25.5" outlineLevel="3">
      <c r="A514" s="91"/>
      <c r="B514" s="35">
        <f>MAXA(B$5:B513)+1</f>
        <v>96</v>
      </c>
      <c r="C514" s="114" t="s">
        <v>248</v>
      </c>
      <c r="D514" s="136" t="s">
        <v>38</v>
      </c>
      <c r="E514" s="137">
        <v>1</v>
      </c>
      <c r="F514" s="232">
        <v>64453794</v>
      </c>
      <c r="G514" s="232">
        <v>1563188</v>
      </c>
      <c r="H514" s="138">
        <f>G514+F514</f>
        <v>66016982</v>
      </c>
      <c r="I514" s="138">
        <f>H514*E514</f>
        <v>66016982</v>
      </c>
      <c r="J514" s="108"/>
    </row>
    <row r="515" spans="1:10" s="16" customFormat="1" ht="25.5" outlineLevel="3">
      <c r="A515" s="91"/>
      <c r="B515" s="35"/>
      <c r="C515" s="112" t="s">
        <v>141</v>
      </c>
      <c r="D515" s="136"/>
      <c r="E515" s="137"/>
      <c r="F515" s="232">
        <v>0</v>
      </c>
      <c r="G515" s="232">
        <v>0</v>
      </c>
      <c r="H515" s="138"/>
      <c r="I515" s="138"/>
      <c r="J515" s="108"/>
    </row>
    <row r="516" spans="1:10" s="16" customFormat="1" ht="25.5" outlineLevel="3">
      <c r="A516" s="91"/>
      <c r="B516" s="35"/>
      <c r="C516" s="142" t="s">
        <v>142</v>
      </c>
      <c r="D516" s="136" t="s">
        <v>28</v>
      </c>
      <c r="E516" s="137">
        <v>1</v>
      </c>
      <c r="F516" s="232">
        <v>0</v>
      </c>
      <c r="G516" s="232">
        <v>0</v>
      </c>
      <c r="H516" s="138">
        <f t="shared" ref="H516:H523" si="48">G516+F516</f>
        <v>0</v>
      </c>
      <c r="I516" s="138">
        <f t="shared" ref="I516:I523" si="49">H516*E516</f>
        <v>0</v>
      </c>
      <c r="J516" s="108"/>
    </row>
    <row r="517" spans="1:10" s="16" customFormat="1" ht="25.5" outlineLevel="3">
      <c r="A517" s="91"/>
      <c r="B517" s="35"/>
      <c r="C517" s="139" t="s">
        <v>573</v>
      </c>
      <c r="D517" s="136" t="s">
        <v>28</v>
      </c>
      <c r="E517" s="137">
        <v>9</v>
      </c>
      <c r="F517" s="232">
        <v>0</v>
      </c>
      <c r="G517" s="232">
        <v>0</v>
      </c>
      <c r="H517" s="138">
        <f t="shared" si="48"/>
        <v>0</v>
      </c>
      <c r="I517" s="138">
        <f t="shared" si="49"/>
        <v>0</v>
      </c>
      <c r="J517" s="108"/>
    </row>
    <row r="518" spans="1:10" s="16" customFormat="1" ht="25.5" outlineLevel="3">
      <c r="A518" s="91"/>
      <c r="B518" s="35"/>
      <c r="C518" s="139" t="s">
        <v>574</v>
      </c>
      <c r="D518" s="136" t="s">
        <v>28</v>
      </c>
      <c r="E518" s="137">
        <v>6</v>
      </c>
      <c r="F518" s="232">
        <v>0</v>
      </c>
      <c r="G518" s="232">
        <v>0</v>
      </c>
      <c r="H518" s="138">
        <f t="shared" si="48"/>
        <v>0</v>
      </c>
      <c r="I518" s="138">
        <f t="shared" si="49"/>
        <v>0</v>
      </c>
      <c r="J518" s="108"/>
    </row>
    <row r="519" spans="1:10" s="16" customFormat="1" ht="25.5" outlineLevel="3">
      <c r="A519" s="91"/>
      <c r="B519" s="35"/>
      <c r="C519" s="139" t="s">
        <v>143</v>
      </c>
      <c r="D519" s="136" t="s">
        <v>28</v>
      </c>
      <c r="E519" s="137">
        <v>1</v>
      </c>
      <c r="F519" s="232">
        <v>0</v>
      </c>
      <c r="G519" s="232">
        <v>0</v>
      </c>
      <c r="H519" s="138">
        <f t="shared" si="48"/>
        <v>0</v>
      </c>
      <c r="I519" s="138">
        <f t="shared" si="49"/>
        <v>0</v>
      </c>
      <c r="J519" s="108"/>
    </row>
    <row r="520" spans="1:10" s="16" customFormat="1" ht="25.5" outlineLevel="3">
      <c r="A520" s="91"/>
      <c r="B520" s="35"/>
      <c r="C520" s="139" t="s">
        <v>144</v>
      </c>
      <c r="D520" s="136" t="s">
        <v>28</v>
      </c>
      <c r="E520" s="137">
        <v>1</v>
      </c>
      <c r="F520" s="232">
        <v>0</v>
      </c>
      <c r="G520" s="232">
        <v>0</v>
      </c>
      <c r="H520" s="138">
        <f t="shared" si="48"/>
        <v>0</v>
      </c>
      <c r="I520" s="138">
        <f t="shared" si="49"/>
        <v>0</v>
      </c>
      <c r="J520" s="108"/>
    </row>
    <row r="521" spans="1:10" s="16" customFormat="1" ht="25.5" outlineLevel="3">
      <c r="A521" s="91"/>
      <c r="B521" s="35"/>
      <c r="C521" s="141" t="s">
        <v>249</v>
      </c>
      <c r="D521" s="136" t="s">
        <v>28</v>
      </c>
      <c r="E521" s="137">
        <v>1</v>
      </c>
      <c r="F521" s="232">
        <v>0</v>
      </c>
      <c r="G521" s="232">
        <v>0</v>
      </c>
      <c r="H521" s="138">
        <f t="shared" si="48"/>
        <v>0</v>
      </c>
      <c r="I521" s="138">
        <f t="shared" si="49"/>
        <v>0</v>
      </c>
      <c r="J521" s="108"/>
    </row>
    <row r="522" spans="1:10" s="16" customFormat="1" ht="25.5" outlineLevel="3">
      <c r="A522" s="91"/>
      <c r="B522" s="35"/>
      <c r="C522" s="139" t="s">
        <v>146</v>
      </c>
      <c r="D522" s="136" t="s">
        <v>28</v>
      </c>
      <c r="E522" s="137">
        <v>1</v>
      </c>
      <c r="F522" s="232">
        <v>0</v>
      </c>
      <c r="G522" s="232">
        <v>0</v>
      </c>
      <c r="H522" s="138">
        <f t="shared" si="48"/>
        <v>0</v>
      </c>
      <c r="I522" s="138">
        <f t="shared" si="49"/>
        <v>0</v>
      </c>
      <c r="J522" s="108"/>
    </row>
    <row r="523" spans="1:10" s="16" customFormat="1" ht="25.5" outlineLevel="3">
      <c r="A523" s="91"/>
      <c r="B523" s="35"/>
      <c r="C523" s="139" t="s">
        <v>250</v>
      </c>
      <c r="D523" s="136" t="s">
        <v>28</v>
      </c>
      <c r="E523" s="137">
        <v>3</v>
      </c>
      <c r="F523" s="232">
        <v>0</v>
      </c>
      <c r="G523" s="232">
        <v>0</v>
      </c>
      <c r="H523" s="138">
        <f t="shared" si="48"/>
        <v>0</v>
      </c>
      <c r="I523" s="138">
        <f t="shared" si="49"/>
        <v>0</v>
      </c>
      <c r="J523" s="108"/>
    </row>
    <row r="524" spans="1:10" s="16" customFormat="1" ht="25.5" outlineLevel="3">
      <c r="A524" s="91"/>
      <c r="B524" s="35"/>
      <c r="C524" s="112" t="s">
        <v>148</v>
      </c>
      <c r="D524" s="136"/>
      <c r="E524" s="137"/>
      <c r="F524" s="232">
        <v>0</v>
      </c>
      <c r="G524" s="232">
        <v>0</v>
      </c>
      <c r="H524" s="138"/>
      <c r="I524" s="138"/>
      <c r="J524" s="108"/>
    </row>
    <row r="525" spans="1:10" s="16" customFormat="1" ht="25.5" outlineLevel="3">
      <c r="A525" s="91"/>
      <c r="B525" s="35"/>
      <c r="C525" s="142" t="s">
        <v>149</v>
      </c>
      <c r="D525" s="136" t="s">
        <v>28</v>
      </c>
      <c r="E525" s="137">
        <v>13</v>
      </c>
      <c r="F525" s="232">
        <v>0</v>
      </c>
      <c r="G525" s="232">
        <v>0</v>
      </c>
      <c r="H525" s="138">
        <f t="shared" ref="H525:H537" si="50">G525+F525</f>
        <v>0</v>
      </c>
      <c r="I525" s="138">
        <f t="shared" ref="I525:I537" si="51">H525*E525</f>
        <v>0</v>
      </c>
      <c r="J525" s="108"/>
    </row>
    <row r="526" spans="1:10" s="16" customFormat="1" ht="25.5" outlineLevel="3">
      <c r="A526" s="91"/>
      <c r="B526" s="35"/>
      <c r="C526" s="142" t="s">
        <v>150</v>
      </c>
      <c r="D526" s="136" t="s">
        <v>28</v>
      </c>
      <c r="E526" s="137">
        <v>1</v>
      </c>
      <c r="F526" s="232">
        <v>0</v>
      </c>
      <c r="G526" s="232">
        <v>0</v>
      </c>
      <c r="H526" s="138">
        <f t="shared" si="50"/>
        <v>0</v>
      </c>
      <c r="I526" s="138">
        <f t="shared" si="51"/>
        <v>0</v>
      </c>
      <c r="J526" s="108"/>
    </row>
    <row r="527" spans="1:10" s="16" customFormat="1" ht="25.5" outlineLevel="3">
      <c r="A527" s="91"/>
      <c r="B527" s="35"/>
      <c r="C527" s="142" t="s">
        <v>151</v>
      </c>
      <c r="D527" s="136" t="s">
        <v>28</v>
      </c>
      <c r="E527" s="137">
        <v>8</v>
      </c>
      <c r="F527" s="232">
        <v>0</v>
      </c>
      <c r="G527" s="232">
        <v>0</v>
      </c>
      <c r="H527" s="138">
        <f t="shared" si="50"/>
        <v>0</v>
      </c>
      <c r="I527" s="138">
        <f t="shared" si="51"/>
        <v>0</v>
      </c>
      <c r="J527" s="108"/>
    </row>
    <row r="528" spans="1:10" s="16" customFormat="1" ht="25.5" outlineLevel="3">
      <c r="A528" s="91"/>
      <c r="B528" s="35"/>
      <c r="C528" s="142" t="s">
        <v>153</v>
      </c>
      <c r="D528" s="136" t="s">
        <v>28</v>
      </c>
      <c r="E528" s="137">
        <v>2</v>
      </c>
      <c r="F528" s="232">
        <v>0</v>
      </c>
      <c r="G528" s="232">
        <v>0</v>
      </c>
      <c r="H528" s="138">
        <f t="shared" si="50"/>
        <v>0</v>
      </c>
      <c r="I528" s="138">
        <f t="shared" si="51"/>
        <v>0</v>
      </c>
      <c r="J528" s="108"/>
    </row>
    <row r="529" spans="1:10" s="16" customFormat="1" ht="25.5" outlineLevel="3">
      <c r="A529" s="91"/>
      <c r="B529" s="35"/>
      <c r="C529" s="142" t="s">
        <v>212</v>
      </c>
      <c r="D529" s="136" t="s">
        <v>28</v>
      </c>
      <c r="E529" s="137">
        <v>1</v>
      </c>
      <c r="F529" s="232">
        <v>0</v>
      </c>
      <c r="G529" s="232">
        <v>0</v>
      </c>
      <c r="H529" s="138">
        <f t="shared" si="50"/>
        <v>0</v>
      </c>
      <c r="I529" s="138">
        <f t="shared" si="51"/>
        <v>0</v>
      </c>
      <c r="J529" s="108"/>
    </row>
    <row r="530" spans="1:10" s="16" customFormat="1" ht="25.5" outlineLevel="3">
      <c r="A530" s="91"/>
      <c r="B530" s="35"/>
      <c r="C530" s="142" t="s">
        <v>203</v>
      </c>
      <c r="D530" s="136" t="s">
        <v>28</v>
      </c>
      <c r="E530" s="137">
        <v>1</v>
      </c>
      <c r="F530" s="232">
        <v>0</v>
      </c>
      <c r="G530" s="232">
        <v>0</v>
      </c>
      <c r="H530" s="138">
        <f t="shared" si="50"/>
        <v>0</v>
      </c>
      <c r="I530" s="138">
        <f t="shared" si="51"/>
        <v>0</v>
      </c>
      <c r="J530" s="108"/>
    </row>
    <row r="531" spans="1:10" s="16" customFormat="1" ht="25.5" outlineLevel="3">
      <c r="A531" s="91"/>
      <c r="B531" s="35"/>
      <c r="C531" s="139" t="s">
        <v>161</v>
      </c>
      <c r="D531" s="136" t="s">
        <v>194</v>
      </c>
      <c r="E531" s="137">
        <v>1</v>
      </c>
      <c r="F531" s="232">
        <v>0</v>
      </c>
      <c r="G531" s="232">
        <v>0</v>
      </c>
      <c r="H531" s="138">
        <f t="shared" si="50"/>
        <v>0</v>
      </c>
      <c r="I531" s="138">
        <f t="shared" si="51"/>
        <v>0</v>
      </c>
      <c r="J531" s="108"/>
    </row>
    <row r="532" spans="1:10" s="16" customFormat="1" ht="25.5" outlineLevel="3">
      <c r="A532" s="91"/>
      <c r="B532" s="35"/>
      <c r="C532" s="142" t="s">
        <v>163</v>
      </c>
      <c r="D532" s="136" t="s">
        <v>28</v>
      </c>
      <c r="E532" s="137">
        <v>5</v>
      </c>
      <c r="F532" s="232">
        <v>0</v>
      </c>
      <c r="G532" s="232">
        <v>0</v>
      </c>
      <c r="H532" s="138">
        <f t="shared" si="50"/>
        <v>0</v>
      </c>
      <c r="I532" s="138">
        <f t="shared" si="51"/>
        <v>0</v>
      </c>
      <c r="J532" s="108"/>
    </row>
    <row r="533" spans="1:10" s="16" customFormat="1" ht="25.5" outlineLevel="3">
      <c r="A533" s="91"/>
      <c r="B533" s="35"/>
      <c r="C533" s="142" t="s">
        <v>165</v>
      </c>
      <c r="D533" s="136" t="s">
        <v>28</v>
      </c>
      <c r="E533" s="137">
        <v>2</v>
      </c>
      <c r="F533" s="232">
        <v>0</v>
      </c>
      <c r="G533" s="232">
        <v>0</v>
      </c>
      <c r="H533" s="138">
        <f t="shared" si="50"/>
        <v>0</v>
      </c>
      <c r="I533" s="138">
        <f t="shared" si="51"/>
        <v>0</v>
      </c>
      <c r="J533" s="108"/>
    </row>
    <row r="534" spans="1:10" s="16" customFormat="1" ht="25.5" outlineLevel="3">
      <c r="A534" s="91"/>
      <c r="B534" s="35"/>
      <c r="C534" s="141" t="s">
        <v>166</v>
      </c>
      <c r="D534" s="136" t="s">
        <v>28</v>
      </c>
      <c r="E534" s="137">
        <v>4</v>
      </c>
      <c r="F534" s="232">
        <v>0</v>
      </c>
      <c r="G534" s="232">
        <v>0</v>
      </c>
      <c r="H534" s="138">
        <f t="shared" si="50"/>
        <v>0</v>
      </c>
      <c r="I534" s="138">
        <f t="shared" si="51"/>
        <v>0</v>
      </c>
      <c r="J534" s="108"/>
    </row>
    <row r="535" spans="1:10" s="16" customFormat="1" ht="25.5" outlineLevel="3">
      <c r="A535" s="91"/>
      <c r="B535" s="35"/>
      <c r="C535" s="141" t="s">
        <v>167</v>
      </c>
      <c r="D535" s="136" t="s">
        <v>28</v>
      </c>
      <c r="E535" s="137">
        <v>4</v>
      </c>
      <c r="F535" s="232">
        <v>0</v>
      </c>
      <c r="G535" s="232">
        <v>0</v>
      </c>
      <c r="H535" s="138">
        <f t="shared" si="50"/>
        <v>0</v>
      </c>
      <c r="I535" s="138">
        <f t="shared" si="51"/>
        <v>0</v>
      </c>
      <c r="J535" s="108"/>
    </row>
    <row r="536" spans="1:10" s="16" customFormat="1" ht="25.5" outlineLevel="3">
      <c r="A536" s="91"/>
      <c r="B536" s="35"/>
      <c r="C536" s="141" t="s">
        <v>1436</v>
      </c>
      <c r="D536" s="136" t="s">
        <v>38</v>
      </c>
      <c r="E536" s="137">
        <v>1</v>
      </c>
      <c r="F536" s="232">
        <v>0</v>
      </c>
      <c r="G536" s="232">
        <v>0</v>
      </c>
      <c r="H536" s="138">
        <f t="shared" si="50"/>
        <v>0</v>
      </c>
      <c r="I536" s="138">
        <f t="shared" si="51"/>
        <v>0</v>
      </c>
      <c r="J536" s="108"/>
    </row>
    <row r="537" spans="1:10" s="16" customFormat="1" ht="25.5" outlineLevel="3">
      <c r="A537" s="91"/>
      <c r="B537" s="35">
        <f>MAXA(B$5:B536)+1</f>
        <v>97</v>
      </c>
      <c r="C537" s="114" t="s">
        <v>1471</v>
      </c>
      <c r="D537" s="136" t="s">
        <v>38</v>
      </c>
      <c r="E537" s="137">
        <v>1</v>
      </c>
      <c r="F537" s="232">
        <v>4575227</v>
      </c>
      <c r="G537" s="232">
        <v>1563188</v>
      </c>
      <c r="H537" s="138">
        <f t="shared" si="50"/>
        <v>6138415</v>
      </c>
      <c r="I537" s="138">
        <f t="shared" si="51"/>
        <v>6138415</v>
      </c>
      <c r="J537" s="108"/>
    </row>
    <row r="538" spans="1:10" s="16" customFormat="1" ht="25.5" outlineLevel="3">
      <c r="A538" s="91"/>
      <c r="B538" s="35"/>
      <c r="C538" s="112" t="s">
        <v>141</v>
      </c>
      <c r="D538" s="136"/>
      <c r="E538" s="137"/>
      <c r="F538" s="232">
        <v>0</v>
      </c>
      <c r="G538" s="232">
        <v>0</v>
      </c>
      <c r="H538" s="138"/>
      <c r="I538" s="138"/>
      <c r="J538" s="108"/>
    </row>
    <row r="539" spans="1:10" s="16" customFormat="1" ht="25.5" outlineLevel="3">
      <c r="A539" s="91"/>
      <c r="B539" s="35"/>
      <c r="C539" s="142" t="s">
        <v>169</v>
      </c>
      <c r="D539" s="136" t="s">
        <v>28</v>
      </c>
      <c r="E539" s="137">
        <v>1</v>
      </c>
      <c r="F539" s="232">
        <v>0</v>
      </c>
      <c r="G539" s="232">
        <v>0</v>
      </c>
      <c r="H539" s="138">
        <f>G539+F539</f>
        <v>0</v>
      </c>
      <c r="I539" s="138">
        <f>H539*E539</f>
        <v>0</v>
      </c>
      <c r="J539" s="108"/>
    </row>
    <row r="540" spans="1:10" s="16" customFormat="1" ht="25.5" outlineLevel="3">
      <c r="A540" s="91"/>
      <c r="B540" s="35"/>
      <c r="C540" s="139" t="s">
        <v>573</v>
      </c>
      <c r="D540" s="136" t="s">
        <v>28</v>
      </c>
      <c r="E540" s="137">
        <v>1</v>
      </c>
      <c r="F540" s="232">
        <v>0</v>
      </c>
      <c r="G540" s="232">
        <v>0</v>
      </c>
      <c r="H540" s="138">
        <f>G540+F540</f>
        <v>0</v>
      </c>
      <c r="I540" s="138">
        <f>H540*E540</f>
        <v>0</v>
      </c>
      <c r="J540" s="108"/>
    </row>
    <row r="541" spans="1:10" s="16" customFormat="1" ht="25.5" outlineLevel="3">
      <c r="A541" s="91"/>
      <c r="B541" s="35"/>
      <c r="C541" s="139" t="s">
        <v>1439</v>
      </c>
      <c r="D541" s="136" t="s">
        <v>28</v>
      </c>
      <c r="E541" s="137">
        <v>1</v>
      </c>
      <c r="F541" s="232">
        <v>0</v>
      </c>
      <c r="G541" s="232">
        <v>0</v>
      </c>
      <c r="H541" s="138">
        <f>G541+F541</f>
        <v>0</v>
      </c>
      <c r="I541" s="138">
        <f>H541*E541</f>
        <v>0</v>
      </c>
      <c r="J541" s="108"/>
    </row>
    <row r="542" spans="1:10" s="16" customFormat="1" ht="25.5" outlineLevel="3">
      <c r="A542" s="91"/>
      <c r="B542" s="35"/>
      <c r="C542" s="112" t="s">
        <v>148</v>
      </c>
      <c r="D542" s="136"/>
      <c r="E542" s="137"/>
      <c r="F542" s="232">
        <v>0</v>
      </c>
      <c r="G542" s="232">
        <v>0</v>
      </c>
      <c r="H542" s="138"/>
      <c r="I542" s="138"/>
      <c r="J542" s="108"/>
    </row>
    <row r="543" spans="1:10" s="16" customFormat="1" ht="25.5" outlineLevel="3">
      <c r="A543" s="91"/>
      <c r="B543" s="35"/>
      <c r="C543" s="142" t="s">
        <v>170</v>
      </c>
      <c r="D543" s="136" t="s">
        <v>28</v>
      </c>
      <c r="E543" s="137">
        <v>2</v>
      </c>
      <c r="F543" s="232">
        <v>0</v>
      </c>
      <c r="G543" s="232">
        <v>0</v>
      </c>
      <c r="H543" s="138">
        <f>G543+F543</f>
        <v>0</v>
      </c>
      <c r="I543" s="138">
        <f>H543*E543</f>
        <v>0</v>
      </c>
      <c r="J543" s="108"/>
    </row>
    <row r="544" spans="1:10" s="16" customFormat="1" ht="25.5" outlineLevel="3">
      <c r="A544" s="91"/>
      <c r="B544" s="35"/>
      <c r="C544" s="142" t="s">
        <v>171</v>
      </c>
      <c r="D544" s="136" t="s">
        <v>28</v>
      </c>
      <c r="E544" s="137">
        <v>1</v>
      </c>
      <c r="F544" s="232">
        <v>0</v>
      </c>
      <c r="G544" s="232">
        <v>0</v>
      </c>
      <c r="H544" s="138">
        <f>G544+F544</f>
        <v>0</v>
      </c>
      <c r="I544" s="138">
        <f>H544*E544</f>
        <v>0</v>
      </c>
      <c r="J544" s="108"/>
    </row>
    <row r="545" spans="1:10" s="16" customFormat="1" ht="25.5" outlineLevel="3">
      <c r="A545" s="91"/>
      <c r="B545" s="35"/>
      <c r="C545" s="142" t="s">
        <v>172</v>
      </c>
      <c r="D545" s="136" t="s">
        <v>28</v>
      </c>
      <c r="E545" s="137">
        <v>1</v>
      </c>
      <c r="F545" s="232">
        <v>0</v>
      </c>
      <c r="G545" s="232">
        <v>0</v>
      </c>
      <c r="H545" s="138">
        <f>G545+F545</f>
        <v>0</v>
      </c>
      <c r="I545" s="138">
        <f>H545*E545</f>
        <v>0</v>
      </c>
      <c r="J545" s="108"/>
    </row>
    <row r="546" spans="1:10" s="16" customFormat="1" ht="25.5" outlineLevel="3">
      <c r="A546" s="91"/>
      <c r="B546" s="35"/>
      <c r="C546" s="141" t="s">
        <v>1436</v>
      </c>
      <c r="D546" s="136" t="s">
        <v>38</v>
      </c>
      <c r="E546" s="137">
        <v>1</v>
      </c>
      <c r="F546" s="232">
        <v>0</v>
      </c>
      <c r="G546" s="232">
        <v>0</v>
      </c>
      <c r="H546" s="138">
        <f>G546+F546</f>
        <v>0</v>
      </c>
      <c r="I546" s="138">
        <f>H546*E546</f>
        <v>0</v>
      </c>
      <c r="J546" s="108"/>
    </row>
    <row r="547" spans="1:10" s="16" customFormat="1" ht="25.5" outlineLevel="3">
      <c r="A547" s="91"/>
      <c r="B547" s="35">
        <f>MAXA(B$5:B546)+1</f>
        <v>98</v>
      </c>
      <c r="C547" s="114" t="s">
        <v>1472</v>
      </c>
      <c r="D547" s="136" t="s">
        <v>38</v>
      </c>
      <c r="E547" s="137">
        <v>4</v>
      </c>
      <c r="F547" s="232">
        <v>4450975</v>
      </c>
      <c r="G547" s="232">
        <v>1563188</v>
      </c>
      <c r="H547" s="138">
        <f>G547+F547</f>
        <v>6014163</v>
      </c>
      <c r="I547" s="138">
        <f>H547*E547</f>
        <v>24056652</v>
      </c>
      <c r="J547" s="108"/>
    </row>
    <row r="548" spans="1:10" s="16" customFormat="1" ht="25.5" outlineLevel="3">
      <c r="A548" s="91"/>
      <c r="B548" s="35"/>
      <c r="C548" s="112" t="s">
        <v>141</v>
      </c>
      <c r="D548" s="136"/>
      <c r="E548" s="137"/>
      <c r="F548" s="232">
        <v>0</v>
      </c>
      <c r="G548" s="232">
        <v>0</v>
      </c>
      <c r="H548" s="138"/>
      <c r="I548" s="138"/>
      <c r="J548" s="108"/>
    </row>
    <row r="549" spans="1:10" s="16" customFormat="1" ht="25.5" outlineLevel="3">
      <c r="A549" s="91"/>
      <c r="B549" s="35"/>
      <c r="C549" s="142" t="s">
        <v>169</v>
      </c>
      <c r="D549" s="136" t="s">
        <v>28</v>
      </c>
      <c r="E549" s="137">
        <v>4</v>
      </c>
      <c r="F549" s="232">
        <v>0</v>
      </c>
      <c r="G549" s="232">
        <v>0</v>
      </c>
      <c r="H549" s="138">
        <f>G549+F549</f>
        <v>0</v>
      </c>
      <c r="I549" s="138">
        <f>H549*E549</f>
        <v>0</v>
      </c>
      <c r="J549" s="108"/>
    </row>
    <row r="550" spans="1:10" s="16" customFormat="1" ht="25.5" outlineLevel="3">
      <c r="A550" s="91"/>
      <c r="B550" s="35"/>
      <c r="C550" s="139" t="s">
        <v>573</v>
      </c>
      <c r="D550" s="136" t="s">
        <v>28</v>
      </c>
      <c r="E550" s="137">
        <v>4</v>
      </c>
      <c r="F550" s="232">
        <v>0</v>
      </c>
      <c r="G550" s="232">
        <v>0</v>
      </c>
      <c r="H550" s="138">
        <f>G550+F550</f>
        <v>0</v>
      </c>
      <c r="I550" s="138">
        <f>H550*E550</f>
        <v>0</v>
      </c>
      <c r="J550" s="108"/>
    </row>
    <row r="551" spans="1:10" s="16" customFormat="1" ht="25.5" outlineLevel="3">
      <c r="A551" s="91"/>
      <c r="B551" s="35"/>
      <c r="C551" s="139" t="s">
        <v>1439</v>
      </c>
      <c r="D551" s="136" t="s">
        <v>28</v>
      </c>
      <c r="E551" s="137">
        <v>4</v>
      </c>
      <c r="F551" s="232">
        <v>0</v>
      </c>
      <c r="G551" s="232">
        <v>0</v>
      </c>
      <c r="H551" s="138">
        <f>G551+F551</f>
        <v>0</v>
      </c>
      <c r="I551" s="138">
        <f>H551*E551</f>
        <v>0</v>
      </c>
      <c r="J551" s="108"/>
    </row>
    <row r="552" spans="1:10" s="16" customFormat="1" ht="25.5" outlineLevel="3">
      <c r="A552" s="91"/>
      <c r="B552" s="35"/>
      <c r="C552" s="112" t="s">
        <v>148</v>
      </c>
      <c r="D552" s="136"/>
      <c r="E552" s="137"/>
      <c r="F552" s="232">
        <v>0</v>
      </c>
      <c r="G552" s="232">
        <v>0</v>
      </c>
      <c r="H552" s="138"/>
      <c r="I552" s="138"/>
      <c r="J552" s="108"/>
    </row>
    <row r="553" spans="1:10" s="16" customFormat="1" ht="25.5" outlineLevel="3">
      <c r="A553" s="91"/>
      <c r="B553" s="35"/>
      <c r="C553" s="142" t="s">
        <v>170</v>
      </c>
      <c r="D553" s="136" t="s">
        <v>28</v>
      </c>
      <c r="E553" s="137">
        <v>4</v>
      </c>
      <c r="F553" s="232">
        <v>0</v>
      </c>
      <c r="G553" s="232">
        <v>0</v>
      </c>
      <c r="H553" s="138">
        <f>G553+F553</f>
        <v>0</v>
      </c>
      <c r="I553" s="138">
        <f>H553*E553</f>
        <v>0</v>
      </c>
      <c r="J553" s="108"/>
    </row>
    <row r="554" spans="1:10" s="16" customFormat="1" ht="25.5" outlineLevel="3">
      <c r="A554" s="91"/>
      <c r="B554" s="35"/>
      <c r="C554" s="142" t="s">
        <v>171</v>
      </c>
      <c r="D554" s="136" t="s">
        <v>28</v>
      </c>
      <c r="E554" s="137">
        <v>4</v>
      </c>
      <c r="F554" s="232">
        <v>0</v>
      </c>
      <c r="G554" s="232">
        <v>0</v>
      </c>
      <c r="H554" s="138">
        <f>G554+F554</f>
        <v>0</v>
      </c>
      <c r="I554" s="138">
        <f>H554*E554</f>
        <v>0</v>
      </c>
      <c r="J554" s="108"/>
    </row>
    <row r="555" spans="1:10" s="16" customFormat="1" ht="25.5" outlineLevel="3">
      <c r="A555" s="91"/>
      <c r="B555" s="35"/>
      <c r="C555" s="142" t="s">
        <v>172</v>
      </c>
      <c r="D555" s="136" t="s">
        <v>28</v>
      </c>
      <c r="E555" s="137">
        <v>4</v>
      </c>
      <c r="F555" s="232">
        <v>0</v>
      </c>
      <c r="G555" s="232">
        <v>0</v>
      </c>
      <c r="H555" s="138">
        <f>G555+F555</f>
        <v>0</v>
      </c>
      <c r="I555" s="138">
        <f>H555*E555</f>
        <v>0</v>
      </c>
      <c r="J555" s="108"/>
    </row>
    <row r="556" spans="1:10" s="16" customFormat="1" ht="25.5" outlineLevel="3">
      <c r="A556" s="91"/>
      <c r="B556" s="35"/>
      <c r="C556" s="141" t="s">
        <v>1436</v>
      </c>
      <c r="D556" s="136" t="s">
        <v>38</v>
      </c>
      <c r="E556" s="137">
        <v>4</v>
      </c>
      <c r="F556" s="232">
        <v>0</v>
      </c>
      <c r="G556" s="232">
        <v>0</v>
      </c>
      <c r="H556" s="138">
        <f>G556+F556</f>
        <v>0</v>
      </c>
      <c r="I556" s="138">
        <f>H556*E556</f>
        <v>0</v>
      </c>
      <c r="J556" s="108"/>
    </row>
    <row r="557" spans="1:10" s="16" customFormat="1" ht="25.5" outlineLevel="3">
      <c r="A557" s="91"/>
      <c r="B557" s="35">
        <f>MAXA(B$5:B556)+1</f>
        <v>99</v>
      </c>
      <c r="C557" s="114" t="s">
        <v>1473</v>
      </c>
      <c r="D557" s="136" t="s">
        <v>38</v>
      </c>
      <c r="E557" s="137">
        <v>1</v>
      </c>
      <c r="F557" s="232">
        <v>6479636</v>
      </c>
      <c r="G557" s="232">
        <v>1563188</v>
      </c>
      <c r="H557" s="138">
        <f>G557+F557</f>
        <v>8042824</v>
      </c>
      <c r="I557" s="138">
        <f>H557*E557</f>
        <v>8042824</v>
      </c>
      <c r="J557" s="108"/>
    </row>
    <row r="558" spans="1:10" s="16" customFormat="1" ht="25.5" outlineLevel="3">
      <c r="A558" s="91"/>
      <c r="B558" s="35"/>
      <c r="C558" s="112" t="s">
        <v>141</v>
      </c>
      <c r="D558" s="136"/>
      <c r="E558" s="137"/>
      <c r="F558" s="232">
        <v>0</v>
      </c>
      <c r="G558" s="232">
        <v>0</v>
      </c>
      <c r="H558" s="138"/>
      <c r="I558" s="138"/>
      <c r="J558" s="108"/>
    </row>
    <row r="559" spans="1:10" s="16" customFormat="1" ht="25.5" outlineLevel="3">
      <c r="A559" s="91"/>
      <c r="B559" s="35"/>
      <c r="C559" s="142" t="s">
        <v>226</v>
      </c>
      <c r="D559" s="136" t="s">
        <v>28</v>
      </c>
      <c r="E559" s="137">
        <v>1</v>
      </c>
      <c r="F559" s="232">
        <v>0</v>
      </c>
      <c r="G559" s="232">
        <v>0</v>
      </c>
      <c r="H559" s="138">
        <f>G559+F559</f>
        <v>0</v>
      </c>
      <c r="I559" s="138">
        <f>H559*E559</f>
        <v>0</v>
      </c>
      <c r="J559" s="108"/>
    </row>
    <row r="560" spans="1:10" s="16" customFormat="1" ht="25.5" outlineLevel="3">
      <c r="A560" s="91"/>
      <c r="B560" s="35"/>
      <c r="C560" s="139" t="s">
        <v>573</v>
      </c>
      <c r="D560" s="136" t="s">
        <v>28</v>
      </c>
      <c r="E560" s="137">
        <v>1</v>
      </c>
      <c r="F560" s="232">
        <v>0</v>
      </c>
      <c r="G560" s="232">
        <v>0</v>
      </c>
      <c r="H560" s="138">
        <f>G560+F560</f>
        <v>0</v>
      </c>
      <c r="I560" s="138">
        <f>H560*E560</f>
        <v>0</v>
      </c>
      <c r="J560" s="108"/>
    </row>
    <row r="561" spans="1:10" s="16" customFormat="1" ht="25.5" outlineLevel="3">
      <c r="A561" s="91"/>
      <c r="B561" s="35"/>
      <c r="C561" s="139" t="s">
        <v>1439</v>
      </c>
      <c r="D561" s="136" t="s">
        <v>28</v>
      </c>
      <c r="E561" s="137">
        <v>1</v>
      </c>
      <c r="F561" s="232">
        <v>0</v>
      </c>
      <c r="G561" s="232">
        <v>0</v>
      </c>
      <c r="H561" s="138">
        <f>G561+F561</f>
        <v>0</v>
      </c>
      <c r="I561" s="138">
        <f>H561*E561</f>
        <v>0</v>
      </c>
      <c r="J561" s="108"/>
    </row>
    <row r="562" spans="1:10" s="16" customFormat="1" ht="25.5" outlineLevel="3">
      <c r="A562" s="91"/>
      <c r="B562" s="35"/>
      <c r="C562" s="112" t="s">
        <v>148</v>
      </c>
      <c r="D562" s="136"/>
      <c r="E562" s="137"/>
      <c r="F562" s="232">
        <v>0</v>
      </c>
      <c r="G562" s="232">
        <v>0</v>
      </c>
      <c r="H562" s="138"/>
      <c r="I562" s="138"/>
      <c r="J562" s="108"/>
    </row>
    <row r="563" spans="1:10" s="16" customFormat="1" ht="25.5" outlineLevel="3">
      <c r="A563" s="91"/>
      <c r="B563" s="35"/>
      <c r="C563" s="142" t="s">
        <v>170</v>
      </c>
      <c r="D563" s="136" t="s">
        <v>28</v>
      </c>
      <c r="E563" s="137">
        <v>2</v>
      </c>
      <c r="F563" s="232">
        <v>0</v>
      </c>
      <c r="G563" s="232">
        <v>0</v>
      </c>
      <c r="H563" s="138">
        <f>G563+F563</f>
        <v>0</v>
      </c>
      <c r="I563" s="138">
        <f>H563*E563</f>
        <v>0</v>
      </c>
      <c r="J563" s="108"/>
    </row>
    <row r="564" spans="1:10" s="16" customFormat="1" ht="25.5" outlineLevel="3">
      <c r="A564" s="91"/>
      <c r="B564" s="35"/>
      <c r="C564" s="142" t="s">
        <v>171</v>
      </c>
      <c r="D564" s="136" t="s">
        <v>28</v>
      </c>
      <c r="E564" s="137">
        <v>1</v>
      </c>
      <c r="F564" s="232">
        <v>0</v>
      </c>
      <c r="G564" s="232">
        <v>0</v>
      </c>
      <c r="H564" s="138">
        <f>G564+F564</f>
        <v>0</v>
      </c>
      <c r="I564" s="138">
        <f>H564*E564</f>
        <v>0</v>
      </c>
      <c r="J564" s="108"/>
    </row>
    <row r="565" spans="1:10" s="16" customFormat="1" ht="25.5" outlineLevel="3">
      <c r="A565" s="91"/>
      <c r="B565" s="35"/>
      <c r="C565" s="142" t="s">
        <v>172</v>
      </c>
      <c r="D565" s="136" t="s">
        <v>28</v>
      </c>
      <c r="E565" s="137">
        <v>2</v>
      </c>
      <c r="F565" s="232">
        <v>0</v>
      </c>
      <c r="G565" s="232">
        <v>0</v>
      </c>
      <c r="H565" s="138">
        <f>G565+F565</f>
        <v>0</v>
      </c>
      <c r="I565" s="138">
        <f>H565*E565</f>
        <v>0</v>
      </c>
      <c r="J565" s="108"/>
    </row>
    <row r="566" spans="1:10" s="16" customFormat="1" ht="25.5" outlineLevel="3">
      <c r="A566" s="91"/>
      <c r="B566" s="35"/>
      <c r="C566" s="141" t="s">
        <v>1436</v>
      </c>
      <c r="D566" s="136" t="s">
        <v>38</v>
      </c>
      <c r="E566" s="137">
        <v>1</v>
      </c>
      <c r="F566" s="232">
        <v>0</v>
      </c>
      <c r="G566" s="232">
        <v>0</v>
      </c>
      <c r="H566" s="138">
        <f>G566+F566</f>
        <v>0</v>
      </c>
      <c r="I566" s="138">
        <f>H566*E566</f>
        <v>0</v>
      </c>
      <c r="J566" s="108"/>
    </row>
    <row r="567" spans="1:10" s="16" customFormat="1" ht="25.5" outlineLevel="3">
      <c r="A567" s="91"/>
      <c r="B567" s="35">
        <f>MAXA(B$5:B566)+1</f>
        <v>100</v>
      </c>
      <c r="C567" s="114" t="s">
        <v>1474</v>
      </c>
      <c r="D567" s="136" t="s">
        <v>38</v>
      </c>
      <c r="E567" s="137">
        <v>1</v>
      </c>
      <c r="F567" s="232">
        <v>4450975</v>
      </c>
      <c r="G567" s="232">
        <v>1563188</v>
      </c>
      <c r="H567" s="138">
        <f>G567+F567</f>
        <v>6014163</v>
      </c>
      <c r="I567" s="138">
        <f>H567*E567</f>
        <v>6014163</v>
      </c>
      <c r="J567" s="108"/>
    </row>
    <row r="568" spans="1:10" s="16" customFormat="1" ht="25.5" outlineLevel="3">
      <c r="A568" s="91"/>
      <c r="B568" s="35"/>
      <c r="C568" s="112" t="s">
        <v>141</v>
      </c>
      <c r="D568" s="136"/>
      <c r="E568" s="137"/>
      <c r="F568" s="232">
        <v>0</v>
      </c>
      <c r="G568" s="232">
        <v>0</v>
      </c>
      <c r="H568" s="138"/>
      <c r="I568" s="138"/>
      <c r="J568" s="108"/>
    </row>
    <row r="569" spans="1:10" s="16" customFormat="1" ht="25.5" outlineLevel="3">
      <c r="A569" s="91"/>
      <c r="B569" s="35"/>
      <c r="C569" s="142" t="s">
        <v>169</v>
      </c>
      <c r="D569" s="136" t="s">
        <v>28</v>
      </c>
      <c r="E569" s="137">
        <v>1</v>
      </c>
      <c r="F569" s="232">
        <v>0</v>
      </c>
      <c r="G569" s="232">
        <v>0</v>
      </c>
      <c r="H569" s="138">
        <f>G569+F569</f>
        <v>0</v>
      </c>
      <c r="I569" s="138">
        <f>H569*E569</f>
        <v>0</v>
      </c>
      <c r="J569" s="108"/>
    </row>
    <row r="570" spans="1:10" s="16" customFormat="1" ht="25.5" outlineLevel="3">
      <c r="A570" s="91"/>
      <c r="B570" s="35"/>
      <c r="C570" s="139" t="s">
        <v>573</v>
      </c>
      <c r="D570" s="136" t="s">
        <v>28</v>
      </c>
      <c r="E570" s="137">
        <v>1</v>
      </c>
      <c r="F570" s="232">
        <v>0</v>
      </c>
      <c r="G570" s="232">
        <v>0</v>
      </c>
      <c r="H570" s="138">
        <f>G570+F570</f>
        <v>0</v>
      </c>
      <c r="I570" s="138">
        <f>H570*E570</f>
        <v>0</v>
      </c>
      <c r="J570" s="108"/>
    </row>
    <row r="571" spans="1:10" s="16" customFormat="1" ht="25.5" outlineLevel="3">
      <c r="A571" s="91"/>
      <c r="B571" s="35"/>
      <c r="C571" s="139" t="s">
        <v>1439</v>
      </c>
      <c r="D571" s="136" t="s">
        <v>28</v>
      </c>
      <c r="E571" s="137">
        <v>1</v>
      </c>
      <c r="F571" s="232">
        <v>0</v>
      </c>
      <c r="G571" s="232">
        <v>0</v>
      </c>
      <c r="H571" s="138">
        <f>G571+F571</f>
        <v>0</v>
      </c>
      <c r="I571" s="138">
        <f>H571*E571</f>
        <v>0</v>
      </c>
      <c r="J571" s="108"/>
    </row>
    <row r="572" spans="1:10" s="16" customFormat="1" ht="25.5" outlineLevel="3">
      <c r="A572" s="91"/>
      <c r="B572" s="35"/>
      <c r="C572" s="112" t="s">
        <v>148</v>
      </c>
      <c r="D572" s="136"/>
      <c r="E572" s="137"/>
      <c r="F572" s="232">
        <v>0</v>
      </c>
      <c r="G572" s="232">
        <v>0</v>
      </c>
      <c r="H572" s="138"/>
      <c r="I572" s="138"/>
      <c r="J572" s="108"/>
    </row>
    <row r="573" spans="1:10" s="16" customFormat="1" ht="25.5" outlineLevel="3">
      <c r="A573" s="91"/>
      <c r="B573" s="35"/>
      <c r="C573" s="142" t="s">
        <v>170</v>
      </c>
      <c r="D573" s="136" t="s">
        <v>28</v>
      </c>
      <c r="E573" s="137">
        <v>1</v>
      </c>
      <c r="F573" s="232">
        <v>0</v>
      </c>
      <c r="G573" s="232">
        <v>0</v>
      </c>
      <c r="H573" s="138">
        <f>G573+F573</f>
        <v>0</v>
      </c>
      <c r="I573" s="138">
        <f>H573*E573</f>
        <v>0</v>
      </c>
      <c r="J573" s="108"/>
    </row>
    <row r="574" spans="1:10" s="16" customFormat="1" ht="25.5" outlineLevel="3">
      <c r="A574" s="91"/>
      <c r="B574" s="35"/>
      <c r="C574" s="142" t="s">
        <v>171</v>
      </c>
      <c r="D574" s="136" t="s">
        <v>28</v>
      </c>
      <c r="E574" s="137">
        <v>1</v>
      </c>
      <c r="F574" s="232">
        <v>0</v>
      </c>
      <c r="G574" s="232">
        <v>0</v>
      </c>
      <c r="H574" s="138">
        <f>G574+F574</f>
        <v>0</v>
      </c>
      <c r="I574" s="138">
        <f>H574*E574</f>
        <v>0</v>
      </c>
      <c r="J574" s="108"/>
    </row>
    <row r="575" spans="1:10" s="16" customFormat="1" ht="25.5" outlineLevel="3">
      <c r="A575" s="91"/>
      <c r="B575" s="35"/>
      <c r="C575" s="142" t="s">
        <v>172</v>
      </c>
      <c r="D575" s="136" t="s">
        <v>28</v>
      </c>
      <c r="E575" s="137">
        <v>1</v>
      </c>
      <c r="F575" s="232">
        <v>0</v>
      </c>
      <c r="G575" s="232">
        <v>0</v>
      </c>
      <c r="H575" s="138">
        <f>G575+F575</f>
        <v>0</v>
      </c>
      <c r="I575" s="138">
        <f>H575*E575</f>
        <v>0</v>
      </c>
      <c r="J575" s="108"/>
    </row>
    <row r="576" spans="1:10" s="16" customFormat="1" ht="25.5" outlineLevel="3">
      <c r="A576" s="91"/>
      <c r="B576" s="35"/>
      <c r="C576" s="141" t="s">
        <v>1436</v>
      </c>
      <c r="D576" s="136" t="s">
        <v>38</v>
      </c>
      <c r="E576" s="137">
        <v>1</v>
      </c>
      <c r="F576" s="232">
        <v>0</v>
      </c>
      <c r="G576" s="232">
        <v>0</v>
      </c>
      <c r="H576" s="138">
        <f>G576+F576</f>
        <v>0</v>
      </c>
      <c r="I576" s="138">
        <f>H576*E576</f>
        <v>0</v>
      </c>
      <c r="J576" s="108"/>
    </row>
    <row r="577" spans="1:10" s="16" customFormat="1" ht="25.5" outlineLevel="3">
      <c r="A577" s="91"/>
      <c r="B577" s="35">
        <f>MAXA(B$5:B576)+1</f>
        <v>101</v>
      </c>
      <c r="C577" s="114" t="s">
        <v>1475</v>
      </c>
      <c r="D577" s="136" t="s">
        <v>38</v>
      </c>
      <c r="E577" s="137">
        <v>1</v>
      </c>
      <c r="F577" s="232">
        <v>14495572</v>
      </c>
      <c r="G577" s="232">
        <v>1563188</v>
      </c>
      <c r="H577" s="138">
        <f>G577+F577</f>
        <v>16058760</v>
      </c>
      <c r="I577" s="138">
        <f>H577*E577</f>
        <v>16058760</v>
      </c>
      <c r="J577" s="108"/>
    </row>
    <row r="578" spans="1:10" s="16" customFormat="1" ht="25.5" outlineLevel="3">
      <c r="A578" s="91"/>
      <c r="B578" s="35"/>
      <c r="C578" s="112" t="s">
        <v>141</v>
      </c>
      <c r="D578" s="136"/>
      <c r="E578" s="137"/>
      <c r="F578" s="232">
        <v>0</v>
      </c>
      <c r="G578" s="232">
        <v>0</v>
      </c>
      <c r="H578" s="138"/>
      <c r="I578" s="138"/>
      <c r="J578" s="108"/>
    </row>
    <row r="579" spans="1:10" s="16" customFormat="1" ht="25.5" outlineLevel="3">
      <c r="A579" s="91"/>
      <c r="B579" s="35"/>
      <c r="C579" s="142" t="s">
        <v>226</v>
      </c>
      <c r="D579" s="136" t="s">
        <v>28</v>
      </c>
      <c r="E579" s="137">
        <v>1</v>
      </c>
      <c r="F579" s="232">
        <v>0</v>
      </c>
      <c r="G579" s="232">
        <v>0</v>
      </c>
      <c r="H579" s="138">
        <f>G579+F579</f>
        <v>0</v>
      </c>
      <c r="I579" s="138">
        <f>H579*E579</f>
        <v>0</v>
      </c>
      <c r="J579" s="108"/>
    </row>
    <row r="580" spans="1:10" s="16" customFormat="1" ht="25.5" outlineLevel="3">
      <c r="A580" s="91"/>
      <c r="B580" s="35"/>
      <c r="C580" s="139" t="s">
        <v>573</v>
      </c>
      <c r="D580" s="136" t="s">
        <v>28</v>
      </c>
      <c r="E580" s="137">
        <v>1</v>
      </c>
      <c r="F580" s="232">
        <v>0</v>
      </c>
      <c r="G580" s="232">
        <v>0</v>
      </c>
      <c r="H580" s="138">
        <f>G580+F580</f>
        <v>0</v>
      </c>
      <c r="I580" s="138">
        <f>H580*E580</f>
        <v>0</v>
      </c>
      <c r="J580" s="108"/>
    </row>
    <row r="581" spans="1:10" s="16" customFormat="1" ht="25.5" outlineLevel="3">
      <c r="A581" s="91"/>
      <c r="B581" s="35"/>
      <c r="C581" s="139" t="s">
        <v>1439</v>
      </c>
      <c r="D581" s="136" t="s">
        <v>28</v>
      </c>
      <c r="E581" s="137">
        <v>1</v>
      </c>
      <c r="F581" s="232">
        <v>0</v>
      </c>
      <c r="G581" s="232">
        <v>0</v>
      </c>
      <c r="H581" s="138">
        <f>G581+F581</f>
        <v>0</v>
      </c>
      <c r="I581" s="138">
        <f>H581*E581</f>
        <v>0</v>
      </c>
      <c r="J581" s="108"/>
    </row>
    <row r="582" spans="1:10" s="16" customFormat="1" ht="25.5" outlineLevel="3">
      <c r="A582" s="91"/>
      <c r="B582" s="35"/>
      <c r="C582" s="112" t="s">
        <v>148</v>
      </c>
      <c r="D582" s="136"/>
      <c r="E582" s="137"/>
      <c r="F582" s="232">
        <v>0</v>
      </c>
      <c r="G582" s="232">
        <v>0</v>
      </c>
      <c r="H582" s="138"/>
      <c r="I582" s="138"/>
      <c r="J582" s="108"/>
    </row>
    <row r="583" spans="1:10" s="16" customFormat="1" ht="25.5" outlineLevel="3">
      <c r="A583" s="91"/>
      <c r="B583" s="35"/>
      <c r="C583" s="142" t="s">
        <v>170</v>
      </c>
      <c r="D583" s="136" t="s">
        <v>28</v>
      </c>
      <c r="E583" s="137">
        <v>2</v>
      </c>
      <c r="F583" s="232">
        <v>0</v>
      </c>
      <c r="G583" s="232">
        <v>0</v>
      </c>
      <c r="H583" s="138">
        <f t="shared" ref="H583:H589" si="52">G583+F583</f>
        <v>0</v>
      </c>
      <c r="I583" s="138">
        <f t="shared" ref="I583:I589" si="53">H583*E583</f>
        <v>0</v>
      </c>
      <c r="J583" s="108"/>
    </row>
    <row r="584" spans="1:10" s="16" customFormat="1" ht="25.5" outlineLevel="3">
      <c r="A584" s="91"/>
      <c r="B584" s="35"/>
      <c r="C584" s="142" t="s">
        <v>171</v>
      </c>
      <c r="D584" s="136" t="s">
        <v>28</v>
      </c>
      <c r="E584" s="137">
        <v>1</v>
      </c>
      <c r="F584" s="232">
        <v>0</v>
      </c>
      <c r="G584" s="232">
        <v>0</v>
      </c>
      <c r="H584" s="138">
        <f t="shared" si="52"/>
        <v>0</v>
      </c>
      <c r="I584" s="138">
        <f t="shared" si="53"/>
        <v>0</v>
      </c>
      <c r="J584" s="108"/>
    </row>
    <row r="585" spans="1:10" s="16" customFormat="1" ht="25.5" outlineLevel="3">
      <c r="A585" s="91"/>
      <c r="B585" s="35"/>
      <c r="C585" s="142" t="s">
        <v>172</v>
      </c>
      <c r="D585" s="136" t="s">
        <v>28</v>
      </c>
      <c r="E585" s="137">
        <v>3</v>
      </c>
      <c r="F585" s="232">
        <v>0</v>
      </c>
      <c r="G585" s="232">
        <v>0</v>
      </c>
      <c r="H585" s="138">
        <f t="shared" si="52"/>
        <v>0</v>
      </c>
      <c r="I585" s="138">
        <f t="shared" si="53"/>
        <v>0</v>
      </c>
      <c r="J585" s="108"/>
    </row>
    <row r="586" spans="1:10" s="16" customFormat="1" ht="25.5" outlineLevel="3">
      <c r="A586" s="91"/>
      <c r="B586" s="35"/>
      <c r="C586" s="142" t="s">
        <v>178</v>
      </c>
      <c r="D586" s="136" t="s">
        <v>28</v>
      </c>
      <c r="E586" s="137">
        <v>1</v>
      </c>
      <c r="F586" s="232">
        <v>0</v>
      </c>
      <c r="G586" s="232">
        <v>0</v>
      </c>
      <c r="H586" s="138">
        <f t="shared" si="52"/>
        <v>0</v>
      </c>
      <c r="I586" s="138">
        <f t="shared" si="53"/>
        <v>0</v>
      </c>
      <c r="J586" s="108"/>
    </row>
    <row r="587" spans="1:10" s="16" customFormat="1" ht="25.5" outlineLevel="3">
      <c r="A587" s="91"/>
      <c r="B587" s="35"/>
      <c r="C587" s="142" t="s">
        <v>173</v>
      </c>
      <c r="D587" s="136" t="s">
        <v>28</v>
      </c>
      <c r="E587" s="137">
        <v>1</v>
      </c>
      <c r="F587" s="232">
        <v>0</v>
      </c>
      <c r="G587" s="232">
        <v>0</v>
      </c>
      <c r="H587" s="138">
        <f t="shared" si="52"/>
        <v>0</v>
      </c>
      <c r="I587" s="138">
        <f t="shared" si="53"/>
        <v>0</v>
      </c>
      <c r="J587" s="108"/>
    </row>
    <row r="588" spans="1:10" s="16" customFormat="1" ht="25.5" outlineLevel="3">
      <c r="A588" s="91"/>
      <c r="B588" s="35"/>
      <c r="C588" s="141" t="s">
        <v>1436</v>
      </c>
      <c r="D588" s="136" t="s">
        <v>38</v>
      </c>
      <c r="E588" s="137">
        <v>1</v>
      </c>
      <c r="F588" s="232">
        <v>0</v>
      </c>
      <c r="G588" s="232">
        <v>0</v>
      </c>
      <c r="H588" s="138">
        <f t="shared" si="52"/>
        <v>0</v>
      </c>
      <c r="I588" s="138">
        <f t="shared" si="53"/>
        <v>0</v>
      </c>
      <c r="J588" s="108"/>
    </row>
    <row r="589" spans="1:10" s="16" customFormat="1" ht="25.5" outlineLevel="3">
      <c r="A589" s="91"/>
      <c r="B589" s="35">
        <f>MAXA(B$5:B588)+1</f>
        <v>102</v>
      </c>
      <c r="C589" s="114" t="s">
        <v>1476</v>
      </c>
      <c r="D589" s="136" t="s">
        <v>38</v>
      </c>
      <c r="E589" s="137">
        <v>1</v>
      </c>
      <c r="F589" s="232">
        <v>6517956</v>
      </c>
      <c r="G589" s="232">
        <v>1563188</v>
      </c>
      <c r="H589" s="138">
        <f t="shared" si="52"/>
        <v>8081144</v>
      </c>
      <c r="I589" s="138">
        <f t="shared" si="53"/>
        <v>8081144</v>
      </c>
      <c r="J589" s="108"/>
    </row>
    <row r="590" spans="1:10" s="16" customFormat="1" ht="25.5" outlineLevel="3">
      <c r="A590" s="91"/>
      <c r="B590" s="35"/>
      <c r="C590" s="112" t="s">
        <v>141</v>
      </c>
      <c r="D590" s="136"/>
      <c r="E590" s="137"/>
      <c r="F590" s="232">
        <v>0</v>
      </c>
      <c r="G590" s="232">
        <v>0</v>
      </c>
      <c r="H590" s="138"/>
      <c r="I590" s="138"/>
      <c r="J590" s="108"/>
    </row>
    <row r="591" spans="1:10" s="16" customFormat="1" ht="25.5" outlineLevel="3">
      <c r="A591" s="91"/>
      <c r="B591" s="35"/>
      <c r="C591" s="142" t="s">
        <v>226</v>
      </c>
      <c r="D591" s="136" t="s">
        <v>28</v>
      </c>
      <c r="E591" s="137">
        <v>1</v>
      </c>
      <c r="F591" s="232">
        <v>0</v>
      </c>
      <c r="G591" s="232">
        <v>0</v>
      </c>
      <c r="H591" s="138">
        <f>G591+F591</f>
        <v>0</v>
      </c>
      <c r="I591" s="138">
        <f>H591*E591</f>
        <v>0</v>
      </c>
      <c r="J591" s="108"/>
    </row>
    <row r="592" spans="1:10" s="16" customFormat="1" ht="25.5" outlineLevel="3">
      <c r="A592" s="91"/>
      <c r="B592" s="35"/>
      <c r="C592" s="139" t="s">
        <v>573</v>
      </c>
      <c r="D592" s="136" t="s">
        <v>28</v>
      </c>
      <c r="E592" s="137">
        <v>1</v>
      </c>
      <c r="F592" s="232">
        <v>0</v>
      </c>
      <c r="G592" s="232">
        <v>0</v>
      </c>
      <c r="H592" s="138">
        <f>G592+F592</f>
        <v>0</v>
      </c>
      <c r="I592" s="138">
        <f>H592*E592</f>
        <v>0</v>
      </c>
      <c r="J592" s="108"/>
    </row>
    <row r="593" spans="1:10" s="16" customFormat="1" ht="25.5" outlineLevel="3">
      <c r="A593" s="91"/>
      <c r="B593" s="35"/>
      <c r="C593" s="139" t="s">
        <v>1439</v>
      </c>
      <c r="D593" s="136" t="s">
        <v>28</v>
      </c>
      <c r="E593" s="137">
        <v>1</v>
      </c>
      <c r="F593" s="232">
        <v>0</v>
      </c>
      <c r="G593" s="232">
        <v>0</v>
      </c>
      <c r="H593" s="138">
        <f>G593+F593</f>
        <v>0</v>
      </c>
      <c r="I593" s="138">
        <f>H593*E593</f>
        <v>0</v>
      </c>
      <c r="J593" s="108"/>
    </row>
    <row r="594" spans="1:10" s="16" customFormat="1" ht="25.5" outlineLevel="3">
      <c r="A594" s="91"/>
      <c r="B594" s="35"/>
      <c r="C594" s="112" t="s">
        <v>148</v>
      </c>
      <c r="D594" s="136"/>
      <c r="E594" s="137"/>
      <c r="F594" s="232">
        <v>0</v>
      </c>
      <c r="G594" s="232">
        <v>0</v>
      </c>
      <c r="H594" s="138"/>
      <c r="I594" s="138"/>
      <c r="J594" s="108"/>
    </row>
    <row r="595" spans="1:10" s="16" customFormat="1" ht="25.5" outlineLevel="3">
      <c r="A595" s="91"/>
      <c r="B595" s="35"/>
      <c r="C595" s="142" t="s">
        <v>170</v>
      </c>
      <c r="D595" s="136" t="s">
        <v>28</v>
      </c>
      <c r="E595" s="137">
        <v>1</v>
      </c>
      <c r="F595" s="232">
        <v>0</v>
      </c>
      <c r="G595" s="232">
        <v>0</v>
      </c>
      <c r="H595" s="138">
        <f t="shared" ref="H595:H600" si="54">G595+F595</f>
        <v>0</v>
      </c>
      <c r="I595" s="138">
        <f t="shared" ref="I595:I600" si="55">H595*E595</f>
        <v>0</v>
      </c>
      <c r="J595" s="108"/>
    </row>
    <row r="596" spans="1:10" s="16" customFormat="1" ht="25.5" outlineLevel="3">
      <c r="A596" s="91"/>
      <c r="B596" s="35"/>
      <c r="C596" s="142" t="s">
        <v>171</v>
      </c>
      <c r="D596" s="136" t="s">
        <v>28</v>
      </c>
      <c r="E596" s="137">
        <v>1</v>
      </c>
      <c r="F596" s="232">
        <v>0</v>
      </c>
      <c r="G596" s="232">
        <v>0</v>
      </c>
      <c r="H596" s="138">
        <f t="shared" si="54"/>
        <v>0</v>
      </c>
      <c r="I596" s="138">
        <f t="shared" si="55"/>
        <v>0</v>
      </c>
      <c r="J596" s="108"/>
    </row>
    <row r="597" spans="1:10" s="16" customFormat="1" ht="25.5" outlineLevel="3">
      <c r="A597" s="91"/>
      <c r="B597" s="35"/>
      <c r="C597" s="142" t="s">
        <v>172</v>
      </c>
      <c r="D597" s="136" t="s">
        <v>28</v>
      </c>
      <c r="E597" s="137">
        <v>1</v>
      </c>
      <c r="F597" s="232">
        <v>0</v>
      </c>
      <c r="G597" s="232">
        <v>0</v>
      </c>
      <c r="H597" s="138">
        <f t="shared" si="54"/>
        <v>0</v>
      </c>
      <c r="I597" s="138">
        <f t="shared" si="55"/>
        <v>0</v>
      </c>
      <c r="J597" s="108"/>
    </row>
    <row r="598" spans="1:10" s="16" customFormat="1" ht="25.5" outlineLevel="3">
      <c r="A598" s="91"/>
      <c r="B598" s="35"/>
      <c r="C598" s="142" t="s">
        <v>204</v>
      </c>
      <c r="D598" s="136" t="s">
        <v>28</v>
      </c>
      <c r="E598" s="137">
        <v>1</v>
      </c>
      <c r="F598" s="232">
        <v>0</v>
      </c>
      <c r="G598" s="232">
        <v>0</v>
      </c>
      <c r="H598" s="138">
        <f t="shared" si="54"/>
        <v>0</v>
      </c>
      <c r="I598" s="138">
        <f t="shared" si="55"/>
        <v>0</v>
      </c>
      <c r="J598" s="108"/>
    </row>
    <row r="599" spans="1:10" s="16" customFormat="1" ht="25.5" outlineLevel="3">
      <c r="A599" s="91"/>
      <c r="B599" s="35"/>
      <c r="C599" s="141" t="s">
        <v>1436</v>
      </c>
      <c r="D599" s="136" t="s">
        <v>38</v>
      </c>
      <c r="E599" s="137">
        <v>1</v>
      </c>
      <c r="F599" s="232">
        <v>0</v>
      </c>
      <c r="G599" s="232">
        <v>0</v>
      </c>
      <c r="H599" s="138">
        <f t="shared" si="54"/>
        <v>0</v>
      </c>
      <c r="I599" s="138">
        <f t="shared" si="55"/>
        <v>0</v>
      </c>
      <c r="J599" s="108"/>
    </row>
    <row r="600" spans="1:10" s="16" customFormat="1" ht="25.5" outlineLevel="3">
      <c r="A600" s="91"/>
      <c r="B600" s="35">
        <f>MAXA(B$5:B599)+1</f>
        <v>103</v>
      </c>
      <c r="C600" s="114" t="s">
        <v>1477</v>
      </c>
      <c r="D600" s="136" t="s">
        <v>38</v>
      </c>
      <c r="E600" s="137">
        <v>1</v>
      </c>
      <c r="F600" s="232">
        <v>22185204</v>
      </c>
      <c r="G600" s="232">
        <v>1563188</v>
      </c>
      <c r="H600" s="138">
        <f t="shared" si="54"/>
        <v>23748392</v>
      </c>
      <c r="I600" s="138">
        <f t="shared" si="55"/>
        <v>23748392</v>
      </c>
      <c r="J600" s="108"/>
    </row>
    <row r="601" spans="1:10" s="16" customFormat="1" ht="25.5" outlineLevel="3">
      <c r="A601" s="91"/>
      <c r="B601" s="35"/>
      <c r="C601" s="112" t="s">
        <v>141</v>
      </c>
      <c r="D601" s="136"/>
      <c r="E601" s="137"/>
      <c r="F601" s="232">
        <v>0</v>
      </c>
      <c r="G601" s="232">
        <v>0</v>
      </c>
      <c r="H601" s="138"/>
      <c r="I601" s="138"/>
      <c r="J601" s="108"/>
    </row>
    <row r="602" spans="1:10" s="16" customFormat="1" ht="25.5" outlineLevel="3">
      <c r="A602" s="91"/>
      <c r="B602" s="35"/>
      <c r="C602" s="142" t="s">
        <v>176</v>
      </c>
      <c r="D602" s="136" t="s">
        <v>28</v>
      </c>
      <c r="E602" s="137">
        <v>1</v>
      </c>
      <c r="F602" s="232">
        <v>0</v>
      </c>
      <c r="G602" s="232">
        <v>0</v>
      </c>
      <c r="H602" s="138">
        <f>G602+F602</f>
        <v>0</v>
      </c>
      <c r="I602" s="138">
        <f>H602*E602</f>
        <v>0</v>
      </c>
      <c r="J602" s="108"/>
    </row>
    <row r="603" spans="1:10" s="16" customFormat="1" ht="25.5" outlineLevel="3">
      <c r="A603" s="91"/>
      <c r="B603" s="35"/>
      <c r="C603" s="139" t="s">
        <v>573</v>
      </c>
      <c r="D603" s="136" t="s">
        <v>28</v>
      </c>
      <c r="E603" s="137">
        <v>1</v>
      </c>
      <c r="F603" s="232">
        <v>0</v>
      </c>
      <c r="G603" s="232">
        <v>0</v>
      </c>
      <c r="H603" s="138">
        <f>G603+F603</f>
        <v>0</v>
      </c>
      <c r="I603" s="138">
        <f>H603*E603</f>
        <v>0</v>
      </c>
      <c r="J603" s="108"/>
    </row>
    <row r="604" spans="1:10" s="16" customFormat="1" ht="25.5" outlineLevel="3">
      <c r="A604" s="91"/>
      <c r="B604" s="35"/>
      <c r="C604" s="139" t="s">
        <v>1439</v>
      </c>
      <c r="D604" s="136" t="s">
        <v>28</v>
      </c>
      <c r="E604" s="137">
        <v>1</v>
      </c>
      <c r="F604" s="232">
        <v>0</v>
      </c>
      <c r="G604" s="232">
        <v>0</v>
      </c>
      <c r="H604" s="138">
        <f>G604+F604</f>
        <v>0</v>
      </c>
      <c r="I604" s="138">
        <f>H604*E604</f>
        <v>0</v>
      </c>
      <c r="J604" s="108"/>
    </row>
    <row r="605" spans="1:10" s="16" customFormat="1" ht="25.5" outlineLevel="3">
      <c r="A605" s="91"/>
      <c r="B605" s="35"/>
      <c r="C605" s="112" t="s">
        <v>148</v>
      </c>
      <c r="D605" s="136"/>
      <c r="E605" s="137"/>
      <c r="F605" s="232">
        <v>0</v>
      </c>
      <c r="G605" s="232">
        <v>0</v>
      </c>
      <c r="H605" s="138"/>
      <c r="I605" s="138"/>
      <c r="J605" s="108"/>
    </row>
    <row r="606" spans="1:10" s="16" customFormat="1" ht="25.5" outlineLevel="3">
      <c r="A606" s="91"/>
      <c r="B606" s="35"/>
      <c r="C606" s="142" t="s">
        <v>171</v>
      </c>
      <c r="D606" s="136" t="s">
        <v>28</v>
      </c>
      <c r="E606" s="137">
        <v>5</v>
      </c>
      <c r="F606" s="232">
        <v>0</v>
      </c>
      <c r="G606" s="232">
        <v>0</v>
      </c>
      <c r="H606" s="138">
        <f>G606+F606</f>
        <v>0</v>
      </c>
      <c r="I606" s="138">
        <f>H606*E606</f>
        <v>0</v>
      </c>
      <c r="J606" s="108"/>
    </row>
    <row r="607" spans="1:10" s="16" customFormat="1" ht="25.5" outlineLevel="3">
      <c r="A607" s="91"/>
      <c r="B607" s="35"/>
      <c r="C607" s="142" t="s">
        <v>639</v>
      </c>
      <c r="D607" s="136" t="s">
        <v>28</v>
      </c>
      <c r="E607" s="137">
        <v>1</v>
      </c>
      <c r="F607" s="232">
        <v>0</v>
      </c>
      <c r="G607" s="232">
        <v>0</v>
      </c>
      <c r="H607" s="138">
        <f>G607+F607</f>
        <v>0</v>
      </c>
      <c r="I607" s="138">
        <f>H607*E607</f>
        <v>0</v>
      </c>
      <c r="J607" s="108"/>
    </row>
    <row r="608" spans="1:10" s="16" customFormat="1" ht="25.5" outlineLevel="3">
      <c r="A608" s="91"/>
      <c r="B608" s="35"/>
      <c r="C608" s="142" t="s">
        <v>172</v>
      </c>
      <c r="D608" s="136" t="s">
        <v>28</v>
      </c>
      <c r="E608" s="137">
        <v>1</v>
      </c>
      <c r="F608" s="232">
        <v>0</v>
      </c>
      <c r="G608" s="232">
        <v>0</v>
      </c>
      <c r="H608" s="138">
        <f>G608+F608</f>
        <v>0</v>
      </c>
      <c r="I608" s="138">
        <f>H608*E608</f>
        <v>0</v>
      </c>
      <c r="J608" s="108"/>
    </row>
    <row r="609" spans="1:10" s="16" customFormat="1" ht="25.5" outlineLevel="3">
      <c r="A609" s="91"/>
      <c r="B609" s="35"/>
      <c r="C609" s="141" t="s">
        <v>1436</v>
      </c>
      <c r="D609" s="136" t="s">
        <v>38</v>
      </c>
      <c r="E609" s="137">
        <v>1</v>
      </c>
      <c r="F609" s="232">
        <v>0</v>
      </c>
      <c r="G609" s="232">
        <v>0</v>
      </c>
      <c r="H609" s="138">
        <f>G609+F609</f>
        <v>0</v>
      </c>
      <c r="I609" s="138">
        <f>H609*E609</f>
        <v>0</v>
      </c>
      <c r="J609" s="108"/>
    </row>
    <row r="610" spans="1:10" s="16" customFormat="1" ht="25.5" outlineLevel="3">
      <c r="A610" s="91"/>
      <c r="B610" s="35">
        <f>MAXA(B$5:B609)+1</f>
        <v>104</v>
      </c>
      <c r="C610" s="114" t="s">
        <v>260</v>
      </c>
      <c r="D610" s="136" t="s">
        <v>38</v>
      </c>
      <c r="E610" s="137">
        <v>1</v>
      </c>
      <c r="F610" s="232">
        <v>64569916</v>
      </c>
      <c r="G610" s="232">
        <v>1563188</v>
      </c>
      <c r="H610" s="138">
        <f>G610+F610</f>
        <v>66133104</v>
      </c>
      <c r="I610" s="138">
        <f>H610*E610</f>
        <v>66133104</v>
      </c>
      <c r="J610" s="108"/>
    </row>
    <row r="611" spans="1:10" s="16" customFormat="1" ht="25.5" outlineLevel="3">
      <c r="A611" s="91"/>
      <c r="B611" s="35"/>
      <c r="C611" s="112" t="s">
        <v>141</v>
      </c>
      <c r="D611" s="136"/>
      <c r="E611" s="137"/>
      <c r="F611" s="232">
        <v>0</v>
      </c>
      <c r="G611" s="232">
        <v>0</v>
      </c>
      <c r="H611" s="138"/>
      <c r="I611" s="138"/>
      <c r="J611" s="108"/>
    </row>
    <row r="612" spans="1:10" s="16" customFormat="1" ht="25.5" outlineLevel="3">
      <c r="A612" s="91"/>
      <c r="B612" s="35"/>
      <c r="C612" s="142" t="s">
        <v>232</v>
      </c>
      <c r="D612" s="136" t="s">
        <v>28</v>
      </c>
      <c r="E612" s="137">
        <v>1</v>
      </c>
      <c r="F612" s="232">
        <v>0</v>
      </c>
      <c r="G612" s="232">
        <v>0</v>
      </c>
      <c r="H612" s="138">
        <f t="shared" ref="H612:H619" si="56">G612+F612</f>
        <v>0</v>
      </c>
      <c r="I612" s="138">
        <f t="shared" ref="I612:I619" si="57">H612*E612</f>
        <v>0</v>
      </c>
      <c r="J612" s="108"/>
    </row>
    <row r="613" spans="1:10" s="16" customFormat="1" ht="25.5" outlineLevel="3">
      <c r="A613" s="91"/>
      <c r="B613" s="35"/>
      <c r="C613" s="139" t="s">
        <v>573</v>
      </c>
      <c r="D613" s="136" t="s">
        <v>28</v>
      </c>
      <c r="E613" s="137">
        <v>9</v>
      </c>
      <c r="F613" s="232">
        <v>0</v>
      </c>
      <c r="G613" s="232">
        <v>0</v>
      </c>
      <c r="H613" s="138">
        <f t="shared" si="56"/>
        <v>0</v>
      </c>
      <c r="I613" s="138">
        <f t="shared" si="57"/>
        <v>0</v>
      </c>
      <c r="J613" s="108"/>
    </row>
    <row r="614" spans="1:10" s="16" customFormat="1" ht="25.5" outlineLevel="3">
      <c r="A614" s="91"/>
      <c r="B614" s="35"/>
      <c r="C614" s="139" t="s">
        <v>574</v>
      </c>
      <c r="D614" s="136" t="s">
        <v>28</v>
      </c>
      <c r="E614" s="137">
        <v>6</v>
      </c>
      <c r="F614" s="232">
        <v>0</v>
      </c>
      <c r="G614" s="232">
        <v>0</v>
      </c>
      <c r="H614" s="138">
        <f t="shared" si="56"/>
        <v>0</v>
      </c>
      <c r="I614" s="138">
        <f t="shared" si="57"/>
        <v>0</v>
      </c>
      <c r="J614" s="108"/>
    </row>
    <row r="615" spans="1:10" s="16" customFormat="1" ht="25.5" outlineLevel="3">
      <c r="A615" s="91"/>
      <c r="B615" s="35"/>
      <c r="C615" s="139" t="s">
        <v>143</v>
      </c>
      <c r="D615" s="136" t="s">
        <v>28</v>
      </c>
      <c r="E615" s="137">
        <v>1</v>
      </c>
      <c r="F615" s="232">
        <v>0</v>
      </c>
      <c r="G615" s="232">
        <v>0</v>
      </c>
      <c r="H615" s="138">
        <f t="shared" si="56"/>
        <v>0</v>
      </c>
      <c r="I615" s="138">
        <f t="shared" si="57"/>
        <v>0</v>
      </c>
      <c r="J615" s="108"/>
    </row>
    <row r="616" spans="1:10" s="16" customFormat="1" ht="25.5" outlineLevel="3">
      <c r="A616" s="91"/>
      <c r="B616" s="35"/>
      <c r="C616" s="139" t="s">
        <v>144</v>
      </c>
      <c r="D616" s="136" t="s">
        <v>28</v>
      </c>
      <c r="E616" s="137">
        <v>1</v>
      </c>
      <c r="F616" s="232">
        <v>0</v>
      </c>
      <c r="G616" s="232">
        <v>0</v>
      </c>
      <c r="H616" s="138">
        <f t="shared" si="56"/>
        <v>0</v>
      </c>
      <c r="I616" s="138">
        <f t="shared" si="57"/>
        <v>0</v>
      </c>
      <c r="J616" s="108"/>
    </row>
    <row r="617" spans="1:10" s="16" customFormat="1" ht="25.5" outlineLevel="3">
      <c r="A617" s="91"/>
      <c r="B617" s="35"/>
      <c r="C617" s="141" t="s">
        <v>249</v>
      </c>
      <c r="D617" s="136" t="s">
        <v>28</v>
      </c>
      <c r="E617" s="137">
        <v>1</v>
      </c>
      <c r="F617" s="232">
        <v>0</v>
      </c>
      <c r="G617" s="232">
        <v>0</v>
      </c>
      <c r="H617" s="138">
        <f t="shared" si="56"/>
        <v>0</v>
      </c>
      <c r="I617" s="138">
        <f t="shared" si="57"/>
        <v>0</v>
      </c>
      <c r="J617" s="108"/>
    </row>
    <row r="618" spans="1:10" s="16" customFormat="1" ht="25.5" outlineLevel="3">
      <c r="A618" s="91"/>
      <c r="B618" s="35"/>
      <c r="C618" s="139" t="s">
        <v>146</v>
      </c>
      <c r="D618" s="136" t="s">
        <v>28</v>
      </c>
      <c r="E618" s="137">
        <v>1</v>
      </c>
      <c r="F618" s="232">
        <v>0</v>
      </c>
      <c r="G618" s="232">
        <v>0</v>
      </c>
      <c r="H618" s="138">
        <f t="shared" si="56"/>
        <v>0</v>
      </c>
      <c r="I618" s="138">
        <f t="shared" si="57"/>
        <v>0</v>
      </c>
      <c r="J618" s="108"/>
    </row>
    <row r="619" spans="1:10" s="16" customFormat="1" ht="25.5" outlineLevel="3">
      <c r="A619" s="91"/>
      <c r="B619" s="35"/>
      <c r="C619" s="139" t="s">
        <v>250</v>
      </c>
      <c r="D619" s="136" t="s">
        <v>28</v>
      </c>
      <c r="E619" s="137">
        <v>3</v>
      </c>
      <c r="F619" s="232">
        <v>0</v>
      </c>
      <c r="G619" s="232">
        <v>0</v>
      </c>
      <c r="H619" s="138">
        <f t="shared" si="56"/>
        <v>0</v>
      </c>
      <c r="I619" s="138">
        <f t="shared" si="57"/>
        <v>0</v>
      </c>
      <c r="J619" s="108"/>
    </row>
    <row r="620" spans="1:10" s="16" customFormat="1" ht="25.5" outlineLevel="3">
      <c r="A620" s="91"/>
      <c r="B620" s="35"/>
      <c r="C620" s="112" t="s">
        <v>148</v>
      </c>
      <c r="D620" s="136"/>
      <c r="E620" s="137"/>
      <c r="F620" s="232">
        <v>0</v>
      </c>
      <c r="G620" s="232">
        <v>0</v>
      </c>
      <c r="H620" s="138"/>
      <c r="I620" s="138"/>
      <c r="J620" s="108"/>
    </row>
    <row r="621" spans="1:10" s="16" customFormat="1" ht="25.5" outlineLevel="3">
      <c r="A621" s="91"/>
      <c r="B621" s="35"/>
      <c r="C621" s="142" t="s">
        <v>149</v>
      </c>
      <c r="D621" s="136" t="s">
        <v>28</v>
      </c>
      <c r="E621" s="137">
        <v>13</v>
      </c>
      <c r="F621" s="232">
        <v>0</v>
      </c>
      <c r="G621" s="232">
        <v>0</v>
      </c>
      <c r="H621" s="138">
        <f t="shared" ref="H621:H636" si="58">G621+F621</f>
        <v>0</v>
      </c>
      <c r="I621" s="138">
        <f t="shared" ref="I621:I636" si="59">H621*E621</f>
        <v>0</v>
      </c>
      <c r="J621" s="108"/>
    </row>
    <row r="622" spans="1:10" s="16" customFormat="1" ht="25.5" outlineLevel="3">
      <c r="A622" s="91"/>
      <c r="B622" s="35"/>
      <c r="C622" s="142" t="s">
        <v>150</v>
      </c>
      <c r="D622" s="136" t="s">
        <v>28</v>
      </c>
      <c r="E622" s="137">
        <v>1</v>
      </c>
      <c r="F622" s="232">
        <v>0</v>
      </c>
      <c r="G622" s="232">
        <v>0</v>
      </c>
      <c r="H622" s="138">
        <f t="shared" si="58"/>
        <v>0</v>
      </c>
      <c r="I622" s="138">
        <f t="shared" si="59"/>
        <v>0</v>
      </c>
      <c r="J622" s="108"/>
    </row>
    <row r="623" spans="1:10" s="16" customFormat="1" ht="25.5" outlineLevel="3">
      <c r="A623" s="91"/>
      <c r="B623" s="35"/>
      <c r="C623" s="142" t="s">
        <v>151</v>
      </c>
      <c r="D623" s="136" t="s">
        <v>28</v>
      </c>
      <c r="E623" s="137">
        <v>7</v>
      </c>
      <c r="F623" s="232">
        <v>0</v>
      </c>
      <c r="G623" s="232">
        <v>0</v>
      </c>
      <c r="H623" s="138">
        <f t="shared" si="58"/>
        <v>0</v>
      </c>
      <c r="I623" s="138">
        <f t="shared" si="59"/>
        <v>0</v>
      </c>
      <c r="J623" s="108"/>
    </row>
    <row r="624" spans="1:10" s="16" customFormat="1" ht="25.5" outlineLevel="3">
      <c r="A624" s="91"/>
      <c r="B624" s="35"/>
      <c r="C624" s="142" t="s">
        <v>152</v>
      </c>
      <c r="D624" s="136" t="s">
        <v>28</v>
      </c>
      <c r="E624" s="137">
        <v>1</v>
      </c>
      <c r="F624" s="232">
        <v>0</v>
      </c>
      <c r="G624" s="232">
        <v>0</v>
      </c>
      <c r="H624" s="138">
        <f t="shared" si="58"/>
        <v>0</v>
      </c>
      <c r="I624" s="138">
        <f t="shared" si="59"/>
        <v>0</v>
      </c>
      <c r="J624" s="108"/>
    </row>
    <row r="625" spans="1:12" s="16" customFormat="1" ht="25.5" outlineLevel="3">
      <c r="A625" s="91"/>
      <c r="B625" s="35"/>
      <c r="C625" s="142" t="s">
        <v>153</v>
      </c>
      <c r="D625" s="136" t="s">
        <v>28</v>
      </c>
      <c r="E625" s="137">
        <v>3</v>
      </c>
      <c r="F625" s="232">
        <v>0</v>
      </c>
      <c r="G625" s="232">
        <v>0</v>
      </c>
      <c r="H625" s="138">
        <f t="shared" si="58"/>
        <v>0</v>
      </c>
      <c r="I625" s="138">
        <f t="shared" si="59"/>
        <v>0</v>
      </c>
      <c r="J625" s="108"/>
    </row>
    <row r="626" spans="1:12" s="16" customFormat="1" ht="25.5" outlineLevel="3">
      <c r="A626" s="91"/>
      <c r="B626" s="35"/>
      <c r="C626" s="142" t="s">
        <v>155</v>
      </c>
      <c r="D626" s="136" t="s">
        <v>28</v>
      </c>
      <c r="E626" s="137">
        <v>1</v>
      </c>
      <c r="F626" s="232">
        <v>0</v>
      </c>
      <c r="G626" s="232">
        <v>0</v>
      </c>
      <c r="H626" s="138">
        <f t="shared" si="58"/>
        <v>0</v>
      </c>
      <c r="I626" s="138">
        <f t="shared" si="59"/>
        <v>0</v>
      </c>
      <c r="J626" s="108"/>
    </row>
    <row r="627" spans="1:12" s="16" customFormat="1" ht="25.5" outlineLevel="3">
      <c r="A627" s="91"/>
      <c r="B627" s="35"/>
      <c r="C627" s="142" t="s">
        <v>203</v>
      </c>
      <c r="D627" s="136" t="s">
        <v>28</v>
      </c>
      <c r="E627" s="137">
        <v>1</v>
      </c>
      <c r="F627" s="232">
        <v>0</v>
      </c>
      <c r="G627" s="232">
        <v>0</v>
      </c>
      <c r="H627" s="138">
        <f t="shared" si="58"/>
        <v>0</v>
      </c>
      <c r="I627" s="138">
        <f t="shared" si="59"/>
        <v>0</v>
      </c>
      <c r="J627" s="108"/>
    </row>
    <row r="628" spans="1:12" s="16" customFormat="1" ht="25.5" outlineLevel="3">
      <c r="A628" s="91"/>
      <c r="B628" s="35"/>
      <c r="C628" s="139" t="s">
        <v>161</v>
      </c>
      <c r="D628" s="136" t="s">
        <v>194</v>
      </c>
      <c r="E628" s="137">
        <v>1</v>
      </c>
      <c r="F628" s="232">
        <v>0</v>
      </c>
      <c r="G628" s="232">
        <v>0</v>
      </c>
      <c r="H628" s="138">
        <f t="shared" si="58"/>
        <v>0</v>
      </c>
      <c r="I628" s="138">
        <f t="shared" si="59"/>
        <v>0</v>
      </c>
      <c r="J628" s="108"/>
    </row>
    <row r="629" spans="1:12" s="16" customFormat="1" ht="25.5" outlineLevel="3">
      <c r="A629" s="91"/>
      <c r="B629" s="35"/>
      <c r="C629" s="142" t="s">
        <v>178</v>
      </c>
      <c r="D629" s="136" t="s">
        <v>28</v>
      </c>
      <c r="E629" s="137">
        <v>1</v>
      </c>
      <c r="F629" s="232">
        <v>0</v>
      </c>
      <c r="G629" s="232">
        <v>0</v>
      </c>
      <c r="H629" s="138">
        <f t="shared" si="58"/>
        <v>0</v>
      </c>
      <c r="I629" s="138">
        <f t="shared" si="59"/>
        <v>0</v>
      </c>
      <c r="J629" s="108"/>
    </row>
    <row r="630" spans="1:12" s="16" customFormat="1" ht="25.5" outlineLevel="3">
      <c r="A630" s="91"/>
      <c r="B630" s="35"/>
      <c r="C630" s="142" t="s">
        <v>172</v>
      </c>
      <c r="D630" s="136" t="s">
        <v>28</v>
      </c>
      <c r="E630" s="137">
        <v>4</v>
      </c>
      <c r="F630" s="232">
        <v>0</v>
      </c>
      <c r="G630" s="232">
        <v>0</v>
      </c>
      <c r="H630" s="138">
        <f t="shared" si="58"/>
        <v>0</v>
      </c>
      <c r="I630" s="138">
        <f t="shared" si="59"/>
        <v>0</v>
      </c>
      <c r="J630" s="108"/>
    </row>
    <row r="631" spans="1:12" s="16" customFormat="1" ht="25.5" outlineLevel="3">
      <c r="A631" s="91"/>
      <c r="B631" s="35"/>
      <c r="C631" s="142" t="s">
        <v>165</v>
      </c>
      <c r="D631" s="136" t="s">
        <v>28</v>
      </c>
      <c r="E631" s="137">
        <v>4</v>
      </c>
      <c r="F631" s="232">
        <v>0</v>
      </c>
      <c r="G631" s="232">
        <v>0</v>
      </c>
      <c r="H631" s="138">
        <f t="shared" si="58"/>
        <v>0</v>
      </c>
      <c r="I631" s="138">
        <f t="shared" si="59"/>
        <v>0</v>
      </c>
      <c r="J631" s="108"/>
    </row>
    <row r="632" spans="1:12" s="16" customFormat="1" ht="25.5" outlineLevel="3">
      <c r="A632" s="91"/>
      <c r="B632" s="35"/>
      <c r="C632" s="141" t="s">
        <v>166</v>
      </c>
      <c r="D632" s="136" t="s">
        <v>28</v>
      </c>
      <c r="E632" s="137">
        <v>4</v>
      </c>
      <c r="F632" s="232">
        <v>0</v>
      </c>
      <c r="G632" s="232">
        <v>0</v>
      </c>
      <c r="H632" s="138">
        <f t="shared" si="58"/>
        <v>0</v>
      </c>
      <c r="I632" s="138">
        <f t="shared" si="59"/>
        <v>0</v>
      </c>
      <c r="J632" s="108"/>
    </row>
    <row r="633" spans="1:12" s="16" customFormat="1" ht="25.5" outlineLevel="3">
      <c r="A633" s="91"/>
      <c r="B633" s="35"/>
      <c r="C633" s="141" t="s">
        <v>167</v>
      </c>
      <c r="D633" s="136" t="s">
        <v>28</v>
      </c>
      <c r="E633" s="137">
        <v>4</v>
      </c>
      <c r="F633" s="232">
        <v>0</v>
      </c>
      <c r="G633" s="232">
        <v>0</v>
      </c>
      <c r="H633" s="138">
        <f t="shared" si="58"/>
        <v>0</v>
      </c>
      <c r="I633" s="138">
        <f t="shared" si="59"/>
        <v>0</v>
      </c>
      <c r="J633" s="108"/>
    </row>
    <row r="634" spans="1:12" s="16" customFormat="1" ht="25.5" outlineLevel="3">
      <c r="A634" s="91"/>
      <c r="B634" s="35"/>
      <c r="C634" s="141" t="s">
        <v>1436</v>
      </c>
      <c r="D634" s="136" t="s">
        <v>38</v>
      </c>
      <c r="E634" s="137">
        <v>1</v>
      </c>
      <c r="F634" s="232">
        <v>0</v>
      </c>
      <c r="G634" s="232">
        <v>0</v>
      </c>
      <c r="H634" s="138">
        <f t="shared" si="58"/>
        <v>0</v>
      </c>
      <c r="I634" s="138">
        <f t="shared" si="59"/>
        <v>0</v>
      </c>
      <c r="J634" s="108"/>
    </row>
    <row r="635" spans="1:12" s="16" customFormat="1" ht="25.5" outlineLevel="3">
      <c r="A635" s="91"/>
      <c r="B635" s="35">
        <f>MAXA($B$6:B634)+1</f>
        <v>105</v>
      </c>
      <c r="C635" s="245" t="s">
        <v>273</v>
      </c>
      <c r="D635" s="136" t="s">
        <v>38</v>
      </c>
      <c r="E635" s="362">
        <v>1</v>
      </c>
      <c r="F635" s="232">
        <v>52255125</v>
      </c>
      <c r="G635" s="232">
        <v>2605313</v>
      </c>
      <c r="H635" s="138">
        <f t="shared" si="58"/>
        <v>54860438</v>
      </c>
      <c r="I635" s="138">
        <f t="shared" si="59"/>
        <v>54860438</v>
      </c>
      <c r="J635" s="108"/>
    </row>
    <row r="636" spans="1:12" s="16" customFormat="1" ht="25.5" outlineLevel="3">
      <c r="A636" s="91"/>
      <c r="B636" s="35">
        <f>MAXA(B$5:B635)+1</f>
        <v>106</v>
      </c>
      <c r="C636" s="364" t="s">
        <v>1478</v>
      </c>
      <c r="D636" s="136" t="s">
        <v>44</v>
      </c>
      <c r="E636" s="137">
        <v>1</v>
      </c>
      <c r="F636" s="232">
        <v>1239027</v>
      </c>
      <c r="G636" s="232">
        <v>104213</v>
      </c>
      <c r="H636" s="138">
        <f t="shared" si="58"/>
        <v>1343240</v>
      </c>
      <c r="I636" s="138">
        <f t="shared" si="59"/>
        <v>1343240</v>
      </c>
      <c r="J636" s="108"/>
    </row>
    <row r="637" spans="1:12" s="33" customFormat="1" ht="27" outlineLevel="3">
      <c r="A637" s="100"/>
      <c r="B637" s="38" t="s">
        <v>275</v>
      </c>
      <c r="C637" s="366" t="s">
        <v>276</v>
      </c>
      <c r="D637" s="363"/>
      <c r="E637" s="352"/>
      <c r="F637" s="232">
        <v>0</v>
      </c>
      <c r="G637" s="232">
        <v>0</v>
      </c>
      <c r="H637" s="367"/>
      <c r="I637" s="180">
        <f>SUBTOTAL(9,I638:I677)</f>
        <v>3284481225</v>
      </c>
      <c r="J637" s="111"/>
    </row>
    <row r="638" spans="1:12" s="16" customFormat="1" ht="25.5" outlineLevel="3">
      <c r="A638" s="91"/>
      <c r="B638" s="35"/>
      <c r="C638" s="139" t="s">
        <v>277</v>
      </c>
      <c r="D638" s="136"/>
      <c r="E638" s="137"/>
      <c r="F638" s="232">
        <v>0</v>
      </c>
      <c r="G638" s="232">
        <v>0</v>
      </c>
      <c r="H638" s="138"/>
      <c r="I638" s="138"/>
      <c r="J638" s="108"/>
    </row>
    <row r="639" spans="1:12" s="16" customFormat="1" ht="38.25" outlineLevel="3">
      <c r="A639" s="91" t="s">
        <v>154</v>
      </c>
      <c r="B639" s="35">
        <f>MAXA(B$5:B638)+1</f>
        <v>107</v>
      </c>
      <c r="C639" s="368" t="s">
        <v>278</v>
      </c>
      <c r="D639" s="136" t="s">
        <v>44</v>
      </c>
      <c r="E639" s="137">
        <v>218</v>
      </c>
      <c r="F639" s="253">
        <v>1642544.9999999998</v>
      </c>
      <c r="G639" s="232">
        <v>156319</v>
      </c>
      <c r="H639" s="138">
        <f t="shared" ref="H639:H661" si="60">G639+F639</f>
        <v>1798863.9999999998</v>
      </c>
      <c r="I639" s="138">
        <f t="shared" ref="I639:I661" si="61">H639*E639</f>
        <v>392152351.99999994</v>
      </c>
      <c r="J639" s="108"/>
      <c r="K639" s="16" t="s">
        <v>156</v>
      </c>
    </row>
    <row r="640" spans="1:12" s="16" customFormat="1" ht="38.25" outlineLevel="3">
      <c r="A640" s="91" t="s">
        <v>154</v>
      </c>
      <c r="B640" s="35">
        <v>108</v>
      </c>
      <c r="C640" s="368" t="s">
        <v>279</v>
      </c>
      <c r="D640" s="136" t="s">
        <v>44</v>
      </c>
      <c r="E640" s="137">
        <v>240</v>
      </c>
      <c r="F640" s="253">
        <v>2108295</v>
      </c>
      <c r="G640" s="232">
        <v>156319</v>
      </c>
      <c r="H640" s="138">
        <f t="shared" si="60"/>
        <v>2264614</v>
      </c>
      <c r="I640" s="138">
        <f t="shared" si="61"/>
        <v>543507360</v>
      </c>
      <c r="J640" s="108"/>
      <c r="K640" s="16" t="s">
        <v>280</v>
      </c>
      <c r="L640" s="16" t="s">
        <v>1479</v>
      </c>
    </row>
    <row r="641" spans="1:11" s="16" customFormat="1" ht="25.5" outlineLevel="3">
      <c r="A641" s="91"/>
      <c r="B641" s="35">
        <v>109</v>
      </c>
      <c r="C641" s="139" t="s">
        <v>1480</v>
      </c>
      <c r="D641" s="136" t="s">
        <v>44</v>
      </c>
      <c r="E641" s="369">
        <v>244</v>
      </c>
      <c r="F641" s="253">
        <v>632385</v>
      </c>
      <c r="G641" s="232">
        <v>260531</v>
      </c>
      <c r="H641" s="138">
        <f t="shared" si="60"/>
        <v>892916</v>
      </c>
      <c r="I641" s="138">
        <f t="shared" si="61"/>
        <v>217871504</v>
      </c>
      <c r="J641" s="108"/>
    </row>
    <row r="642" spans="1:11" s="16" customFormat="1" ht="25.5" outlineLevel="3">
      <c r="A642" s="91"/>
      <c r="B642" s="35">
        <f>MAXA(B$5:B641)+1</f>
        <v>110</v>
      </c>
      <c r="C642" s="370" t="s">
        <v>1481</v>
      </c>
      <c r="D642" s="136" t="s">
        <v>44</v>
      </c>
      <c r="E642" s="369">
        <v>122</v>
      </c>
      <c r="F642" s="253">
        <v>366390</v>
      </c>
      <c r="G642" s="232">
        <v>125055</v>
      </c>
      <c r="H642" s="138">
        <f t="shared" si="60"/>
        <v>491445</v>
      </c>
      <c r="I642" s="138">
        <f t="shared" si="61"/>
        <v>59956290</v>
      </c>
      <c r="J642" s="108"/>
    </row>
    <row r="643" spans="1:11" s="16" customFormat="1" ht="25.5" outlineLevel="3">
      <c r="A643" s="91"/>
      <c r="B643" s="35">
        <f>MAXA(B$5:B642)+1</f>
        <v>111</v>
      </c>
      <c r="C643" s="370" t="s">
        <v>1482</v>
      </c>
      <c r="D643" s="136" t="s">
        <v>44</v>
      </c>
      <c r="E643" s="369">
        <v>123</v>
      </c>
      <c r="F643" s="253">
        <v>366390</v>
      </c>
      <c r="G643" s="232">
        <v>125055</v>
      </c>
      <c r="H643" s="138">
        <f t="shared" si="60"/>
        <v>491445</v>
      </c>
      <c r="I643" s="138">
        <f t="shared" si="61"/>
        <v>60447735</v>
      </c>
      <c r="J643" s="108"/>
    </row>
    <row r="644" spans="1:11" s="16" customFormat="1" ht="25.5" outlineLevel="3">
      <c r="A644" s="91"/>
      <c r="B644" s="35">
        <f>MAXA(B$5:B643)+1</f>
        <v>112</v>
      </c>
      <c r="C644" s="370" t="s">
        <v>285</v>
      </c>
      <c r="D644" s="136" t="s">
        <v>44</v>
      </c>
      <c r="E644" s="369">
        <v>105</v>
      </c>
      <c r="F644" s="253">
        <v>1003949.9999999999</v>
      </c>
      <c r="G644" s="232">
        <v>125055</v>
      </c>
      <c r="H644" s="138">
        <f t="shared" si="60"/>
        <v>1129005</v>
      </c>
      <c r="I644" s="138">
        <f t="shared" si="61"/>
        <v>118545525</v>
      </c>
      <c r="J644" s="108"/>
    </row>
    <row r="645" spans="1:11" s="16" customFormat="1" ht="25.5" outlineLevel="3">
      <c r="A645" s="91"/>
      <c r="B645" s="35">
        <f>MAXA(B$5:B644)+1</f>
        <v>113</v>
      </c>
      <c r="C645" s="370" t="s">
        <v>1483</v>
      </c>
      <c r="D645" s="136" t="s">
        <v>44</v>
      </c>
      <c r="E645" s="369">
        <v>42</v>
      </c>
      <c r="F645" s="253">
        <v>3564539.9999999995</v>
      </c>
      <c r="G645" s="232">
        <v>125055</v>
      </c>
      <c r="H645" s="138">
        <f t="shared" si="60"/>
        <v>3689594.9999999995</v>
      </c>
      <c r="I645" s="138">
        <f t="shared" si="61"/>
        <v>154962989.99999997</v>
      </c>
      <c r="J645" s="108"/>
    </row>
    <row r="646" spans="1:11" s="16" customFormat="1" ht="25.5" outlineLevel="3">
      <c r="A646" s="91"/>
      <c r="B646" s="35">
        <f>MAXA(B$5:B645)+1</f>
        <v>114</v>
      </c>
      <c r="C646" s="370" t="s">
        <v>1484</v>
      </c>
      <c r="D646" s="136" t="s">
        <v>44</v>
      </c>
      <c r="E646" s="369">
        <v>14</v>
      </c>
      <c r="F646" s="253">
        <v>5428575</v>
      </c>
      <c r="G646" s="232">
        <v>156319</v>
      </c>
      <c r="H646" s="138">
        <f t="shared" si="60"/>
        <v>5584894</v>
      </c>
      <c r="I646" s="138">
        <f t="shared" si="61"/>
        <v>78188516</v>
      </c>
      <c r="J646" s="108"/>
    </row>
    <row r="647" spans="1:11" s="16" customFormat="1" ht="25.5" outlineLevel="3">
      <c r="A647" s="91"/>
      <c r="B647" s="35">
        <f>MAXA(B$5:B646)+1</f>
        <v>115</v>
      </c>
      <c r="C647" s="370" t="s">
        <v>1485</v>
      </c>
      <c r="D647" s="136" t="s">
        <v>44</v>
      </c>
      <c r="E647" s="369">
        <v>13</v>
      </c>
      <c r="F647" s="253">
        <v>782459.99999999988</v>
      </c>
      <c r="G647" s="232">
        <v>125055</v>
      </c>
      <c r="H647" s="138">
        <f t="shared" si="60"/>
        <v>907514.99999999988</v>
      </c>
      <c r="I647" s="138">
        <f t="shared" si="61"/>
        <v>11797694.999999998</v>
      </c>
      <c r="J647" s="108"/>
    </row>
    <row r="648" spans="1:11" s="16" customFormat="1" ht="25.5" outlineLevel="3">
      <c r="A648" s="91"/>
      <c r="B648" s="35">
        <f>MAXA(B$5:B647)+1</f>
        <v>116</v>
      </c>
      <c r="C648" s="370" t="s">
        <v>286</v>
      </c>
      <c r="D648" s="136" t="s">
        <v>44</v>
      </c>
      <c r="E648" s="369">
        <v>2</v>
      </c>
      <c r="F648" s="253">
        <v>3236444.9999999995</v>
      </c>
      <c r="G648" s="232">
        <v>468956</v>
      </c>
      <c r="H648" s="138">
        <f t="shared" si="60"/>
        <v>3705400.9999999995</v>
      </c>
      <c r="I648" s="138">
        <f t="shared" si="61"/>
        <v>7410801.9999999991</v>
      </c>
      <c r="J648" s="108"/>
    </row>
    <row r="649" spans="1:11" s="16" customFormat="1" ht="25.5" outlineLevel="3">
      <c r="A649" s="91" t="s">
        <v>154</v>
      </c>
      <c r="B649" s="35">
        <f>MAXA(B$5:B648)+1</f>
        <v>117</v>
      </c>
      <c r="C649" s="156" t="s">
        <v>290</v>
      </c>
      <c r="D649" s="136" t="s">
        <v>44</v>
      </c>
      <c r="E649" s="137">
        <v>515</v>
      </c>
      <c r="F649" s="253">
        <v>1130220</v>
      </c>
      <c r="G649" s="232">
        <v>208425</v>
      </c>
      <c r="H649" s="138">
        <f t="shared" si="60"/>
        <v>1338645</v>
      </c>
      <c r="I649" s="138">
        <f t="shared" si="61"/>
        <v>689402175</v>
      </c>
      <c r="J649" s="108"/>
      <c r="K649" s="16" t="s">
        <v>156</v>
      </c>
    </row>
    <row r="650" spans="1:11" s="16" customFormat="1" ht="25.5" outlineLevel="3">
      <c r="A650" s="91"/>
      <c r="B650" s="35">
        <f>MAXA(B$5:B649)+1</f>
        <v>118</v>
      </c>
      <c r="C650" s="370" t="s">
        <v>1486</v>
      </c>
      <c r="D650" s="136" t="s">
        <v>44</v>
      </c>
      <c r="E650" s="369">
        <v>103</v>
      </c>
      <c r="F650" s="253">
        <v>1128150</v>
      </c>
      <c r="G650" s="232">
        <v>125055</v>
      </c>
      <c r="H650" s="138">
        <f t="shared" si="60"/>
        <v>1253205</v>
      </c>
      <c r="I650" s="138">
        <f t="shared" si="61"/>
        <v>129080115</v>
      </c>
      <c r="J650" s="108"/>
    </row>
    <row r="651" spans="1:11" s="16" customFormat="1" ht="25.5" outlineLevel="3">
      <c r="A651" s="91"/>
      <c r="B651" s="35">
        <f>MAXA(B$5:B650)+1</f>
        <v>119</v>
      </c>
      <c r="C651" s="370" t="s">
        <v>293</v>
      </c>
      <c r="D651" s="136" t="s">
        <v>44</v>
      </c>
      <c r="E651" s="137">
        <v>40</v>
      </c>
      <c r="F651" s="253">
        <v>427454.99999999994</v>
      </c>
      <c r="G651" s="232">
        <v>125055</v>
      </c>
      <c r="H651" s="138">
        <f t="shared" si="60"/>
        <v>552510</v>
      </c>
      <c r="I651" s="138">
        <f t="shared" si="61"/>
        <v>22100400</v>
      </c>
      <c r="J651" s="108"/>
    </row>
    <row r="652" spans="1:11" s="16" customFormat="1" ht="25.5" outlineLevel="3">
      <c r="A652" s="91"/>
      <c r="B652" s="35">
        <f>MAXA(B$5:B651)+1</f>
        <v>120</v>
      </c>
      <c r="C652" s="370" t="s">
        <v>1487</v>
      </c>
      <c r="D652" s="136" t="s">
        <v>44</v>
      </c>
      <c r="E652" s="137">
        <v>1</v>
      </c>
      <c r="F652" s="253">
        <v>755549.99999999988</v>
      </c>
      <c r="G652" s="232">
        <v>125055</v>
      </c>
      <c r="H652" s="138">
        <f t="shared" si="60"/>
        <v>880604.99999999988</v>
      </c>
      <c r="I652" s="138">
        <f t="shared" si="61"/>
        <v>880604.99999999988</v>
      </c>
      <c r="J652" s="108"/>
    </row>
    <row r="653" spans="1:11" s="16" customFormat="1" ht="38.25" outlineLevel="3">
      <c r="A653" s="91"/>
      <c r="B653" s="35">
        <f>MAXA(B$5:B652)+1</f>
        <v>121</v>
      </c>
      <c r="C653" s="370" t="s">
        <v>1488</v>
      </c>
      <c r="D653" s="136" t="s">
        <v>44</v>
      </c>
      <c r="E653" s="137">
        <v>9</v>
      </c>
      <c r="F653" s="253">
        <v>427454.99999999994</v>
      </c>
      <c r="G653" s="232">
        <v>125055</v>
      </c>
      <c r="H653" s="138">
        <f t="shared" si="60"/>
        <v>552510</v>
      </c>
      <c r="I653" s="138">
        <f t="shared" si="61"/>
        <v>4972590</v>
      </c>
      <c r="J653" s="108"/>
    </row>
    <row r="654" spans="1:11" s="16" customFormat="1" ht="25.5" outlineLevel="3">
      <c r="A654" s="91"/>
      <c r="B654" s="35">
        <f>MAXA(B$5:B653)+1</f>
        <v>122</v>
      </c>
      <c r="C654" s="156" t="s">
        <v>1489</v>
      </c>
      <c r="D654" s="136" t="s">
        <v>44</v>
      </c>
      <c r="E654" s="137">
        <v>6</v>
      </c>
      <c r="F654" s="253">
        <v>427454.99999999994</v>
      </c>
      <c r="G654" s="232">
        <v>125055</v>
      </c>
      <c r="H654" s="138">
        <f t="shared" si="60"/>
        <v>552510</v>
      </c>
      <c r="I654" s="138">
        <f t="shared" si="61"/>
        <v>3315060</v>
      </c>
      <c r="J654" s="108"/>
    </row>
    <row r="655" spans="1:11" s="16" customFormat="1" ht="25.5" outlineLevel="3">
      <c r="A655" s="91"/>
      <c r="B655" s="35">
        <f>MAXA(B$5:B654)+1</f>
        <v>123</v>
      </c>
      <c r="C655" s="156" t="s">
        <v>1490</v>
      </c>
      <c r="D655" s="136" t="s">
        <v>44</v>
      </c>
      <c r="E655" s="137">
        <v>4</v>
      </c>
      <c r="F655" s="253">
        <v>427454.99999999994</v>
      </c>
      <c r="G655" s="232">
        <v>125055</v>
      </c>
      <c r="H655" s="138">
        <f t="shared" si="60"/>
        <v>552510</v>
      </c>
      <c r="I655" s="138">
        <f t="shared" si="61"/>
        <v>2210040</v>
      </c>
      <c r="J655" s="108"/>
    </row>
    <row r="656" spans="1:11" s="16" customFormat="1" ht="25.5" outlineLevel="3">
      <c r="A656" s="91"/>
      <c r="B656" s="35">
        <f>MAXA(B$5:B655)+1</f>
        <v>124</v>
      </c>
      <c r="C656" s="156" t="s">
        <v>296</v>
      </c>
      <c r="D656" s="136" t="s">
        <v>44</v>
      </c>
      <c r="E656" s="137">
        <v>79</v>
      </c>
      <c r="F656" s="253">
        <v>570285</v>
      </c>
      <c r="G656" s="232">
        <v>125055</v>
      </c>
      <c r="H656" s="138">
        <f t="shared" si="60"/>
        <v>695340</v>
      </c>
      <c r="I656" s="138">
        <f t="shared" si="61"/>
        <v>54931860</v>
      </c>
      <c r="J656" s="108"/>
    </row>
    <row r="657" spans="1:10" s="16" customFormat="1" ht="51" outlineLevel="3">
      <c r="A657" s="91"/>
      <c r="B657" s="35">
        <f>MAXA(B$5:B656)+1</f>
        <v>125</v>
      </c>
      <c r="C657" s="156" t="s">
        <v>1491</v>
      </c>
      <c r="D657" s="136" t="s">
        <v>44</v>
      </c>
      <c r="E657" s="137">
        <v>26</v>
      </c>
      <c r="F657" s="253">
        <v>570285</v>
      </c>
      <c r="G657" s="232">
        <v>125055</v>
      </c>
      <c r="H657" s="138">
        <f t="shared" si="60"/>
        <v>695340</v>
      </c>
      <c r="I657" s="138">
        <f t="shared" si="61"/>
        <v>18078840</v>
      </c>
      <c r="J657" s="108"/>
    </row>
    <row r="658" spans="1:10" s="16" customFormat="1" ht="25.5" outlineLevel="3">
      <c r="A658" s="91"/>
      <c r="B658" s="35">
        <f>MAXA(B$5:B657)+1</f>
        <v>126</v>
      </c>
      <c r="C658" s="156" t="s">
        <v>1492</v>
      </c>
      <c r="D658" s="136" t="s">
        <v>44</v>
      </c>
      <c r="E658" s="137">
        <v>2</v>
      </c>
      <c r="F658" s="253">
        <v>2390850</v>
      </c>
      <c r="G658" s="232">
        <v>96769</v>
      </c>
      <c r="H658" s="138">
        <f t="shared" si="60"/>
        <v>2487619</v>
      </c>
      <c r="I658" s="138">
        <f t="shared" si="61"/>
        <v>4975238</v>
      </c>
      <c r="J658" s="108"/>
    </row>
    <row r="659" spans="1:10" s="16" customFormat="1" ht="25.5" outlineLevel="3">
      <c r="A659" s="91"/>
      <c r="B659" s="35">
        <f>MAXA(B$5:B658)+1</f>
        <v>127</v>
      </c>
      <c r="C659" s="156" t="s">
        <v>298</v>
      </c>
      <c r="D659" s="136" t="s">
        <v>44</v>
      </c>
      <c r="E659" s="137">
        <v>26</v>
      </c>
      <c r="F659" s="253">
        <v>793844.99999999988</v>
      </c>
      <c r="G659" s="232">
        <v>156319</v>
      </c>
      <c r="H659" s="138">
        <f t="shared" si="60"/>
        <v>950163.99999999988</v>
      </c>
      <c r="I659" s="138">
        <f t="shared" si="61"/>
        <v>24704263.999999996</v>
      </c>
      <c r="J659" s="108"/>
    </row>
    <row r="660" spans="1:10" s="16" customFormat="1" ht="25.5" outlineLevel="3">
      <c r="A660" s="91"/>
      <c r="B660" s="35">
        <f>MAXA(B$5:B659)+1</f>
        <v>128</v>
      </c>
      <c r="C660" s="156" t="s">
        <v>299</v>
      </c>
      <c r="D660" s="136" t="s">
        <v>28</v>
      </c>
      <c r="E660" s="137">
        <v>2336</v>
      </c>
      <c r="F660" s="232">
        <v>52255</v>
      </c>
      <c r="G660" s="232">
        <v>46896</v>
      </c>
      <c r="H660" s="138">
        <f t="shared" si="60"/>
        <v>99151</v>
      </c>
      <c r="I660" s="138">
        <f t="shared" si="61"/>
        <v>231616736</v>
      </c>
      <c r="J660" s="108"/>
    </row>
    <row r="661" spans="1:10" s="16" customFormat="1" ht="25.5" outlineLevel="3">
      <c r="A661" s="91"/>
      <c r="B661" s="35">
        <f>MAXA(B$5:B660)+1</f>
        <v>129</v>
      </c>
      <c r="C661" s="358" t="s">
        <v>1493</v>
      </c>
      <c r="D661" s="136" t="s">
        <v>38</v>
      </c>
      <c r="E661" s="137">
        <v>1</v>
      </c>
      <c r="F661" s="232">
        <v>44451693</v>
      </c>
      <c r="G661" s="232">
        <v>15957018</v>
      </c>
      <c r="H661" s="138">
        <f t="shared" si="60"/>
        <v>60408711</v>
      </c>
      <c r="I661" s="138">
        <f t="shared" si="61"/>
        <v>60408711</v>
      </c>
      <c r="J661" s="108"/>
    </row>
    <row r="662" spans="1:10" s="16" customFormat="1" ht="25.5" outlineLevel="3">
      <c r="A662" s="91"/>
      <c r="B662" s="35"/>
      <c r="C662" s="139" t="s">
        <v>300</v>
      </c>
      <c r="D662" s="136"/>
      <c r="E662" s="137"/>
      <c r="F662" s="232">
        <v>0</v>
      </c>
      <c r="G662" s="232">
        <v>0</v>
      </c>
      <c r="H662" s="138"/>
      <c r="I662" s="138"/>
      <c r="J662" s="108"/>
    </row>
    <row r="663" spans="1:10" s="16" customFormat="1" ht="25.5" outlineLevel="3">
      <c r="A663" s="91"/>
      <c r="B663" s="35">
        <f>MAXA(B$5:B662)+1</f>
        <v>130</v>
      </c>
      <c r="C663" s="370" t="s">
        <v>301</v>
      </c>
      <c r="D663" s="136" t="s">
        <v>44</v>
      </c>
      <c r="E663" s="137">
        <v>80</v>
      </c>
      <c r="F663" s="232">
        <v>34117</v>
      </c>
      <c r="G663" s="232">
        <v>36474</v>
      </c>
      <c r="H663" s="138">
        <f t="shared" ref="H663:H668" si="62">G663+F663</f>
        <v>70591</v>
      </c>
      <c r="I663" s="138">
        <f t="shared" ref="I663:I668" si="63">H663*E663</f>
        <v>5647280</v>
      </c>
      <c r="J663" s="108"/>
    </row>
    <row r="664" spans="1:10" s="16" customFormat="1" ht="25.5" outlineLevel="3">
      <c r="A664" s="91"/>
      <c r="B664" s="35">
        <f>MAXA(B$5:B663)+1</f>
        <v>131</v>
      </c>
      <c r="C664" s="370" t="s">
        <v>302</v>
      </c>
      <c r="D664" s="136" t="s">
        <v>44</v>
      </c>
      <c r="E664" s="137">
        <v>83</v>
      </c>
      <c r="F664" s="232">
        <v>49968</v>
      </c>
      <c r="G664" s="232">
        <v>41685</v>
      </c>
      <c r="H664" s="138">
        <f t="shared" si="62"/>
        <v>91653</v>
      </c>
      <c r="I664" s="138">
        <f t="shared" si="63"/>
        <v>7607199</v>
      </c>
      <c r="J664" s="108"/>
    </row>
    <row r="665" spans="1:10" s="16" customFormat="1" ht="25.5" outlineLevel="3">
      <c r="A665" s="91"/>
      <c r="B665" s="35">
        <f>MAXA(B$5:B664)+1</f>
        <v>132</v>
      </c>
      <c r="C665" s="370" t="s">
        <v>1494</v>
      </c>
      <c r="D665" s="136" t="s">
        <v>44</v>
      </c>
      <c r="E665" s="137">
        <v>16</v>
      </c>
      <c r="F665" s="232">
        <v>51477</v>
      </c>
      <c r="G665" s="232">
        <v>41685</v>
      </c>
      <c r="H665" s="138">
        <f t="shared" si="62"/>
        <v>93162</v>
      </c>
      <c r="I665" s="138">
        <f t="shared" si="63"/>
        <v>1490592</v>
      </c>
      <c r="J665" s="108"/>
    </row>
    <row r="666" spans="1:10" s="16" customFormat="1" ht="25.5" outlineLevel="3">
      <c r="A666" s="91"/>
      <c r="B666" s="35">
        <f>MAXA(B$5:B665)+1</f>
        <v>133</v>
      </c>
      <c r="C666" s="370" t="s">
        <v>1495</v>
      </c>
      <c r="D666" s="136" t="s">
        <v>44</v>
      </c>
      <c r="E666" s="137">
        <v>4</v>
      </c>
      <c r="F666" s="232">
        <v>84688</v>
      </c>
      <c r="G666" s="232">
        <v>41685</v>
      </c>
      <c r="H666" s="138">
        <f t="shared" si="62"/>
        <v>126373</v>
      </c>
      <c r="I666" s="138">
        <f t="shared" si="63"/>
        <v>505492</v>
      </c>
      <c r="J666" s="108"/>
    </row>
    <row r="667" spans="1:10" s="16" customFormat="1" ht="25.5" outlineLevel="3">
      <c r="A667" s="91"/>
      <c r="B667" s="35">
        <f>MAXA(B$5:B666)+1</f>
        <v>134</v>
      </c>
      <c r="C667" s="156" t="s">
        <v>307</v>
      </c>
      <c r="D667" s="136" t="s">
        <v>28</v>
      </c>
      <c r="E667" s="137">
        <v>154</v>
      </c>
      <c r="F667" s="232">
        <v>52255</v>
      </c>
      <c r="G667" s="232">
        <v>46896</v>
      </c>
      <c r="H667" s="138">
        <f t="shared" si="62"/>
        <v>99151</v>
      </c>
      <c r="I667" s="138">
        <f t="shared" si="63"/>
        <v>15269254</v>
      </c>
      <c r="J667" s="108"/>
    </row>
    <row r="668" spans="1:10" s="16" customFormat="1" ht="25.5" outlineLevel="3">
      <c r="A668" s="91"/>
      <c r="B668" s="35">
        <f>MAXA(B$5:B667)+1</f>
        <v>135</v>
      </c>
      <c r="C668" s="358" t="s">
        <v>1493</v>
      </c>
      <c r="D668" s="136" t="s">
        <v>38</v>
      </c>
      <c r="E668" s="137">
        <v>1</v>
      </c>
      <c r="F668" s="232">
        <v>7826657</v>
      </c>
      <c r="G668" s="232">
        <v>2809569</v>
      </c>
      <c r="H668" s="138">
        <f t="shared" si="62"/>
        <v>10636226</v>
      </c>
      <c r="I668" s="138">
        <f t="shared" si="63"/>
        <v>10636226</v>
      </c>
      <c r="J668" s="108"/>
    </row>
    <row r="669" spans="1:10" s="16" customFormat="1" ht="25.5" outlineLevel="3">
      <c r="A669" s="91"/>
      <c r="B669" s="35"/>
      <c r="C669" s="139" t="s">
        <v>308</v>
      </c>
      <c r="D669" s="136"/>
      <c r="E669" s="137"/>
      <c r="F669" s="232">
        <v>0</v>
      </c>
      <c r="G669" s="232">
        <v>0</v>
      </c>
      <c r="H669" s="138"/>
      <c r="I669" s="138"/>
      <c r="J669" s="108"/>
    </row>
    <row r="670" spans="1:10" s="16" customFormat="1" ht="25.5" outlineLevel="3">
      <c r="A670" s="91"/>
      <c r="B670" s="35">
        <f>MAXA(B$5:B669)+1</f>
        <v>136</v>
      </c>
      <c r="C670" s="156" t="s">
        <v>1496</v>
      </c>
      <c r="D670" s="136" t="s">
        <v>44</v>
      </c>
      <c r="E670" s="137">
        <v>471</v>
      </c>
      <c r="F670" s="232">
        <v>92991</v>
      </c>
      <c r="G670" s="232">
        <v>67738</v>
      </c>
      <c r="H670" s="138">
        <f t="shared" ref="H670:H677" si="64">G670+F670</f>
        <v>160729</v>
      </c>
      <c r="I670" s="138">
        <f t="shared" ref="I670:I677" si="65">H670*E670</f>
        <v>75703359</v>
      </c>
      <c r="J670" s="108"/>
    </row>
    <row r="671" spans="1:10" s="16" customFormat="1" ht="25.5" outlineLevel="3">
      <c r="A671" s="91"/>
      <c r="B671" s="35">
        <f>MAXA(B$5:B670)+1</f>
        <v>137</v>
      </c>
      <c r="C671" s="156" t="s">
        <v>1497</v>
      </c>
      <c r="D671" s="136" t="s">
        <v>44</v>
      </c>
      <c r="E671" s="137">
        <v>31</v>
      </c>
      <c r="F671" s="232">
        <v>251498</v>
      </c>
      <c r="G671" s="232">
        <v>67738</v>
      </c>
      <c r="H671" s="138">
        <f t="shared" si="64"/>
        <v>319236</v>
      </c>
      <c r="I671" s="138">
        <f t="shared" si="65"/>
        <v>9896316</v>
      </c>
      <c r="J671" s="108"/>
    </row>
    <row r="672" spans="1:10" s="16" customFormat="1" ht="25.5" outlineLevel="3">
      <c r="A672" s="91"/>
      <c r="B672" s="35">
        <f>MAXA(B$5:B671)+1</f>
        <v>138</v>
      </c>
      <c r="C672" s="156" t="s">
        <v>311</v>
      </c>
      <c r="D672" s="136" t="s">
        <v>44</v>
      </c>
      <c r="E672" s="137">
        <v>36</v>
      </c>
      <c r="F672" s="232">
        <v>649125</v>
      </c>
      <c r="G672" s="232">
        <v>260531</v>
      </c>
      <c r="H672" s="138">
        <f t="shared" si="64"/>
        <v>909656</v>
      </c>
      <c r="I672" s="138">
        <f t="shared" si="65"/>
        <v>32747616</v>
      </c>
      <c r="J672" s="108"/>
    </row>
    <row r="673" spans="1:10" s="16" customFormat="1" ht="25.5" outlineLevel="3">
      <c r="A673" s="91"/>
      <c r="B673" s="35">
        <f>MAXA(B$5:B672)+1</f>
        <v>139</v>
      </c>
      <c r="C673" s="156" t="s">
        <v>306</v>
      </c>
      <c r="D673" s="136" t="s">
        <v>44</v>
      </c>
      <c r="E673" s="137">
        <v>38</v>
      </c>
      <c r="F673" s="232">
        <v>116123</v>
      </c>
      <c r="G673" s="232">
        <v>41685</v>
      </c>
      <c r="H673" s="138">
        <f t="shared" si="64"/>
        <v>157808</v>
      </c>
      <c r="I673" s="138">
        <f t="shared" si="65"/>
        <v>5996704</v>
      </c>
      <c r="J673" s="108"/>
    </row>
    <row r="674" spans="1:10" s="16" customFormat="1" ht="25.5" outlineLevel="3">
      <c r="A674" s="91"/>
      <c r="B674" s="35">
        <f>MAXA(B$5:B673)+1</f>
        <v>140</v>
      </c>
      <c r="C674" s="156" t="s">
        <v>1498</v>
      </c>
      <c r="D674" s="136" t="s">
        <v>44</v>
      </c>
      <c r="E674" s="137">
        <v>78</v>
      </c>
      <c r="F674" s="232">
        <v>1239027</v>
      </c>
      <c r="G674" s="232">
        <v>104213</v>
      </c>
      <c r="H674" s="138">
        <f t="shared" si="64"/>
        <v>1343240</v>
      </c>
      <c r="I674" s="138">
        <f t="shared" si="65"/>
        <v>104772720</v>
      </c>
      <c r="J674" s="108"/>
    </row>
    <row r="675" spans="1:10" s="16" customFormat="1" ht="25.5" outlineLevel="3">
      <c r="A675" s="91"/>
      <c r="B675" s="35">
        <f>MAXA(B$5:B674)+1</f>
        <v>141</v>
      </c>
      <c r="C675" s="156" t="s">
        <v>317</v>
      </c>
      <c r="D675" s="136" t="s">
        <v>1499</v>
      </c>
      <c r="E675" s="137">
        <v>8</v>
      </c>
      <c r="F675" s="232">
        <v>52255</v>
      </c>
      <c r="G675" s="232">
        <v>46896</v>
      </c>
      <c r="H675" s="138">
        <f t="shared" si="64"/>
        <v>99151</v>
      </c>
      <c r="I675" s="138">
        <f t="shared" si="65"/>
        <v>793208</v>
      </c>
      <c r="J675" s="108"/>
    </row>
    <row r="676" spans="1:10" s="16" customFormat="1" ht="25.5" outlineLevel="3">
      <c r="A676" s="91"/>
      <c r="B676" s="35">
        <f>MAXA(B$5:B675)+1</f>
        <v>142</v>
      </c>
      <c r="C676" s="156" t="s">
        <v>319</v>
      </c>
      <c r="D676" s="136" t="s">
        <v>28</v>
      </c>
      <c r="E676" s="137">
        <v>786</v>
      </c>
      <c r="F676" s="232">
        <v>52255</v>
      </c>
      <c r="G676" s="232">
        <v>46896</v>
      </c>
      <c r="H676" s="138">
        <f t="shared" si="64"/>
        <v>99151</v>
      </c>
      <c r="I676" s="138">
        <f t="shared" si="65"/>
        <v>77932686</v>
      </c>
      <c r="J676" s="108"/>
    </row>
    <row r="677" spans="1:10" s="16" customFormat="1" ht="25.5" outlineLevel="3">
      <c r="A677" s="91"/>
      <c r="B677" s="35">
        <f>MAXA(B$5:B676)+1</f>
        <v>143</v>
      </c>
      <c r="C677" s="358" t="s">
        <v>1493</v>
      </c>
      <c r="D677" s="136" t="s">
        <v>38</v>
      </c>
      <c r="E677" s="137">
        <v>1</v>
      </c>
      <c r="F677" s="232">
        <v>32351729</v>
      </c>
      <c r="G677" s="232">
        <v>11613441</v>
      </c>
      <c r="H677" s="138">
        <f t="shared" si="64"/>
        <v>43965170</v>
      </c>
      <c r="I677" s="138">
        <f t="shared" si="65"/>
        <v>43965170</v>
      </c>
      <c r="J677" s="108"/>
    </row>
    <row r="678" spans="1:10" s="33" customFormat="1" ht="27" outlineLevel="3">
      <c r="A678" s="100"/>
      <c r="B678" s="38" t="s">
        <v>321</v>
      </c>
      <c r="C678" s="164" t="s">
        <v>322</v>
      </c>
      <c r="D678" s="363"/>
      <c r="E678" s="352"/>
      <c r="F678" s="232">
        <v>0</v>
      </c>
      <c r="G678" s="232">
        <v>0</v>
      </c>
      <c r="H678" s="367"/>
      <c r="I678" s="180">
        <f>SUBTOTAL(9,I679:I722)</f>
        <v>3362436623</v>
      </c>
      <c r="J678" s="111"/>
    </row>
    <row r="679" spans="1:10" s="16" customFormat="1" ht="25.5" outlineLevel="3">
      <c r="A679" s="91"/>
      <c r="B679" s="35"/>
      <c r="C679" s="139" t="s">
        <v>323</v>
      </c>
      <c r="D679" s="136"/>
      <c r="E679" s="137"/>
      <c r="F679" s="232">
        <v>0</v>
      </c>
      <c r="G679" s="232">
        <v>0</v>
      </c>
      <c r="H679" s="138"/>
      <c r="I679" s="138"/>
      <c r="J679" s="108"/>
    </row>
    <row r="680" spans="1:10" s="16" customFormat="1" ht="25.5" outlineLevel="3">
      <c r="A680" s="91"/>
      <c r="B680" s="35">
        <f>MAXA(B$5:B679)+1</f>
        <v>144</v>
      </c>
      <c r="C680" s="156" t="s">
        <v>324</v>
      </c>
      <c r="D680" s="230" t="s">
        <v>25</v>
      </c>
      <c r="E680" s="137">
        <v>324</v>
      </c>
      <c r="F680" s="232">
        <v>621046</v>
      </c>
      <c r="G680" s="232">
        <v>62528</v>
      </c>
      <c r="H680" s="138">
        <f t="shared" ref="H680:H693" si="66">G680+F680</f>
        <v>683574</v>
      </c>
      <c r="I680" s="138">
        <f t="shared" ref="I680:I693" si="67">H680*E680</f>
        <v>221477976</v>
      </c>
      <c r="J680" s="108"/>
    </row>
    <row r="681" spans="1:10" s="16" customFormat="1" ht="25.5" outlineLevel="3">
      <c r="A681" s="91"/>
      <c r="B681" s="35">
        <f>MAXA(B$5:B680)+1</f>
        <v>145</v>
      </c>
      <c r="C681" s="156" t="s">
        <v>325</v>
      </c>
      <c r="D681" s="230" t="s">
        <v>25</v>
      </c>
      <c r="E681" s="137">
        <v>664</v>
      </c>
      <c r="F681" s="232">
        <v>473710</v>
      </c>
      <c r="G681" s="232">
        <v>46896</v>
      </c>
      <c r="H681" s="138">
        <f t="shared" si="66"/>
        <v>520606</v>
      </c>
      <c r="I681" s="138">
        <f t="shared" si="67"/>
        <v>345682384</v>
      </c>
      <c r="J681" s="108"/>
    </row>
    <row r="682" spans="1:10" s="16" customFormat="1" ht="25.5" outlineLevel="3">
      <c r="A682" s="91"/>
      <c r="B682" s="35">
        <f>MAXA(B$5:B681)+1</f>
        <v>146</v>
      </c>
      <c r="C682" s="156" t="s">
        <v>328</v>
      </c>
      <c r="D682" s="230" t="s">
        <v>25</v>
      </c>
      <c r="E682" s="137">
        <v>586</v>
      </c>
      <c r="F682" s="232">
        <v>177772</v>
      </c>
      <c r="G682" s="232">
        <v>36474</v>
      </c>
      <c r="H682" s="138">
        <f t="shared" si="66"/>
        <v>214246</v>
      </c>
      <c r="I682" s="138">
        <f t="shared" si="67"/>
        <v>125548156</v>
      </c>
      <c r="J682" s="108"/>
    </row>
    <row r="683" spans="1:10" s="16" customFormat="1" ht="25.5" outlineLevel="3">
      <c r="A683" s="91"/>
      <c r="B683" s="35">
        <f>MAXA(B$5:B682)+1</f>
        <v>147</v>
      </c>
      <c r="C683" s="156" t="s">
        <v>329</v>
      </c>
      <c r="D683" s="230" t="s">
        <v>25</v>
      </c>
      <c r="E683" s="137">
        <v>253</v>
      </c>
      <c r="F683" s="232">
        <v>124867</v>
      </c>
      <c r="G683" s="232">
        <v>31264</v>
      </c>
      <c r="H683" s="138">
        <f t="shared" si="66"/>
        <v>156131</v>
      </c>
      <c r="I683" s="138">
        <f t="shared" si="67"/>
        <v>39501143</v>
      </c>
      <c r="J683" s="108"/>
    </row>
    <row r="684" spans="1:10" s="16" customFormat="1" ht="25.5" outlineLevel="3">
      <c r="A684" s="91"/>
      <c r="B684" s="35">
        <f>MAXA(B$5:B683)+1</f>
        <v>148</v>
      </c>
      <c r="C684" s="156" t="s">
        <v>330</v>
      </c>
      <c r="D684" s="230" t="s">
        <v>25</v>
      </c>
      <c r="E684" s="137">
        <v>263</v>
      </c>
      <c r="F684" s="232">
        <v>93479</v>
      </c>
      <c r="G684" s="232">
        <v>26053</v>
      </c>
      <c r="H684" s="138">
        <f t="shared" si="66"/>
        <v>119532</v>
      </c>
      <c r="I684" s="138">
        <f t="shared" si="67"/>
        <v>31436916</v>
      </c>
      <c r="J684" s="108"/>
    </row>
    <row r="685" spans="1:10" s="16" customFormat="1" ht="25.5" outlineLevel="3">
      <c r="A685" s="91"/>
      <c r="B685" s="35">
        <f>MAXA(B$5:B684)+1</f>
        <v>149</v>
      </c>
      <c r="C685" s="156" t="s">
        <v>331</v>
      </c>
      <c r="D685" s="230" t="s">
        <v>25</v>
      </c>
      <c r="E685" s="137">
        <v>175</v>
      </c>
      <c r="F685" s="232">
        <v>68849</v>
      </c>
      <c r="G685" s="232">
        <v>20843</v>
      </c>
      <c r="H685" s="138">
        <f t="shared" si="66"/>
        <v>89692</v>
      </c>
      <c r="I685" s="138">
        <f t="shared" si="67"/>
        <v>15696100</v>
      </c>
      <c r="J685" s="108"/>
    </row>
    <row r="686" spans="1:10" s="16" customFormat="1" ht="25.5" outlineLevel="3">
      <c r="A686" s="91"/>
      <c r="B686" s="35">
        <f>MAXA(B$5:B685)+1</f>
        <v>150</v>
      </c>
      <c r="C686" s="156" t="s">
        <v>332</v>
      </c>
      <c r="D686" s="230" t="s">
        <v>25</v>
      </c>
      <c r="E686" s="137">
        <f>772+194+148</f>
        <v>1114</v>
      </c>
      <c r="F686" s="232">
        <v>45346</v>
      </c>
      <c r="G686" s="232">
        <v>15632</v>
      </c>
      <c r="H686" s="138">
        <f t="shared" si="66"/>
        <v>60978</v>
      </c>
      <c r="I686" s="138">
        <f t="shared" si="67"/>
        <v>67929492</v>
      </c>
      <c r="J686" s="108"/>
    </row>
    <row r="687" spans="1:10" s="16" customFormat="1" ht="25.5" outlineLevel="3">
      <c r="A687" s="91"/>
      <c r="B687" s="35">
        <f>MAXA(B$5:B686)+1</f>
        <v>151</v>
      </c>
      <c r="C687" s="156" t="s">
        <v>333</v>
      </c>
      <c r="D687" s="230" t="s">
        <v>25</v>
      </c>
      <c r="E687" s="137">
        <v>388</v>
      </c>
      <c r="F687" s="232">
        <v>28694</v>
      </c>
      <c r="G687" s="232">
        <v>15632</v>
      </c>
      <c r="H687" s="138">
        <f t="shared" si="66"/>
        <v>44326</v>
      </c>
      <c r="I687" s="138">
        <f t="shared" si="67"/>
        <v>17198488</v>
      </c>
      <c r="J687" s="108"/>
    </row>
    <row r="688" spans="1:10" s="16" customFormat="1" ht="25.5" outlineLevel="3">
      <c r="A688" s="91"/>
      <c r="B688" s="35">
        <f>MAXA(B$5:B687)+1</f>
        <v>152</v>
      </c>
      <c r="C688" s="156" t="s">
        <v>334</v>
      </c>
      <c r="D688" s="230" t="s">
        <v>25</v>
      </c>
      <c r="E688" s="137">
        <f>120+643</f>
        <v>763</v>
      </c>
      <c r="F688" s="232">
        <v>18092</v>
      </c>
      <c r="G688" s="232">
        <v>6774</v>
      </c>
      <c r="H688" s="138">
        <f t="shared" si="66"/>
        <v>24866</v>
      </c>
      <c r="I688" s="138">
        <f t="shared" si="67"/>
        <v>18972758</v>
      </c>
      <c r="J688" s="108"/>
    </row>
    <row r="689" spans="1:10" s="16" customFormat="1" ht="25.5" outlineLevel="3">
      <c r="A689" s="91"/>
      <c r="B689" s="35">
        <f>MAXA(B$5:B688)+1</f>
        <v>153</v>
      </c>
      <c r="C689" s="156" t="s">
        <v>1500</v>
      </c>
      <c r="D689" s="230" t="s">
        <v>25</v>
      </c>
      <c r="E689" s="137">
        <v>396</v>
      </c>
      <c r="F689" s="232">
        <v>134191</v>
      </c>
      <c r="G689" s="232">
        <v>46896</v>
      </c>
      <c r="H689" s="138">
        <f t="shared" si="66"/>
        <v>181087</v>
      </c>
      <c r="I689" s="138">
        <f t="shared" si="67"/>
        <v>71710452</v>
      </c>
      <c r="J689" s="108"/>
    </row>
    <row r="690" spans="1:10" s="16" customFormat="1" ht="25.5" outlineLevel="3">
      <c r="A690" s="91"/>
      <c r="B690" s="35">
        <f>MAXA(B$5:B689)+1</f>
        <v>154</v>
      </c>
      <c r="C690" s="156" t="s">
        <v>338</v>
      </c>
      <c r="D690" s="230" t="s">
        <v>25</v>
      </c>
      <c r="E690" s="137">
        <f>30+155</f>
        <v>185</v>
      </c>
      <c r="F690" s="232">
        <v>87916</v>
      </c>
      <c r="G690" s="232">
        <v>46896</v>
      </c>
      <c r="H690" s="138">
        <f t="shared" si="66"/>
        <v>134812</v>
      </c>
      <c r="I690" s="138">
        <f t="shared" si="67"/>
        <v>24940220</v>
      </c>
      <c r="J690" s="108"/>
    </row>
    <row r="691" spans="1:10" s="16" customFormat="1" ht="25.5" outlineLevel="3">
      <c r="A691" s="91"/>
      <c r="B691" s="35">
        <f>MAXA(B$5:B690)+1</f>
        <v>155</v>
      </c>
      <c r="C691" s="156" t="s">
        <v>339</v>
      </c>
      <c r="D691" s="230" t="s">
        <v>25</v>
      </c>
      <c r="E691" s="137">
        <f>123+951</f>
        <v>1074</v>
      </c>
      <c r="F691" s="232">
        <v>134191</v>
      </c>
      <c r="G691" s="232">
        <v>20321</v>
      </c>
      <c r="H691" s="138">
        <f t="shared" si="66"/>
        <v>154512</v>
      </c>
      <c r="I691" s="138">
        <f t="shared" si="67"/>
        <v>165945888</v>
      </c>
      <c r="J691" s="108"/>
    </row>
    <row r="692" spans="1:10" s="16" customFormat="1" ht="25.5" outlineLevel="3">
      <c r="A692" s="91"/>
      <c r="B692" s="35">
        <f>MAXA(B$5:B691)+1</f>
        <v>156</v>
      </c>
      <c r="C692" s="156" t="s">
        <v>1501</v>
      </c>
      <c r="D692" s="230" t="s">
        <v>25</v>
      </c>
      <c r="E692" s="137">
        <v>1127</v>
      </c>
      <c r="F692" s="232">
        <v>39400</v>
      </c>
      <c r="G692" s="232">
        <v>18758</v>
      </c>
      <c r="H692" s="138">
        <f t="shared" si="66"/>
        <v>58158</v>
      </c>
      <c r="I692" s="138">
        <f t="shared" si="67"/>
        <v>65544066</v>
      </c>
      <c r="J692" s="108"/>
    </row>
    <row r="693" spans="1:10" s="16" customFormat="1" ht="25.5" outlineLevel="3">
      <c r="A693" s="91"/>
      <c r="B693" s="35">
        <f>MAXA(B$5:B692)+1</f>
        <v>157</v>
      </c>
      <c r="C693" s="358" t="s">
        <v>1493</v>
      </c>
      <c r="D693" s="136" t="s">
        <v>38</v>
      </c>
      <c r="E693" s="137">
        <v>1</v>
      </c>
      <c r="F693" s="232">
        <v>16981754</v>
      </c>
      <c r="G693" s="232">
        <v>6096014</v>
      </c>
      <c r="H693" s="138">
        <f t="shared" si="66"/>
        <v>23077768</v>
      </c>
      <c r="I693" s="138">
        <f t="shared" si="67"/>
        <v>23077768</v>
      </c>
      <c r="J693" s="108"/>
    </row>
    <row r="694" spans="1:10" s="16" customFormat="1" ht="25.5" outlineLevel="3">
      <c r="A694" s="91"/>
      <c r="B694" s="35"/>
      <c r="C694" s="139" t="s">
        <v>341</v>
      </c>
      <c r="D694" s="136"/>
      <c r="E694" s="137"/>
      <c r="F694" s="232">
        <v>0</v>
      </c>
      <c r="G694" s="232">
        <v>0</v>
      </c>
      <c r="H694" s="138"/>
      <c r="I694" s="138"/>
      <c r="J694" s="108"/>
    </row>
    <row r="695" spans="1:10" s="16" customFormat="1" ht="25.5" outlineLevel="3">
      <c r="A695" s="91"/>
      <c r="B695" s="35">
        <f>MAXA(B$5:B694)+1</f>
        <v>158</v>
      </c>
      <c r="C695" s="156" t="s">
        <v>342</v>
      </c>
      <c r="D695" s="230" t="s">
        <v>25</v>
      </c>
      <c r="E695" s="137">
        <v>776</v>
      </c>
      <c r="F695" s="232">
        <v>388697</v>
      </c>
      <c r="G695" s="232">
        <v>41685</v>
      </c>
      <c r="H695" s="138">
        <f t="shared" ref="H695:H703" si="68">G695+F695</f>
        <v>430382</v>
      </c>
      <c r="I695" s="138">
        <f t="shared" ref="I695:I703" si="69">H695*E695</f>
        <v>333976432</v>
      </c>
      <c r="J695" s="108"/>
    </row>
    <row r="696" spans="1:10" s="16" customFormat="1" ht="25.5" outlineLevel="3">
      <c r="A696" s="91"/>
      <c r="B696" s="35">
        <f>MAXA(B$5:B695)+1</f>
        <v>159</v>
      </c>
      <c r="C696" s="156" t="s">
        <v>1502</v>
      </c>
      <c r="D696" s="230" t="s">
        <v>25</v>
      </c>
      <c r="E696" s="137">
        <v>120</v>
      </c>
      <c r="F696" s="232">
        <v>323959</v>
      </c>
      <c r="G696" s="232">
        <v>41685</v>
      </c>
      <c r="H696" s="138">
        <f t="shared" si="68"/>
        <v>365644</v>
      </c>
      <c r="I696" s="138">
        <f t="shared" si="69"/>
        <v>43877280</v>
      </c>
      <c r="J696" s="108"/>
    </row>
    <row r="697" spans="1:10" s="16" customFormat="1" ht="25.5" outlineLevel="3">
      <c r="A697" s="91"/>
      <c r="B697" s="35">
        <f>MAXA(B$5:B696)+1</f>
        <v>160</v>
      </c>
      <c r="C697" s="156" t="s">
        <v>1503</v>
      </c>
      <c r="D697" s="230" t="s">
        <v>25</v>
      </c>
      <c r="E697" s="137">
        <v>280</v>
      </c>
      <c r="F697" s="232">
        <v>189338</v>
      </c>
      <c r="G697" s="232">
        <v>36474</v>
      </c>
      <c r="H697" s="138">
        <f t="shared" si="68"/>
        <v>225812</v>
      </c>
      <c r="I697" s="138">
        <f t="shared" si="69"/>
        <v>63227360</v>
      </c>
      <c r="J697" s="108"/>
    </row>
    <row r="698" spans="1:10" s="16" customFormat="1" ht="25.5" outlineLevel="3">
      <c r="A698" s="91"/>
      <c r="B698" s="35">
        <f>MAXA(B$5:B697)+1</f>
        <v>161</v>
      </c>
      <c r="C698" s="156" t="s">
        <v>344</v>
      </c>
      <c r="D698" s="230" t="s">
        <v>25</v>
      </c>
      <c r="E698" s="137">
        <v>664</v>
      </c>
      <c r="F698" s="232">
        <v>50246</v>
      </c>
      <c r="G698" s="232">
        <v>15632</v>
      </c>
      <c r="H698" s="138">
        <f t="shared" si="68"/>
        <v>65878</v>
      </c>
      <c r="I698" s="138">
        <f t="shared" si="69"/>
        <v>43742992</v>
      </c>
      <c r="J698" s="108"/>
    </row>
    <row r="699" spans="1:10" s="16" customFormat="1" ht="25.5" outlineLevel="3">
      <c r="A699" s="91"/>
      <c r="B699" s="35">
        <f>MAXA(B$5:B698)+1</f>
        <v>162</v>
      </c>
      <c r="C699" s="156" t="s">
        <v>1504</v>
      </c>
      <c r="D699" s="230" t="s">
        <v>25</v>
      </c>
      <c r="E699" s="137">
        <v>195</v>
      </c>
      <c r="F699" s="232">
        <v>33002</v>
      </c>
      <c r="G699" s="232">
        <v>15632</v>
      </c>
      <c r="H699" s="138">
        <f t="shared" si="68"/>
        <v>48634</v>
      </c>
      <c r="I699" s="138">
        <f t="shared" si="69"/>
        <v>9483630</v>
      </c>
      <c r="J699" s="108"/>
    </row>
    <row r="700" spans="1:10" s="16" customFormat="1" ht="25.5" outlineLevel="3">
      <c r="A700" s="91"/>
      <c r="B700" s="35">
        <f>MAXA(B$5:B699)+1</f>
        <v>163</v>
      </c>
      <c r="C700" s="156" t="s">
        <v>1505</v>
      </c>
      <c r="D700" s="230" t="s">
        <v>25</v>
      </c>
      <c r="E700" s="137">
        <v>727</v>
      </c>
      <c r="F700" s="232">
        <v>21401</v>
      </c>
      <c r="G700" s="232">
        <v>6774</v>
      </c>
      <c r="H700" s="138">
        <f t="shared" si="68"/>
        <v>28175</v>
      </c>
      <c r="I700" s="138">
        <f t="shared" si="69"/>
        <v>20483225</v>
      </c>
      <c r="J700" s="108"/>
    </row>
    <row r="701" spans="1:10" s="16" customFormat="1" ht="25.5" outlineLevel="3">
      <c r="A701" s="91"/>
      <c r="B701" s="35">
        <f>MAXA(B$5:B700)+1</f>
        <v>164</v>
      </c>
      <c r="C701" s="156" t="s">
        <v>347</v>
      </c>
      <c r="D701" s="230" t="s">
        <v>25</v>
      </c>
      <c r="E701" s="137">
        <v>1324</v>
      </c>
      <c r="F701" s="232">
        <v>15769</v>
      </c>
      <c r="G701" s="232">
        <v>6253</v>
      </c>
      <c r="H701" s="138">
        <f t="shared" si="68"/>
        <v>22022</v>
      </c>
      <c r="I701" s="138">
        <f t="shared" si="69"/>
        <v>29157128</v>
      </c>
      <c r="J701" s="108"/>
    </row>
    <row r="702" spans="1:10" s="16" customFormat="1" ht="25.5" outlineLevel="3">
      <c r="A702" s="91"/>
      <c r="B702" s="35">
        <f>MAXA(B$5:B701)+1</f>
        <v>165</v>
      </c>
      <c r="C702" s="156" t="s">
        <v>1506</v>
      </c>
      <c r="D702" s="230" t="s">
        <v>25</v>
      </c>
      <c r="E702" s="137">
        <v>2780</v>
      </c>
      <c r="F702" s="232">
        <v>24920</v>
      </c>
      <c r="G702" s="232">
        <v>5211</v>
      </c>
      <c r="H702" s="138">
        <f t="shared" si="68"/>
        <v>30131</v>
      </c>
      <c r="I702" s="138">
        <f t="shared" si="69"/>
        <v>83764180</v>
      </c>
      <c r="J702" s="108"/>
    </row>
    <row r="703" spans="1:10" s="16" customFormat="1" ht="25.5" outlineLevel="3">
      <c r="A703" s="91"/>
      <c r="B703" s="35">
        <f>MAXA(B$5:B702)+1</f>
        <v>166</v>
      </c>
      <c r="C703" s="358" t="s">
        <v>1493</v>
      </c>
      <c r="D703" s="136" t="s">
        <v>38</v>
      </c>
      <c r="E703" s="137">
        <v>1</v>
      </c>
      <c r="F703" s="232">
        <v>15945942</v>
      </c>
      <c r="G703" s="232">
        <v>5724184</v>
      </c>
      <c r="H703" s="138">
        <f t="shared" si="68"/>
        <v>21670126</v>
      </c>
      <c r="I703" s="138">
        <f t="shared" si="69"/>
        <v>21670126</v>
      </c>
      <c r="J703" s="108"/>
    </row>
    <row r="704" spans="1:10" s="16" customFormat="1" ht="25.5" outlineLevel="3">
      <c r="A704" s="91"/>
      <c r="B704" s="35"/>
      <c r="C704" s="371" t="s">
        <v>350</v>
      </c>
      <c r="D704" s="136"/>
      <c r="E704" s="137"/>
      <c r="F704" s="232">
        <v>0</v>
      </c>
      <c r="G704" s="232">
        <v>0</v>
      </c>
      <c r="H704" s="138"/>
      <c r="I704" s="138"/>
      <c r="J704" s="108"/>
    </row>
    <row r="705" spans="1:10" s="16" customFormat="1" ht="25.5" outlineLevel="3">
      <c r="A705" s="91"/>
      <c r="B705" s="35">
        <f>MAXA(B$5:B704)+1</f>
        <v>167</v>
      </c>
      <c r="C705" s="156" t="s">
        <v>351</v>
      </c>
      <c r="D705" s="230" t="s">
        <v>25</v>
      </c>
      <c r="E705" s="137">
        <v>37</v>
      </c>
      <c r="F705" s="232">
        <v>43569</v>
      </c>
      <c r="G705" s="232">
        <v>15632</v>
      </c>
      <c r="H705" s="138">
        <f t="shared" ref="H705:H722" si="70">G705+F705</f>
        <v>59201</v>
      </c>
      <c r="I705" s="138">
        <f t="shared" ref="I705:I722" si="71">H705*E705</f>
        <v>2190437</v>
      </c>
      <c r="J705" s="115"/>
    </row>
    <row r="706" spans="1:10" s="16" customFormat="1" ht="25.5" outlineLevel="3">
      <c r="A706" s="91"/>
      <c r="B706" s="35">
        <f>MAXA(B$5:B705)+1</f>
        <v>168</v>
      </c>
      <c r="C706" s="156" t="s">
        <v>352</v>
      </c>
      <c r="D706" s="230" t="s">
        <v>25</v>
      </c>
      <c r="E706" s="137">
        <v>985</v>
      </c>
      <c r="F706" s="232">
        <v>16106</v>
      </c>
      <c r="G706" s="232">
        <v>6774</v>
      </c>
      <c r="H706" s="138">
        <f t="shared" si="70"/>
        <v>22880</v>
      </c>
      <c r="I706" s="138">
        <f t="shared" si="71"/>
        <v>22536800</v>
      </c>
      <c r="J706" s="115"/>
    </row>
    <row r="707" spans="1:10" s="16" customFormat="1" ht="25.5" outlineLevel="3">
      <c r="A707" s="91"/>
      <c r="B707" s="35">
        <f>MAXA(B$5:B706)+1</f>
        <v>169</v>
      </c>
      <c r="C707" s="156" t="s">
        <v>353</v>
      </c>
      <c r="D707" s="230" t="s">
        <v>25</v>
      </c>
      <c r="E707" s="137">
        <v>7214</v>
      </c>
      <c r="F707" s="232">
        <v>11090</v>
      </c>
      <c r="G707" s="232">
        <v>6253</v>
      </c>
      <c r="H707" s="138">
        <f t="shared" si="70"/>
        <v>17343</v>
      </c>
      <c r="I707" s="138">
        <f t="shared" si="71"/>
        <v>125112402</v>
      </c>
      <c r="J707" s="115"/>
    </row>
    <row r="708" spans="1:10" s="16" customFormat="1" ht="25.5" outlineLevel="3">
      <c r="A708" s="91"/>
      <c r="B708" s="35">
        <f>MAXA(B$5:B707)+1</f>
        <v>170</v>
      </c>
      <c r="C708" s="156" t="s">
        <v>354</v>
      </c>
      <c r="D708" s="230" t="s">
        <v>25</v>
      </c>
      <c r="E708" s="137">
        <f>924+28412*2</f>
        <v>57748</v>
      </c>
      <c r="F708" s="232">
        <v>6886</v>
      </c>
      <c r="G708" s="232">
        <v>5211</v>
      </c>
      <c r="H708" s="138">
        <f t="shared" si="70"/>
        <v>12097</v>
      </c>
      <c r="I708" s="138">
        <f t="shared" si="71"/>
        <v>698577556</v>
      </c>
      <c r="J708" s="115"/>
    </row>
    <row r="709" spans="1:10" s="16" customFormat="1" ht="25.5" outlineLevel="3">
      <c r="A709" s="91"/>
      <c r="B709" s="35">
        <f>MAXA(B$5:B708)+1</f>
        <v>171</v>
      </c>
      <c r="C709" s="156" t="s">
        <v>355</v>
      </c>
      <c r="D709" s="230" t="s">
        <v>25</v>
      </c>
      <c r="E709" s="137">
        <v>1552</v>
      </c>
      <c r="F709" s="232">
        <v>4366</v>
      </c>
      <c r="G709" s="232">
        <v>4690</v>
      </c>
      <c r="H709" s="138">
        <f t="shared" si="70"/>
        <v>9056</v>
      </c>
      <c r="I709" s="138">
        <f t="shared" si="71"/>
        <v>14054912</v>
      </c>
      <c r="J709" s="115"/>
    </row>
    <row r="710" spans="1:10" s="16" customFormat="1" ht="25.5" outlineLevel="3">
      <c r="A710" s="91"/>
      <c r="B710" s="35">
        <f>MAXA(B$5:B709)+1</f>
        <v>172</v>
      </c>
      <c r="C710" s="156" t="s">
        <v>356</v>
      </c>
      <c r="D710" s="230" t="s">
        <v>25</v>
      </c>
      <c r="E710" s="137">
        <v>50</v>
      </c>
      <c r="F710" s="232">
        <v>612964</v>
      </c>
      <c r="G710" s="232">
        <v>62528</v>
      </c>
      <c r="H710" s="138">
        <f t="shared" si="70"/>
        <v>675492</v>
      </c>
      <c r="I710" s="138">
        <f t="shared" si="71"/>
        <v>33774600</v>
      </c>
      <c r="J710" s="108"/>
    </row>
    <row r="711" spans="1:10" s="16" customFormat="1" ht="25.5" outlineLevel="3">
      <c r="A711" s="91"/>
      <c r="B711" s="35">
        <f>MAXA(B$5:B710)+1</f>
        <v>173</v>
      </c>
      <c r="C711" s="156" t="s">
        <v>357</v>
      </c>
      <c r="D711" s="230" t="s">
        <v>25</v>
      </c>
      <c r="E711" s="137">
        <v>107</v>
      </c>
      <c r="F711" s="232">
        <v>467672</v>
      </c>
      <c r="G711" s="232">
        <v>46896</v>
      </c>
      <c r="H711" s="138">
        <f t="shared" si="70"/>
        <v>514568</v>
      </c>
      <c r="I711" s="138">
        <f t="shared" si="71"/>
        <v>55058776</v>
      </c>
      <c r="J711" s="108"/>
    </row>
    <row r="712" spans="1:10" s="16" customFormat="1" ht="25.5" outlineLevel="3">
      <c r="A712" s="91"/>
      <c r="B712" s="35">
        <f>MAXA(B$5:B711)+1</f>
        <v>174</v>
      </c>
      <c r="C712" s="156" t="s">
        <v>1507</v>
      </c>
      <c r="D712" s="230" t="s">
        <v>25</v>
      </c>
      <c r="E712" s="137">
        <v>61</v>
      </c>
      <c r="F712" s="232">
        <v>241558</v>
      </c>
      <c r="G712" s="232">
        <v>41685</v>
      </c>
      <c r="H712" s="138">
        <f t="shared" si="70"/>
        <v>283243</v>
      </c>
      <c r="I712" s="138">
        <f t="shared" si="71"/>
        <v>17277823</v>
      </c>
      <c r="J712" s="108"/>
    </row>
    <row r="713" spans="1:10" s="16" customFormat="1" ht="25.5" outlineLevel="3">
      <c r="A713" s="91"/>
      <c r="B713" s="35">
        <f>MAXA(B$5:B712)+1</f>
        <v>175</v>
      </c>
      <c r="C713" s="156" t="s">
        <v>359</v>
      </c>
      <c r="D713" s="230" t="s">
        <v>25</v>
      </c>
      <c r="E713" s="137">
        <v>224</v>
      </c>
      <c r="F713" s="232">
        <v>174834</v>
      </c>
      <c r="G713" s="232">
        <v>36474</v>
      </c>
      <c r="H713" s="138">
        <f t="shared" si="70"/>
        <v>211308</v>
      </c>
      <c r="I713" s="138">
        <f t="shared" si="71"/>
        <v>47332992</v>
      </c>
      <c r="J713" s="108"/>
    </row>
    <row r="714" spans="1:10" s="16" customFormat="1" ht="25.5" outlineLevel="3">
      <c r="A714" s="91"/>
      <c r="B714" s="35">
        <f>MAXA(B$5:B713)+1</f>
        <v>176</v>
      </c>
      <c r="C714" s="156" t="s">
        <v>361</v>
      </c>
      <c r="D714" s="230" t="s">
        <v>25</v>
      </c>
      <c r="E714" s="137">
        <f>146+70</f>
        <v>216</v>
      </c>
      <c r="F714" s="232">
        <v>91911</v>
      </c>
      <c r="G714" s="232">
        <v>20843</v>
      </c>
      <c r="H714" s="138">
        <f t="shared" si="70"/>
        <v>112754</v>
      </c>
      <c r="I714" s="138">
        <f t="shared" si="71"/>
        <v>24354864</v>
      </c>
      <c r="J714" s="108"/>
    </row>
    <row r="715" spans="1:10" s="16" customFormat="1" ht="25.5" outlineLevel="3">
      <c r="A715" s="91"/>
      <c r="B715" s="35">
        <f>MAXA(B$5:B714)+1</f>
        <v>177</v>
      </c>
      <c r="C715" s="156" t="s">
        <v>362</v>
      </c>
      <c r="D715" s="230" t="s">
        <v>25</v>
      </c>
      <c r="E715" s="137">
        <v>63</v>
      </c>
      <c r="F715" s="232">
        <v>67339</v>
      </c>
      <c r="G715" s="232">
        <v>20843</v>
      </c>
      <c r="H715" s="138">
        <f t="shared" si="70"/>
        <v>88182</v>
      </c>
      <c r="I715" s="138">
        <f t="shared" si="71"/>
        <v>5555466</v>
      </c>
      <c r="J715" s="108"/>
    </row>
    <row r="716" spans="1:10" s="16" customFormat="1" ht="25.5" outlineLevel="3">
      <c r="A716" s="91"/>
      <c r="B716" s="35">
        <f>MAXA(B$5:B715)+1</f>
        <v>178</v>
      </c>
      <c r="C716" s="156" t="s">
        <v>363</v>
      </c>
      <c r="D716" s="230" t="s">
        <v>25</v>
      </c>
      <c r="E716" s="137">
        <f>302+166+49</f>
        <v>517</v>
      </c>
      <c r="F716" s="232">
        <v>43569</v>
      </c>
      <c r="G716" s="232">
        <v>15632</v>
      </c>
      <c r="H716" s="138">
        <f t="shared" si="70"/>
        <v>59201</v>
      </c>
      <c r="I716" s="138">
        <f t="shared" si="71"/>
        <v>30606917</v>
      </c>
      <c r="J716" s="108"/>
    </row>
    <row r="717" spans="1:10" s="16" customFormat="1" ht="25.5" outlineLevel="3">
      <c r="A717" s="91"/>
      <c r="B717" s="35">
        <f>MAXA(B$5:B716)+1</f>
        <v>179</v>
      </c>
      <c r="C717" s="156" t="s">
        <v>364</v>
      </c>
      <c r="D717" s="230" t="s">
        <v>25</v>
      </c>
      <c r="E717" s="137">
        <f>97+49</f>
        <v>146</v>
      </c>
      <c r="F717" s="232">
        <v>26662</v>
      </c>
      <c r="G717" s="232">
        <v>15632</v>
      </c>
      <c r="H717" s="138">
        <f t="shared" si="70"/>
        <v>42294</v>
      </c>
      <c r="I717" s="138">
        <f t="shared" si="71"/>
        <v>6174924</v>
      </c>
      <c r="J717" s="108"/>
    </row>
    <row r="718" spans="1:10" s="16" customFormat="1" ht="25.5" outlineLevel="3">
      <c r="A718" s="91"/>
      <c r="B718" s="35">
        <f>MAXA(B$5:B717)+1</f>
        <v>180</v>
      </c>
      <c r="C718" s="156" t="s">
        <v>365</v>
      </c>
      <c r="D718" s="230" t="s">
        <v>25</v>
      </c>
      <c r="E718" s="137">
        <v>361</v>
      </c>
      <c r="F718" s="232">
        <v>16106</v>
      </c>
      <c r="G718" s="232">
        <v>6774</v>
      </c>
      <c r="H718" s="138">
        <f t="shared" si="70"/>
        <v>22880</v>
      </c>
      <c r="I718" s="138">
        <f t="shared" si="71"/>
        <v>8259680</v>
      </c>
      <c r="J718" s="108"/>
    </row>
    <row r="719" spans="1:10" s="16" customFormat="1" ht="25.5" outlineLevel="3">
      <c r="A719" s="91"/>
      <c r="B719" s="35">
        <f>MAXA(B$5:B718)+1</f>
        <v>181</v>
      </c>
      <c r="C719" s="156" t="s">
        <v>366</v>
      </c>
      <c r="D719" s="230" t="s">
        <v>25</v>
      </c>
      <c r="E719" s="137">
        <v>4045</v>
      </c>
      <c r="F719" s="232">
        <v>11090</v>
      </c>
      <c r="G719" s="232">
        <v>6253</v>
      </c>
      <c r="H719" s="138">
        <f t="shared" si="70"/>
        <v>17343</v>
      </c>
      <c r="I719" s="138">
        <f t="shared" si="71"/>
        <v>70152435</v>
      </c>
      <c r="J719" s="108"/>
    </row>
    <row r="720" spans="1:10" s="16" customFormat="1" ht="25.5" outlineLevel="3">
      <c r="A720" s="91"/>
      <c r="B720" s="35">
        <f>MAXA(B$5:B719)+1</f>
        <v>182</v>
      </c>
      <c r="C720" s="156" t="s">
        <v>367</v>
      </c>
      <c r="D720" s="230" t="s">
        <v>25</v>
      </c>
      <c r="E720" s="137">
        <v>9943</v>
      </c>
      <c r="F720" s="232">
        <v>6886</v>
      </c>
      <c r="G720" s="232">
        <v>5211</v>
      </c>
      <c r="H720" s="138">
        <f t="shared" si="70"/>
        <v>12097</v>
      </c>
      <c r="I720" s="138">
        <f t="shared" si="71"/>
        <v>120280471</v>
      </c>
      <c r="J720" s="108"/>
    </row>
    <row r="721" spans="1:10" s="16" customFormat="1" ht="25.5" outlineLevel="3">
      <c r="A721" s="91"/>
      <c r="B721" s="35">
        <f>MAXA(B$5:B720)+1</f>
        <v>183</v>
      </c>
      <c r="C721" s="156" t="s">
        <v>368</v>
      </c>
      <c r="D721" s="230" t="s">
        <v>25</v>
      </c>
      <c r="E721" s="137">
        <v>6177</v>
      </c>
      <c r="F721" s="232">
        <v>4366</v>
      </c>
      <c r="G721" s="232">
        <v>4690</v>
      </c>
      <c r="H721" s="138">
        <f t="shared" si="70"/>
        <v>9056</v>
      </c>
      <c r="I721" s="138">
        <f t="shared" si="71"/>
        <v>55938912</v>
      </c>
      <c r="J721" s="108"/>
    </row>
    <row r="722" spans="1:10" s="16" customFormat="1" ht="25.5" outlineLevel="3">
      <c r="A722" s="91"/>
      <c r="B722" s="35">
        <f>MAXA(B$5:B721)+1</f>
        <v>184</v>
      </c>
      <c r="C722" s="358" t="s">
        <v>1493</v>
      </c>
      <c r="D722" s="136" t="s">
        <v>38</v>
      </c>
      <c r="E722" s="137">
        <v>1</v>
      </c>
      <c r="F722" s="232">
        <v>103866931</v>
      </c>
      <c r="G722" s="232">
        <v>37285565</v>
      </c>
      <c r="H722" s="138">
        <f t="shared" si="70"/>
        <v>141152496</v>
      </c>
      <c r="I722" s="138">
        <f t="shared" si="71"/>
        <v>141152496</v>
      </c>
      <c r="J722" s="108"/>
    </row>
    <row r="723" spans="1:10" s="33" customFormat="1" ht="27" outlineLevel="3">
      <c r="A723" s="100"/>
      <c r="B723" s="38" t="s">
        <v>370</v>
      </c>
      <c r="C723" s="164" t="s">
        <v>371</v>
      </c>
      <c r="D723" s="363"/>
      <c r="E723" s="352"/>
      <c r="F723" s="232">
        <v>0</v>
      </c>
      <c r="G723" s="232">
        <v>0</v>
      </c>
      <c r="H723" s="367"/>
      <c r="I723" s="180">
        <f>SUBTOTAL(9,I724:I765)</f>
        <v>2204187213</v>
      </c>
      <c r="J723" s="111"/>
    </row>
    <row r="724" spans="1:10" s="16" customFormat="1" ht="25.5" outlineLevel="3">
      <c r="A724" s="91"/>
      <c r="B724" s="42"/>
      <c r="C724" s="371" t="s">
        <v>372</v>
      </c>
      <c r="D724" s="372"/>
      <c r="E724" s="373"/>
      <c r="F724" s="232">
        <v>0</v>
      </c>
      <c r="G724" s="232">
        <v>0</v>
      </c>
      <c r="H724" s="374"/>
      <c r="I724" s="374"/>
      <c r="J724" s="116"/>
    </row>
    <row r="725" spans="1:10" s="16" customFormat="1" ht="25.5" outlineLevel="3">
      <c r="A725" s="91"/>
      <c r="B725" s="35">
        <f>MAXA(B$5:B724)+1</f>
        <v>185</v>
      </c>
      <c r="C725" s="156" t="s">
        <v>1508</v>
      </c>
      <c r="D725" s="230" t="s">
        <v>25</v>
      </c>
      <c r="E725" s="137">
        <v>22118</v>
      </c>
      <c r="F725" s="232">
        <v>7158</v>
      </c>
      <c r="G725" s="232">
        <v>14590</v>
      </c>
      <c r="H725" s="138">
        <f t="shared" ref="H725:H738" si="72">G725+F725</f>
        <v>21748</v>
      </c>
      <c r="I725" s="138">
        <f t="shared" ref="I725:I738" si="73">H725*E725</f>
        <v>481022264</v>
      </c>
      <c r="J725" s="108"/>
    </row>
    <row r="726" spans="1:10" s="16" customFormat="1" ht="25.5" outlineLevel="3">
      <c r="A726" s="91"/>
      <c r="B726" s="35">
        <f>MAXA(B$5:B725)+1</f>
        <v>186</v>
      </c>
      <c r="C726" s="156" t="s">
        <v>374</v>
      </c>
      <c r="D726" s="136" t="s">
        <v>28</v>
      </c>
      <c r="E726" s="137">
        <v>14740</v>
      </c>
      <c r="F726" s="232">
        <v>813</v>
      </c>
      <c r="G726" s="232">
        <v>521</v>
      </c>
      <c r="H726" s="138">
        <f t="shared" si="72"/>
        <v>1334</v>
      </c>
      <c r="I726" s="138">
        <f t="shared" si="73"/>
        <v>19663160</v>
      </c>
      <c r="J726" s="108"/>
    </row>
    <row r="727" spans="1:10" s="16" customFormat="1" ht="25.5" outlineLevel="3">
      <c r="A727" s="91"/>
      <c r="B727" s="35">
        <f>MAXA(B$5:B726)+1</f>
        <v>187</v>
      </c>
      <c r="C727" s="156" t="s">
        <v>375</v>
      </c>
      <c r="D727" s="136" t="s">
        <v>28</v>
      </c>
      <c r="E727" s="137">
        <v>11348</v>
      </c>
      <c r="F727" s="232">
        <v>2290</v>
      </c>
      <c r="G727" s="232">
        <v>521</v>
      </c>
      <c r="H727" s="138">
        <f t="shared" si="72"/>
        <v>2811</v>
      </c>
      <c r="I727" s="138">
        <f t="shared" si="73"/>
        <v>31899228</v>
      </c>
      <c r="J727" s="108"/>
    </row>
    <row r="728" spans="1:10" s="16" customFormat="1" ht="25.5" outlineLevel="3">
      <c r="A728" s="91"/>
      <c r="B728" s="35">
        <f>MAXA(B$5:B727)+1</f>
        <v>188</v>
      </c>
      <c r="C728" s="156" t="s">
        <v>376</v>
      </c>
      <c r="D728" s="230" t="s">
        <v>25</v>
      </c>
      <c r="E728" s="137">
        <v>7528</v>
      </c>
      <c r="F728" s="232">
        <v>10412</v>
      </c>
      <c r="G728" s="232">
        <v>16674</v>
      </c>
      <c r="H728" s="138">
        <f t="shared" si="72"/>
        <v>27086</v>
      </c>
      <c r="I728" s="138">
        <f t="shared" si="73"/>
        <v>203903408</v>
      </c>
      <c r="J728" s="108"/>
    </row>
    <row r="729" spans="1:10" s="16" customFormat="1" ht="25.5" outlineLevel="3">
      <c r="A729" s="91"/>
      <c r="B729" s="35">
        <f>MAXA(B$5:B728)+1</f>
        <v>189</v>
      </c>
      <c r="C729" s="156" t="s">
        <v>377</v>
      </c>
      <c r="D729" s="136" t="s">
        <v>28</v>
      </c>
      <c r="E729" s="137">
        <v>5134</v>
      </c>
      <c r="F729" s="232">
        <v>10412</v>
      </c>
      <c r="G729" s="232">
        <v>16674</v>
      </c>
      <c r="H729" s="138">
        <f t="shared" si="72"/>
        <v>27086</v>
      </c>
      <c r="I729" s="138">
        <f t="shared" si="73"/>
        <v>139059524</v>
      </c>
      <c r="J729" s="108"/>
    </row>
    <row r="730" spans="1:10" s="16" customFormat="1" ht="25.5" outlineLevel="3">
      <c r="A730" s="91"/>
      <c r="B730" s="35">
        <f>MAXA(B$5:B729)+1</f>
        <v>190</v>
      </c>
      <c r="C730" s="156" t="s">
        <v>378</v>
      </c>
      <c r="D730" s="136" t="s">
        <v>28</v>
      </c>
      <c r="E730" s="137">
        <v>3682</v>
      </c>
      <c r="F730" s="232">
        <v>1510</v>
      </c>
      <c r="G730" s="232">
        <v>521</v>
      </c>
      <c r="H730" s="138">
        <f t="shared" si="72"/>
        <v>2031</v>
      </c>
      <c r="I730" s="138">
        <f t="shared" si="73"/>
        <v>7478142</v>
      </c>
      <c r="J730" s="108"/>
    </row>
    <row r="731" spans="1:10" s="16" customFormat="1" ht="25.5" outlineLevel="3">
      <c r="A731" s="91"/>
      <c r="B731" s="35">
        <f>MAXA(B$5:B730)+1</f>
        <v>191</v>
      </c>
      <c r="C731" s="156" t="s">
        <v>379</v>
      </c>
      <c r="D731" s="230" t="s">
        <v>25</v>
      </c>
      <c r="E731" s="137">
        <v>160</v>
      </c>
      <c r="F731" s="232">
        <v>2627</v>
      </c>
      <c r="G731" s="232">
        <v>521</v>
      </c>
      <c r="H731" s="138">
        <f t="shared" si="72"/>
        <v>3148</v>
      </c>
      <c r="I731" s="138">
        <f t="shared" si="73"/>
        <v>503680</v>
      </c>
      <c r="J731" s="108"/>
    </row>
    <row r="732" spans="1:10" s="16" customFormat="1" ht="25.5" outlineLevel="3">
      <c r="A732" s="91"/>
      <c r="B732" s="35">
        <f>MAXA(B$5:B731)+1</f>
        <v>192</v>
      </c>
      <c r="C732" s="156" t="s">
        <v>380</v>
      </c>
      <c r="D732" s="136" t="s">
        <v>28</v>
      </c>
      <c r="E732" s="137">
        <v>105</v>
      </c>
      <c r="F732" s="232">
        <v>16052</v>
      </c>
      <c r="G732" s="232">
        <v>18758</v>
      </c>
      <c r="H732" s="138">
        <f t="shared" si="72"/>
        <v>34810</v>
      </c>
      <c r="I732" s="138">
        <f t="shared" si="73"/>
        <v>3655050</v>
      </c>
      <c r="J732" s="108"/>
    </row>
    <row r="733" spans="1:10" s="16" customFormat="1" ht="25.5" outlineLevel="3">
      <c r="A733" s="91"/>
      <c r="B733" s="35">
        <f>MAXA(B$5:B732)+1</f>
        <v>193</v>
      </c>
      <c r="C733" s="156" t="s">
        <v>381</v>
      </c>
      <c r="D733" s="136" t="s">
        <v>28</v>
      </c>
      <c r="E733" s="137">
        <v>83</v>
      </c>
      <c r="F733" s="232">
        <v>4703</v>
      </c>
      <c r="G733" s="232">
        <v>521</v>
      </c>
      <c r="H733" s="138">
        <f t="shared" si="72"/>
        <v>5224</v>
      </c>
      <c r="I733" s="138">
        <f t="shared" si="73"/>
        <v>433592</v>
      </c>
      <c r="J733" s="108"/>
    </row>
    <row r="734" spans="1:10" s="16" customFormat="1" ht="25.5" outlineLevel="3">
      <c r="A734" s="91"/>
      <c r="B734" s="35">
        <f>MAXA(B$5:B733)+1</f>
        <v>194</v>
      </c>
      <c r="C734" s="156" t="s">
        <v>382</v>
      </c>
      <c r="D734" s="230" t="s">
        <v>25</v>
      </c>
      <c r="E734" s="137">
        <v>756</v>
      </c>
      <c r="F734" s="232">
        <v>31670</v>
      </c>
      <c r="G734" s="232">
        <v>26053</v>
      </c>
      <c r="H734" s="138">
        <f t="shared" si="72"/>
        <v>57723</v>
      </c>
      <c r="I734" s="138">
        <f t="shared" si="73"/>
        <v>43638588</v>
      </c>
      <c r="J734" s="108"/>
    </row>
    <row r="735" spans="1:10" s="16" customFormat="1" ht="25.5" outlineLevel="3">
      <c r="A735" s="91"/>
      <c r="B735" s="35">
        <f>MAXA(B$5:B734)+1</f>
        <v>195</v>
      </c>
      <c r="C735" s="156" t="s">
        <v>383</v>
      </c>
      <c r="D735" s="136" t="s">
        <v>28</v>
      </c>
      <c r="E735" s="137">
        <v>506</v>
      </c>
      <c r="F735" s="232">
        <v>8129</v>
      </c>
      <c r="G735" s="232">
        <v>1042</v>
      </c>
      <c r="H735" s="138">
        <f t="shared" si="72"/>
        <v>9171</v>
      </c>
      <c r="I735" s="138">
        <f t="shared" si="73"/>
        <v>4640526</v>
      </c>
      <c r="J735" s="108"/>
    </row>
    <row r="736" spans="1:10" s="16" customFormat="1" ht="25.5" outlineLevel="3">
      <c r="A736" s="91"/>
      <c r="B736" s="35">
        <f>MAXA(B$5:B735)+1</f>
        <v>196</v>
      </c>
      <c r="C736" s="156" t="s">
        <v>384</v>
      </c>
      <c r="D736" s="136" t="s">
        <v>28</v>
      </c>
      <c r="E736" s="137">
        <v>381</v>
      </c>
      <c r="F736" s="232">
        <v>13935</v>
      </c>
      <c r="G736" s="232">
        <v>1042</v>
      </c>
      <c r="H736" s="138">
        <f t="shared" si="72"/>
        <v>14977</v>
      </c>
      <c r="I736" s="138">
        <f t="shared" si="73"/>
        <v>5706237</v>
      </c>
      <c r="J736" s="108"/>
    </row>
    <row r="737" spans="1:10" s="16" customFormat="1" ht="25.5" outlineLevel="3">
      <c r="A737" s="91"/>
      <c r="B737" s="35">
        <f>MAXA(B$5:B736)+1</f>
        <v>197</v>
      </c>
      <c r="C737" s="156" t="s">
        <v>1066</v>
      </c>
      <c r="D737" s="136" t="s">
        <v>1509</v>
      </c>
      <c r="E737" s="137">
        <v>133</v>
      </c>
      <c r="F737" s="232">
        <v>174184</v>
      </c>
      <c r="G737" s="232">
        <v>26053</v>
      </c>
      <c r="H737" s="138">
        <f t="shared" si="72"/>
        <v>200237</v>
      </c>
      <c r="I737" s="138">
        <f t="shared" si="73"/>
        <v>26631521</v>
      </c>
      <c r="J737" s="108"/>
    </row>
    <row r="738" spans="1:10" s="16" customFormat="1" ht="25.5" outlineLevel="3">
      <c r="A738" s="91"/>
      <c r="B738" s="35">
        <f>MAXA(B$5:B737)+1</f>
        <v>198</v>
      </c>
      <c r="C738" s="358" t="s">
        <v>1493</v>
      </c>
      <c r="D738" s="136" t="s">
        <v>38</v>
      </c>
      <c r="E738" s="137">
        <v>1</v>
      </c>
      <c r="F738" s="232">
        <v>162601892</v>
      </c>
      <c r="G738" s="232">
        <v>58369910</v>
      </c>
      <c r="H738" s="138">
        <f t="shared" si="72"/>
        <v>220971802</v>
      </c>
      <c r="I738" s="138">
        <f t="shared" si="73"/>
        <v>220971802</v>
      </c>
      <c r="J738" s="108"/>
    </row>
    <row r="739" spans="1:10" s="16" customFormat="1" ht="25.5" outlineLevel="3">
      <c r="A739" s="91"/>
      <c r="B739" s="42"/>
      <c r="C739" s="261" t="s">
        <v>386</v>
      </c>
      <c r="D739" s="372"/>
      <c r="E739" s="373"/>
      <c r="F739" s="232">
        <v>0</v>
      </c>
      <c r="G739" s="232">
        <v>0</v>
      </c>
      <c r="H739" s="374"/>
      <c r="I739" s="374"/>
      <c r="J739" s="116"/>
    </row>
    <row r="740" spans="1:10" s="16" customFormat="1" ht="25.5" outlineLevel="3">
      <c r="A740" s="91"/>
      <c r="B740" s="35">
        <f>MAXA(B$5:B738)+1</f>
        <v>199</v>
      </c>
      <c r="C740" s="156" t="s">
        <v>1510</v>
      </c>
      <c r="D740" s="230" t="s">
        <v>25</v>
      </c>
      <c r="E740" s="137">
        <v>5</v>
      </c>
      <c r="F740" s="232">
        <v>3117889</v>
      </c>
      <c r="G740" s="232">
        <v>625275</v>
      </c>
      <c r="H740" s="138">
        <f t="shared" ref="H740:H745" si="74">G740+F740</f>
        <v>3743164</v>
      </c>
      <c r="I740" s="138">
        <f t="shared" ref="I740:I745" si="75">H740*E740</f>
        <v>18715820</v>
      </c>
      <c r="J740" s="108"/>
    </row>
    <row r="741" spans="1:10" s="16" customFormat="1" ht="25.5" outlineLevel="3">
      <c r="A741" s="91"/>
      <c r="B741" s="35">
        <f>MAXA(B$5:B740)+1</f>
        <v>200</v>
      </c>
      <c r="C741" s="156" t="s">
        <v>387</v>
      </c>
      <c r="D741" s="230" t="s">
        <v>25</v>
      </c>
      <c r="E741" s="137">
        <v>10</v>
      </c>
      <c r="F741" s="232">
        <v>1652655</v>
      </c>
      <c r="G741" s="232">
        <v>260531</v>
      </c>
      <c r="H741" s="138">
        <f t="shared" si="74"/>
        <v>1913186</v>
      </c>
      <c r="I741" s="138">
        <f t="shared" si="75"/>
        <v>19131860</v>
      </c>
      <c r="J741" s="108"/>
    </row>
    <row r="742" spans="1:10" s="16" customFormat="1" ht="25.5" outlineLevel="3">
      <c r="A742" s="91"/>
      <c r="B742" s="35">
        <f>MAXA(B$5:B741)+1</f>
        <v>201</v>
      </c>
      <c r="C742" s="156" t="s">
        <v>397</v>
      </c>
      <c r="D742" s="230" t="s">
        <v>25</v>
      </c>
      <c r="E742" s="137">
        <v>20</v>
      </c>
      <c r="F742" s="232">
        <v>1123137</v>
      </c>
      <c r="G742" s="232">
        <v>208425</v>
      </c>
      <c r="H742" s="138">
        <f t="shared" si="74"/>
        <v>1331562</v>
      </c>
      <c r="I742" s="138">
        <f t="shared" si="75"/>
        <v>26631240</v>
      </c>
      <c r="J742" s="108"/>
    </row>
    <row r="743" spans="1:10" s="16" customFormat="1" ht="25.5" outlineLevel="3">
      <c r="A743" s="91"/>
      <c r="B743" s="35">
        <f>MAXA(B$5:B742)+1</f>
        <v>202</v>
      </c>
      <c r="C743" s="156" t="s">
        <v>388</v>
      </c>
      <c r="D743" s="230" t="s">
        <v>25</v>
      </c>
      <c r="E743" s="137">
        <v>30</v>
      </c>
      <c r="F743" s="232">
        <v>600586</v>
      </c>
      <c r="G743" s="232">
        <v>156319</v>
      </c>
      <c r="H743" s="138">
        <f t="shared" si="74"/>
        <v>756905</v>
      </c>
      <c r="I743" s="138">
        <f t="shared" si="75"/>
        <v>22707150</v>
      </c>
      <c r="J743" s="108"/>
    </row>
    <row r="744" spans="1:10" s="16" customFormat="1" ht="25.5" outlineLevel="3">
      <c r="A744" s="91"/>
      <c r="B744" s="35">
        <f>MAXA(B$5:B743)+1</f>
        <v>203</v>
      </c>
      <c r="C744" s="156" t="s">
        <v>1511</v>
      </c>
      <c r="D744" s="230" t="s">
        <v>25</v>
      </c>
      <c r="E744" s="137">
        <v>16</v>
      </c>
      <c r="F744" s="232">
        <v>450439</v>
      </c>
      <c r="G744" s="232">
        <v>156319</v>
      </c>
      <c r="H744" s="138">
        <f t="shared" si="74"/>
        <v>606758</v>
      </c>
      <c r="I744" s="138">
        <f t="shared" si="75"/>
        <v>9708128</v>
      </c>
      <c r="J744" s="108"/>
    </row>
    <row r="745" spans="1:10" s="16" customFormat="1" ht="25.5" outlineLevel="3">
      <c r="A745" s="91"/>
      <c r="B745" s="35">
        <f>MAXA(B$5:B744)+1</f>
        <v>204</v>
      </c>
      <c r="C745" s="156" t="s">
        <v>398</v>
      </c>
      <c r="D745" s="230" t="s">
        <v>25</v>
      </c>
      <c r="E745" s="137">
        <v>40</v>
      </c>
      <c r="F745" s="232">
        <v>387849</v>
      </c>
      <c r="G745" s="232">
        <v>125055</v>
      </c>
      <c r="H745" s="138">
        <f t="shared" si="74"/>
        <v>512904</v>
      </c>
      <c r="I745" s="138">
        <f t="shared" si="75"/>
        <v>20516160</v>
      </c>
      <c r="J745" s="108"/>
    </row>
    <row r="746" spans="1:10" s="16" customFormat="1" ht="25.5" outlineLevel="3">
      <c r="A746" s="91"/>
      <c r="B746" s="35"/>
      <c r="C746" s="261" t="s">
        <v>390</v>
      </c>
      <c r="D746" s="136"/>
      <c r="E746" s="137"/>
      <c r="F746" s="232">
        <v>0</v>
      </c>
      <c r="G746" s="232">
        <v>0</v>
      </c>
      <c r="H746" s="138"/>
      <c r="I746" s="138"/>
      <c r="J746" s="108"/>
    </row>
    <row r="747" spans="1:10" s="16" customFormat="1" ht="25.5" outlineLevel="3">
      <c r="A747" s="91"/>
      <c r="B747" s="35">
        <f>MAXA(B$5:B745)+1</f>
        <v>205</v>
      </c>
      <c r="C747" s="156" t="s">
        <v>391</v>
      </c>
      <c r="D747" s="230" t="s">
        <v>25</v>
      </c>
      <c r="E747" s="137">
        <v>45</v>
      </c>
      <c r="F747" s="232">
        <v>1153435</v>
      </c>
      <c r="G747" s="232">
        <v>154830</v>
      </c>
      <c r="H747" s="138">
        <f t="shared" ref="H747:H758" si="76">G747+F747</f>
        <v>1308265</v>
      </c>
      <c r="I747" s="138">
        <f t="shared" ref="I747:I758" si="77">H747*E747</f>
        <v>58871925</v>
      </c>
      <c r="J747" s="108"/>
    </row>
    <row r="748" spans="1:10" s="16" customFormat="1" ht="25.5" outlineLevel="3">
      <c r="A748" s="91"/>
      <c r="B748" s="35">
        <f>MAXA(B$5:B747)+1</f>
        <v>206</v>
      </c>
      <c r="C748" s="156" t="s">
        <v>1512</v>
      </c>
      <c r="D748" s="230" t="s">
        <v>25</v>
      </c>
      <c r="E748" s="137">
        <v>40</v>
      </c>
      <c r="F748" s="232">
        <v>448349</v>
      </c>
      <c r="G748" s="232">
        <v>312638</v>
      </c>
      <c r="H748" s="138">
        <f t="shared" si="76"/>
        <v>760987</v>
      </c>
      <c r="I748" s="138">
        <f t="shared" si="77"/>
        <v>30439480</v>
      </c>
      <c r="J748" s="108"/>
    </row>
    <row r="749" spans="1:10" s="16" customFormat="1" ht="25.5" outlineLevel="3">
      <c r="A749" s="91"/>
      <c r="B749" s="35">
        <f>MAXA(B$5:B748)+1</f>
        <v>207</v>
      </c>
      <c r="C749" s="156" t="s">
        <v>1513</v>
      </c>
      <c r="D749" s="230" t="s">
        <v>25</v>
      </c>
      <c r="E749" s="137">
        <v>5</v>
      </c>
      <c r="F749" s="232">
        <v>413861</v>
      </c>
      <c r="G749" s="232">
        <v>260531</v>
      </c>
      <c r="H749" s="138">
        <f t="shared" si="76"/>
        <v>674392</v>
      </c>
      <c r="I749" s="138">
        <f t="shared" si="77"/>
        <v>3371960</v>
      </c>
      <c r="J749" s="108"/>
    </row>
    <row r="750" spans="1:10" s="16" customFormat="1" ht="25.5" outlineLevel="3">
      <c r="A750" s="91"/>
      <c r="B750" s="35">
        <f>MAXA(B$5:B749)+1</f>
        <v>208</v>
      </c>
      <c r="C750" s="156" t="s">
        <v>392</v>
      </c>
      <c r="D750" s="230" t="s">
        <v>25</v>
      </c>
      <c r="E750" s="137">
        <v>5</v>
      </c>
      <c r="F750" s="232">
        <v>344884</v>
      </c>
      <c r="G750" s="232">
        <v>260531</v>
      </c>
      <c r="H750" s="138">
        <f t="shared" si="76"/>
        <v>605415</v>
      </c>
      <c r="I750" s="138">
        <f t="shared" si="77"/>
        <v>3027075</v>
      </c>
      <c r="J750" s="108"/>
    </row>
    <row r="751" spans="1:10" s="16" customFormat="1" ht="25.5" outlineLevel="3">
      <c r="A751" s="91"/>
      <c r="B751" s="35">
        <f>MAXA(B$5:B750)+1</f>
        <v>209</v>
      </c>
      <c r="C751" s="156" t="s">
        <v>1514</v>
      </c>
      <c r="D751" s="230" t="s">
        <v>25</v>
      </c>
      <c r="E751" s="137">
        <v>65</v>
      </c>
      <c r="F751" s="232">
        <v>303428</v>
      </c>
      <c r="G751" s="232">
        <v>208425</v>
      </c>
      <c r="H751" s="138">
        <f t="shared" si="76"/>
        <v>511853</v>
      </c>
      <c r="I751" s="138">
        <f t="shared" si="77"/>
        <v>33270445</v>
      </c>
      <c r="J751" s="108"/>
    </row>
    <row r="752" spans="1:10" s="16" customFormat="1" ht="25.5" outlineLevel="3">
      <c r="A752" s="91"/>
      <c r="B752" s="35">
        <f>MAXA(B$5:B751)+1</f>
        <v>210</v>
      </c>
      <c r="C752" s="156" t="s">
        <v>393</v>
      </c>
      <c r="D752" s="230" t="s">
        <v>25</v>
      </c>
      <c r="E752" s="137">
        <v>25</v>
      </c>
      <c r="F752" s="232">
        <v>233406</v>
      </c>
      <c r="G752" s="232">
        <v>156319</v>
      </c>
      <c r="H752" s="138">
        <f t="shared" si="76"/>
        <v>389725</v>
      </c>
      <c r="I752" s="138">
        <f t="shared" si="77"/>
        <v>9743125</v>
      </c>
      <c r="J752" s="108"/>
    </row>
    <row r="753" spans="1:10" s="16" customFormat="1" ht="25.5" outlineLevel="3">
      <c r="A753" s="91"/>
      <c r="B753" s="35">
        <f>MAXA(B$5:B752)+1</f>
        <v>211</v>
      </c>
      <c r="C753" s="156" t="s">
        <v>394</v>
      </c>
      <c r="D753" s="230" t="s">
        <v>25</v>
      </c>
      <c r="E753" s="137">
        <v>95</v>
      </c>
      <c r="F753" s="232">
        <v>215988</v>
      </c>
      <c r="G753" s="232">
        <v>156319</v>
      </c>
      <c r="H753" s="138">
        <f t="shared" si="76"/>
        <v>372307</v>
      </c>
      <c r="I753" s="138">
        <f t="shared" si="77"/>
        <v>35369165</v>
      </c>
      <c r="J753" s="108"/>
    </row>
    <row r="754" spans="1:10" s="16" customFormat="1" ht="25.5" outlineLevel="3">
      <c r="A754" s="91"/>
      <c r="B754" s="35">
        <f>MAXA(B$5:B753)+1</f>
        <v>212</v>
      </c>
      <c r="C754" s="156" t="s">
        <v>1515</v>
      </c>
      <c r="D754" s="230" t="s">
        <v>25</v>
      </c>
      <c r="E754" s="137">
        <v>40</v>
      </c>
      <c r="F754" s="232">
        <v>206698</v>
      </c>
      <c r="G754" s="232">
        <v>125055</v>
      </c>
      <c r="H754" s="138">
        <f t="shared" si="76"/>
        <v>331753</v>
      </c>
      <c r="I754" s="138">
        <f t="shared" si="77"/>
        <v>13270120</v>
      </c>
      <c r="J754" s="108"/>
    </row>
    <row r="755" spans="1:10" s="16" customFormat="1" ht="25.5" outlineLevel="3">
      <c r="A755" s="91"/>
      <c r="B755" s="35">
        <f>MAXA(B$5:B754)+1</f>
        <v>213</v>
      </c>
      <c r="C755" s="156" t="s">
        <v>396</v>
      </c>
      <c r="D755" s="230" t="s">
        <v>25</v>
      </c>
      <c r="E755" s="137">
        <v>40</v>
      </c>
      <c r="F755" s="232">
        <v>1112454</v>
      </c>
      <c r="G755" s="232">
        <v>208425</v>
      </c>
      <c r="H755" s="138">
        <f t="shared" si="76"/>
        <v>1320879</v>
      </c>
      <c r="I755" s="138">
        <f t="shared" si="77"/>
        <v>52835160</v>
      </c>
      <c r="J755" s="108"/>
    </row>
    <row r="756" spans="1:10" s="16" customFormat="1" ht="25.5" outlineLevel="3">
      <c r="A756" s="91"/>
      <c r="B756" s="35">
        <f>MAXA(B$5:B755)+1</f>
        <v>214</v>
      </c>
      <c r="C756" s="156" t="s">
        <v>388</v>
      </c>
      <c r="D756" s="230" t="s">
        <v>25</v>
      </c>
      <c r="E756" s="137">
        <v>200</v>
      </c>
      <c r="F756" s="232">
        <v>500488</v>
      </c>
      <c r="G756" s="232">
        <v>156319</v>
      </c>
      <c r="H756" s="138">
        <f t="shared" si="76"/>
        <v>656807</v>
      </c>
      <c r="I756" s="138">
        <f t="shared" si="77"/>
        <v>131361400</v>
      </c>
      <c r="J756" s="108"/>
    </row>
    <row r="757" spans="1:10" s="16" customFormat="1" ht="25.5" outlineLevel="3">
      <c r="A757" s="91"/>
      <c r="B757" s="35">
        <f>MAXA(B$5:B756)+1</f>
        <v>215</v>
      </c>
      <c r="C757" s="156" t="s">
        <v>398</v>
      </c>
      <c r="D757" s="230" t="s">
        <v>25</v>
      </c>
      <c r="E757" s="137">
        <v>175</v>
      </c>
      <c r="F757" s="232">
        <v>271727</v>
      </c>
      <c r="G757" s="232">
        <v>156319</v>
      </c>
      <c r="H757" s="138">
        <f t="shared" si="76"/>
        <v>428046</v>
      </c>
      <c r="I757" s="138">
        <f t="shared" si="77"/>
        <v>74908050</v>
      </c>
      <c r="J757" s="108"/>
    </row>
    <row r="758" spans="1:10" s="16" customFormat="1" ht="25.5" outlineLevel="3">
      <c r="A758" s="91"/>
      <c r="B758" s="35">
        <f>MAXA(B$5:B757)+1</f>
        <v>216</v>
      </c>
      <c r="C758" s="156" t="s">
        <v>1516</v>
      </c>
      <c r="D758" s="136"/>
      <c r="E758" s="137">
        <v>1</v>
      </c>
      <c r="F758" s="232">
        <v>156314181</v>
      </c>
      <c r="G758" s="232">
        <v>56112783</v>
      </c>
      <c r="H758" s="138">
        <f t="shared" si="76"/>
        <v>212426964</v>
      </c>
      <c r="I758" s="138">
        <f t="shared" si="77"/>
        <v>212426964</v>
      </c>
      <c r="J758" s="108"/>
    </row>
    <row r="759" spans="1:10" s="16" customFormat="1" ht="25.5" outlineLevel="3">
      <c r="A759" s="91"/>
      <c r="B759" s="35"/>
      <c r="C759" s="371" t="s">
        <v>400</v>
      </c>
      <c r="D759" s="136"/>
      <c r="E759" s="137"/>
      <c r="F759" s="232">
        <v>0</v>
      </c>
      <c r="G759" s="232">
        <v>0</v>
      </c>
      <c r="H759" s="138"/>
      <c r="I759" s="138"/>
      <c r="J759" s="108"/>
    </row>
    <row r="760" spans="1:10" s="16" customFormat="1" ht="25.5" outlineLevel="3">
      <c r="A760" s="91"/>
      <c r="B760" s="35">
        <f>MAXA(B$5:B759)+1</f>
        <v>217</v>
      </c>
      <c r="C760" s="156" t="s">
        <v>401</v>
      </c>
      <c r="D760" s="230" t="s">
        <v>25</v>
      </c>
      <c r="E760" s="137">
        <v>856</v>
      </c>
      <c r="F760" s="232">
        <v>82099</v>
      </c>
      <c r="G760" s="232">
        <v>15632</v>
      </c>
      <c r="H760" s="138">
        <f t="shared" ref="H760:H765" si="78">G760+F760</f>
        <v>97731</v>
      </c>
      <c r="I760" s="138">
        <f t="shared" ref="I760:I765" si="79">H760*E760</f>
        <v>83657736</v>
      </c>
      <c r="J760" s="108"/>
    </row>
    <row r="761" spans="1:10" s="16" customFormat="1" ht="25.5" outlineLevel="3">
      <c r="A761" s="91"/>
      <c r="B761" s="35">
        <f>MAXA(B$5:B760)+1</f>
        <v>218</v>
      </c>
      <c r="C761" s="156" t="s">
        <v>561</v>
      </c>
      <c r="D761" s="230" t="s">
        <v>25</v>
      </c>
      <c r="E761" s="137">
        <v>856</v>
      </c>
      <c r="F761" s="232">
        <v>25740</v>
      </c>
      <c r="G761" s="232">
        <v>5211</v>
      </c>
      <c r="H761" s="138">
        <f t="shared" si="78"/>
        <v>30951</v>
      </c>
      <c r="I761" s="138">
        <f t="shared" si="79"/>
        <v>26494056</v>
      </c>
      <c r="J761" s="108"/>
    </row>
    <row r="762" spans="1:10" s="16" customFormat="1" ht="25.5" outlineLevel="3">
      <c r="A762" s="91"/>
      <c r="B762" s="35">
        <f>MAXA(B$5:B761)+1</f>
        <v>219</v>
      </c>
      <c r="C762" s="359" t="s">
        <v>1517</v>
      </c>
      <c r="D762" s="136" t="s">
        <v>28</v>
      </c>
      <c r="E762" s="137">
        <v>1712</v>
      </c>
      <c r="F762" s="232">
        <v>7780</v>
      </c>
      <c r="G762" s="232">
        <v>521</v>
      </c>
      <c r="H762" s="138">
        <f t="shared" si="78"/>
        <v>8301</v>
      </c>
      <c r="I762" s="138">
        <f t="shared" si="79"/>
        <v>14211312</v>
      </c>
      <c r="J762" s="108"/>
    </row>
    <row r="763" spans="1:10" s="16" customFormat="1" ht="25.5" outlineLevel="3">
      <c r="A763" s="91"/>
      <c r="B763" s="35">
        <f>MAXA(B$5:B762)+1</f>
        <v>220</v>
      </c>
      <c r="C763" s="375" t="s">
        <v>1518</v>
      </c>
      <c r="D763" s="136" t="s">
        <v>44</v>
      </c>
      <c r="E763" s="137">
        <f>500+120</f>
        <v>620</v>
      </c>
      <c r="F763" s="232">
        <v>2322</v>
      </c>
      <c r="G763" s="232">
        <v>521</v>
      </c>
      <c r="H763" s="138">
        <f t="shared" si="78"/>
        <v>2843</v>
      </c>
      <c r="I763" s="138">
        <f t="shared" si="79"/>
        <v>1762660</v>
      </c>
      <c r="J763" s="108"/>
    </row>
    <row r="764" spans="1:10" s="16" customFormat="1" ht="25.5" outlineLevel="3">
      <c r="A764" s="91"/>
      <c r="B764" s="35">
        <f>MAXA(B$5:B763)+1</f>
        <v>221</v>
      </c>
      <c r="C764" s="358" t="s">
        <v>1493</v>
      </c>
      <c r="D764" s="136" t="s">
        <v>38</v>
      </c>
      <c r="E764" s="137">
        <v>1</v>
      </c>
      <c r="F764" s="232">
        <v>23224500</v>
      </c>
      <c r="G764" s="232">
        <v>10421250</v>
      </c>
      <c r="H764" s="138">
        <f t="shared" si="78"/>
        <v>33645750</v>
      </c>
      <c r="I764" s="138">
        <f t="shared" si="79"/>
        <v>33645750</v>
      </c>
      <c r="J764" s="108"/>
    </row>
    <row r="765" spans="1:10" s="16" customFormat="1" ht="25.5" outlineLevel="3">
      <c r="A765" s="91"/>
      <c r="B765" s="35">
        <f>MAXA(B$5:B764)+1</f>
        <v>222</v>
      </c>
      <c r="C765" s="358" t="s">
        <v>1519</v>
      </c>
      <c r="D765" s="136" t="s">
        <v>38</v>
      </c>
      <c r="E765" s="137">
        <v>1</v>
      </c>
      <c r="F765" s="232">
        <v>58061250</v>
      </c>
      <c r="G765" s="232">
        <v>20842500</v>
      </c>
      <c r="H765" s="138">
        <f t="shared" si="78"/>
        <v>78903750</v>
      </c>
      <c r="I765" s="138">
        <f t="shared" si="79"/>
        <v>78903750</v>
      </c>
      <c r="J765" s="108"/>
    </row>
    <row r="766" spans="1:10" s="33" customFormat="1" ht="27" outlineLevel="3">
      <c r="A766" s="100"/>
      <c r="B766" s="38" t="s">
        <v>404</v>
      </c>
      <c r="C766" s="164" t="s">
        <v>1520</v>
      </c>
      <c r="D766" s="363"/>
      <c r="E766" s="352"/>
      <c r="F766" s="232">
        <v>0</v>
      </c>
      <c r="G766" s="232">
        <v>0</v>
      </c>
      <c r="H766" s="367"/>
      <c r="I766" s="180">
        <f>SUBTOTAL(9,I767:I795)</f>
        <v>244274866</v>
      </c>
      <c r="J766" s="111"/>
    </row>
    <row r="767" spans="1:10" s="16" customFormat="1" ht="25.5" outlineLevel="3">
      <c r="A767" s="91"/>
      <c r="B767" s="35"/>
      <c r="C767" s="371" t="s">
        <v>406</v>
      </c>
      <c r="D767" s="136"/>
      <c r="E767" s="137"/>
      <c r="F767" s="232">
        <v>0</v>
      </c>
      <c r="G767" s="232">
        <v>0</v>
      </c>
      <c r="H767" s="138"/>
      <c r="I767" s="138"/>
      <c r="J767" s="108"/>
    </row>
    <row r="768" spans="1:10" s="16" customFormat="1" ht="25.5" outlineLevel="3">
      <c r="A768" s="91"/>
      <c r="B768" s="35">
        <f>MAXA(B$5:B767)+1</f>
        <v>223</v>
      </c>
      <c r="C768" s="156" t="s">
        <v>407</v>
      </c>
      <c r="D768" s="136" t="s">
        <v>44</v>
      </c>
      <c r="E768" s="137">
        <v>1</v>
      </c>
      <c r="F768" s="232">
        <v>14921741</v>
      </c>
      <c r="G768" s="232">
        <v>1250550</v>
      </c>
      <c r="H768" s="138">
        <f t="shared" ref="H768:H795" si="80">G768+F768</f>
        <v>16172291</v>
      </c>
      <c r="I768" s="138">
        <f t="shared" ref="I768:I795" si="81">H768*E768</f>
        <v>16172291</v>
      </c>
      <c r="J768" s="108"/>
    </row>
    <row r="769" spans="1:10" s="16" customFormat="1" ht="25.5" outlineLevel="3">
      <c r="A769" s="91"/>
      <c r="B769" s="35">
        <f>MAXA(B$5:B768)+1</f>
        <v>224</v>
      </c>
      <c r="C769" s="156" t="s">
        <v>408</v>
      </c>
      <c r="D769" s="136" t="s">
        <v>44</v>
      </c>
      <c r="E769" s="137">
        <v>2</v>
      </c>
      <c r="F769" s="232">
        <v>3773981</v>
      </c>
      <c r="G769" s="232">
        <v>260531</v>
      </c>
      <c r="H769" s="138">
        <f t="shared" si="80"/>
        <v>4034512</v>
      </c>
      <c r="I769" s="138">
        <f t="shared" si="81"/>
        <v>8069024</v>
      </c>
      <c r="J769" s="108"/>
    </row>
    <row r="770" spans="1:10" s="16" customFormat="1" ht="25.5" outlineLevel="3">
      <c r="A770" s="91"/>
      <c r="B770" s="35">
        <f>MAXA(B$5:B769)+1</f>
        <v>225</v>
      </c>
      <c r="C770" s="156" t="s">
        <v>1521</v>
      </c>
      <c r="D770" s="136" t="s">
        <v>410</v>
      </c>
      <c r="E770" s="137">
        <v>1</v>
      </c>
      <c r="F770" s="232">
        <v>2612756</v>
      </c>
      <c r="G770" s="232">
        <v>468956</v>
      </c>
      <c r="H770" s="138">
        <f t="shared" si="80"/>
        <v>3081712</v>
      </c>
      <c r="I770" s="138">
        <f t="shared" si="81"/>
        <v>3081712</v>
      </c>
      <c r="J770" s="108"/>
    </row>
    <row r="771" spans="1:10" s="16" customFormat="1" ht="25.5" outlineLevel="3">
      <c r="A771" s="91"/>
      <c r="B771" s="35">
        <f>MAXA(B$5:B770)+1</f>
        <v>226</v>
      </c>
      <c r="C771" s="156" t="s">
        <v>411</v>
      </c>
      <c r="D771" s="136" t="s">
        <v>28</v>
      </c>
      <c r="E771" s="137">
        <v>1</v>
      </c>
      <c r="F771" s="232">
        <v>4238471</v>
      </c>
      <c r="G771" s="232">
        <v>260531</v>
      </c>
      <c r="H771" s="138">
        <f t="shared" si="80"/>
        <v>4499002</v>
      </c>
      <c r="I771" s="138">
        <f t="shared" si="81"/>
        <v>4499002</v>
      </c>
      <c r="J771" s="108"/>
    </row>
    <row r="772" spans="1:10" s="16" customFormat="1" ht="25.5" outlineLevel="3">
      <c r="A772" s="91"/>
      <c r="B772" s="35">
        <f>MAXA(B$5:B771)+1</f>
        <v>227</v>
      </c>
      <c r="C772" s="156" t="s">
        <v>412</v>
      </c>
      <c r="D772" s="136" t="s">
        <v>44</v>
      </c>
      <c r="E772" s="137">
        <v>1</v>
      </c>
      <c r="F772" s="232">
        <v>459845</v>
      </c>
      <c r="G772" s="232">
        <v>104213</v>
      </c>
      <c r="H772" s="138">
        <f t="shared" si="80"/>
        <v>564058</v>
      </c>
      <c r="I772" s="138">
        <f t="shared" si="81"/>
        <v>564058</v>
      </c>
      <c r="J772" s="108"/>
    </row>
    <row r="773" spans="1:10" s="16" customFormat="1" ht="25.5" outlineLevel="3">
      <c r="A773" s="91"/>
      <c r="B773" s="35">
        <f>MAXA(B$5:B772)+1</f>
        <v>228</v>
      </c>
      <c r="C773" s="156" t="s">
        <v>413</v>
      </c>
      <c r="D773" s="136" t="s">
        <v>44</v>
      </c>
      <c r="E773" s="137">
        <v>3</v>
      </c>
      <c r="F773" s="232">
        <v>339078</v>
      </c>
      <c r="G773" s="232">
        <v>20843</v>
      </c>
      <c r="H773" s="138">
        <f t="shared" si="80"/>
        <v>359921</v>
      </c>
      <c r="I773" s="138">
        <f t="shared" si="81"/>
        <v>1079763</v>
      </c>
      <c r="J773" s="108"/>
    </row>
    <row r="774" spans="1:10" s="16" customFormat="1" ht="25.5" outlineLevel="3">
      <c r="A774" s="91"/>
      <c r="B774" s="35">
        <f>MAXA(B$5:B773)+1</f>
        <v>229</v>
      </c>
      <c r="C774" s="156" t="s">
        <v>414</v>
      </c>
      <c r="D774" s="136" t="s">
        <v>44</v>
      </c>
      <c r="E774" s="137">
        <v>2</v>
      </c>
      <c r="F774" s="232">
        <v>789633</v>
      </c>
      <c r="G774" s="232">
        <v>260531</v>
      </c>
      <c r="H774" s="138">
        <f t="shared" si="80"/>
        <v>1050164</v>
      </c>
      <c r="I774" s="138">
        <f t="shared" si="81"/>
        <v>2100328</v>
      </c>
      <c r="J774" s="115"/>
    </row>
    <row r="775" spans="1:10" s="16" customFormat="1" ht="25.5" outlineLevel="3">
      <c r="A775" s="91"/>
      <c r="B775" s="35">
        <f>MAXA(B$5:B774)+1</f>
        <v>230</v>
      </c>
      <c r="C775" s="156" t="s">
        <v>415</v>
      </c>
      <c r="D775" s="136" t="s">
        <v>28</v>
      </c>
      <c r="E775" s="137">
        <v>10</v>
      </c>
      <c r="F775" s="232">
        <v>209021</v>
      </c>
      <c r="G775" s="232">
        <v>156319</v>
      </c>
      <c r="H775" s="138">
        <f t="shared" si="80"/>
        <v>365340</v>
      </c>
      <c r="I775" s="138">
        <f t="shared" si="81"/>
        <v>3653400</v>
      </c>
      <c r="J775" s="115"/>
    </row>
    <row r="776" spans="1:10" s="16" customFormat="1" ht="25.5" outlineLevel="3">
      <c r="A776" s="91"/>
      <c r="B776" s="35">
        <f>MAXA(B$5:B775)+1</f>
        <v>231</v>
      </c>
      <c r="C776" s="156" t="s">
        <v>416</v>
      </c>
      <c r="D776" s="136" t="s">
        <v>417</v>
      </c>
      <c r="E776" s="137">
        <v>10</v>
      </c>
      <c r="F776" s="232">
        <v>106833</v>
      </c>
      <c r="G776" s="232">
        <v>125055</v>
      </c>
      <c r="H776" s="138">
        <f t="shared" si="80"/>
        <v>231888</v>
      </c>
      <c r="I776" s="138">
        <f t="shared" si="81"/>
        <v>2318880</v>
      </c>
      <c r="J776" s="115"/>
    </row>
    <row r="777" spans="1:10" s="16" customFormat="1" ht="25.5" outlineLevel="3">
      <c r="A777" s="91"/>
      <c r="B777" s="35">
        <f>MAXA(B$5:B776)+1</f>
        <v>232</v>
      </c>
      <c r="C777" s="156" t="s">
        <v>418</v>
      </c>
      <c r="D777" s="136" t="s">
        <v>44</v>
      </c>
      <c r="E777" s="137">
        <v>2</v>
      </c>
      <c r="F777" s="232">
        <v>406429</v>
      </c>
      <c r="G777" s="232">
        <v>125055</v>
      </c>
      <c r="H777" s="138">
        <f t="shared" si="80"/>
        <v>531484</v>
      </c>
      <c r="I777" s="138">
        <f t="shared" si="81"/>
        <v>1062968</v>
      </c>
      <c r="J777" s="115"/>
    </row>
    <row r="778" spans="1:10" s="16" customFormat="1" ht="25.5" outlineLevel="3">
      <c r="A778" s="91"/>
      <c r="B778" s="35">
        <f>MAXA(B$5:B777)+1</f>
        <v>233</v>
      </c>
      <c r="C778" s="156" t="s">
        <v>419</v>
      </c>
      <c r="D778" s="136" t="s">
        <v>28</v>
      </c>
      <c r="E778" s="137">
        <v>20</v>
      </c>
      <c r="F778" s="232">
        <v>44127</v>
      </c>
      <c r="G778" s="232">
        <v>26053</v>
      </c>
      <c r="H778" s="138">
        <f t="shared" si="80"/>
        <v>70180</v>
      </c>
      <c r="I778" s="138">
        <f t="shared" si="81"/>
        <v>1403600</v>
      </c>
      <c r="J778" s="115"/>
    </row>
    <row r="779" spans="1:10" s="16" customFormat="1" ht="25.5" outlineLevel="3">
      <c r="A779" s="91"/>
      <c r="B779" s="35">
        <f>MAXA(B$5:B778)+1</f>
        <v>234</v>
      </c>
      <c r="C779" s="156" t="s">
        <v>420</v>
      </c>
      <c r="D779" s="230" t="s">
        <v>25</v>
      </c>
      <c r="E779" s="137">
        <v>132</v>
      </c>
      <c r="F779" s="232">
        <v>170816</v>
      </c>
      <c r="G779" s="232">
        <v>36474</v>
      </c>
      <c r="H779" s="138">
        <f t="shared" si="80"/>
        <v>207290</v>
      </c>
      <c r="I779" s="138">
        <f t="shared" si="81"/>
        <v>27362280</v>
      </c>
      <c r="J779" s="115"/>
    </row>
    <row r="780" spans="1:10" s="16" customFormat="1" ht="25.5" outlineLevel="3">
      <c r="A780" s="91"/>
      <c r="B780" s="35">
        <f>MAXA(B$5:B779)+1</f>
        <v>235</v>
      </c>
      <c r="C780" s="156" t="s">
        <v>379</v>
      </c>
      <c r="D780" s="230" t="s">
        <v>25</v>
      </c>
      <c r="E780" s="137">
        <v>132</v>
      </c>
      <c r="F780" s="232">
        <v>16052</v>
      </c>
      <c r="G780" s="232">
        <v>18758</v>
      </c>
      <c r="H780" s="138">
        <f t="shared" si="80"/>
        <v>34810</v>
      </c>
      <c r="I780" s="138">
        <f t="shared" si="81"/>
        <v>4594920</v>
      </c>
      <c r="J780" s="115"/>
    </row>
    <row r="781" spans="1:10" s="16" customFormat="1" ht="25.5" outlineLevel="3">
      <c r="A781" s="91"/>
      <c r="B781" s="35">
        <f>MAXA(B$5:B780)+1</f>
        <v>236</v>
      </c>
      <c r="C781" s="358" t="s">
        <v>1493</v>
      </c>
      <c r="D781" s="136" t="s">
        <v>38</v>
      </c>
      <c r="E781" s="137">
        <v>1</v>
      </c>
      <c r="F781" s="232">
        <v>5806125</v>
      </c>
      <c r="G781" s="232">
        <v>2084250</v>
      </c>
      <c r="H781" s="138">
        <f t="shared" si="80"/>
        <v>7890375</v>
      </c>
      <c r="I781" s="138">
        <f t="shared" si="81"/>
        <v>7890375</v>
      </c>
      <c r="J781" s="115"/>
    </row>
    <row r="782" spans="1:10" s="16" customFormat="1" ht="25.5" outlineLevel="3">
      <c r="A782" s="91"/>
      <c r="B782" s="35"/>
      <c r="C782" s="139" t="s">
        <v>422</v>
      </c>
      <c r="D782" s="136"/>
      <c r="E782" s="137">
        <v>0</v>
      </c>
      <c r="F782" s="232">
        <v>0</v>
      </c>
      <c r="G782" s="232">
        <v>0</v>
      </c>
      <c r="H782" s="138">
        <f t="shared" si="80"/>
        <v>0</v>
      </c>
      <c r="I782" s="138">
        <f t="shared" si="81"/>
        <v>0</v>
      </c>
      <c r="J782" s="108"/>
    </row>
    <row r="783" spans="1:10" s="16" customFormat="1" ht="25.5" outlineLevel="3">
      <c r="A783" s="91"/>
      <c r="B783" s="35">
        <f>MAXA(B$5:B782)+1</f>
        <v>237</v>
      </c>
      <c r="C783" s="156" t="s">
        <v>1522</v>
      </c>
      <c r="D783" s="230" t="s">
        <v>25</v>
      </c>
      <c r="E783" s="137">
        <v>115</v>
      </c>
      <c r="F783" s="232">
        <v>43569</v>
      </c>
      <c r="G783" s="232">
        <v>15632</v>
      </c>
      <c r="H783" s="138">
        <f t="shared" si="80"/>
        <v>59201</v>
      </c>
      <c r="I783" s="138">
        <f t="shared" si="81"/>
        <v>6808115</v>
      </c>
      <c r="J783" s="108"/>
    </row>
    <row r="784" spans="1:10" s="16" customFormat="1" ht="25.5" outlineLevel="3">
      <c r="A784" s="91"/>
      <c r="B784" s="35">
        <f>MAXA(B$5:B783)+1</f>
        <v>238</v>
      </c>
      <c r="C784" s="156" t="s">
        <v>423</v>
      </c>
      <c r="D784" s="230" t="s">
        <v>25</v>
      </c>
      <c r="E784" s="137">
        <v>120</v>
      </c>
      <c r="F784" s="232">
        <v>174834</v>
      </c>
      <c r="G784" s="232">
        <v>36474</v>
      </c>
      <c r="H784" s="138">
        <f t="shared" si="80"/>
        <v>211308</v>
      </c>
      <c r="I784" s="138">
        <f t="shared" si="81"/>
        <v>25356960</v>
      </c>
      <c r="J784" s="108"/>
    </row>
    <row r="785" spans="1:14" s="16" customFormat="1" ht="25.5" outlineLevel="3">
      <c r="A785" s="91"/>
      <c r="B785" s="35">
        <f>MAXA(B$5:B784)+1</f>
        <v>239</v>
      </c>
      <c r="C785" s="156" t="s">
        <v>424</v>
      </c>
      <c r="D785" s="230" t="s">
        <v>25</v>
      </c>
      <c r="E785" s="137">
        <v>40</v>
      </c>
      <c r="F785" s="232">
        <v>467672</v>
      </c>
      <c r="G785" s="232">
        <v>46896</v>
      </c>
      <c r="H785" s="138">
        <f t="shared" si="80"/>
        <v>514568</v>
      </c>
      <c r="I785" s="138">
        <f t="shared" si="81"/>
        <v>20582720</v>
      </c>
      <c r="J785" s="108"/>
    </row>
    <row r="786" spans="1:14" s="16" customFormat="1" ht="25.5" outlineLevel="3">
      <c r="A786" s="91"/>
      <c r="B786" s="35">
        <f>MAXA(B$5:B785)+1</f>
        <v>240</v>
      </c>
      <c r="C786" s="156" t="s">
        <v>425</v>
      </c>
      <c r="D786" s="230" t="s">
        <v>25</v>
      </c>
      <c r="E786" s="137">
        <v>35</v>
      </c>
      <c r="F786" s="232">
        <v>612964</v>
      </c>
      <c r="G786" s="232">
        <v>62528</v>
      </c>
      <c r="H786" s="138">
        <f t="shared" si="80"/>
        <v>675492</v>
      </c>
      <c r="I786" s="138">
        <f t="shared" si="81"/>
        <v>23642220</v>
      </c>
      <c r="J786" s="108"/>
    </row>
    <row r="787" spans="1:14" s="16" customFormat="1" ht="25.5" outlineLevel="3">
      <c r="A787" s="91"/>
      <c r="B787" s="35">
        <f>MAXA(B$5:B786)+1</f>
        <v>241</v>
      </c>
      <c r="C787" s="156" t="s">
        <v>426</v>
      </c>
      <c r="D787" s="230" t="s">
        <v>25</v>
      </c>
      <c r="E787" s="137">
        <v>111</v>
      </c>
      <c r="F787" s="232">
        <v>303173</v>
      </c>
      <c r="G787" s="232">
        <v>41685</v>
      </c>
      <c r="H787" s="138">
        <f t="shared" si="80"/>
        <v>344858</v>
      </c>
      <c r="I787" s="138">
        <f t="shared" si="81"/>
        <v>38279238</v>
      </c>
      <c r="J787" s="108"/>
    </row>
    <row r="788" spans="1:14" s="16" customFormat="1" ht="25.5" outlineLevel="3">
      <c r="A788" s="91"/>
      <c r="B788" s="35">
        <f>MAXA(B$5:B787)+1</f>
        <v>242</v>
      </c>
      <c r="C788" s="156" t="s">
        <v>420</v>
      </c>
      <c r="D788" s="230" t="s">
        <v>25</v>
      </c>
      <c r="E788" s="137">
        <v>60</v>
      </c>
      <c r="F788" s="232">
        <v>170816</v>
      </c>
      <c r="G788" s="232">
        <v>36474</v>
      </c>
      <c r="H788" s="138">
        <f t="shared" si="80"/>
        <v>207290</v>
      </c>
      <c r="I788" s="138">
        <f t="shared" si="81"/>
        <v>12437400</v>
      </c>
      <c r="J788" s="108"/>
    </row>
    <row r="789" spans="1:14" s="16" customFormat="1" ht="38.25" outlineLevel="3">
      <c r="A789" s="91"/>
      <c r="B789" s="35">
        <f>MAXA(B$5:B788)+1</f>
        <v>243</v>
      </c>
      <c r="C789" s="156" t="s">
        <v>427</v>
      </c>
      <c r="D789" s="136" t="s">
        <v>44</v>
      </c>
      <c r="E789" s="137">
        <v>1</v>
      </c>
      <c r="F789" s="232">
        <v>2612756</v>
      </c>
      <c r="G789" s="232">
        <v>260531</v>
      </c>
      <c r="H789" s="138">
        <f t="shared" si="80"/>
        <v>2873287</v>
      </c>
      <c r="I789" s="138">
        <f t="shared" si="81"/>
        <v>2873287</v>
      </c>
      <c r="J789" s="108"/>
    </row>
    <row r="790" spans="1:14" s="16" customFormat="1" ht="25.5" outlineLevel="3">
      <c r="A790" s="91"/>
      <c r="B790" s="35">
        <f>MAXA(B$5:B789)+1</f>
        <v>244</v>
      </c>
      <c r="C790" s="156" t="s">
        <v>1523</v>
      </c>
      <c r="D790" s="136" t="s">
        <v>44</v>
      </c>
      <c r="E790" s="137">
        <v>1</v>
      </c>
      <c r="F790" s="232">
        <v>1916021</v>
      </c>
      <c r="G790" s="232">
        <v>260531</v>
      </c>
      <c r="H790" s="138">
        <f t="shared" si="80"/>
        <v>2176552</v>
      </c>
      <c r="I790" s="138">
        <f t="shared" si="81"/>
        <v>2176552</v>
      </c>
      <c r="J790" s="108"/>
    </row>
    <row r="791" spans="1:14" s="16" customFormat="1" ht="25.5" outlineLevel="3">
      <c r="A791" s="91"/>
      <c r="B791" s="35">
        <f>MAXA(B$5:B790)+1</f>
        <v>245</v>
      </c>
      <c r="C791" s="156" t="s">
        <v>415</v>
      </c>
      <c r="D791" s="136" t="s">
        <v>28</v>
      </c>
      <c r="E791" s="137">
        <v>16</v>
      </c>
      <c r="F791" s="232">
        <v>209021</v>
      </c>
      <c r="G791" s="232">
        <v>156319</v>
      </c>
      <c r="H791" s="138">
        <f t="shared" si="80"/>
        <v>365340</v>
      </c>
      <c r="I791" s="138">
        <f t="shared" si="81"/>
        <v>5845440</v>
      </c>
      <c r="J791" s="108"/>
    </row>
    <row r="792" spans="1:14" s="16" customFormat="1" ht="25.5" outlineLevel="3">
      <c r="A792" s="91"/>
      <c r="B792" s="35">
        <f>MAXA(B$5:B791)+1</f>
        <v>246</v>
      </c>
      <c r="C792" s="156" t="s">
        <v>416</v>
      </c>
      <c r="D792" s="136" t="s">
        <v>417</v>
      </c>
      <c r="E792" s="137">
        <v>16</v>
      </c>
      <c r="F792" s="232">
        <v>106833</v>
      </c>
      <c r="G792" s="232">
        <v>125055</v>
      </c>
      <c r="H792" s="138">
        <f t="shared" si="80"/>
        <v>231888</v>
      </c>
      <c r="I792" s="138">
        <f t="shared" si="81"/>
        <v>3710208</v>
      </c>
      <c r="J792" s="108"/>
    </row>
    <row r="793" spans="1:14" s="16" customFormat="1" ht="25.5" outlineLevel="3">
      <c r="A793" s="91"/>
      <c r="B793" s="35">
        <f>MAXA(B$5:B792)+1</f>
        <v>247</v>
      </c>
      <c r="C793" s="156" t="s">
        <v>379</v>
      </c>
      <c r="D793" s="230" t="s">
        <v>25</v>
      </c>
      <c r="E793" s="137">
        <v>145</v>
      </c>
      <c r="F793" s="232">
        <v>16052</v>
      </c>
      <c r="G793" s="232">
        <v>18758</v>
      </c>
      <c r="H793" s="138">
        <f t="shared" si="80"/>
        <v>34810</v>
      </c>
      <c r="I793" s="138">
        <f t="shared" si="81"/>
        <v>5047450</v>
      </c>
      <c r="J793" s="108"/>
    </row>
    <row r="794" spans="1:14" s="16" customFormat="1" ht="25.5" outlineLevel="3">
      <c r="A794" s="91"/>
      <c r="B794" s="35">
        <f>MAXA(B$5:B793)+1</f>
        <v>248</v>
      </c>
      <c r="C794" s="156" t="s">
        <v>1524</v>
      </c>
      <c r="D794" s="230" t="s">
        <v>25</v>
      </c>
      <c r="E794" s="137">
        <v>100</v>
      </c>
      <c r="F794" s="232">
        <v>31670</v>
      </c>
      <c r="G794" s="232">
        <v>26053</v>
      </c>
      <c r="H794" s="138">
        <f t="shared" si="80"/>
        <v>57723</v>
      </c>
      <c r="I794" s="138">
        <f t="shared" si="81"/>
        <v>5772300</v>
      </c>
      <c r="J794" s="108"/>
    </row>
    <row r="795" spans="1:14" s="16" customFormat="1" ht="25.5" outlineLevel="3">
      <c r="A795" s="91"/>
      <c r="B795" s="35">
        <f>MAXA(B$5:B794)+1</f>
        <v>249</v>
      </c>
      <c r="C795" s="358" t="s">
        <v>1493</v>
      </c>
      <c r="D795" s="136" t="s">
        <v>38</v>
      </c>
      <c r="E795" s="137">
        <v>1</v>
      </c>
      <c r="F795" s="232">
        <v>5806125</v>
      </c>
      <c r="G795" s="232">
        <v>2084250</v>
      </c>
      <c r="H795" s="138">
        <f t="shared" si="80"/>
        <v>7890375</v>
      </c>
      <c r="I795" s="138">
        <f t="shared" si="81"/>
        <v>7890375</v>
      </c>
      <c r="J795" s="108"/>
    </row>
    <row r="796" spans="1:14" s="16" customFormat="1" ht="26.25" outlineLevel="2">
      <c r="A796" s="91"/>
      <c r="B796" s="30" t="s">
        <v>430</v>
      </c>
      <c r="C796" s="104" t="s">
        <v>431</v>
      </c>
      <c r="D796" s="212"/>
      <c r="E796" s="105"/>
      <c r="F796" s="232">
        <v>0</v>
      </c>
      <c r="G796" s="232">
        <v>0</v>
      </c>
      <c r="H796" s="276"/>
      <c r="I796" s="376">
        <f>SUBTOTAL(9,I797:I1092)</f>
        <v>20740825224</v>
      </c>
      <c r="J796" s="111"/>
      <c r="M796" s="33" t="s">
        <v>430</v>
      </c>
      <c r="N796" s="16" t="s">
        <v>430</v>
      </c>
    </row>
    <row r="797" spans="1:14" s="33" customFormat="1" ht="27" outlineLevel="3">
      <c r="A797" s="100"/>
      <c r="B797" s="38" t="s">
        <v>432</v>
      </c>
      <c r="C797" s="164" t="s">
        <v>1525</v>
      </c>
      <c r="D797" s="363"/>
      <c r="E797" s="377"/>
      <c r="F797" s="232">
        <v>0</v>
      </c>
      <c r="G797" s="232">
        <v>0</v>
      </c>
      <c r="H797" s="339"/>
      <c r="I797" s="180">
        <f>SUBTOTAL(9,I798:I876)</f>
        <v>5337181186</v>
      </c>
      <c r="J797" s="48"/>
    </row>
    <row r="798" spans="1:14" s="16" customFormat="1" ht="25.5" outlineLevel="3">
      <c r="A798" s="91"/>
      <c r="B798" s="35">
        <f>MAXA(B$5:B797)+1</f>
        <v>250</v>
      </c>
      <c r="C798" s="156" t="s">
        <v>1526</v>
      </c>
      <c r="D798" s="136" t="s">
        <v>38</v>
      </c>
      <c r="E798" s="137">
        <v>1</v>
      </c>
      <c r="F798" s="232">
        <v>0</v>
      </c>
      <c r="G798" s="232">
        <v>0</v>
      </c>
      <c r="H798" s="138">
        <f t="shared" ref="H798:H847" si="82">G798+F798</f>
        <v>0</v>
      </c>
      <c r="I798" s="138">
        <f t="shared" ref="I798:I829" si="83">H798*E798</f>
        <v>0</v>
      </c>
      <c r="J798" s="115"/>
    </row>
    <row r="799" spans="1:14" s="16" customFormat="1" ht="25.5" outlineLevel="3">
      <c r="A799" s="91"/>
      <c r="B799" s="35"/>
      <c r="C799" s="156" t="s">
        <v>1527</v>
      </c>
      <c r="D799" s="136" t="s">
        <v>28</v>
      </c>
      <c r="E799" s="137">
        <v>1</v>
      </c>
      <c r="F799" s="232">
        <v>3397486</v>
      </c>
      <c r="G799" s="232">
        <v>570688</v>
      </c>
      <c r="H799" s="138">
        <f t="shared" si="82"/>
        <v>3968174</v>
      </c>
      <c r="I799" s="138">
        <f t="shared" si="83"/>
        <v>3968174</v>
      </c>
      <c r="J799" s="115"/>
    </row>
    <row r="800" spans="1:14" s="16" customFormat="1" ht="25.5" outlineLevel="3">
      <c r="A800" s="91"/>
      <c r="B800" s="35"/>
      <c r="C800" s="256" t="s">
        <v>450</v>
      </c>
      <c r="D800" s="136" t="s">
        <v>44</v>
      </c>
      <c r="E800" s="137">
        <v>1</v>
      </c>
      <c r="F800" s="232">
        <v>1421856</v>
      </c>
      <c r="G800" s="232">
        <v>342413</v>
      </c>
      <c r="H800" s="138">
        <f t="shared" si="82"/>
        <v>1764269</v>
      </c>
      <c r="I800" s="138">
        <f t="shared" si="83"/>
        <v>1764269</v>
      </c>
      <c r="J800" s="115"/>
    </row>
    <row r="801" spans="1:10" s="16" customFormat="1" ht="50.25" customHeight="1" outlineLevel="3">
      <c r="A801" s="91"/>
      <c r="B801" s="35"/>
      <c r="C801" s="156" t="s">
        <v>1528</v>
      </c>
      <c r="D801" s="136" t="s">
        <v>28</v>
      </c>
      <c r="E801" s="137">
        <v>1</v>
      </c>
      <c r="F801" s="232">
        <v>40103809</v>
      </c>
      <c r="G801" s="232">
        <v>342413</v>
      </c>
      <c r="H801" s="138">
        <f t="shared" si="82"/>
        <v>40446222</v>
      </c>
      <c r="I801" s="138">
        <f t="shared" si="83"/>
        <v>40446222</v>
      </c>
      <c r="J801" s="115"/>
    </row>
    <row r="802" spans="1:10" s="16" customFormat="1" ht="25.5" outlineLevel="3">
      <c r="A802" s="91"/>
      <c r="B802" s="35"/>
      <c r="C802" s="156" t="s">
        <v>443</v>
      </c>
      <c r="D802" s="136" t="s">
        <v>28</v>
      </c>
      <c r="E802" s="137">
        <v>1</v>
      </c>
      <c r="F802" s="232">
        <v>6145064</v>
      </c>
      <c r="G802" s="232">
        <v>1141375</v>
      </c>
      <c r="H802" s="138">
        <f t="shared" si="82"/>
        <v>7286439</v>
      </c>
      <c r="I802" s="138">
        <f t="shared" si="83"/>
        <v>7286439</v>
      </c>
      <c r="J802" s="115"/>
    </row>
    <row r="803" spans="1:10" s="16" customFormat="1" ht="25.5" outlineLevel="3">
      <c r="A803" s="91"/>
      <c r="B803" s="35"/>
      <c r="C803" s="156" t="s">
        <v>445</v>
      </c>
      <c r="D803" s="136" t="s">
        <v>28</v>
      </c>
      <c r="E803" s="137">
        <v>1</v>
      </c>
      <c r="F803" s="232">
        <v>1092584</v>
      </c>
      <c r="G803" s="232">
        <v>114138</v>
      </c>
      <c r="H803" s="138">
        <f t="shared" si="82"/>
        <v>1206722</v>
      </c>
      <c r="I803" s="138">
        <f t="shared" si="83"/>
        <v>1206722</v>
      </c>
      <c r="J803" s="115"/>
    </row>
    <row r="804" spans="1:10" s="16" customFormat="1" ht="25.5" outlineLevel="3">
      <c r="A804" s="91"/>
      <c r="B804" s="35"/>
      <c r="C804" s="156" t="s">
        <v>446</v>
      </c>
      <c r="D804" s="136" t="s">
        <v>28</v>
      </c>
      <c r="E804" s="137">
        <v>1</v>
      </c>
      <c r="F804" s="232">
        <v>10858852</v>
      </c>
      <c r="G804" s="232">
        <v>570688</v>
      </c>
      <c r="H804" s="138">
        <f t="shared" si="82"/>
        <v>11429540</v>
      </c>
      <c r="I804" s="138">
        <f t="shared" si="83"/>
        <v>11429540</v>
      </c>
      <c r="J804" s="115"/>
    </row>
    <row r="805" spans="1:10" s="16" customFormat="1" ht="25.5" outlineLevel="3">
      <c r="A805" s="91"/>
      <c r="B805" s="35"/>
      <c r="C805" s="156" t="s">
        <v>444</v>
      </c>
      <c r="D805" s="136" t="s">
        <v>28</v>
      </c>
      <c r="E805" s="137">
        <v>1</v>
      </c>
      <c r="F805" s="232">
        <v>329272</v>
      </c>
      <c r="G805" s="232">
        <v>114138</v>
      </c>
      <c r="H805" s="138">
        <f t="shared" si="82"/>
        <v>443410</v>
      </c>
      <c r="I805" s="138">
        <f t="shared" si="83"/>
        <v>443410</v>
      </c>
      <c r="J805" s="115"/>
    </row>
    <row r="806" spans="1:10" s="16" customFormat="1" ht="25.5" outlineLevel="3">
      <c r="A806" s="91"/>
      <c r="B806" s="35"/>
      <c r="C806" s="156" t="s">
        <v>463</v>
      </c>
      <c r="D806" s="136" t="s">
        <v>38</v>
      </c>
      <c r="E806" s="137">
        <v>1</v>
      </c>
      <c r="F806" s="232">
        <v>25278887</v>
      </c>
      <c r="G806" s="232">
        <v>5012193</v>
      </c>
      <c r="H806" s="138">
        <f t="shared" si="82"/>
        <v>30291080</v>
      </c>
      <c r="I806" s="138">
        <f t="shared" si="83"/>
        <v>30291080</v>
      </c>
      <c r="J806" s="115"/>
    </row>
    <row r="807" spans="1:10" s="16" customFormat="1" ht="25.5" outlineLevel="3">
      <c r="A807" s="91"/>
      <c r="B807" s="35">
        <f>MAXA(B$5:B806)+1</f>
        <v>251</v>
      </c>
      <c r="C807" s="156" t="s">
        <v>1529</v>
      </c>
      <c r="D807" s="136" t="s">
        <v>38</v>
      </c>
      <c r="E807" s="137">
        <v>1</v>
      </c>
      <c r="F807" s="232">
        <v>0</v>
      </c>
      <c r="G807" s="232">
        <v>0</v>
      </c>
      <c r="H807" s="138">
        <f t="shared" si="82"/>
        <v>0</v>
      </c>
      <c r="I807" s="138">
        <f t="shared" si="83"/>
        <v>0</v>
      </c>
      <c r="J807" s="115"/>
    </row>
    <row r="808" spans="1:10" s="16" customFormat="1" ht="25.5" outlineLevel="3">
      <c r="A808" s="91"/>
      <c r="B808" s="35"/>
      <c r="C808" s="156" t="s">
        <v>1530</v>
      </c>
      <c r="D808" s="136" t="s">
        <v>28</v>
      </c>
      <c r="E808" s="137">
        <v>1</v>
      </c>
      <c r="F808" s="232">
        <v>19905977</v>
      </c>
      <c r="G808" s="232">
        <v>1392478</v>
      </c>
      <c r="H808" s="138">
        <f t="shared" si="82"/>
        <v>21298455</v>
      </c>
      <c r="I808" s="138">
        <f t="shared" si="83"/>
        <v>21298455</v>
      </c>
      <c r="J808" s="115"/>
    </row>
    <row r="809" spans="1:10" s="16" customFormat="1" ht="25.5" outlineLevel="3">
      <c r="A809" s="91"/>
      <c r="B809" s="35"/>
      <c r="C809" s="256" t="s">
        <v>436</v>
      </c>
      <c r="D809" s="136" t="s">
        <v>44</v>
      </c>
      <c r="E809" s="137">
        <v>1</v>
      </c>
      <c r="F809" s="232">
        <v>2694042</v>
      </c>
      <c r="G809" s="232">
        <v>1141375</v>
      </c>
      <c r="H809" s="138">
        <f t="shared" si="82"/>
        <v>3835417</v>
      </c>
      <c r="I809" s="138">
        <f t="shared" si="83"/>
        <v>3835417</v>
      </c>
      <c r="J809" s="115"/>
    </row>
    <row r="810" spans="1:10" s="196" customFormat="1" ht="25.5" outlineLevel="3">
      <c r="A810" s="193"/>
      <c r="B810" s="194"/>
      <c r="C810" s="378" t="s">
        <v>1531</v>
      </c>
      <c r="D810" s="379" t="s">
        <v>28</v>
      </c>
      <c r="E810" s="380">
        <v>1</v>
      </c>
      <c r="F810" s="381">
        <v>181338960</v>
      </c>
      <c r="G810" s="381">
        <v>570688</v>
      </c>
      <c r="H810" s="382">
        <f t="shared" si="82"/>
        <v>181909648</v>
      </c>
      <c r="I810" s="382">
        <f t="shared" si="83"/>
        <v>181909648</v>
      </c>
      <c r="J810" s="195"/>
    </row>
    <row r="811" spans="1:10" s="196" customFormat="1" ht="25.5" outlineLevel="3">
      <c r="A811" s="193"/>
      <c r="B811" s="194"/>
      <c r="C811" s="378" t="s">
        <v>1532</v>
      </c>
      <c r="D811" s="379" t="s">
        <v>28</v>
      </c>
      <c r="E811" s="380">
        <v>1</v>
      </c>
      <c r="F811" s="381">
        <v>244104913</v>
      </c>
      <c r="G811" s="381">
        <v>570688</v>
      </c>
      <c r="H811" s="382">
        <f t="shared" si="82"/>
        <v>244675601</v>
      </c>
      <c r="I811" s="382">
        <f t="shared" si="83"/>
        <v>244675601</v>
      </c>
      <c r="J811" s="195"/>
    </row>
    <row r="812" spans="1:10" s="196" customFormat="1" ht="25.5" outlineLevel="3">
      <c r="A812" s="193"/>
      <c r="B812" s="194"/>
      <c r="C812" s="378" t="s">
        <v>1533</v>
      </c>
      <c r="D812" s="379" t="s">
        <v>44</v>
      </c>
      <c r="E812" s="380">
        <v>1</v>
      </c>
      <c r="F812" s="381">
        <v>15097592</v>
      </c>
      <c r="G812" s="381">
        <v>198659</v>
      </c>
      <c r="H812" s="382">
        <f t="shared" si="82"/>
        <v>15296251</v>
      </c>
      <c r="I812" s="382">
        <f t="shared" si="83"/>
        <v>15296251</v>
      </c>
      <c r="J812" s="195"/>
    </row>
    <row r="813" spans="1:10" s="16" customFormat="1" ht="51" outlineLevel="3">
      <c r="A813" s="91"/>
      <c r="B813" s="35"/>
      <c r="C813" s="156" t="s">
        <v>1534</v>
      </c>
      <c r="D813" s="136" t="s">
        <v>44</v>
      </c>
      <c r="E813" s="137">
        <v>3</v>
      </c>
      <c r="F813" s="232">
        <v>0</v>
      </c>
      <c r="G813" s="232">
        <v>0</v>
      </c>
      <c r="H813" s="138">
        <f t="shared" si="82"/>
        <v>0</v>
      </c>
      <c r="I813" s="138">
        <f t="shared" si="83"/>
        <v>0</v>
      </c>
      <c r="J813" s="67" t="s">
        <v>442</v>
      </c>
    </row>
    <row r="814" spans="1:10" s="16" customFormat="1" ht="25.5" outlineLevel="3">
      <c r="A814" s="91"/>
      <c r="B814" s="35"/>
      <c r="C814" s="156" t="s">
        <v>445</v>
      </c>
      <c r="D814" s="136" t="s">
        <v>28</v>
      </c>
      <c r="E814" s="137">
        <v>1</v>
      </c>
      <c r="F814" s="232">
        <v>1092584</v>
      </c>
      <c r="G814" s="232">
        <v>114138</v>
      </c>
      <c r="H814" s="138">
        <f t="shared" si="82"/>
        <v>1206722</v>
      </c>
      <c r="I814" s="138">
        <f t="shared" si="83"/>
        <v>1206722</v>
      </c>
      <c r="J814" s="115"/>
    </row>
    <row r="815" spans="1:10" s="16" customFormat="1" ht="25.5" outlineLevel="3">
      <c r="A815" s="91"/>
      <c r="B815" s="35"/>
      <c r="C815" s="156" t="s">
        <v>446</v>
      </c>
      <c r="D815" s="136" t="s">
        <v>28</v>
      </c>
      <c r="E815" s="137">
        <v>1</v>
      </c>
      <c r="F815" s="232">
        <v>22895170</v>
      </c>
      <c r="G815" s="232">
        <v>570688</v>
      </c>
      <c r="H815" s="138">
        <f t="shared" si="82"/>
        <v>23465858</v>
      </c>
      <c r="I815" s="138">
        <f t="shared" si="83"/>
        <v>23465858</v>
      </c>
      <c r="J815" s="115"/>
    </row>
    <row r="816" spans="1:10" s="16" customFormat="1" ht="25.5" outlineLevel="3">
      <c r="A816" s="91"/>
      <c r="B816" s="35"/>
      <c r="C816" s="156" t="s">
        <v>444</v>
      </c>
      <c r="D816" s="136" t="s">
        <v>28</v>
      </c>
      <c r="E816" s="137">
        <v>1</v>
      </c>
      <c r="F816" s="232">
        <v>329272</v>
      </c>
      <c r="G816" s="232">
        <v>114138</v>
      </c>
      <c r="H816" s="138">
        <f t="shared" si="82"/>
        <v>443410</v>
      </c>
      <c r="I816" s="138">
        <f t="shared" si="83"/>
        <v>443410</v>
      </c>
      <c r="J816" s="115"/>
    </row>
    <row r="817" spans="1:10" s="16" customFormat="1" ht="25.5" outlineLevel="3">
      <c r="A817" s="91"/>
      <c r="B817" s="35"/>
      <c r="C817" s="156" t="s">
        <v>447</v>
      </c>
      <c r="D817" s="136" t="s">
        <v>38</v>
      </c>
      <c r="E817" s="137">
        <v>1</v>
      </c>
      <c r="F817" s="232">
        <v>23026000</v>
      </c>
      <c r="G817" s="232">
        <v>4565500</v>
      </c>
      <c r="H817" s="138">
        <f t="shared" si="82"/>
        <v>27591500</v>
      </c>
      <c r="I817" s="138">
        <f t="shared" si="83"/>
        <v>27591500</v>
      </c>
      <c r="J817" s="115"/>
    </row>
    <row r="818" spans="1:10" s="16" customFormat="1" ht="25.5" outlineLevel="3">
      <c r="A818" s="91"/>
      <c r="B818" s="35">
        <f>MAXA(B$5:B817)+1</f>
        <v>252</v>
      </c>
      <c r="C818" s="156" t="s">
        <v>1535</v>
      </c>
      <c r="D818" s="136" t="s">
        <v>38</v>
      </c>
      <c r="E818" s="137">
        <v>1</v>
      </c>
      <c r="F818" s="232">
        <v>0</v>
      </c>
      <c r="G818" s="232">
        <v>0</v>
      </c>
      <c r="H818" s="138">
        <f t="shared" si="82"/>
        <v>0</v>
      </c>
      <c r="I818" s="138">
        <f t="shared" si="83"/>
        <v>0</v>
      </c>
      <c r="J818" s="115"/>
    </row>
    <row r="819" spans="1:10" s="16" customFormat="1" ht="25.5" outlineLevel="3">
      <c r="A819" s="91"/>
      <c r="B819" s="35"/>
      <c r="C819" s="156" t="s">
        <v>1536</v>
      </c>
      <c r="D819" s="136" t="s">
        <v>28</v>
      </c>
      <c r="E819" s="362">
        <v>1</v>
      </c>
      <c r="F819" s="232">
        <v>8200035</v>
      </c>
      <c r="G819" s="232">
        <v>863475</v>
      </c>
      <c r="H819" s="138">
        <f t="shared" si="82"/>
        <v>9063510</v>
      </c>
      <c r="I819" s="138">
        <f t="shared" si="83"/>
        <v>9063510</v>
      </c>
      <c r="J819" s="115"/>
    </row>
    <row r="820" spans="1:10" s="16" customFormat="1" ht="25.5" outlineLevel="3">
      <c r="A820" s="91"/>
      <c r="B820" s="35"/>
      <c r="C820" s="256" t="s">
        <v>450</v>
      </c>
      <c r="D820" s="136" t="s">
        <v>44</v>
      </c>
      <c r="E820" s="137">
        <v>1</v>
      </c>
      <c r="F820" s="232">
        <v>1421856</v>
      </c>
      <c r="G820" s="232">
        <v>342413</v>
      </c>
      <c r="H820" s="138">
        <f t="shared" si="82"/>
        <v>1764269</v>
      </c>
      <c r="I820" s="138">
        <f t="shared" si="83"/>
        <v>1764269</v>
      </c>
      <c r="J820" s="115"/>
    </row>
    <row r="821" spans="1:10" s="196" customFormat="1" ht="25.5" outlineLevel="3">
      <c r="A821" s="193"/>
      <c r="B821" s="194"/>
      <c r="C821" s="378" t="s">
        <v>466</v>
      </c>
      <c r="D821" s="379" t="s">
        <v>28</v>
      </c>
      <c r="E821" s="380">
        <v>2</v>
      </c>
      <c r="F821" s="381">
        <v>40103809</v>
      </c>
      <c r="G821" s="381">
        <v>342413</v>
      </c>
      <c r="H821" s="382">
        <f t="shared" si="82"/>
        <v>40446222</v>
      </c>
      <c r="I821" s="382">
        <f t="shared" si="83"/>
        <v>80892444</v>
      </c>
      <c r="J821" s="195"/>
    </row>
    <row r="822" spans="1:10" s="196" customFormat="1" ht="25.5" outlineLevel="3">
      <c r="A822" s="193"/>
      <c r="B822" s="194"/>
      <c r="C822" s="378" t="s">
        <v>1537</v>
      </c>
      <c r="D822" s="379" t="s">
        <v>28</v>
      </c>
      <c r="E822" s="380">
        <v>1</v>
      </c>
      <c r="F822" s="381">
        <v>40103809</v>
      </c>
      <c r="G822" s="381">
        <v>342413</v>
      </c>
      <c r="H822" s="382">
        <f t="shared" si="82"/>
        <v>40446222</v>
      </c>
      <c r="I822" s="382">
        <f t="shared" si="83"/>
        <v>40446222</v>
      </c>
      <c r="J822" s="195"/>
    </row>
    <row r="823" spans="1:10" s="16" customFormat="1" ht="25.5" outlineLevel="3">
      <c r="A823" s="91"/>
      <c r="B823" s="35"/>
      <c r="C823" s="156" t="s">
        <v>1538</v>
      </c>
      <c r="D823" s="136" t="s">
        <v>28</v>
      </c>
      <c r="E823" s="137">
        <v>3</v>
      </c>
      <c r="F823" s="232">
        <v>6145064</v>
      </c>
      <c r="G823" s="232">
        <v>1141375</v>
      </c>
      <c r="H823" s="138">
        <f t="shared" si="82"/>
        <v>7286439</v>
      </c>
      <c r="I823" s="138">
        <f t="shared" si="83"/>
        <v>21859317</v>
      </c>
      <c r="J823" s="115"/>
    </row>
    <row r="824" spans="1:10" s="16" customFormat="1" ht="25.5" outlineLevel="3">
      <c r="A824" s="91"/>
      <c r="B824" s="35"/>
      <c r="C824" s="156" t="s">
        <v>445</v>
      </c>
      <c r="D824" s="136" t="s">
        <v>28</v>
      </c>
      <c r="E824" s="137">
        <v>1</v>
      </c>
      <c r="F824" s="232">
        <v>1092584</v>
      </c>
      <c r="G824" s="232">
        <v>114138</v>
      </c>
      <c r="H824" s="138">
        <f t="shared" si="82"/>
        <v>1206722</v>
      </c>
      <c r="I824" s="138">
        <f t="shared" si="83"/>
        <v>1206722</v>
      </c>
      <c r="J824" s="115"/>
    </row>
    <row r="825" spans="1:10" s="16" customFormat="1" ht="25.5" outlineLevel="3">
      <c r="A825" s="91"/>
      <c r="B825" s="35"/>
      <c r="C825" s="156" t="s">
        <v>446</v>
      </c>
      <c r="D825" s="136" t="s">
        <v>28</v>
      </c>
      <c r="E825" s="137">
        <v>1</v>
      </c>
      <c r="F825" s="232">
        <v>22895170</v>
      </c>
      <c r="G825" s="232">
        <v>570688</v>
      </c>
      <c r="H825" s="138">
        <f t="shared" si="82"/>
        <v>23465858</v>
      </c>
      <c r="I825" s="138">
        <f t="shared" si="83"/>
        <v>23465858</v>
      </c>
      <c r="J825" s="115"/>
    </row>
    <row r="826" spans="1:10" s="16" customFormat="1" ht="25.5" outlineLevel="3">
      <c r="A826" s="91"/>
      <c r="B826" s="35"/>
      <c r="C826" s="156" t="s">
        <v>444</v>
      </c>
      <c r="D826" s="136" t="s">
        <v>28</v>
      </c>
      <c r="E826" s="137">
        <v>1</v>
      </c>
      <c r="F826" s="232">
        <v>329272</v>
      </c>
      <c r="G826" s="232">
        <v>114138</v>
      </c>
      <c r="H826" s="138">
        <f t="shared" si="82"/>
        <v>443410</v>
      </c>
      <c r="I826" s="138">
        <f t="shared" si="83"/>
        <v>443410</v>
      </c>
      <c r="J826" s="115"/>
    </row>
    <row r="827" spans="1:10" s="16" customFormat="1" ht="25.5" outlineLevel="3">
      <c r="A827" s="91"/>
      <c r="B827" s="35"/>
      <c r="C827" s="156" t="s">
        <v>463</v>
      </c>
      <c r="D827" s="136" t="s">
        <v>38</v>
      </c>
      <c r="E827" s="137">
        <v>1</v>
      </c>
      <c r="F827" s="232">
        <v>32037547</v>
      </c>
      <c r="G827" s="232">
        <v>6352272</v>
      </c>
      <c r="H827" s="138">
        <f t="shared" si="82"/>
        <v>38389819</v>
      </c>
      <c r="I827" s="138">
        <f t="shared" si="83"/>
        <v>38389819</v>
      </c>
      <c r="J827" s="115"/>
    </row>
    <row r="828" spans="1:10" s="16" customFormat="1" ht="25.5" outlineLevel="3">
      <c r="A828" s="91"/>
      <c r="B828" s="35">
        <f>MAXA(B$5:B827)+1</f>
        <v>253</v>
      </c>
      <c r="C828" s="156" t="s">
        <v>464</v>
      </c>
      <c r="D828" s="136" t="s">
        <v>38</v>
      </c>
      <c r="E828" s="362">
        <v>1</v>
      </c>
      <c r="F828" s="232">
        <v>0</v>
      </c>
      <c r="G828" s="232">
        <v>0</v>
      </c>
      <c r="H828" s="138">
        <f t="shared" si="82"/>
        <v>0</v>
      </c>
      <c r="I828" s="138">
        <f t="shared" si="83"/>
        <v>0</v>
      </c>
      <c r="J828" s="115"/>
    </row>
    <row r="829" spans="1:10" s="16" customFormat="1" ht="25.5" outlineLevel="3">
      <c r="A829" s="91"/>
      <c r="B829" s="35"/>
      <c r="C829" s="156" t="s">
        <v>1539</v>
      </c>
      <c r="D829" s="136" t="s">
        <v>28</v>
      </c>
      <c r="E829" s="362">
        <v>1</v>
      </c>
      <c r="F829" s="232">
        <v>17253842</v>
      </c>
      <c r="G829" s="232">
        <v>1141375</v>
      </c>
      <c r="H829" s="138">
        <f t="shared" si="82"/>
        <v>18395217</v>
      </c>
      <c r="I829" s="138">
        <f t="shared" si="83"/>
        <v>18395217</v>
      </c>
      <c r="J829" s="115"/>
    </row>
    <row r="830" spans="1:10" s="16" customFormat="1" ht="25.5" outlineLevel="3">
      <c r="A830" s="91"/>
      <c r="B830" s="35"/>
      <c r="C830" s="256" t="s">
        <v>450</v>
      </c>
      <c r="D830" s="136" t="s">
        <v>44</v>
      </c>
      <c r="E830" s="362">
        <v>1</v>
      </c>
      <c r="F830" s="232">
        <v>1421856</v>
      </c>
      <c r="G830" s="232">
        <v>342413</v>
      </c>
      <c r="H830" s="138">
        <f t="shared" si="82"/>
        <v>1764269</v>
      </c>
      <c r="I830" s="138">
        <f t="shared" ref="I830:I847" si="84">H830*E830</f>
        <v>1764269</v>
      </c>
      <c r="J830" s="115"/>
    </row>
    <row r="831" spans="1:10" s="196" customFormat="1" ht="25.5" outlineLevel="3">
      <c r="A831" s="193"/>
      <c r="B831" s="194"/>
      <c r="C831" s="378" t="s">
        <v>466</v>
      </c>
      <c r="D831" s="379" t="s">
        <v>28</v>
      </c>
      <c r="E831" s="383">
        <v>3</v>
      </c>
      <c r="F831" s="381">
        <v>40103809</v>
      </c>
      <c r="G831" s="381">
        <v>342413</v>
      </c>
      <c r="H831" s="382">
        <f t="shared" si="82"/>
        <v>40446222</v>
      </c>
      <c r="I831" s="382">
        <f t="shared" si="84"/>
        <v>121338666</v>
      </c>
      <c r="J831" s="195"/>
    </row>
    <row r="832" spans="1:10" s="196" customFormat="1" ht="25.5" outlineLevel="3">
      <c r="A832" s="193"/>
      <c r="B832" s="194"/>
      <c r="C832" s="378" t="s">
        <v>1537</v>
      </c>
      <c r="D832" s="379" t="s">
        <v>28</v>
      </c>
      <c r="E832" s="383">
        <v>1</v>
      </c>
      <c r="F832" s="381">
        <v>40103809</v>
      </c>
      <c r="G832" s="381">
        <v>342413</v>
      </c>
      <c r="H832" s="382">
        <f t="shared" si="82"/>
        <v>40446222</v>
      </c>
      <c r="I832" s="382">
        <f t="shared" si="84"/>
        <v>40446222</v>
      </c>
      <c r="J832" s="195"/>
    </row>
    <row r="833" spans="1:10" s="16" customFormat="1" ht="25.5" outlineLevel="3">
      <c r="A833" s="91"/>
      <c r="B833" s="35"/>
      <c r="C833" s="156" t="s">
        <v>1538</v>
      </c>
      <c r="D833" s="136" t="s">
        <v>28</v>
      </c>
      <c r="E833" s="362">
        <v>4</v>
      </c>
      <c r="F833" s="232">
        <v>6145064</v>
      </c>
      <c r="G833" s="232">
        <v>1141375</v>
      </c>
      <c r="H833" s="138">
        <f t="shared" si="82"/>
        <v>7286439</v>
      </c>
      <c r="I833" s="138">
        <f t="shared" si="84"/>
        <v>29145756</v>
      </c>
      <c r="J833" s="115"/>
    </row>
    <row r="834" spans="1:10" s="16" customFormat="1" ht="25.5" outlineLevel="3">
      <c r="A834" s="91"/>
      <c r="B834" s="35"/>
      <c r="C834" s="156" t="s">
        <v>445</v>
      </c>
      <c r="D834" s="136" t="s">
        <v>28</v>
      </c>
      <c r="E834" s="362">
        <v>1</v>
      </c>
      <c r="F834" s="232">
        <v>1092584</v>
      </c>
      <c r="G834" s="232">
        <v>114138</v>
      </c>
      <c r="H834" s="138">
        <f t="shared" si="82"/>
        <v>1206722</v>
      </c>
      <c r="I834" s="138">
        <f t="shared" si="84"/>
        <v>1206722</v>
      </c>
      <c r="J834" s="115"/>
    </row>
    <row r="835" spans="1:10" s="16" customFormat="1" ht="25.5" outlineLevel="3">
      <c r="A835" s="91"/>
      <c r="B835" s="35"/>
      <c r="C835" s="156" t="s">
        <v>446</v>
      </c>
      <c r="D835" s="136" t="s">
        <v>28</v>
      </c>
      <c r="E835" s="362">
        <v>1</v>
      </c>
      <c r="F835" s="232">
        <v>22895170</v>
      </c>
      <c r="G835" s="232">
        <v>570688</v>
      </c>
      <c r="H835" s="138">
        <f t="shared" si="82"/>
        <v>23465858</v>
      </c>
      <c r="I835" s="138">
        <f t="shared" si="84"/>
        <v>23465858</v>
      </c>
      <c r="J835" s="115"/>
    </row>
    <row r="836" spans="1:10" s="16" customFormat="1" ht="25.5" outlineLevel="3">
      <c r="A836" s="91"/>
      <c r="B836" s="35"/>
      <c r="C836" s="156" t="s">
        <v>444</v>
      </c>
      <c r="D836" s="136" t="s">
        <v>28</v>
      </c>
      <c r="E836" s="362">
        <v>1</v>
      </c>
      <c r="F836" s="232">
        <v>329272</v>
      </c>
      <c r="G836" s="232">
        <v>114138</v>
      </c>
      <c r="H836" s="138">
        <f t="shared" si="82"/>
        <v>443410</v>
      </c>
      <c r="I836" s="138">
        <f t="shared" si="84"/>
        <v>443410</v>
      </c>
      <c r="J836" s="115"/>
    </row>
    <row r="837" spans="1:10" s="16" customFormat="1" ht="25.5" outlineLevel="3">
      <c r="A837" s="91"/>
      <c r="B837" s="35"/>
      <c r="C837" s="156" t="s">
        <v>463</v>
      </c>
      <c r="D837" s="136" t="s">
        <v>38</v>
      </c>
      <c r="E837" s="362">
        <v>1</v>
      </c>
      <c r="F837" s="232">
        <v>33139134</v>
      </c>
      <c r="G837" s="232">
        <v>6570690</v>
      </c>
      <c r="H837" s="138">
        <f t="shared" si="82"/>
        <v>39709824</v>
      </c>
      <c r="I837" s="138">
        <f t="shared" si="84"/>
        <v>39709824</v>
      </c>
      <c r="J837" s="115"/>
    </row>
    <row r="838" spans="1:10" s="16" customFormat="1" ht="25.5" outlineLevel="3">
      <c r="A838" s="91"/>
      <c r="B838" s="35">
        <f>MAXA(B$5:B837)+1</f>
        <v>254</v>
      </c>
      <c r="C838" s="156" t="s">
        <v>1540</v>
      </c>
      <c r="D838" s="136" t="s">
        <v>38</v>
      </c>
      <c r="E838" s="137">
        <v>1</v>
      </c>
      <c r="F838" s="232">
        <v>0</v>
      </c>
      <c r="G838" s="232">
        <v>0</v>
      </c>
      <c r="H838" s="138">
        <f t="shared" si="82"/>
        <v>0</v>
      </c>
      <c r="I838" s="138">
        <f t="shared" si="84"/>
        <v>0</v>
      </c>
      <c r="J838" s="115"/>
    </row>
    <row r="839" spans="1:10" s="16" customFormat="1" ht="25.5" outlineLevel="3">
      <c r="A839" s="91"/>
      <c r="B839" s="35"/>
      <c r="C839" s="156" t="s">
        <v>1541</v>
      </c>
      <c r="D839" s="136" t="s">
        <v>28</v>
      </c>
      <c r="E839" s="137">
        <v>1</v>
      </c>
      <c r="F839" s="232">
        <v>8200035</v>
      </c>
      <c r="G839" s="232">
        <v>863475</v>
      </c>
      <c r="H839" s="138">
        <f t="shared" si="82"/>
        <v>9063510</v>
      </c>
      <c r="I839" s="138">
        <f t="shared" si="84"/>
        <v>9063510</v>
      </c>
      <c r="J839" s="115"/>
    </row>
    <row r="840" spans="1:10" s="16" customFormat="1" ht="25.5" outlineLevel="3">
      <c r="A840" s="91"/>
      <c r="B840" s="35"/>
      <c r="C840" s="256" t="s">
        <v>450</v>
      </c>
      <c r="D840" s="136" t="s">
        <v>44</v>
      </c>
      <c r="E840" s="137">
        <v>1</v>
      </c>
      <c r="F840" s="232">
        <v>1421856</v>
      </c>
      <c r="G840" s="232">
        <v>342413</v>
      </c>
      <c r="H840" s="138">
        <f t="shared" si="82"/>
        <v>1764269</v>
      </c>
      <c r="I840" s="138">
        <f t="shared" si="84"/>
        <v>1764269</v>
      </c>
      <c r="J840" s="115"/>
    </row>
    <row r="841" spans="1:10" s="196" customFormat="1" ht="25.5" outlineLevel="3">
      <c r="A841" s="193"/>
      <c r="B841" s="194"/>
      <c r="C841" s="378" t="s">
        <v>466</v>
      </c>
      <c r="D841" s="379" t="s">
        <v>28</v>
      </c>
      <c r="E841" s="380">
        <v>2</v>
      </c>
      <c r="F841" s="381">
        <v>40103809</v>
      </c>
      <c r="G841" s="381">
        <v>342413</v>
      </c>
      <c r="H841" s="382">
        <f t="shared" si="82"/>
        <v>40446222</v>
      </c>
      <c r="I841" s="382">
        <f t="shared" si="84"/>
        <v>80892444</v>
      </c>
      <c r="J841" s="195"/>
    </row>
    <row r="842" spans="1:10" s="196" customFormat="1" ht="25.5" outlineLevel="3">
      <c r="A842" s="193"/>
      <c r="B842" s="194"/>
      <c r="C842" s="378" t="s">
        <v>1537</v>
      </c>
      <c r="D842" s="379" t="s">
        <v>28</v>
      </c>
      <c r="E842" s="380">
        <v>1</v>
      </c>
      <c r="F842" s="381">
        <v>40103809</v>
      </c>
      <c r="G842" s="381">
        <v>342413</v>
      </c>
      <c r="H842" s="382">
        <f t="shared" si="82"/>
        <v>40446222</v>
      </c>
      <c r="I842" s="382">
        <f t="shared" si="84"/>
        <v>40446222</v>
      </c>
      <c r="J842" s="195"/>
    </row>
    <row r="843" spans="1:10" s="16" customFormat="1" ht="25.5" outlineLevel="3">
      <c r="A843" s="91"/>
      <c r="B843" s="35"/>
      <c r="C843" s="156" t="s">
        <v>1538</v>
      </c>
      <c r="D843" s="136" t="s">
        <v>28</v>
      </c>
      <c r="E843" s="137">
        <v>3</v>
      </c>
      <c r="F843" s="232">
        <v>6145064</v>
      </c>
      <c r="G843" s="232">
        <v>1141375</v>
      </c>
      <c r="H843" s="138">
        <f t="shared" si="82"/>
        <v>7286439</v>
      </c>
      <c r="I843" s="138">
        <f t="shared" si="84"/>
        <v>21859317</v>
      </c>
      <c r="J843" s="115"/>
    </row>
    <row r="844" spans="1:10" s="16" customFormat="1" ht="25.5" outlineLevel="3">
      <c r="A844" s="91"/>
      <c r="B844" s="35"/>
      <c r="C844" s="156" t="s">
        <v>445</v>
      </c>
      <c r="D844" s="136" t="s">
        <v>28</v>
      </c>
      <c r="E844" s="137">
        <v>1</v>
      </c>
      <c r="F844" s="232">
        <v>1092584</v>
      </c>
      <c r="G844" s="232">
        <v>114138</v>
      </c>
      <c r="H844" s="138">
        <f t="shared" si="82"/>
        <v>1206722</v>
      </c>
      <c r="I844" s="138">
        <f t="shared" si="84"/>
        <v>1206722</v>
      </c>
      <c r="J844" s="115"/>
    </row>
    <row r="845" spans="1:10" s="16" customFormat="1" ht="25.5" outlineLevel="3">
      <c r="A845" s="91"/>
      <c r="B845" s="35"/>
      <c r="C845" s="156" t="s">
        <v>446</v>
      </c>
      <c r="D845" s="136" t="s">
        <v>28</v>
      </c>
      <c r="E845" s="137">
        <v>1</v>
      </c>
      <c r="F845" s="232">
        <v>22895170</v>
      </c>
      <c r="G845" s="232">
        <v>570688</v>
      </c>
      <c r="H845" s="138">
        <f t="shared" si="82"/>
        <v>23465858</v>
      </c>
      <c r="I845" s="138">
        <f t="shared" si="84"/>
        <v>23465858</v>
      </c>
      <c r="J845" s="115"/>
    </row>
    <row r="846" spans="1:10" s="16" customFormat="1" ht="25.5" outlineLevel="3">
      <c r="A846" s="91"/>
      <c r="B846" s="35"/>
      <c r="C846" s="156" t="s">
        <v>444</v>
      </c>
      <c r="D846" s="136" t="s">
        <v>28</v>
      </c>
      <c r="E846" s="137">
        <v>1</v>
      </c>
      <c r="F846" s="232">
        <v>329272</v>
      </c>
      <c r="G846" s="232">
        <v>114138</v>
      </c>
      <c r="H846" s="138">
        <f t="shared" si="82"/>
        <v>443410</v>
      </c>
      <c r="I846" s="138">
        <f t="shared" si="84"/>
        <v>443410</v>
      </c>
      <c r="J846" s="115"/>
    </row>
    <row r="847" spans="1:10" s="16" customFormat="1" ht="25.5" outlineLevel="3">
      <c r="A847" s="91"/>
      <c r="B847" s="35"/>
      <c r="C847" s="156" t="s">
        <v>447</v>
      </c>
      <c r="D847" s="136" t="s">
        <v>38</v>
      </c>
      <c r="E847" s="137">
        <v>1</v>
      </c>
      <c r="F847" s="232">
        <v>31116507</v>
      </c>
      <c r="G847" s="232">
        <v>6169652</v>
      </c>
      <c r="H847" s="138">
        <f t="shared" si="82"/>
        <v>37286159</v>
      </c>
      <c r="I847" s="138">
        <f t="shared" si="84"/>
        <v>37286159</v>
      </c>
      <c r="J847" s="115"/>
    </row>
    <row r="848" spans="1:10" s="16" customFormat="1" ht="25.5" outlineLevel="3">
      <c r="A848" s="91"/>
      <c r="B848" s="35">
        <f>MAXA(B$5:B847)+1</f>
        <v>255</v>
      </c>
      <c r="C848" s="156" t="s">
        <v>1535</v>
      </c>
      <c r="D848" s="136" t="s">
        <v>38</v>
      </c>
      <c r="E848" s="137">
        <v>1</v>
      </c>
      <c r="F848" s="232">
        <v>0</v>
      </c>
      <c r="G848" s="232">
        <v>0</v>
      </c>
      <c r="H848" s="138">
        <v>0</v>
      </c>
      <c r="I848" s="138">
        <v>0</v>
      </c>
      <c r="J848" s="115"/>
    </row>
    <row r="849" spans="1:10" s="16" customFormat="1" ht="25.5" outlineLevel="3">
      <c r="A849" s="91"/>
      <c r="B849" s="35"/>
      <c r="C849" s="156" t="s">
        <v>1542</v>
      </c>
      <c r="D849" s="136" t="s">
        <v>28</v>
      </c>
      <c r="E849" s="137">
        <v>1</v>
      </c>
      <c r="F849" s="232">
        <v>8200035</v>
      </c>
      <c r="G849" s="232">
        <v>863475</v>
      </c>
      <c r="H849" s="138">
        <f t="shared" ref="H849:H876" si="85">G849+F849</f>
        <v>9063510</v>
      </c>
      <c r="I849" s="138">
        <f t="shared" ref="I849:I876" si="86">H849*E849</f>
        <v>9063510</v>
      </c>
      <c r="J849" s="115"/>
    </row>
    <row r="850" spans="1:10" s="16" customFormat="1" ht="25.5" outlineLevel="3">
      <c r="A850" s="91"/>
      <c r="B850" s="35"/>
      <c r="C850" s="256" t="s">
        <v>450</v>
      </c>
      <c r="D850" s="136" t="s">
        <v>44</v>
      </c>
      <c r="E850" s="137">
        <v>1</v>
      </c>
      <c r="F850" s="232">
        <v>5970007</v>
      </c>
      <c r="G850" s="232">
        <v>604433</v>
      </c>
      <c r="H850" s="138">
        <f t="shared" si="85"/>
        <v>6574440</v>
      </c>
      <c r="I850" s="138">
        <f t="shared" si="86"/>
        <v>6574440</v>
      </c>
      <c r="J850" s="115"/>
    </row>
    <row r="851" spans="1:10" s="196" customFormat="1" ht="25.5" outlineLevel="3">
      <c r="A851" s="193"/>
      <c r="B851" s="194"/>
      <c r="C851" s="384" t="s">
        <v>1543</v>
      </c>
      <c r="D851" s="379" t="s">
        <v>28</v>
      </c>
      <c r="E851" s="380">
        <v>2</v>
      </c>
      <c r="F851" s="381">
        <v>49969953</v>
      </c>
      <c r="G851" s="381">
        <v>371354</v>
      </c>
      <c r="H851" s="382">
        <f t="shared" si="85"/>
        <v>50341307</v>
      </c>
      <c r="I851" s="382">
        <f t="shared" si="86"/>
        <v>100682614</v>
      </c>
      <c r="J851" s="195"/>
    </row>
    <row r="852" spans="1:10" s="196" customFormat="1" ht="25.5" outlineLevel="3">
      <c r="A852" s="193"/>
      <c r="B852" s="194"/>
      <c r="C852" s="378" t="s">
        <v>1537</v>
      </c>
      <c r="D852" s="379" t="s">
        <v>28</v>
      </c>
      <c r="E852" s="380">
        <v>1</v>
      </c>
      <c r="F852" s="381">
        <v>30832132</v>
      </c>
      <c r="G852" s="381">
        <v>371354</v>
      </c>
      <c r="H852" s="382">
        <f t="shared" si="85"/>
        <v>31203486</v>
      </c>
      <c r="I852" s="382">
        <f t="shared" si="86"/>
        <v>31203486</v>
      </c>
      <c r="J852" s="195"/>
    </row>
    <row r="853" spans="1:10" s="16" customFormat="1" ht="25.5" outlineLevel="3">
      <c r="A853" s="91"/>
      <c r="B853" s="35"/>
      <c r="C853" s="156" t="s">
        <v>1538</v>
      </c>
      <c r="D853" s="136" t="s">
        <v>28</v>
      </c>
      <c r="E853" s="137">
        <v>3</v>
      </c>
      <c r="F853" s="232">
        <v>13554176</v>
      </c>
      <c r="G853" s="232">
        <v>552624</v>
      </c>
      <c r="H853" s="138">
        <f t="shared" si="85"/>
        <v>14106800</v>
      </c>
      <c r="I853" s="138">
        <f t="shared" si="86"/>
        <v>42320400</v>
      </c>
      <c r="J853" s="115"/>
    </row>
    <row r="854" spans="1:10" s="16" customFormat="1" ht="25.5" outlineLevel="3">
      <c r="A854" s="91"/>
      <c r="B854" s="35"/>
      <c r="C854" s="156" t="s">
        <v>445</v>
      </c>
      <c r="D854" s="136" t="s">
        <v>28</v>
      </c>
      <c r="E854" s="137">
        <v>1</v>
      </c>
      <c r="F854" s="232">
        <v>610983</v>
      </c>
      <c r="G854" s="232">
        <v>86348</v>
      </c>
      <c r="H854" s="138">
        <f t="shared" si="85"/>
        <v>697331</v>
      </c>
      <c r="I854" s="138">
        <f t="shared" si="86"/>
        <v>697331</v>
      </c>
      <c r="J854" s="115"/>
    </row>
    <row r="855" spans="1:10" s="16" customFormat="1" ht="25.5" outlineLevel="3">
      <c r="A855" s="91"/>
      <c r="B855" s="35"/>
      <c r="C855" s="156" t="s">
        <v>446</v>
      </c>
      <c r="D855" s="136" t="s">
        <v>28</v>
      </c>
      <c r="E855" s="137">
        <v>1</v>
      </c>
      <c r="F855" s="232">
        <v>20831305</v>
      </c>
      <c r="G855" s="232">
        <v>604433</v>
      </c>
      <c r="H855" s="138">
        <f t="shared" si="85"/>
        <v>21435738</v>
      </c>
      <c r="I855" s="138">
        <f t="shared" si="86"/>
        <v>21435738</v>
      </c>
      <c r="J855" s="115"/>
    </row>
    <row r="856" spans="1:10" s="16" customFormat="1" ht="25.5" outlineLevel="3">
      <c r="A856" s="91"/>
      <c r="B856" s="35"/>
      <c r="C856" s="156" t="s">
        <v>444</v>
      </c>
      <c r="D856" s="136" t="s">
        <v>28</v>
      </c>
      <c r="E856" s="137">
        <v>1</v>
      </c>
      <c r="F856" s="232">
        <v>241178</v>
      </c>
      <c r="G856" s="232">
        <v>86348</v>
      </c>
      <c r="H856" s="138">
        <f t="shared" si="85"/>
        <v>327526</v>
      </c>
      <c r="I856" s="138">
        <f t="shared" si="86"/>
        <v>327526</v>
      </c>
      <c r="J856" s="115"/>
    </row>
    <row r="857" spans="1:10" s="16" customFormat="1" ht="25.5" outlineLevel="3">
      <c r="A857" s="91"/>
      <c r="B857" s="35"/>
      <c r="C857" s="156" t="s">
        <v>463</v>
      </c>
      <c r="D857" s="136" t="s">
        <v>38</v>
      </c>
      <c r="E857" s="137">
        <v>1</v>
      </c>
      <c r="F857" s="232">
        <v>4073696</v>
      </c>
      <c r="G857" s="232">
        <v>95280</v>
      </c>
      <c r="H857" s="138">
        <f t="shared" si="85"/>
        <v>4168976</v>
      </c>
      <c r="I857" s="138">
        <f t="shared" si="86"/>
        <v>4168976</v>
      </c>
      <c r="J857" s="115"/>
    </row>
    <row r="858" spans="1:10" s="16" customFormat="1" ht="25.5" outlineLevel="3">
      <c r="A858" s="91"/>
      <c r="B858" s="35">
        <f>MAXA(B$5:B857)+1</f>
        <v>256</v>
      </c>
      <c r="C858" s="117" t="s">
        <v>467</v>
      </c>
      <c r="D858" s="136" t="s">
        <v>44</v>
      </c>
      <c r="E858" s="137">
        <v>112</v>
      </c>
      <c r="F858" s="232">
        <v>228994</v>
      </c>
      <c r="G858" s="232">
        <v>114138</v>
      </c>
      <c r="H858" s="138">
        <f t="shared" si="85"/>
        <v>343132</v>
      </c>
      <c r="I858" s="138">
        <f t="shared" si="86"/>
        <v>38430784</v>
      </c>
      <c r="J858" s="115"/>
    </row>
    <row r="859" spans="1:10" s="16" customFormat="1" ht="25.5" outlineLevel="3">
      <c r="A859" s="91"/>
      <c r="B859" s="35">
        <f>MAXA(B$5:B858)+1</f>
        <v>257</v>
      </c>
      <c r="C859" s="118" t="s">
        <v>468</v>
      </c>
      <c r="D859" s="136" t="s">
        <v>44</v>
      </c>
      <c r="E859" s="137">
        <v>34</v>
      </c>
      <c r="F859" s="232">
        <v>2095366</v>
      </c>
      <c r="G859" s="232">
        <v>114138</v>
      </c>
      <c r="H859" s="138">
        <f t="shared" si="85"/>
        <v>2209504</v>
      </c>
      <c r="I859" s="138">
        <f t="shared" si="86"/>
        <v>75123136</v>
      </c>
      <c r="J859" s="115"/>
    </row>
    <row r="860" spans="1:10" s="16" customFormat="1" ht="25.5" outlineLevel="3">
      <c r="A860" s="193"/>
      <c r="B860" s="194">
        <f>MAXA(B$5:B859)+1</f>
        <v>258</v>
      </c>
      <c r="C860" s="197" t="s">
        <v>1544</v>
      </c>
      <c r="D860" s="379" t="s">
        <v>44</v>
      </c>
      <c r="E860" s="380">
        <v>41</v>
      </c>
      <c r="F860" s="381">
        <v>9408305</v>
      </c>
      <c r="G860" s="381">
        <v>198659</v>
      </c>
      <c r="H860" s="385">
        <f t="shared" si="85"/>
        <v>9606964</v>
      </c>
      <c r="I860" s="382">
        <f t="shared" si="86"/>
        <v>393885524</v>
      </c>
      <c r="J860" s="195"/>
    </row>
    <row r="861" spans="1:10" s="16" customFormat="1" ht="25.5" outlineLevel="3">
      <c r="A861" s="193"/>
      <c r="B861" s="194">
        <f>MAXA(B$5:B860)+1</f>
        <v>259</v>
      </c>
      <c r="C861" s="198" t="s">
        <v>1545</v>
      </c>
      <c r="D861" s="379" t="s">
        <v>44</v>
      </c>
      <c r="E861" s="380">
        <v>13</v>
      </c>
      <c r="F861" s="381">
        <v>28919867</v>
      </c>
      <c r="G861" s="381">
        <v>342413</v>
      </c>
      <c r="H861" s="382">
        <f t="shared" si="85"/>
        <v>29262280</v>
      </c>
      <c r="I861" s="382">
        <f t="shared" si="86"/>
        <v>380409640</v>
      </c>
      <c r="J861" s="195"/>
    </row>
    <row r="862" spans="1:10" s="16" customFormat="1" ht="25.5" outlineLevel="3">
      <c r="A862" s="193"/>
      <c r="B862" s="194">
        <f>MAXA(B$5:B861)+1</f>
        <v>260</v>
      </c>
      <c r="C862" s="198" t="s">
        <v>1546</v>
      </c>
      <c r="D862" s="379" t="s">
        <v>44</v>
      </c>
      <c r="E862" s="380">
        <v>2</v>
      </c>
      <c r="F862" s="381">
        <v>22990901</v>
      </c>
      <c r="G862" s="381">
        <v>570688</v>
      </c>
      <c r="H862" s="382">
        <f t="shared" si="85"/>
        <v>23561589</v>
      </c>
      <c r="I862" s="382">
        <f t="shared" si="86"/>
        <v>47123178</v>
      </c>
      <c r="J862" s="195"/>
    </row>
    <row r="863" spans="1:10" s="16" customFormat="1" ht="25.5" outlineLevel="3">
      <c r="A863" s="91"/>
      <c r="B863" s="35">
        <f>MAXA(B$5:B862)+1</f>
        <v>261</v>
      </c>
      <c r="C863" s="118" t="s">
        <v>1547</v>
      </c>
      <c r="D863" s="136" t="s">
        <v>44</v>
      </c>
      <c r="E863" s="137">
        <v>2</v>
      </c>
      <c r="F863" s="232">
        <v>3382519</v>
      </c>
      <c r="G863" s="232">
        <v>570688</v>
      </c>
      <c r="H863" s="138">
        <f t="shared" si="85"/>
        <v>3953207</v>
      </c>
      <c r="I863" s="138">
        <f t="shared" si="86"/>
        <v>7906414</v>
      </c>
      <c r="J863" s="115"/>
    </row>
    <row r="864" spans="1:10" s="16" customFormat="1" ht="25.5" outlineLevel="3">
      <c r="A864" s="91"/>
      <c r="B864" s="35">
        <f>MAXA(B$5:B863)+1</f>
        <v>262</v>
      </c>
      <c r="C864" s="119" t="s">
        <v>1548</v>
      </c>
      <c r="D864" s="136" t="s">
        <v>44</v>
      </c>
      <c r="E864" s="137">
        <v>52</v>
      </c>
      <c r="F864" s="232">
        <v>14726358</v>
      </c>
      <c r="G864" s="232">
        <v>431738</v>
      </c>
      <c r="H864" s="270">
        <f t="shared" si="85"/>
        <v>15158096</v>
      </c>
      <c r="I864" s="138">
        <f t="shared" si="86"/>
        <v>788220992</v>
      </c>
      <c r="J864" s="115"/>
    </row>
    <row r="865" spans="1:10" s="16" customFormat="1" ht="25.5" outlineLevel="3">
      <c r="A865" s="91"/>
      <c r="B865" s="35">
        <f>MAXA(B$5:B864)+1</f>
        <v>263</v>
      </c>
      <c r="C865" s="256" t="s">
        <v>1549</v>
      </c>
      <c r="D865" s="136" t="s">
        <v>44</v>
      </c>
      <c r="E865" s="362">
        <v>1</v>
      </c>
      <c r="F865" s="232">
        <v>47280437</v>
      </c>
      <c r="G865" s="232">
        <v>228275</v>
      </c>
      <c r="H865" s="138">
        <f t="shared" si="85"/>
        <v>47508712</v>
      </c>
      <c r="I865" s="138">
        <f t="shared" si="86"/>
        <v>47508712</v>
      </c>
      <c r="J865" s="120"/>
    </row>
    <row r="866" spans="1:10" s="16" customFormat="1" ht="25.5" outlineLevel="3">
      <c r="A866" s="91"/>
      <c r="B866" s="35">
        <f>MAXA(B$5:B865)+1</f>
        <v>264</v>
      </c>
      <c r="C866" s="165" t="s">
        <v>474</v>
      </c>
      <c r="D866" s="136" t="s">
        <v>44</v>
      </c>
      <c r="E866" s="137">
        <v>1</v>
      </c>
      <c r="F866" s="232">
        <v>351722150</v>
      </c>
      <c r="G866" s="232">
        <v>34241250</v>
      </c>
      <c r="H866" s="138">
        <f t="shared" si="85"/>
        <v>385963400</v>
      </c>
      <c r="I866" s="138">
        <f t="shared" si="86"/>
        <v>385963400</v>
      </c>
      <c r="J866" s="115"/>
    </row>
    <row r="867" spans="1:10" s="16" customFormat="1" ht="25.5" outlineLevel="3">
      <c r="A867" s="91"/>
      <c r="B867" s="35">
        <f>MAXA(B$5:B866)+1</f>
        <v>265</v>
      </c>
      <c r="C867" s="165" t="s">
        <v>475</v>
      </c>
      <c r="D867" s="136" t="s">
        <v>44</v>
      </c>
      <c r="E867" s="137">
        <v>1</v>
      </c>
      <c r="F867" s="232">
        <v>43404010</v>
      </c>
      <c r="G867" s="232">
        <v>5706875</v>
      </c>
      <c r="H867" s="138">
        <f t="shared" si="85"/>
        <v>49110885</v>
      </c>
      <c r="I867" s="138">
        <f t="shared" si="86"/>
        <v>49110885</v>
      </c>
      <c r="J867" s="115"/>
    </row>
    <row r="868" spans="1:10" s="16" customFormat="1" ht="25.5" outlineLevel="3">
      <c r="A868" s="91"/>
      <c r="B868" s="35">
        <f>MAXA(B$5:B867)+1</f>
        <v>266</v>
      </c>
      <c r="C868" s="118" t="s">
        <v>1550</v>
      </c>
      <c r="D868" s="136" t="s">
        <v>28</v>
      </c>
      <c r="E868" s="137">
        <v>597</v>
      </c>
      <c r="F868" s="232">
        <v>74835</v>
      </c>
      <c r="G868" s="232">
        <v>228275</v>
      </c>
      <c r="H868" s="138">
        <f t="shared" si="85"/>
        <v>303110</v>
      </c>
      <c r="I868" s="138">
        <f t="shared" si="86"/>
        <v>180956670</v>
      </c>
      <c r="J868" s="115"/>
    </row>
    <row r="869" spans="1:10" s="16" customFormat="1" ht="25.5" outlineLevel="3">
      <c r="A869" s="91"/>
      <c r="B869" s="35">
        <f>MAXA(B$5:B868)+1</f>
        <v>267</v>
      </c>
      <c r="C869" s="165" t="s">
        <v>476</v>
      </c>
      <c r="D869" s="136" t="s">
        <v>44</v>
      </c>
      <c r="E869" s="137">
        <v>65</v>
      </c>
      <c r="F869" s="232">
        <v>164636</v>
      </c>
      <c r="G869" s="232">
        <v>228275</v>
      </c>
      <c r="H869" s="138">
        <f t="shared" si="85"/>
        <v>392911</v>
      </c>
      <c r="I869" s="138">
        <f t="shared" si="86"/>
        <v>25539215</v>
      </c>
      <c r="J869" s="115"/>
    </row>
    <row r="870" spans="1:10" s="16" customFormat="1" ht="25.5" outlineLevel="3">
      <c r="A870" s="91"/>
      <c r="B870" s="35">
        <f>MAXA(B$5:B869)+1</f>
        <v>268</v>
      </c>
      <c r="C870" s="165" t="s">
        <v>478</v>
      </c>
      <c r="D870" s="230" t="s">
        <v>25</v>
      </c>
      <c r="E870" s="137">
        <v>806</v>
      </c>
      <c r="F870" s="232">
        <v>32380</v>
      </c>
      <c r="G870" s="232">
        <v>11414</v>
      </c>
      <c r="H870" s="138">
        <f t="shared" si="85"/>
        <v>43794</v>
      </c>
      <c r="I870" s="138">
        <f t="shared" si="86"/>
        <v>35297964</v>
      </c>
      <c r="J870" s="115"/>
    </row>
    <row r="871" spans="1:10" s="16" customFormat="1" ht="25.5" outlineLevel="3">
      <c r="A871" s="91"/>
      <c r="B871" s="35">
        <f>MAXA(B$5:B870)+1</f>
        <v>269</v>
      </c>
      <c r="C871" s="165" t="s">
        <v>480</v>
      </c>
      <c r="D871" s="230" t="s">
        <v>25</v>
      </c>
      <c r="E871" s="137">
        <v>1248</v>
      </c>
      <c r="F871" s="232">
        <v>34136</v>
      </c>
      <c r="G871" s="232">
        <v>11414</v>
      </c>
      <c r="H871" s="138">
        <f t="shared" si="85"/>
        <v>45550</v>
      </c>
      <c r="I871" s="138">
        <f t="shared" si="86"/>
        <v>56846400</v>
      </c>
      <c r="J871" s="115"/>
    </row>
    <row r="872" spans="1:10" s="16" customFormat="1" ht="25.5" outlineLevel="3">
      <c r="A872" s="91"/>
      <c r="B872" s="35">
        <f>MAXA(B$5:B871)+1</f>
        <v>270</v>
      </c>
      <c r="C872" s="165" t="s">
        <v>481</v>
      </c>
      <c r="D872" s="230" t="s">
        <v>25</v>
      </c>
      <c r="E872" s="137">
        <v>29640</v>
      </c>
      <c r="F872" s="232">
        <v>12004</v>
      </c>
      <c r="G872" s="232">
        <v>10272</v>
      </c>
      <c r="H872" s="138">
        <f t="shared" si="85"/>
        <v>22276</v>
      </c>
      <c r="I872" s="138">
        <f t="shared" si="86"/>
        <v>660260640</v>
      </c>
      <c r="J872" s="115"/>
    </row>
    <row r="873" spans="1:10" s="16" customFormat="1" ht="25.5" outlineLevel="3">
      <c r="A873" s="91"/>
      <c r="B873" s="35">
        <f>MAXA(B$5:B872)+1</f>
        <v>271</v>
      </c>
      <c r="C873" s="165" t="s">
        <v>373</v>
      </c>
      <c r="D873" s="230" t="s">
        <v>25</v>
      </c>
      <c r="E873" s="137">
        <v>24710</v>
      </c>
      <c r="F873" s="232">
        <v>7158</v>
      </c>
      <c r="G873" s="232">
        <v>14590</v>
      </c>
      <c r="H873" s="138">
        <f t="shared" si="85"/>
        <v>21748</v>
      </c>
      <c r="I873" s="138">
        <f t="shared" si="86"/>
        <v>537393080</v>
      </c>
      <c r="J873" s="115"/>
    </row>
    <row r="874" spans="1:10" s="16" customFormat="1" ht="25.5" outlineLevel="3">
      <c r="A874" s="91"/>
      <c r="B874" s="35">
        <f>MAXA(B$5:B873)+1</f>
        <v>272</v>
      </c>
      <c r="C874" s="165" t="s">
        <v>483</v>
      </c>
      <c r="D874" s="136" t="s">
        <v>28</v>
      </c>
      <c r="E874" s="137">
        <v>16473</v>
      </c>
      <c r="F874" s="232">
        <v>813</v>
      </c>
      <c r="G874" s="232">
        <v>521</v>
      </c>
      <c r="H874" s="138">
        <f t="shared" si="85"/>
        <v>1334</v>
      </c>
      <c r="I874" s="138">
        <f t="shared" si="86"/>
        <v>21974982</v>
      </c>
      <c r="J874" s="115"/>
    </row>
    <row r="875" spans="1:10" s="16" customFormat="1" ht="25.5" outlineLevel="3">
      <c r="A875" s="91"/>
      <c r="B875" s="35">
        <f>MAXA(B$5:B874)+1</f>
        <v>273</v>
      </c>
      <c r="C875" s="165" t="s">
        <v>484</v>
      </c>
      <c r="D875" s="136" t="s">
        <v>28</v>
      </c>
      <c r="E875" s="137">
        <v>12355</v>
      </c>
      <c r="F875" s="232">
        <v>2290</v>
      </c>
      <c r="G875" s="232">
        <v>521</v>
      </c>
      <c r="H875" s="138">
        <f t="shared" si="85"/>
        <v>2811</v>
      </c>
      <c r="I875" s="138">
        <f t="shared" si="86"/>
        <v>34729905</v>
      </c>
      <c r="J875" s="115"/>
    </row>
    <row r="876" spans="1:10" s="16" customFormat="1" ht="25.5" outlineLevel="3">
      <c r="A876" s="91"/>
      <c r="B876" s="35">
        <f>MAXA(B$5:B875)+1</f>
        <v>274</v>
      </c>
      <c r="C876" s="165" t="s">
        <v>1551</v>
      </c>
      <c r="D876" s="136" t="s">
        <v>38</v>
      </c>
      <c r="E876" s="137">
        <v>1</v>
      </c>
      <c r="F876" s="232">
        <v>23026000</v>
      </c>
      <c r="G876" s="232">
        <v>4565500</v>
      </c>
      <c r="H876" s="138">
        <f t="shared" si="85"/>
        <v>27591500</v>
      </c>
      <c r="I876" s="138">
        <f t="shared" si="86"/>
        <v>27591500</v>
      </c>
      <c r="J876" s="115"/>
    </row>
    <row r="877" spans="1:10" s="33" customFormat="1" ht="27" outlineLevel="3">
      <c r="A877" s="100"/>
      <c r="B877" s="38" t="s">
        <v>486</v>
      </c>
      <c r="C877" s="164" t="s">
        <v>1552</v>
      </c>
      <c r="D877" s="363"/>
      <c r="E877" s="377"/>
      <c r="F877" s="232">
        <v>0</v>
      </c>
      <c r="G877" s="232">
        <v>0</v>
      </c>
      <c r="H877" s="339"/>
      <c r="I877" s="180">
        <f>SUBTOTAL(9,I878:I894)</f>
        <v>1999996232</v>
      </c>
      <c r="J877" s="115"/>
    </row>
    <row r="878" spans="1:10" s="16" customFormat="1" ht="25.5" outlineLevel="3">
      <c r="A878" s="91"/>
      <c r="B878" s="35">
        <f>MAXA(B$5:B877)+1</f>
        <v>275</v>
      </c>
      <c r="C878" s="156" t="s">
        <v>1553</v>
      </c>
      <c r="D878" s="136" t="s">
        <v>44</v>
      </c>
      <c r="E878" s="137">
        <v>78</v>
      </c>
      <c r="F878" s="232">
        <v>13706650</v>
      </c>
      <c r="G878" s="232">
        <v>342413</v>
      </c>
      <c r="H878" s="138">
        <f t="shared" ref="H878:H894" si="87">G878+F878</f>
        <v>14049063</v>
      </c>
      <c r="I878" s="138">
        <f t="shared" ref="I878:I894" si="88">H878*E878</f>
        <v>1095826914</v>
      </c>
      <c r="J878" s="115"/>
    </row>
    <row r="879" spans="1:10" s="16" customFormat="1" ht="25.5" outlineLevel="3">
      <c r="A879" s="91"/>
      <c r="B879" s="35">
        <f>MAXA(B$5:B878)+1</f>
        <v>276</v>
      </c>
      <c r="C879" s="156" t="s">
        <v>1554</v>
      </c>
      <c r="D879" s="136" t="s">
        <v>44</v>
      </c>
      <c r="E879" s="137">
        <v>2</v>
      </c>
      <c r="F879" s="232">
        <v>6059522</v>
      </c>
      <c r="G879" s="232">
        <v>342413</v>
      </c>
      <c r="H879" s="138">
        <f t="shared" si="87"/>
        <v>6401935</v>
      </c>
      <c r="I879" s="138">
        <f t="shared" si="88"/>
        <v>12803870</v>
      </c>
      <c r="J879" s="115"/>
    </row>
    <row r="880" spans="1:10" s="16" customFormat="1" ht="25.5" outlineLevel="3">
      <c r="A880" s="91"/>
      <c r="B880" s="35">
        <f>MAXA(B$5:B879)+1</f>
        <v>277</v>
      </c>
      <c r="C880" s="156" t="s">
        <v>1555</v>
      </c>
      <c r="D880" s="136" t="s">
        <v>44</v>
      </c>
      <c r="E880" s="137">
        <v>4</v>
      </c>
      <c r="F880" s="232">
        <v>39933992</v>
      </c>
      <c r="G880" s="232">
        <v>342413</v>
      </c>
      <c r="H880" s="138">
        <f t="shared" si="87"/>
        <v>40276405</v>
      </c>
      <c r="I880" s="138">
        <f t="shared" si="88"/>
        <v>161105620</v>
      </c>
      <c r="J880" s="115"/>
    </row>
    <row r="881" spans="1:10" s="16" customFormat="1" ht="25.5" outlineLevel="3">
      <c r="A881" s="91"/>
      <c r="B881" s="35">
        <f>MAXA(B$5:B880)+1</f>
        <v>278</v>
      </c>
      <c r="C881" s="156" t="s">
        <v>1556</v>
      </c>
      <c r="D881" s="136" t="s">
        <v>44</v>
      </c>
      <c r="E881" s="137">
        <v>1</v>
      </c>
      <c r="F881" s="232">
        <v>8271345</v>
      </c>
      <c r="G881" s="232">
        <v>342413</v>
      </c>
      <c r="H881" s="138">
        <f t="shared" si="87"/>
        <v>8613758</v>
      </c>
      <c r="I881" s="138">
        <f t="shared" si="88"/>
        <v>8613758</v>
      </c>
      <c r="J881" s="115"/>
    </row>
    <row r="882" spans="1:10" s="16" customFormat="1" ht="38.25" outlineLevel="3">
      <c r="A882" s="91"/>
      <c r="B882" s="35">
        <f>MAXA(B$5:B881)+1</f>
        <v>279</v>
      </c>
      <c r="C882" s="156" t="s">
        <v>1557</v>
      </c>
      <c r="D882" s="136" t="s">
        <v>38</v>
      </c>
      <c r="E882" s="137">
        <v>3</v>
      </c>
      <c r="F882" s="232">
        <v>86140623</v>
      </c>
      <c r="G882" s="232">
        <v>604433</v>
      </c>
      <c r="H882" s="138">
        <f t="shared" si="87"/>
        <v>86745056</v>
      </c>
      <c r="I882" s="138">
        <f t="shared" si="88"/>
        <v>260235168</v>
      </c>
      <c r="J882" s="115"/>
    </row>
    <row r="883" spans="1:10" s="16" customFormat="1" ht="25.5" outlineLevel="3">
      <c r="A883" s="91"/>
      <c r="B883" s="35">
        <f>MAXA(B$5:B882)+1</f>
        <v>280</v>
      </c>
      <c r="C883" s="156" t="s">
        <v>493</v>
      </c>
      <c r="D883" s="136" t="s">
        <v>44</v>
      </c>
      <c r="E883" s="137">
        <v>1</v>
      </c>
      <c r="F883" s="232">
        <v>1011313</v>
      </c>
      <c r="G883" s="232">
        <v>114138</v>
      </c>
      <c r="H883" s="138">
        <f t="shared" si="87"/>
        <v>1125451</v>
      </c>
      <c r="I883" s="138">
        <f t="shared" si="88"/>
        <v>1125451</v>
      </c>
      <c r="J883" s="115"/>
    </row>
    <row r="884" spans="1:10" s="16" customFormat="1" ht="25.5" outlineLevel="3">
      <c r="A884" s="91"/>
      <c r="B884" s="35">
        <f>MAXA(B$5:B883)+1</f>
        <v>281</v>
      </c>
      <c r="C884" s="156" t="s">
        <v>494</v>
      </c>
      <c r="D884" s="136" t="s">
        <v>44</v>
      </c>
      <c r="E884" s="137">
        <v>3</v>
      </c>
      <c r="F884" s="232">
        <v>23955074</v>
      </c>
      <c r="G884" s="232">
        <v>456550</v>
      </c>
      <c r="H884" s="138">
        <f t="shared" si="87"/>
        <v>24411624</v>
      </c>
      <c r="I884" s="138">
        <f t="shared" si="88"/>
        <v>73234872</v>
      </c>
      <c r="J884" s="115"/>
    </row>
    <row r="885" spans="1:10" s="16" customFormat="1" ht="25.5" outlineLevel="3">
      <c r="A885" s="91"/>
      <c r="B885" s="35">
        <f>MAXA(B$5:B884)+1</f>
        <v>282</v>
      </c>
      <c r="C885" s="256" t="s">
        <v>495</v>
      </c>
      <c r="D885" s="136" t="s">
        <v>44</v>
      </c>
      <c r="E885" s="137">
        <v>2</v>
      </c>
      <c r="F885" s="232">
        <v>23955074</v>
      </c>
      <c r="G885" s="232">
        <v>456550</v>
      </c>
      <c r="H885" s="138">
        <f t="shared" si="87"/>
        <v>24411624</v>
      </c>
      <c r="I885" s="138">
        <f t="shared" si="88"/>
        <v>48823248</v>
      </c>
      <c r="J885" s="115"/>
    </row>
    <row r="886" spans="1:10" s="16" customFormat="1" ht="25.5" outlineLevel="3">
      <c r="A886" s="91"/>
      <c r="B886" s="35">
        <f>MAXA(B$5:B885)+1</f>
        <v>283</v>
      </c>
      <c r="C886" s="256" t="s">
        <v>1558</v>
      </c>
      <c r="D886" s="136" t="s">
        <v>44</v>
      </c>
      <c r="E886" s="137">
        <v>1</v>
      </c>
      <c r="F886" s="232">
        <v>43643480</v>
      </c>
      <c r="G886" s="232">
        <v>228275</v>
      </c>
      <c r="H886" s="138">
        <f t="shared" si="87"/>
        <v>43871755</v>
      </c>
      <c r="I886" s="138">
        <f t="shared" si="88"/>
        <v>43871755</v>
      </c>
      <c r="J886" s="115"/>
    </row>
    <row r="887" spans="1:10" s="16" customFormat="1" ht="38.25" outlineLevel="3">
      <c r="A887" s="91"/>
      <c r="B887" s="35">
        <f>MAXA(B$5:B886)+1</f>
        <v>284</v>
      </c>
      <c r="C887" s="256" t="s">
        <v>497</v>
      </c>
      <c r="D887" s="136" t="s">
        <v>44</v>
      </c>
      <c r="E887" s="137">
        <v>1</v>
      </c>
      <c r="F887" s="232">
        <v>43643480</v>
      </c>
      <c r="G887" s="232">
        <v>228275</v>
      </c>
      <c r="H887" s="138">
        <f t="shared" si="87"/>
        <v>43871755</v>
      </c>
      <c r="I887" s="138">
        <f t="shared" si="88"/>
        <v>43871755</v>
      </c>
      <c r="J887" s="115"/>
    </row>
    <row r="888" spans="1:10" s="16" customFormat="1" ht="25.5" outlineLevel="3">
      <c r="A888" s="91"/>
      <c r="B888" s="35">
        <f>MAXA(B$5:B887)+1</f>
        <v>285</v>
      </c>
      <c r="C888" s="256" t="s">
        <v>498</v>
      </c>
      <c r="D888" s="136" t="s">
        <v>38</v>
      </c>
      <c r="E888" s="137">
        <v>1</v>
      </c>
      <c r="F888" s="232">
        <v>3108510</v>
      </c>
      <c r="G888" s="232">
        <v>616343</v>
      </c>
      <c r="H888" s="138">
        <f t="shared" si="87"/>
        <v>3724853</v>
      </c>
      <c r="I888" s="138">
        <f t="shared" si="88"/>
        <v>3724853</v>
      </c>
      <c r="J888" s="115"/>
    </row>
    <row r="889" spans="1:10" s="16" customFormat="1" ht="25.5" outlineLevel="3">
      <c r="A889" s="91"/>
      <c r="B889" s="35">
        <f>MAXA(B$5:B888)+1</f>
        <v>286</v>
      </c>
      <c r="C889" s="156" t="s">
        <v>499</v>
      </c>
      <c r="D889" s="230" t="s">
        <v>25</v>
      </c>
      <c r="E889" s="137">
        <v>5600</v>
      </c>
      <c r="F889" s="232">
        <v>12004</v>
      </c>
      <c r="G889" s="232">
        <v>10272</v>
      </c>
      <c r="H889" s="138">
        <f t="shared" si="87"/>
        <v>22276</v>
      </c>
      <c r="I889" s="138">
        <f t="shared" si="88"/>
        <v>124745600</v>
      </c>
      <c r="J889" s="115"/>
    </row>
    <row r="890" spans="1:10" s="16" customFormat="1" ht="25.5" outlineLevel="3">
      <c r="A890" s="91"/>
      <c r="B890" s="35">
        <f>MAXA(B$5:B889)+1</f>
        <v>287</v>
      </c>
      <c r="C890" s="156" t="s">
        <v>373</v>
      </c>
      <c r="D890" s="230" t="s">
        <v>25</v>
      </c>
      <c r="E890" s="137">
        <v>4151</v>
      </c>
      <c r="F890" s="232">
        <v>7158</v>
      </c>
      <c r="G890" s="232">
        <v>14590</v>
      </c>
      <c r="H890" s="138">
        <f t="shared" si="87"/>
        <v>21748</v>
      </c>
      <c r="I890" s="138">
        <f t="shared" si="88"/>
        <v>90275948</v>
      </c>
      <c r="J890" s="115"/>
    </row>
    <row r="891" spans="1:10" s="16" customFormat="1" ht="25.5" outlineLevel="3">
      <c r="A891" s="91"/>
      <c r="B891" s="35">
        <f>MAXA(B$5:B890)+1</f>
        <v>288</v>
      </c>
      <c r="C891" s="156" t="s">
        <v>500</v>
      </c>
      <c r="D891" s="136" t="s">
        <v>38</v>
      </c>
      <c r="E891" s="137">
        <v>1</v>
      </c>
      <c r="F891" s="232">
        <v>13074089</v>
      </c>
      <c r="G891" s="232">
        <v>2346631</v>
      </c>
      <c r="H891" s="138">
        <f t="shared" si="87"/>
        <v>15420720</v>
      </c>
      <c r="I891" s="138">
        <f t="shared" si="88"/>
        <v>15420720</v>
      </c>
      <c r="J891" s="115"/>
    </row>
    <row r="892" spans="1:10" s="16" customFormat="1" ht="25.5" outlineLevel="3">
      <c r="A892" s="91"/>
      <c r="B892" s="35">
        <f>MAXA(B$5:B891)+1</f>
        <v>289</v>
      </c>
      <c r="C892" s="156" t="s">
        <v>501</v>
      </c>
      <c r="D892" s="136" t="s">
        <v>38</v>
      </c>
      <c r="E892" s="137">
        <v>1</v>
      </c>
      <c r="F892" s="232">
        <v>5806125</v>
      </c>
      <c r="G892" s="232">
        <v>2084250</v>
      </c>
      <c r="H892" s="138">
        <f t="shared" si="87"/>
        <v>7890375</v>
      </c>
      <c r="I892" s="138">
        <f t="shared" si="88"/>
        <v>7890375</v>
      </c>
      <c r="J892" s="115"/>
    </row>
    <row r="893" spans="1:10" s="16" customFormat="1" ht="25.5" outlineLevel="3">
      <c r="A893" s="91"/>
      <c r="B893" s="35">
        <f>MAXA(B$5:B892)+1</f>
        <v>290</v>
      </c>
      <c r="C893" s="156" t="s">
        <v>502</v>
      </c>
      <c r="D893" s="136" t="s">
        <v>38</v>
      </c>
      <c r="E893" s="137">
        <v>1</v>
      </c>
      <c r="F893" s="232">
        <v>1161225</v>
      </c>
      <c r="G893" s="232">
        <v>416850</v>
      </c>
      <c r="H893" s="138">
        <f t="shared" si="87"/>
        <v>1578075</v>
      </c>
      <c r="I893" s="138">
        <f t="shared" si="88"/>
        <v>1578075</v>
      </c>
      <c r="J893" s="115"/>
    </row>
    <row r="894" spans="1:10" s="16" customFormat="1" ht="25.5" outlineLevel="3">
      <c r="A894" s="91"/>
      <c r="B894" s="35">
        <f>MAXA(B$5:B893)+1</f>
        <v>291</v>
      </c>
      <c r="C894" s="165" t="s">
        <v>1551</v>
      </c>
      <c r="D894" s="136" t="s">
        <v>38</v>
      </c>
      <c r="E894" s="137">
        <v>1</v>
      </c>
      <c r="F894" s="232">
        <v>5806125</v>
      </c>
      <c r="G894" s="232">
        <v>1042125</v>
      </c>
      <c r="H894" s="138">
        <f t="shared" si="87"/>
        <v>6848250</v>
      </c>
      <c r="I894" s="138">
        <f t="shared" si="88"/>
        <v>6848250</v>
      </c>
      <c r="J894" s="115"/>
    </row>
    <row r="895" spans="1:10" s="33" customFormat="1" ht="40.5" outlineLevel="3">
      <c r="A895" s="100"/>
      <c r="B895" s="38" t="s">
        <v>503</v>
      </c>
      <c r="C895" s="164" t="s">
        <v>1559</v>
      </c>
      <c r="D895" s="363"/>
      <c r="E895" s="377"/>
      <c r="F895" s="232">
        <v>0</v>
      </c>
      <c r="G895" s="232">
        <v>0</v>
      </c>
      <c r="H895" s="339"/>
      <c r="I895" s="180">
        <f>SUBTOTAL(9,I896:I1010)</f>
        <v>6462941126</v>
      </c>
      <c r="J895" s="121"/>
    </row>
    <row r="896" spans="1:10" s="33" customFormat="1" outlineLevel="3">
      <c r="A896" s="100"/>
      <c r="B896" s="35"/>
      <c r="C896" s="158" t="s">
        <v>1560</v>
      </c>
      <c r="D896" s="386"/>
      <c r="E896" s="377">
        <v>0</v>
      </c>
      <c r="F896" s="232">
        <v>0</v>
      </c>
      <c r="G896" s="232">
        <v>0</v>
      </c>
      <c r="H896" s="138">
        <f>G896+F896</f>
        <v>0</v>
      </c>
      <c r="I896" s="138">
        <f>H896*E896</f>
        <v>0</v>
      </c>
      <c r="J896" s="115"/>
    </row>
    <row r="897" spans="1:10" s="33" customFormat="1" ht="25.5" outlineLevel="3">
      <c r="A897" s="100"/>
      <c r="B897" s="35"/>
      <c r="C897" s="387" t="s">
        <v>1561</v>
      </c>
      <c r="D897" s="386"/>
      <c r="E897" s="377"/>
      <c r="F897" s="232">
        <v>0</v>
      </c>
      <c r="G897" s="232">
        <v>0</v>
      </c>
      <c r="H897" s="339"/>
      <c r="I897" s="339"/>
      <c r="J897" s="115"/>
    </row>
    <row r="898" spans="1:10" s="33" customFormat="1" ht="25.5" outlineLevel="3">
      <c r="A898" s="100"/>
      <c r="B898" s="35">
        <f>MAXA(B$5:B897)+1</f>
        <v>292</v>
      </c>
      <c r="C898" s="156" t="s">
        <v>1562</v>
      </c>
      <c r="D898" s="136" t="s">
        <v>44</v>
      </c>
      <c r="E898" s="137">
        <v>12</v>
      </c>
      <c r="F898" s="232">
        <v>31594896</v>
      </c>
      <c r="G898" s="232">
        <v>1141375</v>
      </c>
      <c r="H898" s="138">
        <f t="shared" ref="H898:H909" si="89">G898+F898</f>
        <v>32736271</v>
      </c>
      <c r="I898" s="138">
        <f t="shared" ref="I898:I909" si="90">H898*E898</f>
        <v>392835252</v>
      </c>
      <c r="J898" s="115"/>
    </row>
    <row r="899" spans="1:10" s="33" customFormat="1" ht="25.5" outlineLevel="3">
      <c r="A899" s="100"/>
      <c r="B899" s="35">
        <f>MAXA(B$5:B898)+1</f>
        <v>293</v>
      </c>
      <c r="C899" s="368" t="s">
        <v>1563</v>
      </c>
      <c r="D899" s="136" t="s">
        <v>44</v>
      </c>
      <c r="E899" s="137">
        <v>12</v>
      </c>
      <c r="F899" s="232">
        <v>5426553</v>
      </c>
      <c r="G899" s="232">
        <v>777128</v>
      </c>
      <c r="H899" s="138">
        <v>6250560</v>
      </c>
      <c r="I899" s="138">
        <f t="shared" si="90"/>
        <v>75006720</v>
      </c>
      <c r="J899" s="115"/>
    </row>
    <row r="900" spans="1:10" s="33" customFormat="1" ht="25.5" outlineLevel="3">
      <c r="A900" s="100"/>
      <c r="B900" s="35">
        <f>MAXA(B$5:B899)+1</f>
        <v>294</v>
      </c>
      <c r="C900" s="156" t="s">
        <v>1564</v>
      </c>
      <c r="D900" s="136" t="s">
        <v>44</v>
      </c>
      <c r="E900" s="137">
        <v>12</v>
      </c>
      <c r="F900" s="232">
        <v>26857526</v>
      </c>
      <c r="G900" s="232">
        <v>1141375</v>
      </c>
      <c r="H900" s="138">
        <f t="shared" si="89"/>
        <v>27998901</v>
      </c>
      <c r="I900" s="138">
        <f t="shared" si="90"/>
        <v>335986812</v>
      </c>
      <c r="J900" s="115"/>
    </row>
    <row r="901" spans="1:10" s="33" customFormat="1" ht="25.5" outlineLevel="3">
      <c r="A901" s="100"/>
      <c r="B901" s="35">
        <f>MAXA(B$5:B900)+1</f>
        <v>295</v>
      </c>
      <c r="C901" s="156" t="s">
        <v>1565</v>
      </c>
      <c r="D901" s="136" t="s">
        <v>44</v>
      </c>
      <c r="E901" s="137">
        <v>4</v>
      </c>
      <c r="F901" s="232">
        <v>30836419</v>
      </c>
      <c r="G901" s="232">
        <v>1141375</v>
      </c>
      <c r="H901" s="138">
        <f t="shared" si="89"/>
        <v>31977794</v>
      </c>
      <c r="I901" s="138">
        <f t="shared" si="90"/>
        <v>127911176</v>
      </c>
      <c r="J901" s="115"/>
    </row>
    <row r="902" spans="1:10" s="33" customFormat="1" ht="25.5" outlineLevel="3">
      <c r="A902" s="100"/>
      <c r="B902" s="35">
        <f>MAXA(B$5:B901)+1</f>
        <v>296</v>
      </c>
      <c r="C902" s="156" t="s">
        <v>1566</v>
      </c>
      <c r="D902" s="136" t="s">
        <v>38</v>
      </c>
      <c r="E902" s="137">
        <v>1</v>
      </c>
      <c r="F902" s="232">
        <v>27631200</v>
      </c>
      <c r="G902" s="232">
        <v>11413750</v>
      </c>
      <c r="H902" s="138">
        <f t="shared" si="89"/>
        <v>39044950</v>
      </c>
      <c r="I902" s="138">
        <f t="shared" si="90"/>
        <v>39044950</v>
      </c>
      <c r="J902" s="115"/>
    </row>
    <row r="903" spans="1:10" s="33" customFormat="1" ht="25.5" outlineLevel="3">
      <c r="A903" s="100"/>
      <c r="B903" s="35">
        <f>MAXA(B$5:B902)+1</f>
        <v>297</v>
      </c>
      <c r="C903" s="156" t="s">
        <v>1567</v>
      </c>
      <c r="D903" s="230" t="s">
        <v>25</v>
      </c>
      <c r="E903" s="137">
        <v>30</v>
      </c>
      <c r="F903" s="232">
        <v>500488</v>
      </c>
      <c r="G903" s="232">
        <v>156319</v>
      </c>
      <c r="H903" s="138">
        <f t="shared" si="89"/>
        <v>656807</v>
      </c>
      <c r="I903" s="138">
        <f t="shared" si="90"/>
        <v>19704210</v>
      </c>
      <c r="J903" s="115"/>
    </row>
    <row r="904" spans="1:10" s="33" customFormat="1" ht="25.5" outlineLevel="3">
      <c r="A904" s="100"/>
      <c r="B904" s="35">
        <f>MAXA(B$5:B903)+1</f>
        <v>298</v>
      </c>
      <c r="C904" s="156" t="s">
        <v>1568</v>
      </c>
      <c r="D904" s="136" t="s">
        <v>38</v>
      </c>
      <c r="E904" s="137">
        <v>1</v>
      </c>
      <c r="F904" s="232">
        <v>9142750</v>
      </c>
      <c r="G904" s="232">
        <v>3625573</v>
      </c>
      <c r="H904" s="138">
        <f t="shared" si="89"/>
        <v>12768323</v>
      </c>
      <c r="I904" s="138">
        <f t="shared" si="90"/>
        <v>12768323</v>
      </c>
      <c r="J904" s="115"/>
    </row>
    <row r="905" spans="1:10" s="33" customFormat="1" ht="25.5" outlineLevel="3">
      <c r="A905" s="100"/>
      <c r="B905" s="35">
        <f>MAXA(B$5:B904)+1</f>
        <v>299</v>
      </c>
      <c r="C905" s="156" t="s">
        <v>1569</v>
      </c>
      <c r="D905" s="136" t="s">
        <v>44</v>
      </c>
      <c r="E905" s="137">
        <v>1</v>
      </c>
      <c r="F905" s="232">
        <v>9925000</v>
      </c>
      <c r="G905" s="232">
        <v>992500</v>
      </c>
      <c r="H905" s="138">
        <f t="shared" si="89"/>
        <v>10917500</v>
      </c>
      <c r="I905" s="138">
        <f t="shared" si="90"/>
        <v>10917500</v>
      </c>
      <c r="J905" s="115"/>
    </row>
    <row r="906" spans="1:10" s="33" customFormat="1" ht="25.5" outlineLevel="3">
      <c r="A906" s="100"/>
      <c r="B906" s="35">
        <f>MAXA(B$5:B905)+1</f>
        <v>300</v>
      </c>
      <c r="C906" s="156" t="s">
        <v>1570</v>
      </c>
      <c r="D906" s="136" t="s">
        <v>44</v>
      </c>
      <c r="E906" s="137">
        <v>5</v>
      </c>
      <c r="F906" s="232">
        <v>6907800</v>
      </c>
      <c r="G906" s="232">
        <v>1141375</v>
      </c>
      <c r="H906" s="138">
        <f t="shared" si="89"/>
        <v>8049175</v>
      </c>
      <c r="I906" s="138">
        <f t="shared" si="90"/>
        <v>40245875</v>
      </c>
      <c r="J906" s="115"/>
    </row>
    <row r="907" spans="1:10" s="33" customFormat="1" ht="25.5" outlineLevel="3">
      <c r="A907" s="100"/>
      <c r="B907" s="35">
        <f>MAXA(B$5:B906)+1</f>
        <v>301</v>
      </c>
      <c r="C907" s="156" t="s">
        <v>1571</v>
      </c>
      <c r="D907" s="136" t="s">
        <v>44</v>
      </c>
      <c r="E907" s="137">
        <v>1</v>
      </c>
      <c r="F907" s="232">
        <v>127324570</v>
      </c>
      <c r="G907" s="232">
        <v>28534375</v>
      </c>
      <c r="H907" s="138">
        <f t="shared" si="89"/>
        <v>155858945</v>
      </c>
      <c r="I907" s="138">
        <f t="shared" si="90"/>
        <v>155858945</v>
      </c>
      <c r="J907" s="115"/>
    </row>
    <row r="908" spans="1:10" s="33" customFormat="1" ht="25.5" outlineLevel="3">
      <c r="A908" s="100"/>
      <c r="B908" s="35">
        <f>MAXA(B$5:B907)+1</f>
        <v>302</v>
      </c>
      <c r="C908" s="165" t="s">
        <v>1551</v>
      </c>
      <c r="D908" s="136" t="s">
        <v>38</v>
      </c>
      <c r="E908" s="137">
        <v>1</v>
      </c>
      <c r="F908" s="232">
        <v>26249640</v>
      </c>
      <c r="G908" s="232">
        <v>11413750</v>
      </c>
      <c r="H908" s="138">
        <f t="shared" si="89"/>
        <v>37663390</v>
      </c>
      <c r="I908" s="138">
        <f t="shared" si="90"/>
        <v>37663390</v>
      </c>
      <c r="J908" s="115"/>
    </row>
    <row r="909" spans="1:10" s="16" customFormat="1" ht="25.5" outlineLevel="3">
      <c r="A909" s="91"/>
      <c r="B909" s="35">
        <f>MAXA(B$5:B908)+1</f>
        <v>303</v>
      </c>
      <c r="C909" s="156" t="s">
        <v>1572</v>
      </c>
      <c r="D909" s="136" t="s">
        <v>38</v>
      </c>
      <c r="E909" s="137">
        <v>1</v>
      </c>
      <c r="F909" s="232">
        <v>7598580</v>
      </c>
      <c r="G909" s="232">
        <v>1141375</v>
      </c>
      <c r="H909" s="138">
        <f t="shared" si="89"/>
        <v>8739955</v>
      </c>
      <c r="I909" s="138">
        <f t="shared" si="90"/>
        <v>8739955</v>
      </c>
      <c r="J909" s="115"/>
    </row>
    <row r="910" spans="1:10" s="33" customFormat="1" ht="25.5" outlineLevel="3">
      <c r="A910" s="100"/>
      <c r="B910" s="35"/>
      <c r="C910" s="387" t="s">
        <v>1573</v>
      </c>
      <c r="D910" s="386"/>
      <c r="E910" s="377"/>
      <c r="F910" s="232">
        <v>0</v>
      </c>
      <c r="G910" s="232">
        <v>0</v>
      </c>
      <c r="H910" s="339"/>
      <c r="I910" s="339"/>
      <c r="J910" s="115"/>
    </row>
    <row r="911" spans="1:10" s="16" customFormat="1" ht="25.5" outlineLevel="3">
      <c r="A911" s="91"/>
      <c r="B911" s="35">
        <f>MAXA(B$5:B910)+1</f>
        <v>304</v>
      </c>
      <c r="C911" s="156" t="s">
        <v>1574</v>
      </c>
      <c r="D911" s="136" t="s">
        <v>44</v>
      </c>
      <c r="E911" s="137">
        <v>2</v>
      </c>
      <c r="F911" s="232">
        <v>39056701</v>
      </c>
      <c r="G911" s="232">
        <v>684825</v>
      </c>
      <c r="H911" s="138">
        <f t="shared" ref="H911:H933" si="91">G911+F911</f>
        <v>39741526</v>
      </c>
      <c r="I911" s="138">
        <f t="shared" ref="I911:I933" si="92">H911*E911</f>
        <v>79483052</v>
      </c>
      <c r="J911" s="115"/>
    </row>
    <row r="912" spans="1:10" s="16" customFormat="1" ht="25.5" outlineLevel="3">
      <c r="A912" s="91"/>
      <c r="B912" s="35">
        <f>MAXA(B$5:B911)+1</f>
        <v>305</v>
      </c>
      <c r="C912" s="156" t="s">
        <v>1575</v>
      </c>
      <c r="D912" s="136" t="s">
        <v>44</v>
      </c>
      <c r="E912" s="137">
        <v>2</v>
      </c>
      <c r="F912" s="232">
        <v>37854744</v>
      </c>
      <c r="G912" s="232">
        <v>684825</v>
      </c>
      <c r="H912" s="138">
        <f t="shared" si="91"/>
        <v>38539569</v>
      </c>
      <c r="I912" s="138">
        <f t="shared" si="92"/>
        <v>77079138</v>
      </c>
      <c r="J912" s="115"/>
    </row>
    <row r="913" spans="1:10" s="16" customFormat="1" ht="25.5" outlineLevel="3">
      <c r="A913" s="91"/>
      <c r="B913" s="35">
        <f>MAXA(B$5:B912)+1</f>
        <v>306</v>
      </c>
      <c r="C913" s="156" t="s">
        <v>1576</v>
      </c>
      <c r="D913" s="136" t="s">
        <v>28</v>
      </c>
      <c r="E913" s="137">
        <v>2</v>
      </c>
      <c r="F913" s="232">
        <v>9035402</v>
      </c>
      <c r="G913" s="232">
        <v>684825</v>
      </c>
      <c r="H913" s="138">
        <f t="shared" si="91"/>
        <v>9720227</v>
      </c>
      <c r="I913" s="138">
        <f t="shared" si="92"/>
        <v>19440454</v>
      </c>
      <c r="J913" s="115"/>
    </row>
    <row r="914" spans="1:10" s="16" customFormat="1" ht="25.5" outlineLevel="3">
      <c r="A914" s="91"/>
      <c r="B914" s="35">
        <f>MAXA(B$5:B913)+1</f>
        <v>307</v>
      </c>
      <c r="C914" s="156" t="s">
        <v>1577</v>
      </c>
      <c r="D914" s="136" t="s">
        <v>28</v>
      </c>
      <c r="E914" s="137">
        <v>2</v>
      </c>
      <c r="F914" s="232">
        <v>1036170</v>
      </c>
      <c r="G914" s="232">
        <v>228275</v>
      </c>
      <c r="H914" s="138">
        <f t="shared" si="91"/>
        <v>1264445</v>
      </c>
      <c r="I914" s="138">
        <f t="shared" si="92"/>
        <v>2528890</v>
      </c>
      <c r="J914" s="115"/>
    </row>
    <row r="915" spans="1:10" s="16" customFormat="1" ht="25.5" outlineLevel="3">
      <c r="A915" s="91"/>
      <c r="B915" s="35">
        <f>MAXA(B$5:B914)+1</f>
        <v>308</v>
      </c>
      <c r="C915" s="156" t="s">
        <v>1578</v>
      </c>
      <c r="D915" s="136" t="s">
        <v>28</v>
      </c>
      <c r="E915" s="137">
        <v>2</v>
      </c>
      <c r="F915" s="232">
        <v>621702</v>
      </c>
      <c r="G915" s="232">
        <v>228275</v>
      </c>
      <c r="H915" s="138">
        <f t="shared" si="91"/>
        <v>849977</v>
      </c>
      <c r="I915" s="138">
        <f t="shared" si="92"/>
        <v>1699954</v>
      </c>
      <c r="J915" s="115"/>
    </row>
    <row r="916" spans="1:10" s="16" customFormat="1" ht="25.5" outlineLevel="3">
      <c r="A916" s="91"/>
      <c r="B916" s="35">
        <f>MAXA(B$5:B915)+1</f>
        <v>309</v>
      </c>
      <c r="C916" s="156" t="s">
        <v>1579</v>
      </c>
      <c r="D916" s="136" t="s">
        <v>28</v>
      </c>
      <c r="E916" s="137">
        <v>2</v>
      </c>
      <c r="F916" s="232">
        <v>2072340</v>
      </c>
      <c r="G916" s="232">
        <v>1141375</v>
      </c>
      <c r="H916" s="138">
        <f t="shared" si="91"/>
        <v>3213715</v>
      </c>
      <c r="I916" s="138">
        <f t="shared" si="92"/>
        <v>6427430</v>
      </c>
      <c r="J916" s="115"/>
    </row>
    <row r="917" spans="1:10" s="16" customFormat="1" ht="25.5" outlineLevel="3">
      <c r="A917" s="91"/>
      <c r="B917" s="35">
        <f>MAXA(B$5:B916)+1</f>
        <v>310</v>
      </c>
      <c r="C917" s="156" t="s">
        <v>1580</v>
      </c>
      <c r="D917" s="136" t="s">
        <v>28</v>
      </c>
      <c r="E917" s="137">
        <v>1</v>
      </c>
      <c r="F917" s="232">
        <v>0</v>
      </c>
      <c r="G917" s="232">
        <v>0</v>
      </c>
      <c r="H917" s="138">
        <f t="shared" si="91"/>
        <v>0</v>
      </c>
      <c r="I917" s="138">
        <f t="shared" si="92"/>
        <v>0</v>
      </c>
      <c r="J917" s="115"/>
    </row>
    <row r="918" spans="1:10" s="16" customFormat="1" ht="25.5" outlineLevel="3">
      <c r="A918" s="91"/>
      <c r="B918" s="35">
        <f>MAXA(B$5:B917)+1</f>
        <v>311</v>
      </c>
      <c r="C918" s="156" t="s">
        <v>1581</v>
      </c>
      <c r="D918" s="136" t="s">
        <v>28</v>
      </c>
      <c r="E918" s="137">
        <v>1</v>
      </c>
      <c r="F918" s="232">
        <v>19604336</v>
      </c>
      <c r="G918" s="232">
        <v>456550</v>
      </c>
      <c r="H918" s="138">
        <f t="shared" si="91"/>
        <v>20060886</v>
      </c>
      <c r="I918" s="138">
        <f t="shared" si="92"/>
        <v>20060886</v>
      </c>
      <c r="J918" s="115"/>
    </row>
    <row r="919" spans="1:10" s="16" customFormat="1" ht="25.5" outlineLevel="3">
      <c r="A919" s="91"/>
      <c r="B919" s="35">
        <f>MAXA(B$5:B918)+1</f>
        <v>312</v>
      </c>
      <c r="C919" s="156" t="s">
        <v>1582</v>
      </c>
      <c r="D919" s="136" t="s">
        <v>28</v>
      </c>
      <c r="E919" s="137">
        <v>1</v>
      </c>
      <c r="F919" s="232">
        <v>18675773</v>
      </c>
      <c r="G919" s="232">
        <v>342413</v>
      </c>
      <c r="H919" s="138">
        <f t="shared" si="91"/>
        <v>19018186</v>
      </c>
      <c r="I919" s="138">
        <f t="shared" si="92"/>
        <v>19018186</v>
      </c>
      <c r="J919" s="115"/>
    </row>
    <row r="920" spans="1:10" s="16" customFormat="1" ht="25.5" outlineLevel="3">
      <c r="A920" s="91"/>
      <c r="B920" s="35">
        <f>MAXA(B$5:B919)+1</f>
        <v>313</v>
      </c>
      <c r="C920" s="156" t="s">
        <v>1583</v>
      </c>
      <c r="D920" s="136" t="s">
        <v>44</v>
      </c>
      <c r="E920" s="137">
        <v>4</v>
      </c>
      <c r="F920" s="232">
        <v>0</v>
      </c>
      <c r="G920" s="232">
        <v>0</v>
      </c>
      <c r="H920" s="138">
        <f t="shared" si="91"/>
        <v>0</v>
      </c>
      <c r="I920" s="138">
        <f t="shared" si="92"/>
        <v>0</v>
      </c>
      <c r="J920" s="115"/>
    </row>
    <row r="921" spans="1:10" s="16" customFormat="1" ht="25.5" outlineLevel="3">
      <c r="A921" s="91"/>
      <c r="B921" s="35">
        <f>MAXA(B$5:B920)+1</f>
        <v>314</v>
      </c>
      <c r="C921" s="156" t="s">
        <v>1584</v>
      </c>
      <c r="D921" s="136" t="s">
        <v>44</v>
      </c>
      <c r="E921" s="137">
        <v>1</v>
      </c>
      <c r="F921" s="232">
        <v>117820933</v>
      </c>
      <c r="G921" s="232">
        <v>17120625</v>
      </c>
      <c r="H921" s="138">
        <f t="shared" si="91"/>
        <v>134941558</v>
      </c>
      <c r="I921" s="138">
        <f t="shared" si="92"/>
        <v>134941558</v>
      </c>
      <c r="J921" s="115"/>
    </row>
    <row r="922" spans="1:10" s="16" customFormat="1" ht="25.5" outlineLevel="3">
      <c r="A922" s="91"/>
      <c r="B922" s="35">
        <f>MAXA(B$5:B921)+1</f>
        <v>315</v>
      </c>
      <c r="C922" s="156" t="s">
        <v>1585</v>
      </c>
      <c r="D922" s="136" t="s">
        <v>44</v>
      </c>
      <c r="E922" s="137">
        <v>3</v>
      </c>
      <c r="F922" s="232">
        <v>61304422</v>
      </c>
      <c r="G922" s="232">
        <v>1141375</v>
      </c>
      <c r="H922" s="138">
        <f t="shared" si="91"/>
        <v>62445797</v>
      </c>
      <c r="I922" s="138">
        <f t="shared" si="92"/>
        <v>187337391</v>
      </c>
      <c r="J922" s="115"/>
    </row>
    <row r="923" spans="1:10" s="16" customFormat="1" ht="25.5" outlineLevel="3">
      <c r="A923" s="91"/>
      <c r="B923" s="35">
        <f>MAXA(B$5:B922)+1</f>
        <v>316</v>
      </c>
      <c r="C923" s="156" t="s">
        <v>1586</v>
      </c>
      <c r="D923" s="136" t="s">
        <v>44</v>
      </c>
      <c r="E923" s="137">
        <v>2</v>
      </c>
      <c r="F923" s="232">
        <v>85101793</v>
      </c>
      <c r="G923" s="232">
        <v>1141375</v>
      </c>
      <c r="H923" s="138">
        <f t="shared" si="91"/>
        <v>86243168</v>
      </c>
      <c r="I923" s="138">
        <f t="shared" si="92"/>
        <v>172486336</v>
      </c>
      <c r="J923" s="115"/>
    </row>
    <row r="924" spans="1:10" s="16" customFormat="1" ht="25.5" outlineLevel="3">
      <c r="A924" s="91"/>
      <c r="B924" s="35">
        <f>MAXA(B$5:B923)+1</f>
        <v>317</v>
      </c>
      <c r="C924" s="156" t="s">
        <v>1587</v>
      </c>
      <c r="D924" s="136" t="s">
        <v>44</v>
      </c>
      <c r="E924" s="137">
        <v>2</v>
      </c>
      <c r="F924" s="232">
        <v>80177683</v>
      </c>
      <c r="G924" s="232">
        <v>1141375</v>
      </c>
      <c r="H924" s="138">
        <f t="shared" si="91"/>
        <v>81319058</v>
      </c>
      <c r="I924" s="138">
        <f t="shared" si="92"/>
        <v>162638116</v>
      </c>
      <c r="J924" s="115"/>
    </row>
    <row r="925" spans="1:10" s="16" customFormat="1" ht="25.5" outlineLevel="3">
      <c r="A925" s="91"/>
      <c r="B925" s="35">
        <f>MAXA(B$5:B924)+1</f>
        <v>318</v>
      </c>
      <c r="C925" s="156" t="s">
        <v>1588</v>
      </c>
      <c r="D925" s="136" t="s">
        <v>44</v>
      </c>
      <c r="E925" s="137">
        <v>2</v>
      </c>
      <c r="F925" s="232">
        <v>49226134</v>
      </c>
      <c r="G925" s="232">
        <v>1141375</v>
      </c>
      <c r="H925" s="138">
        <f t="shared" si="91"/>
        <v>50367509</v>
      </c>
      <c r="I925" s="138">
        <f t="shared" si="92"/>
        <v>100735018</v>
      </c>
      <c r="J925" s="115"/>
    </row>
    <row r="926" spans="1:10" s="16" customFormat="1" ht="25.5" outlineLevel="3">
      <c r="A926" s="91"/>
      <c r="B926" s="35">
        <f>MAXA(B$5:B925)+1</f>
        <v>319</v>
      </c>
      <c r="C926" s="156" t="s">
        <v>1589</v>
      </c>
      <c r="D926" s="136" t="s">
        <v>44</v>
      </c>
      <c r="E926" s="137">
        <v>2</v>
      </c>
      <c r="F926" s="232">
        <v>46457258</v>
      </c>
      <c r="G926" s="232">
        <v>1141375</v>
      </c>
      <c r="H926" s="138">
        <f t="shared" si="91"/>
        <v>47598633</v>
      </c>
      <c r="I926" s="138">
        <f t="shared" si="92"/>
        <v>95197266</v>
      </c>
      <c r="J926" s="115"/>
    </row>
    <row r="927" spans="1:10" s="16" customFormat="1" ht="25.5" outlineLevel="3">
      <c r="A927" s="91"/>
      <c r="B927" s="35">
        <f>MAXA(B$5:B926)+1</f>
        <v>320</v>
      </c>
      <c r="C927" s="156" t="s">
        <v>1590</v>
      </c>
      <c r="D927" s="230" t="s">
        <v>25</v>
      </c>
      <c r="E927" s="137">
        <v>300</v>
      </c>
      <c r="F927" s="232">
        <v>67351</v>
      </c>
      <c r="G927" s="232">
        <v>11414</v>
      </c>
      <c r="H927" s="138">
        <f t="shared" si="91"/>
        <v>78765</v>
      </c>
      <c r="I927" s="138">
        <f t="shared" si="92"/>
        <v>23629500</v>
      </c>
      <c r="J927" s="115"/>
    </row>
    <row r="928" spans="1:10" s="16" customFormat="1" ht="25.5" outlineLevel="3">
      <c r="A928" s="91"/>
      <c r="B928" s="35">
        <f>MAXA(B$5:B927)+1</f>
        <v>321</v>
      </c>
      <c r="C928" s="156" t="s">
        <v>1591</v>
      </c>
      <c r="D928" s="230" t="s">
        <v>25</v>
      </c>
      <c r="E928" s="137">
        <v>180</v>
      </c>
      <c r="F928" s="232">
        <v>32927</v>
      </c>
      <c r="G928" s="232">
        <v>11414</v>
      </c>
      <c r="H928" s="138">
        <f t="shared" si="91"/>
        <v>44341</v>
      </c>
      <c r="I928" s="138">
        <f t="shared" si="92"/>
        <v>7981380</v>
      </c>
      <c r="J928" s="115"/>
    </row>
    <row r="929" spans="1:10" s="16" customFormat="1" ht="25.5" outlineLevel="3">
      <c r="A929" s="91"/>
      <c r="B929" s="35">
        <f>MAXA(B$5:B928)+1</f>
        <v>322</v>
      </c>
      <c r="C929" s="156" t="s">
        <v>1592</v>
      </c>
      <c r="D929" s="230" t="s">
        <v>25</v>
      </c>
      <c r="E929" s="137">
        <v>100</v>
      </c>
      <c r="F929" s="232">
        <v>32927</v>
      </c>
      <c r="G929" s="232">
        <v>11414</v>
      </c>
      <c r="H929" s="138">
        <f t="shared" si="91"/>
        <v>44341</v>
      </c>
      <c r="I929" s="138">
        <f t="shared" si="92"/>
        <v>4434100</v>
      </c>
      <c r="J929" s="115"/>
    </row>
    <row r="930" spans="1:10" s="16" customFormat="1" ht="25.5" outlineLevel="3">
      <c r="A930" s="91"/>
      <c r="B930" s="35">
        <f>MAXA(B$5:B929)+1</f>
        <v>323</v>
      </c>
      <c r="C930" s="165" t="s">
        <v>1551</v>
      </c>
      <c r="D930" s="136" t="s">
        <v>38</v>
      </c>
      <c r="E930" s="137">
        <v>1</v>
      </c>
      <c r="F930" s="232">
        <v>7483450</v>
      </c>
      <c r="G930" s="232">
        <v>3424125</v>
      </c>
      <c r="H930" s="138">
        <f t="shared" si="91"/>
        <v>10907575</v>
      </c>
      <c r="I930" s="138">
        <f t="shared" si="92"/>
        <v>10907575</v>
      </c>
      <c r="J930" s="115"/>
    </row>
    <row r="931" spans="1:10" s="16" customFormat="1" ht="25.5" outlineLevel="3">
      <c r="A931" s="91"/>
      <c r="B931" s="35">
        <f>MAXA(B$5:B930)+1</f>
        <v>324</v>
      </c>
      <c r="C931" s="156" t="s">
        <v>1593</v>
      </c>
      <c r="D931" s="136" t="s">
        <v>28</v>
      </c>
      <c r="E931" s="137">
        <v>2</v>
      </c>
      <c r="F931" s="232">
        <v>3532188</v>
      </c>
      <c r="G931" s="232">
        <v>228275</v>
      </c>
      <c r="H931" s="138">
        <f t="shared" si="91"/>
        <v>3760463</v>
      </c>
      <c r="I931" s="138">
        <f t="shared" si="92"/>
        <v>7520926</v>
      </c>
      <c r="J931" s="115"/>
    </row>
    <row r="932" spans="1:10" s="16" customFormat="1" ht="25.5" outlineLevel="3">
      <c r="A932" s="91"/>
      <c r="B932" s="35">
        <f>MAXA(B$5:B931)+1</f>
        <v>325</v>
      </c>
      <c r="C932" s="156" t="s">
        <v>1594</v>
      </c>
      <c r="D932" s="136" t="s">
        <v>28</v>
      </c>
      <c r="E932" s="137">
        <v>1</v>
      </c>
      <c r="F932" s="232">
        <v>7561278</v>
      </c>
      <c r="G932" s="232">
        <v>228275</v>
      </c>
      <c r="H932" s="138">
        <f t="shared" si="91"/>
        <v>7789553</v>
      </c>
      <c r="I932" s="138">
        <f t="shared" si="92"/>
        <v>7789553</v>
      </c>
      <c r="J932" s="115"/>
    </row>
    <row r="933" spans="1:10" s="16" customFormat="1" ht="25.5" outlineLevel="3">
      <c r="A933" s="91"/>
      <c r="B933" s="35">
        <f>MAXA(B$5:B932)+1</f>
        <v>326</v>
      </c>
      <c r="C933" s="156" t="s">
        <v>1595</v>
      </c>
      <c r="D933" s="136" t="s">
        <v>28</v>
      </c>
      <c r="E933" s="137">
        <v>1</v>
      </c>
      <c r="F933" s="232">
        <v>6735105</v>
      </c>
      <c r="G933" s="232">
        <v>342413</v>
      </c>
      <c r="H933" s="138">
        <f t="shared" si="91"/>
        <v>7077518</v>
      </c>
      <c r="I933" s="138">
        <f t="shared" si="92"/>
        <v>7077518</v>
      </c>
      <c r="J933" s="115"/>
    </row>
    <row r="934" spans="1:10" s="33" customFormat="1" ht="25.5" outlineLevel="3">
      <c r="A934" s="100"/>
      <c r="B934" s="35"/>
      <c r="C934" s="387" t="s">
        <v>1596</v>
      </c>
      <c r="D934" s="386"/>
      <c r="E934" s="377"/>
      <c r="F934" s="232">
        <v>0</v>
      </c>
      <c r="G934" s="232">
        <v>0</v>
      </c>
      <c r="H934" s="339"/>
      <c r="I934" s="339"/>
      <c r="J934" s="115"/>
    </row>
    <row r="935" spans="1:10" s="16" customFormat="1" ht="25.5" outlineLevel="3">
      <c r="A935" s="91"/>
      <c r="B935" s="35">
        <f>MAXA(B$5:B934)+1</f>
        <v>327</v>
      </c>
      <c r="C935" s="156" t="s">
        <v>1597</v>
      </c>
      <c r="D935" s="136" t="s">
        <v>28</v>
      </c>
      <c r="E935" s="137">
        <v>2</v>
      </c>
      <c r="F935" s="232">
        <v>127966995</v>
      </c>
      <c r="G935" s="232">
        <v>2282750</v>
      </c>
      <c r="H935" s="138">
        <f t="shared" ref="H935:H943" si="93">G935+F935</f>
        <v>130249745</v>
      </c>
      <c r="I935" s="138">
        <f t="shared" ref="I935:I943" si="94">H935*E935</f>
        <v>260499490</v>
      </c>
      <c r="J935" s="115"/>
    </row>
    <row r="936" spans="1:10" s="16" customFormat="1" ht="25.5" outlineLevel="3">
      <c r="A936" s="91"/>
      <c r="B936" s="35">
        <f>MAXA(B$5:B935)+1</f>
        <v>328</v>
      </c>
      <c r="C936" s="156" t="s">
        <v>1598</v>
      </c>
      <c r="D936" s="136" t="s">
        <v>28</v>
      </c>
      <c r="E936" s="137">
        <v>1</v>
      </c>
      <c r="F936" s="232">
        <v>37492085</v>
      </c>
      <c r="G936" s="232">
        <v>1141375</v>
      </c>
      <c r="H936" s="138">
        <f t="shared" si="93"/>
        <v>38633460</v>
      </c>
      <c r="I936" s="138">
        <f t="shared" si="94"/>
        <v>38633460</v>
      </c>
      <c r="J936" s="115"/>
    </row>
    <row r="937" spans="1:10" s="16" customFormat="1" ht="25.5" outlineLevel="3">
      <c r="A937" s="91"/>
      <c r="B937" s="35">
        <f>MAXA(B$5:B936)+1</f>
        <v>329</v>
      </c>
      <c r="C937" s="156" t="s">
        <v>1599</v>
      </c>
      <c r="D937" s="136" t="s">
        <v>44</v>
      </c>
      <c r="E937" s="137">
        <v>1</v>
      </c>
      <c r="F937" s="232">
        <v>4475103</v>
      </c>
      <c r="G937" s="232">
        <v>342413</v>
      </c>
      <c r="H937" s="138">
        <f t="shared" si="93"/>
        <v>4817516</v>
      </c>
      <c r="I937" s="138">
        <f t="shared" si="94"/>
        <v>4817516</v>
      </c>
      <c r="J937" s="115"/>
    </row>
    <row r="938" spans="1:10" s="16" customFormat="1" ht="25.5" outlineLevel="3">
      <c r="A938" s="91"/>
      <c r="B938" s="35">
        <f>MAXA(B$5:B937)+1</f>
        <v>330</v>
      </c>
      <c r="C938" s="156" t="s">
        <v>1600</v>
      </c>
      <c r="D938" s="136" t="s">
        <v>28</v>
      </c>
      <c r="E938" s="137">
        <v>1</v>
      </c>
      <c r="F938" s="232">
        <v>47102331</v>
      </c>
      <c r="G938" s="232">
        <v>570688</v>
      </c>
      <c r="H938" s="138">
        <f t="shared" si="93"/>
        <v>47673019</v>
      </c>
      <c r="I938" s="138">
        <f t="shared" si="94"/>
        <v>47673019</v>
      </c>
      <c r="J938" s="115"/>
    </row>
    <row r="939" spans="1:10" s="16" customFormat="1" ht="25.5" outlineLevel="3">
      <c r="A939" s="91"/>
      <c r="B939" s="35">
        <f>MAXA(B$5:B938)+1</f>
        <v>331</v>
      </c>
      <c r="C939" s="156" t="s">
        <v>1601</v>
      </c>
      <c r="D939" s="136" t="s">
        <v>44</v>
      </c>
      <c r="E939" s="137">
        <v>1</v>
      </c>
      <c r="F939" s="232">
        <v>80926028</v>
      </c>
      <c r="G939" s="232">
        <v>3424125</v>
      </c>
      <c r="H939" s="138">
        <f t="shared" si="93"/>
        <v>84350153</v>
      </c>
      <c r="I939" s="138">
        <f t="shared" si="94"/>
        <v>84350153</v>
      </c>
      <c r="J939" s="115"/>
    </row>
    <row r="940" spans="1:10" s="16" customFormat="1" ht="25.5" outlineLevel="3">
      <c r="A940" s="91"/>
      <c r="B940" s="35">
        <f>MAXA(B$5:B939)+1</f>
        <v>332</v>
      </c>
      <c r="C940" s="156" t="s">
        <v>1602</v>
      </c>
      <c r="D940" s="230" t="s">
        <v>25</v>
      </c>
      <c r="E940" s="137">
        <v>100</v>
      </c>
      <c r="F940" s="232">
        <v>74835</v>
      </c>
      <c r="G940" s="232">
        <v>11414</v>
      </c>
      <c r="H940" s="138">
        <f t="shared" si="93"/>
        <v>86249</v>
      </c>
      <c r="I940" s="138">
        <f t="shared" si="94"/>
        <v>8624900</v>
      </c>
      <c r="J940" s="115"/>
    </row>
    <row r="941" spans="1:10" s="16" customFormat="1" ht="25.5" outlineLevel="3">
      <c r="A941" s="91"/>
      <c r="B941" s="35">
        <f>MAXA(B$5:B940)+1</f>
        <v>333</v>
      </c>
      <c r="C941" s="156" t="s">
        <v>1603</v>
      </c>
      <c r="D941" s="230" t="s">
        <v>25</v>
      </c>
      <c r="E941" s="137">
        <v>100</v>
      </c>
      <c r="F941" s="232">
        <v>37417</v>
      </c>
      <c r="G941" s="232">
        <v>11414</v>
      </c>
      <c r="H941" s="138">
        <f t="shared" si="93"/>
        <v>48831</v>
      </c>
      <c r="I941" s="138">
        <f t="shared" si="94"/>
        <v>4883100</v>
      </c>
      <c r="J941" s="115"/>
    </row>
    <row r="942" spans="1:10" s="16" customFormat="1" ht="25.5" outlineLevel="3">
      <c r="A942" s="91"/>
      <c r="B942" s="35">
        <f>MAXA(B$5:B941)+1</f>
        <v>334</v>
      </c>
      <c r="C942" s="156" t="s">
        <v>1604</v>
      </c>
      <c r="D942" s="230" t="s">
        <v>25</v>
      </c>
      <c r="E942" s="137">
        <v>100</v>
      </c>
      <c r="F942" s="232">
        <v>26940</v>
      </c>
      <c r="G942" s="232">
        <v>11414</v>
      </c>
      <c r="H942" s="138">
        <f t="shared" si="93"/>
        <v>38354</v>
      </c>
      <c r="I942" s="138">
        <f t="shared" si="94"/>
        <v>3835400</v>
      </c>
      <c r="J942" s="115"/>
    </row>
    <row r="943" spans="1:10" s="16" customFormat="1" ht="25.5" outlineLevel="3">
      <c r="A943" s="91"/>
      <c r="B943" s="35">
        <f>MAXA(B$5:B942)+1</f>
        <v>335</v>
      </c>
      <c r="C943" s="156" t="s">
        <v>1605</v>
      </c>
      <c r="D943" s="136" t="s">
        <v>28</v>
      </c>
      <c r="E943" s="137">
        <v>1</v>
      </c>
      <c r="F943" s="232">
        <v>4490070</v>
      </c>
      <c r="G943" s="232">
        <v>570688</v>
      </c>
      <c r="H943" s="138">
        <f t="shared" si="93"/>
        <v>5060758</v>
      </c>
      <c r="I943" s="138">
        <f t="shared" si="94"/>
        <v>5060758</v>
      </c>
      <c r="J943" s="115"/>
    </row>
    <row r="944" spans="1:10" s="33" customFormat="1" outlineLevel="3">
      <c r="A944" s="100"/>
      <c r="B944" s="35"/>
      <c r="C944" s="158" t="s">
        <v>1606</v>
      </c>
      <c r="D944" s="386"/>
      <c r="E944" s="377"/>
      <c r="F944" s="232">
        <v>0</v>
      </c>
      <c r="G944" s="232">
        <v>0</v>
      </c>
      <c r="H944" s="339"/>
      <c r="I944" s="339"/>
      <c r="J944" s="115"/>
    </row>
    <row r="945" spans="1:10" s="33" customFormat="1" ht="25.5" outlineLevel="3">
      <c r="A945" s="100"/>
      <c r="B945" s="35"/>
      <c r="C945" s="387" t="s">
        <v>1573</v>
      </c>
      <c r="D945" s="386"/>
      <c r="E945" s="377"/>
      <c r="F945" s="232">
        <v>0</v>
      </c>
      <c r="G945" s="232">
        <v>0</v>
      </c>
      <c r="H945" s="339"/>
      <c r="I945" s="339"/>
      <c r="J945" s="115"/>
    </row>
    <row r="946" spans="1:10" s="16" customFormat="1" ht="25.5" outlineLevel="3">
      <c r="A946" s="91"/>
      <c r="B946" s="35">
        <f>MAXA(B$5:B945)+1</f>
        <v>336</v>
      </c>
      <c r="C946" s="156" t="s">
        <v>1575</v>
      </c>
      <c r="D946" s="136" t="s">
        <v>44</v>
      </c>
      <c r="E946" s="137">
        <v>2</v>
      </c>
      <c r="F946" s="232">
        <v>41009306</v>
      </c>
      <c r="G946" s="232">
        <v>570688</v>
      </c>
      <c r="H946" s="138">
        <f t="shared" ref="H946:H973" si="95">G946+F946</f>
        <v>41579994</v>
      </c>
      <c r="I946" s="138">
        <f t="shared" ref="I946:I973" si="96">H946*E946</f>
        <v>83159988</v>
      </c>
      <c r="J946" s="115"/>
    </row>
    <row r="947" spans="1:10" s="16" customFormat="1" ht="25.5" outlineLevel="3">
      <c r="A947" s="91"/>
      <c r="B947" s="35">
        <f>MAXA(B$5:B946)+1</f>
        <v>337</v>
      </c>
      <c r="C947" s="156" t="s">
        <v>1576</v>
      </c>
      <c r="D947" s="136" t="s">
        <v>44</v>
      </c>
      <c r="E947" s="137">
        <v>2</v>
      </c>
      <c r="F947" s="232">
        <v>9788353</v>
      </c>
      <c r="G947" s="232">
        <v>570688</v>
      </c>
      <c r="H947" s="138">
        <f t="shared" si="95"/>
        <v>10359041</v>
      </c>
      <c r="I947" s="138">
        <f t="shared" si="96"/>
        <v>20718082</v>
      </c>
      <c r="J947" s="115"/>
    </row>
    <row r="948" spans="1:10" s="16" customFormat="1" ht="25.5" outlineLevel="3">
      <c r="A948" s="91"/>
      <c r="B948" s="35">
        <f>MAXA(B$5:B947)+1</f>
        <v>338</v>
      </c>
      <c r="C948" s="156" t="s">
        <v>1607</v>
      </c>
      <c r="D948" s="136" t="s">
        <v>28</v>
      </c>
      <c r="E948" s="137">
        <v>2</v>
      </c>
      <c r="F948" s="232">
        <v>5280322</v>
      </c>
      <c r="G948" s="232">
        <v>1141375</v>
      </c>
      <c r="H948" s="138">
        <f t="shared" si="95"/>
        <v>6421697</v>
      </c>
      <c r="I948" s="138">
        <f t="shared" si="96"/>
        <v>12843394</v>
      </c>
      <c r="J948" s="115"/>
    </row>
    <row r="949" spans="1:10" s="16" customFormat="1" ht="25.5" outlineLevel="3">
      <c r="A949" s="91"/>
      <c r="B949" s="35">
        <f>MAXA(B$5:B948)+1</f>
        <v>339</v>
      </c>
      <c r="C949" s="156" t="s">
        <v>1580</v>
      </c>
      <c r="D949" s="136" t="s">
        <v>28</v>
      </c>
      <c r="E949" s="137">
        <v>1</v>
      </c>
      <c r="F949" s="232">
        <v>0</v>
      </c>
      <c r="G949" s="232">
        <v>0</v>
      </c>
      <c r="H949" s="138">
        <f t="shared" si="95"/>
        <v>0</v>
      </c>
      <c r="I949" s="138">
        <f t="shared" si="96"/>
        <v>0</v>
      </c>
      <c r="J949" s="115"/>
    </row>
    <row r="950" spans="1:10" s="16" customFormat="1" ht="25.5" outlineLevel="3">
      <c r="A950" s="91"/>
      <c r="B950" s="35">
        <f>MAXA(B$5:B949)+1</f>
        <v>340</v>
      </c>
      <c r="C950" s="156" t="s">
        <v>1581</v>
      </c>
      <c r="D950" s="136" t="s">
        <v>28</v>
      </c>
      <c r="E950" s="137">
        <v>1</v>
      </c>
      <c r="F950" s="232">
        <v>1122518</v>
      </c>
      <c r="G950" s="232">
        <v>114138</v>
      </c>
      <c r="H950" s="138">
        <f t="shared" si="95"/>
        <v>1236656</v>
      </c>
      <c r="I950" s="138">
        <f t="shared" si="96"/>
        <v>1236656</v>
      </c>
      <c r="J950" s="115"/>
    </row>
    <row r="951" spans="1:10" s="16" customFormat="1" ht="25.5" outlineLevel="3">
      <c r="A951" s="91"/>
      <c r="B951" s="35">
        <f>MAXA(B$5:B950)+1</f>
        <v>341</v>
      </c>
      <c r="C951" s="156" t="s">
        <v>1582</v>
      </c>
      <c r="D951" s="136" t="s">
        <v>28</v>
      </c>
      <c r="E951" s="137">
        <v>1</v>
      </c>
      <c r="F951" s="232">
        <v>18675773</v>
      </c>
      <c r="G951" s="232">
        <v>342413</v>
      </c>
      <c r="H951" s="138">
        <f t="shared" si="95"/>
        <v>19018186</v>
      </c>
      <c r="I951" s="138">
        <f t="shared" si="96"/>
        <v>19018186</v>
      </c>
      <c r="J951" s="115"/>
    </row>
    <row r="952" spans="1:10" s="16" customFormat="1" ht="25.5" outlineLevel="3">
      <c r="A952" s="91"/>
      <c r="B952" s="35">
        <f>MAXA(B$5:B951)+1</f>
        <v>342</v>
      </c>
      <c r="C952" s="156" t="s">
        <v>1584</v>
      </c>
      <c r="D952" s="136" t="s">
        <v>44</v>
      </c>
      <c r="E952" s="137">
        <v>1</v>
      </c>
      <c r="F952" s="232">
        <v>21238031</v>
      </c>
      <c r="G952" s="232">
        <v>342413</v>
      </c>
      <c r="H952" s="138">
        <f t="shared" si="95"/>
        <v>21580444</v>
      </c>
      <c r="I952" s="138">
        <f t="shared" si="96"/>
        <v>21580444</v>
      </c>
      <c r="J952" s="115"/>
    </row>
    <row r="953" spans="1:10" s="16" customFormat="1" ht="25.5" outlineLevel="3">
      <c r="A953" s="91"/>
      <c r="B953" s="35">
        <f>MAXA(B$5:B952)+1</f>
        <v>343</v>
      </c>
      <c r="C953" s="156" t="s">
        <v>1583</v>
      </c>
      <c r="D953" s="136" t="s">
        <v>44</v>
      </c>
      <c r="E953" s="137">
        <v>2</v>
      </c>
      <c r="F953" s="232">
        <v>5971793</v>
      </c>
      <c r="G953" s="232">
        <v>228275</v>
      </c>
      <c r="H953" s="138">
        <f t="shared" si="95"/>
        <v>6200068</v>
      </c>
      <c r="I953" s="138">
        <f t="shared" si="96"/>
        <v>12400136</v>
      </c>
      <c r="J953" s="115"/>
    </row>
    <row r="954" spans="1:10" s="16" customFormat="1" ht="25.5" outlineLevel="3">
      <c r="A954" s="91"/>
      <c r="B954" s="35">
        <f>MAXA(B$5:B953)+1</f>
        <v>344</v>
      </c>
      <c r="C954" s="156" t="s">
        <v>1585</v>
      </c>
      <c r="D954" s="136" t="s">
        <v>44</v>
      </c>
      <c r="E954" s="137">
        <v>3</v>
      </c>
      <c r="F954" s="232">
        <v>0</v>
      </c>
      <c r="G954" s="232">
        <v>0</v>
      </c>
      <c r="H954" s="138">
        <f t="shared" si="95"/>
        <v>0</v>
      </c>
      <c r="I954" s="138">
        <f t="shared" si="96"/>
        <v>0</v>
      </c>
      <c r="J954" s="115"/>
    </row>
    <row r="955" spans="1:10" s="16" customFormat="1" ht="25.5" outlineLevel="3">
      <c r="A955" s="91"/>
      <c r="B955" s="35">
        <f>MAXA(B$5:B954)+1</f>
        <v>345</v>
      </c>
      <c r="C955" s="156" t="s">
        <v>1608</v>
      </c>
      <c r="D955" s="136" t="s">
        <v>44</v>
      </c>
      <c r="E955" s="137">
        <v>4</v>
      </c>
      <c r="F955" s="232">
        <v>75741494</v>
      </c>
      <c r="G955" s="232">
        <v>17120625</v>
      </c>
      <c r="H955" s="138">
        <f t="shared" si="95"/>
        <v>92862119</v>
      </c>
      <c r="I955" s="138">
        <f t="shared" si="96"/>
        <v>371448476</v>
      </c>
      <c r="J955" s="115"/>
    </row>
    <row r="956" spans="1:10" s="16" customFormat="1" ht="25.5" outlineLevel="3">
      <c r="A956" s="91"/>
      <c r="B956" s="35">
        <f>MAXA(B$5:B955)+1</f>
        <v>346</v>
      </c>
      <c r="C956" s="156" t="s">
        <v>1609</v>
      </c>
      <c r="D956" s="136" t="s">
        <v>44</v>
      </c>
      <c r="E956" s="137">
        <v>2</v>
      </c>
      <c r="F956" s="232">
        <v>49046531</v>
      </c>
      <c r="G956" s="232">
        <v>1141375</v>
      </c>
      <c r="H956" s="138">
        <f t="shared" si="95"/>
        <v>50187906</v>
      </c>
      <c r="I956" s="138">
        <f t="shared" si="96"/>
        <v>100375812</v>
      </c>
      <c r="J956" s="115"/>
    </row>
    <row r="957" spans="1:10" s="16" customFormat="1" ht="25.5" outlineLevel="3">
      <c r="A957" s="91"/>
      <c r="B957" s="35">
        <f>MAXA(B$5:B956)+1</f>
        <v>347</v>
      </c>
      <c r="C957" s="156" t="s">
        <v>1610</v>
      </c>
      <c r="D957" s="230" t="s">
        <v>25</v>
      </c>
      <c r="E957" s="137">
        <v>250</v>
      </c>
      <c r="F957" s="232">
        <v>67351</v>
      </c>
      <c r="G957" s="232">
        <v>11414</v>
      </c>
      <c r="H957" s="138">
        <f t="shared" si="95"/>
        <v>78765</v>
      </c>
      <c r="I957" s="138">
        <f t="shared" si="96"/>
        <v>19691250</v>
      </c>
      <c r="J957" s="115"/>
    </row>
    <row r="958" spans="1:10" s="16" customFormat="1" ht="25.5" outlineLevel="3">
      <c r="A958" s="91"/>
      <c r="B958" s="35">
        <f>MAXA(B$5:B957)+1</f>
        <v>348</v>
      </c>
      <c r="C958" s="156" t="s">
        <v>1591</v>
      </c>
      <c r="D958" s="230" t="s">
        <v>25</v>
      </c>
      <c r="E958" s="137">
        <v>100</v>
      </c>
      <c r="F958" s="232">
        <v>67351</v>
      </c>
      <c r="G958" s="232">
        <v>11414</v>
      </c>
      <c r="H958" s="138">
        <f t="shared" si="95"/>
        <v>78765</v>
      </c>
      <c r="I958" s="138">
        <f t="shared" si="96"/>
        <v>7876500</v>
      </c>
      <c r="J958" s="115"/>
    </row>
    <row r="959" spans="1:10" s="16" customFormat="1" ht="25.5" outlineLevel="3">
      <c r="A959" s="91"/>
      <c r="B959" s="35">
        <f>MAXA(B$5:B958)+1</f>
        <v>349</v>
      </c>
      <c r="C959" s="156" t="s">
        <v>1611</v>
      </c>
      <c r="D959" s="230" t="s">
        <v>25</v>
      </c>
      <c r="E959" s="137">
        <v>100</v>
      </c>
      <c r="F959" s="232">
        <v>32927</v>
      </c>
      <c r="G959" s="232">
        <v>11414</v>
      </c>
      <c r="H959" s="138">
        <f t="shared" si="95"/>
        <v>44341</v>
      </c>
      <c r="I959" s="138">
        <f t="shared" si="96"/>
        <v>4434100</v>
      </c>
      <c r="J959" s="115"/>
    </row>
    <row r="960" spans="1:10" s="16" customFormat="1" ht="25.5" outlineLevel="3">
      <c r="A960" s="91"/>
      <c r="B960" s="35">
        <f>MAXA(B$5:B959)+1</f>
        <v>350</v>
      </c>
      <c r="C960" s="165" t="s">
        <v>1551</v>
      </c>
      <c r="D960" s="136" t="s">
        <v>38</v>
      </c>
      <c r="E960" s="137">
        <v>1</v>
      </c>
      <c r="F960" s="232">
        <v>32927</v>
      </c>
      <c r="G960" s="232">
        <v>11414</v>
      </c>
      <c r="H960" s="138">
        <f t="shared" si="95"/>
        <v>44341</v>
      </c>
      <c r="I960" s="138">
        <f t="shared" si="96"/>
        <v>44341</v>
      </c>
      <c r="J960" s="115"/>
    </row>
    <row r="961" spans="1:10" s="16" customFormat="1" ht="25.5" outlineLevel="3">
      <c r="A961" s="91"/>
      <c r="B961" s="35">
        <f>MAXA(B$5:B960)+1</f>
        <v>351</v>
      </c>
      <c r="C961" s="156" t="s">
        <v>1593</v>
      </c>
      <c r="D961" s="136" t="s">
        <v>28</v>
      </c>
      <c r="E961" s="137">
        <v>2</v>
      </c>
      <c r="F961" s="232">
        <v>5986760</v>
      </c>
      <c r="G961" s="232">
        <v>2282750</v>
      </c>
      <c r="H961" s="138">
        <f t="shared" si="95"/>
        <v>8269510</v>
      </c>
      <c r="I961" s="138">
        <f t="shared" si="96"/>
        <v>16539020</v>
      </c>
      <c r="J961" s="115"/>
    </row>
    <row r="962" spans="1:10" s="16" customFormat="1" ht="25.5" outlineLevel="3">
      <c r="A962" s="91"/>
      <c r="B962" s="35">
        <f>MAXA(B$5:B961)+1</f>
        <v>352</v>
      </c>
      <c r="C962" s="156" t="s">
        <v>1594</v>
      </c>
      <c r="D962" s="136" t="s">
        <v>28</v>
      </c>
      <c r="E962" s="137">
        <v>1</v>
      </c>
      <c r="F962" s="232">
        <v>7561278</v>
      </c>
      <c r="G962" s="232">
        <v>228275</v>
      </c>
      <c r="H962" s="138">
        <f t="shared" si="95"/>
        <v>7789553</v>
      </c>
      <c r="I962" s="138">
        <f t="shared" si="96"/>
        <v>7789553</v>
      </c>
      <c r="J962" s="115"/>
    </row>
    <row r="963" spans="1:10" s="16" customFormat="1" ht="25.5" outlineLevel="3">
      <c r="A963" s="91"/>
      <c r="B963" s="35">
        <f>MAXA(B$5:B962)+1</f>
        <v>353</v>
      </c>
      <c r="C963" s="156" t="s">
        <v>1595</v>
      </c>
      <c r="D963" s="136" t="s">
        <v>28</v>
      </c>
      <c r="E963" s="137">
        <v>1</v>
      </c>
      <c r="F963" s="232">
        <v>6735105</v>
      </c>
      <c r="G963" s="232">
        <v>228275</v>
      </c>
      <c r="H963" s="138">
        <f t="shared" si="95"/>
        <v>6963380</v>
      </c>
      <c r="I963" s="138">
        <f t="shared" si="96"/>
        <v>6963380</v>
      </c>
      <c r="J963" s="115"/>
    </row>
    <row r="964" spans="1:10" s="33" customFormat="1" ht="25.5" outlineLevel="3">
      <c r="A964" s="100"/>
      <c r="B964" s="35"/>
      <c r="C964" s="387" t="s">
        <v>1596</v>
      </c>
      <c r="D964" s="386"/>
      <c r="E964" s="377">
        <v>0</v>
      </c>
      <c r="F964" s="232">
        <v>0</v>
      </c>
      <c r="G964" s="232">
        <v>0</v>
      </c>
      <c r="H964" s="138">
        <f t="shared" si="95"/>
        <v>0</v>
      </c>
      <c r="I964" s="138">
        <f t="shared" si="96"/>
        <v>0</v>
      </c>
      <c r="J964" s="115"/>
    </row>
    <row r="965" spans="1:10" s="16" customFormat="1" ht="25.5" outlineLevel="3">
      <c r="A965" s="91"/>
      <c r="B965" s="35">
        <f>MAXA(B$5:B964)+1</f>
        <v>354</v>
      </c>
      <c r="C965" s="156" t="s">
        <v>1597</v>
      </c>
      <c r="D965" s="136" t="s">
        <v>28</v>
      </c>
      <c r="E965" s="137">
        <v>2</v>
      </c>
      <c r="F965" s="232">
        <v>127966995</v>
      </c>
      <c r="G965" s="232">
        <v>2282750</v>
      </c>
      <c r="H965" s="138">
        <f t="shared" si="95"/>
        <v>130249745</v>
      </c>
      <c r="I965" s="138">
        <f t="shared" si="96"/>
        <v>260499490</v>
      </c>
      <c r="J965" s="115"/>
    </row>
    <row r="966" spans="1:10" s="16" customFormat="1" ht="25.5" outlineLevel="3">
      <c r="A966" s="91"/>
      <c r="B966" s="35">
        <f>MAXA(B$5:B965)+1</f>
        <v>355</v>
      </c>
      <c r="C966" s="156" t="s">
        <v>1598</v>
      </c>
      <c r="D966" s="136" t="s">
        <v>28</v>
      </c>
      <c r="E966" s="137">
        <v>1</v>
      </c>
      <c r="F966" s="232">
        <v>37492085</v>
      </c>
      <c r="G966" s="232">
        <v>1141375</v>
      </c>
      <c r="H966" s="138">
        <f t="shared" si="95"/>
        <v>38633460</v>
      </c>
      <c r="I966" s="138">
        <f t="shared" si="96"/>
        <v>38633460</v>
      </c>
      <c r="J966" s="115"/>
    </row>
    <row r="967" spans="1:10" s="16" customFormat="1" ht="25.5" outlineLevel="3">
      <c r="A967" s="91"/>
      <c r="B967" s="35">
        <f>MAXA(B$5:B966)+1</f>
        <v>356</v>
      </c>
      <c r="C967" s="156" t="s">
        <v>1599</v>
      </c>
      <c r="D967" s="136" t="s">
        <v>44</v>
      </c>
      <c r="E967" s="137">
        <v>1</v>
      </c>
      <c r="F967" s="232">
        <v>4475103</v>
      </c>
      <c r="G967" s="232">
        <v>342413</v>
      </c>
      <c r="H967" s="138">
        <f t="shared" si="95"/>
        <v>4817516</v>
      </c>
      <c r="I967" s="138">
        <f t="shared" si="96"/>
        <v>4817516</v>
      </c>
      <c r="J967" s="115"/>
    </row>
    <row r="968" spans="1:10" s="16" customFormat="1" ht="25.5" outlineLevel="3">
      <c r="A968" s="91"/>
      <c r="B968" s="35">
        <f>MAXA(B$5:B967)+1</f>
        <v>357</v>
      </c>
      <c r="C968" s="156" t="s">
        <v>1600</v>
      </c>
      <c r="D968" s="136" t="s">
        <v>28</v>
      </c>
      <c r="E968" s="137">
        <v>1</v>
      </c>
      <c r="F968" s="232">
        <v>47102331</v>
      </c>
      <c r="G968" s="232">
        <v>570688</v>
      </c>
      <c r="H968" s="138">
        <f t="shared" si="95"/>
        <v>47673019</v>
      </c>
      <c r="I968" s="138">
        <f t="shared" si="96"/>
        <v>47673019</v>
      </c>
      <c r="J968" s="115"/>
    </row>
    <row r="969" spans="1:10" s="16" customFormat="1" ht="25.5" outlineLevel="3">
      <c r="A969" s="91"/>
      <c r="B969" s="35">
        <f>MAXA(B$5:B968)+1</f>
        <v>358</v>
      </c>
      <c r="C969" s="156" t="s">
        <v>1601</v>
      </c>
      <c r="D969" s="136" t="s">
        <v>44</v>
      </c>
      <c r="E969" s="137">
        <v>1</v>
      </c>
      <c r="F969" s="232">
        <v>80926028</v>
      </c>
      <c r="G969" s="232">
        <v>3424125</v>
      </c>
      <c r="H969" s="138">
        <f t="shared" si="95"/>
        <v>84350153</v>
      </c>
      <c r="I969" s="138">
        <f t="shared" si="96"/>
        <v>84350153</v>
      </c>
      <c r="J969" s="115"/>
    </row>
    <row r="970" spans="1:10" s="16" customFormat="1" ht="25.5" outlineLevel="3">
      <c r="A970" s="91"/>
      <c r="B970" s="35">
        <f>MAXA(B$5:B969)+1</f>
        <v>359</v>
      </c>
      <c r="C970" s="156" t="s">
        <v>1602</v>
      </c>
      <c r="D970" s="230" t="s">
        <v>25</v>
      </c>
      <c r="E970" s="137">
        <v>100</v>
      </c>
      <c r="F970" s="232">
        <v>74835</v>
      </c>
      <c r="G970" s="232">
        <v>11414</v>
      </c>
      <c r="H970" s="138">
        <f t="shared" si="95"/>
        <v>86249</v>
      </c>
      <c r="I970" s="138">
        <f t="shared" si="96"/>
        <v>8624900</v>
      </c>
      <c r="J970" s="115"/>
    </row>
    <row r="971" spans="1:10" s="16" customFormat="1" ht="25.5" outlineLevel="3">
      <c r="A971" s="91"/>
      <c r="B971" s="35">
        <f>MAXA(B$5:B970)+1</f>
        <v>360</v>
      </c>
      <c r="C971" s="156" t="s">
        <v>1603</v>
      </c>
      <c r="D971" s="230" t="s">
        <v>25</v>
      </c>
      <c r="E971" s="137">
        <v>100</v>
      </c>
      <c r="F971" s="232">
        <v>37417</v>
      </c>
      <c r="G971" s="232">
        <v>11414</v>
      </c>
      <c r="H971" s="138">
        <f t="shared" si="95"/>
        <v>48831</v>
      </c>
      <c r="I971" s="138">
        <f t="shared" si="96"/>
        <v>4883100</v>
      </c>
      <c r="J971" s="115"/>
    </row>
    <row r="972" spans="1:10" s="16" customFormat="1" ht="25.5" outlineLevel="3">
      <c r="A972" s="91"/>
      <c r="B972" s="35">
        <f>MAXA(B$5:B971)+1</f>
        <v>361</v>
      </c>
      <c r="C972" s="156" t="s">
        <v>1604</v>
      </c>
      <c r="D972" s="230" t="s">
        <v>25</v>
      </c>
      <c r="E972" s="137">
        <v>100</v>
      </c>
      <c r="F972" s="232">
        <v>26940</v>
      </c>
      <c r="G972" s="232">
        <v>11414</v>
      </c>
      <c r="H972" s="138">
        <f t="shared" si="95"/>
        <v>38354</v>
      </c>
      <c r="I972" s="138">
        <f t="shared" si="96"/>
        <v>3835400</v>
      </c>
      <c r="J972" s="115"/>
    </row>
    <row r="973" spans="1:10" s="16" customFormat="1" ht="25.5" outlineLevel="3">
      <c r="A973" s="91"/>
      <c r="B973" s="35">
        <f>MAXA(B$5:B972)+1</f>
        <v>362</v>
      </c>
      <c r="C973" s="156" t="s">
        <v>1605</v>
      </c>
      <c r="D973" s="136" t="s">
        <v>28</v>
      </c>
      <c r="E973" s="137">
        <v>1</v>
      </c>
      <c r="F973" s="232">
        <v>4490070</v>
      </c>
      <c r="G973" s="232">
        <v>570688</v>
      </c>
      <c r="H973" s="138">
        <f t="shared" si="95"/>
        <v>5060758</v>
      </c>
      <c r="I973" s="138">
        <f t="shared" si="96"/>
        <v>5060758</v>
      </c>
      <c r="J973" s="115"/>
    </row>
    <row r="974" spans="1:10" s="33" customFormat="1" outlineLevel="3">
      <c r="A974" s="100"/>
      <c r="B974" s="35"/>
      <c r="C974" s="158" t="s">
        <v>1612</v>
      </c>
      <c r="D974" s="386"/>
      <c r="E974" s="377"/>
      <c r="F974" s="232">
        <v>0</v>
      </c>
      <c r="G974" s="232">
        <v>0</v>
      </c>
      <c r="H974" s="339"/>
      <c r="I974" s="339"/>
      <c r="J974" s="115"/>
    </row>
    <row r="975" spans="1:10" s="33" customFormat="1" ht="25.5" outlineLevel="3">
      <c r="A975" s="100"/>
      <c r="B975" s="35"/>
      <c r="C975" s="387" t="s">
        <v>1573</v>
      </c>
      <c r="D975" s="386"/>
      <c r="E975" s="377"/>
      <c r="F975" s="232">
        <v>0</v>
      </c>
      <c r="G975" s="232">
        <v>0</v>
      </c>
      <c r="H975" s="339"/>
      <c r="I975" s="339"/>
      <c r="J975" s="115"/>
    </row>
    <row r="976" spans="1:10" s="16" customFormat="1" ht="25.5" outlineLevel="3">
      <c r="A976" s="91"/>
      <c r="B976" s="35">
        <f>MAXA(B$5:B975)+1</f>
        <v>363</v>
      </c>
      <c r="C976" s="156" t="s">
        <v>1574</v>
      </c>
      <c r="D976" s="136" t="s">
        <v>44</v>
      </c>
      <c r="E976" s="137">
        <v>2</v>
      </c>
      <c r="F976" s="232">
        <v>42311426</v>
      </c>
      <c r="G976" s="232">
        <v>570688</v>
      </c>
      <c r="H976" s="138">
        <f t="shared" ref="H976:H993" si="97">G976+F976</f>
        <v>42882114</v>
      </c>
      <c r="I976" s="138">
        <f t="shared" ref="I976:I993" si="98">H976*E976</f>
        <v>85764228</v>
      </c>
      <c r="J976" s="115"/>
    </row>
    <row r="977" spans="1:10" s="16" customFormat="1" ht="25.5" outlineLevel="3">
      <c r="A977" s="91"/>
      <c r="B977" s="35">
        <f>MAXA(B$5:B976)+1</f>
        <v>364</v>
      </c>
      <c r="C977" s="156" t="s">
        <v>1575</v>
      </c>
      <c r="D977" s="136" t="s">
        <v>44</v>
      </c>
      <c r="E977" s="137">
        <v>2</v>
      </c>
      <c r="F977" s="232">
        <v>41009306</v>
      </c>
      <c r="G977" s="232">
        <v>570688</v>
      </c>
      <c r="H977" s="138">
        <f t="shared" si="97"/>
        <v>41579994</v>
      </c>
      <c r="I977" s="138">
        <f t="shared" si="98"/>
        <v>83159988</v>
      </c>
      <c r="J977" s="115"/>
    </row>
    <row r="978" spans="1:10" s="16" customFormat="1" ht="25.5" outlineLevel="3">
      <c r="A978" s="91"/>
      <c r="B978" s="35">
        <f>MAXA(B$5:B977)+1</f>
        <v>365</v>
      </c>
      <c r="C978" s="156" t="s">
        <v>1576</v>
      </c>
      <c r="D978" s="136" t="s">
        <v>28</v>
      </c>
      <c r="E978" s="137">
        <v>2</v>
      </c>
      <c r="F978" s="232">
        <v>9788353</v>
      </c>
      <c r="G978" s="232">
        <v>570688</v>
      </c>
      <c r="H978" s="138">
        <f t="shared" si="97"/>
        <v>10359041</v>
      </c>
      <c r="I978" s="138">
        <f t="shared" si="98"/>
        <v>20718082</v>
      </c>
      <c r="J978" s="115"/>
    </row>
    <row r="979" spans="1:10" s="16" customFormat="1" ht="25.5" outlineLevel="3">
      <c r="A979" s="91"/>
      <c r="B979" s="35">
        <f>MAXA(B$5:B978)+1</f>
        <v>366</v>
      </c>
      <c r="C979" s="156" t="s">
        <v>1607</v>
      </c>
      <c r="D979" s="136" t="s">
        <v>28</v>
      </c>
      <c r="E979" s="137">
        <v>4</v>
      </c>
      <c r="F979" s="232">
        <v>5280322</v>
      </c>
      <c r="G979" s="232">
        <v>1141375</v>
      </c>
      <c r="H979" s="138">
        <f t="shared" si="97"/>
        <v>6421697</v>
      </c>
      <c r="I979" s="138">
        <f t="shared" si="98"/>
        <v>25686788</v>
      </c>
      <c r="J979" s="115"/>
    </row>
    <row r="980" spans="1:10" s="16" customFormat="1" ht="25.5" outlineLevel="3">
      <c r="A980" s="91"/>
      <c r="B980" s="35">
        <f>MAXA(B$5:B979)+1</f>
        <v>367</v>
      </c>
      <c r="C980" s="156" t="s">
        <v>1577</v>
      </c>
      <c r="D980" s="136" t="s">
        <v>28</v>
      </c>
      <c r="E980" s="137">
        <v>2</v>
      </c>
      <c r="F980" s="232">
        <v>1122518</v>
      </c>
      <c r="G980" s="232">
        <v>114138</v>
      </c>
      <c r="H980" s="138">
        <f t="shared" si="97"/>
        <v>1236656</v>
      </c>
      <c r="I980" s="138">
        <f t="shared" si="98"/>
        <v>2473312</v>
      </c>
      <c r="J980" s="115"/>
    </row>
    <row r="981" spans="1:10" s="16" customFormat="1" ht="25.5" outlineLevel="3">
      <c r="A981" s="91"/>
      <c r="B981" s="35">
        <f>MAXA(B$5:B980)+1</f>
        <v>368</v>
      </c>
      <c r="C981" s="156" t="s">
        <v>1580</v>
      </c>
      <c r="D981" s="136" t="s">
        <v>28</v>
      </c>
      <c r="E981" s="137">
        <v>1</v>
      </c>
      <c r="F981" s="232">
        <v>0</v>
      </c>
      <c r="G981" s="232">
        <v>0</v>
      </c>
      <c r="H981" s="138">
        <f t="shared" si="97"/>
        <v>0</v>
      </c>
      <c r="I981" s="138">
        <f t="shared" si="98"/>
        <v>0</v>
      </c>
      <c r="J981" s="115"/>
    </row>
    <row r="982" spans="1:10" s="16" customFormat="1" ht="25.5" outlineLevel="3">
      <c r="A982" s="91"/>
      <c r="B982" s="35">
        <f>MAXA(B$5:B981)+1</f>
        <v>369</v>
      </c>
      <c r="C982" s="156" t="s">
        <v>1581</v>
      </c>
      <c r="D982" s="136" t="s">
        <v>28</v>
      </c>
      <c r="E982" s="137">
        <v>1</v>
      </c>
      <c r="F982" s="232">
        <v>21238031</v>
      </c>
      <c r="G982" s="232">
        <v>342413</v>
      </c>
      <c r="H982" s="138">
        <f t="shared" si="97"/>
        <v>21580444</v>
      </c>
      <c r="I982" s="138">
        <f t="shared" si="98"/>
        <v>21580444</v>
      </c>
      <c r="J982" s="115"/>
    </row>
    <row r="983" spans="1:10" s="16" customFormat="1" ht="25.5" outlineLevel="3">
      <c r="A983" s="91"/>
      <c r="B983" s="35">
        <f>MAXA(B$5:B982)+1</f>
        <v>370</v>
      </c>
      <c r="C983" s="156" t="s">
        <v>1582</v>
      </c>
      <c r="D983" s="136" t="s">
        <v>28</v>
      </c>
      <c r="E983" s="137">
        <v>1</v>
      </c>
      <c r="F983" s="232">
        <v>5971793</v>
      </c>
      <c r="G983" s="232">
        <v>342413</v>
      </c>
      <c r="H983" s="138">
        <f t="shared" si="97"/>
        <v>6314206</v>
      </c>
      <c r="I983" s="138">
        <f t="shared" si="98"/>
        <v>6314206</v>
      </c>
      <c r="J983" s="115"/>
    </row>
    <row r="984" spans="1:10" s="16" customFormat="1" ht="25.5" outlineLevel="3">
      <c r="A984" s="91"/>
      <c r="B984" s="35">
        <f>MAXA(B$5:B983)+1</f>
        <v>371</v>
      </c>
      <c r="C984" s="156" t="s">
        <v>1583</v>
      </c>
      <c r="D984" s="136" t="s">
        <v>44</v>
      </c>
      <c r="E984" s="137">
        <v>4</v>
      </c>
      <c r="F984" s="232">
        <v>0</v>
      </c>
      <c r="G984" s="232">
        <v>0</v>
      </c>
      <c r="H984" s="138">
        <f t="shared" si="97"/>
        <v>0</v>
      </c>
      <c r="I984" s="138">
        <f t="shared" si="98"/>
        <v>0</v>
      </c>
      <c r="J984" s="115"/>
    </row>
    <row r="985" spans="1:10" s="16" customFormat="1" ht="25.5" outlineLevel="3">
      <c r="A985" s="91"/>
      <c r="B985" s="35">
        <f>MAXA(B$5:B983)+1</f>
        <v>371</v>
      </c>
      <c r="C985" s="156" t="s">
        <v>1584</v>
      </c>
      <c r="D985" s="136" t="s">
        <v>44</v>
      </c>
      <c r="E985" s="137">
        <v>1</v>
      </c>
      <c r="F985" s="232">
        <v>75741494</v>
      </c>
      <c r="G985" s="232">
        <v>17120625</v>
      </c>
      <c r="H985" s="138">
        <f t="shared" si="97"/>
        <v>92862119</v>
      </c>
      <c r="I985" s="138">
        <f t="shared" si="98"/>
        <v>92862119</v>
      </c>
      <c r="J985" s="115"/>
    </row>
    <row r="986" spans="1:10" s="16" customFormat="1" ht="25.5" outlineLevel="3">
      <c r="A986" s="91"/>
      <c r="B986" s="35">
        <f>MAXA(B$5:B985)+1</f>
        <v>372</v>
      </c>
      <c r="C986" s="156" t="s">
        <v>1585</v>
      </c>
      <c r="D986" s="136" t="s">
        <v>44</v>
      </c>
      <c r="E986" s="137">
        <v>2</v>
      </c>
      <c r="F986" s="232">
        <v>49046531</v>
      </c>
      <c r="G986" s="232">
        <v>1141375</v>
      </c>
      <c r="H986" s="138">
        <f t="shared" si="97"/>
        <v>50187906</v>
      </c>
      <c r="I986" s="138">
        <f t="shared" si="98"/>
        <v>100375812</v>
      </c>
      <c r="J986" s="115"/>
    </row>
    <row r="987" spans="1:10" s="16" customFormat="1" ht="25.5" outlineLevel="3">
      <c r="A987" s="91"/>
      <c r="B987" s="35">
        <f>MAXA(B$5:B986)+1</f>
        <v>373</v>
      </c>
      <c r="C987" s="156" t="s">
        <v>1613</v>
      </c>
      <c r="D987" s="136" t="s">
        <v>44</v>
      </c>
      <c r="E987" s="137">
        <v>8</v>
      </c>
      <c r="F987" s="232">
        <v>34079631</v>
      </c>
      <c r="G987" s="232">
        <v>1141375</v>
      </c>
      <c r="H987" s="138">
        <f t="shared" si="97"/>
        <v>35221006</v>
      </c>
      <c r="I987" s="138">
        <f t="shared" si="98"/>
        <v>281768048</v>
      </c>
      <c r="J987" s="115"/>
    </row>
    <row r="988" spans="1:10" s="16" customFormat="1" ht="25.5" outlineLevel="3">
      <c r="A988" s="91"/>
      <c r="B988" s="35">
        <f>MAXA(B$5:B987)+1</f>
        <v>374</v>
      </c>
      <c r="C988" s="156" t="s">
        <v>1610</v>
      </c>
      <c r="D988" s="230" t="s">
        <v>25</v>
      </c>
      <c r="E988" s="137">
        <v>300</v>
      </c>
      <c r="F988" s="232">
        <v>67351</v>
      </c>
      <c r="G988" s="232">
        <v>11414</v>
      </c>
      <c r="H988" s="138">
        <f t="shared" si="97"/>
        <v>78765</v>
      </c>
      <c r="I988" s="138">
        <f t="shared" si="98"/>
        <v>23629500</v>
      </c>
      <c r="J988" s="115"/>
    </row>
    <row r="989" spans="1:10" s="16" customFormat="1" ht="25.5" outlineLevel="3">
      <c r="A989" s="91"/>
      <c r="B989" s="35">
        <f>MAXA(B$5:B988)+1</f>
        <v>375</v>
      </c>
      <c r="C989" s="156" t="s">
        <v>1614</v>
      </c>
      <c r="D989" s="230" t="s">
        <v>25</v>
      </c>
      <c r="E989" s="137">
        <v>180</v>
      </c>
      <c r="F989" s="232">
        <v>32927</v>
      </c>
      <c r="G989" s="232">
        <v>11414</v>
      </c>
      <c r="H989" s="138">
        <f t="shared" si="97"/>
        <v>44341</v>
      </c>
      <c r="I989" s="138">
        <f t="shared" si="98"/>
        <v>7981380</v>
      </c>
      <c r="J989" s="115"/>
    </row>
    <row r="990" spans="1:10" s="16" customFormat="1" ht="25.5" outlineLevel="3">
      <c r="A990" s="91"/>
      <c r="B990" s="35">
        <f>MAXA(B$5:B989)+1</f>
        <v>376</v>
      </c>
      <c r="C990" s="156" t="s">
        <v>1615</v>
      </c>
      <c r="D990" s="230" t="s">
        <v>25</v>
      </c>
      <c r="E990" s="137">
        <v>180</v>
      </c>
      <c r="F990" s="232">
        <v>32927</v>
      </c>
      <c r="G990" s="232">
        <v>11414</v>
      </c>
      <c r="H990" s="138">
        <f t="shared" si="97"/>
        <v>44341</v>
      </c>
      <c r="I990" s="138">
        <f t="shared" si="98"/>
        <v>7981380</v>
      </c>
      <c r="J990" s="115"/>
    </row>
    <row r="991" spans="1:10" s="16" customFormat="1" ht="25.5" outlineLevel="3">
      <c r="A991" s="91"/>
      <c r="B991" s="35">
        <f>MAXA(B$5:B990)+1</f>
        <v>377</v>
      </c>
      <c r="C991" s="165" t="s">
        <v>1551</v>
      </c>
      <c r="D991" s="136" t="s">
        <v>38</v>
      </c>
      <c r="E991" s="137">
        <v>1</v>
      </c>
      <c r="F991" s="232">
        <v>5986760</v>
      </c>
      <c r="G991" s="232">
        <v>2282750</v>
      </c>
      <c r="H991" s="138">
        <f t="shared" si="97"/>
        <v>8269510</v>
      </c>
      <c r="I991" s="138">
        <f t="shared" si="98"/>
        <v>8269510</v>
      </c>
      <c r="J991" s="115"/>
    </row>
    <row r="992" spans="1:10" s="16" customFormat="1" ht="25.5" outlineLevel="3">
      <c r="A992" s="91"/>
      <c r="B992" s="35">
        <f>MAXA(B$5:B991)+1</f>
        <v>378</v>
      </c>
      <c r="C992" s="156" t="s">
        <v>1594</v>
      </c>
      <c r="D992" s="136" t="s">
        <v>44</v>
      </c>
      <c r="E992" s="137">
        <v>1</v>
      </c>
      <c r="F992" s="232">
        <v>7561278</v>
      </c>
      <c r="G992" s="232">
        <v>228275</v>
      </c>
      <c r="H992" s="138">
        <f t="shared" si="97"/>
        <v>7789553</v>
      </c>
      <c r="I992" s="138">
        <f t="shared" si="98"/>
        <v>7789553</v>
      </c>
      <c r="J992" s="115"/>
    </row>
    <row r="993" spans="1:10" s="16" customFormat="1" ht="25.5" outlineLevel="3">
      <c r="A993" s="91"/>
      <c r="B993" s="35">
        <f>MAXA(B$5:B992)+1</f>
        <v>379</v>
      </c>
      <c r="C993" s="156" t="s">
        <v>1595</v>
      </c>
      <c r="D993" s="136" t="s">
        <v>28</v>
      </c>
      <c r="E993" s="137">
        <v>1</v>
      </c>
      <c r="F993" s="232">
        <v>6735105</v>
      </c>
      <c r="G993" s="232">
        <v>228275</v>
      </c>
      <c r="H993" s="138">
        <f t="shared" si="97"/>
        <v>6963380</v>
      </c>
      <c r="I993" s="138">
        <f t="shared" si="98"/>
        <v>6963380</v>
      </c>
      <c r="J993" s="115"/>
    </row>
    <row r="994" spans="1:10" s="33" customFormat="1" ht="25.5" outlineLevel="3">
      <c r="A994" s="100"/>
      <c r="B994" s="35"/>
      <c r="C994" s="387" t="s">
        <v>1596</v>
      </c>
      <c r="D994" s="386"/>
      <c r="E994" s="377"/>
      <c r="F994" s="232">
        <v>0</v>
      </c>
      <c r="G994" s="232">
        <v>0</v>
      </c>
      <c r="H994" s="339"/>
      <c r="I994" s="339"/>
      <c r="J994" s="115"/>
    </row>
    <row r="995" spans="1:10" s="16" customFormat="1" ht="25.5" outlineLevel="3">
      <c r="A995" s="91"/>
      <c r="B995" s="35">
        <f>MAXA(B$5:B994)+1</f>
        <v>380</v>
      </c>
      <c r="C995" s="156" t="s">
        <v>1597</v>
      </c>
      <c r="D995" s="136" t="s">
        <v>28</v>
      </c>
      <c r="E995" s="137">
        <v>6</v>
      </c>
      <c r="F995" s="232">
        <v>66447796</v>
      </c>
      <c r="G995" s="232">
        <v>604433</v>
      </c>
      <c r="H995" s="138">
        <f t="shared" ref="H995:H1010" si="99">G995+F995</f>
        <v>67052229</v>
      </c>
      <c r="I995" s="138">
        <f t="shared" ref="I995:I1010" si="100">H995*E995</f>
        <v>402313374</v>
      </c>
      <c r="J995" s="115"/>
    </row>
    <row r="996" spans="1:10" s="16" customFormat="1" ht="25.5" outlineLevel="3">
      <c r="A996" s="91"/>
      <c r="B996" s="35">
        <f>MAXA(B$5:B995)+1</f>
        <v>381</v>
      </c>
      <c r="C996" s="156" t="s">
        <v>1598</v>
      </c>
      <c r="D996" s="136" t="s">
        <v>28</v>
      </c>
      <c r="E996" s="137">
        <v>1</v>
      </c>
      <c r="F996" s="232">
        <v>37492085</v>
      </c>
      <c r="G996" s="232">
        <v>1141375</v>
      </c>
      <c r="H996" s="138">
        <f t="shared" si="99"/>
        <v>38633460</v>
      </c>
      <c r="I996" s="138">
        <f t="shared" si="100"/>
        <v>38633460</v>
      </c>
      <c r="J996" s="115"/>
    </row>
    <row r="997" spans="1:10" s="16" customFormat="1" ht="25.5" outlineLevel="3">
      <c r="A997" s="91"/>
      <c r="B997" s="35">
        <f>MAXA(B$5:B996)+1</f>
        <v>382</v>
      </c>
      <c r="C997" s="156" t="s">
        <v>1599</v>
      </c>
      <c r="D997" s="136" t="s">
        <v>44</v>
      </c>
      <c r="E997" s="137">
        <v>1</v>
      </c>
      <c r="F997" s="232">
        <v>4475103</v>
      </c>
      <c r="G997" s="232">
        <v>342413</v>
      </c>
      <c r="H997" s="138">
        <f t="shared" si="99"/>
        <v>4817516</v>
      </c>
      <c r="I997" s="138">
        <f t="shared" si="100"/>
        <v>4817516</v>
      </c>
      <c r="J997" s="115"/>
    </row>
    <row r="998" spans="1:10" s="16" customFormat="1" ht="25.5" outlineLevel="3">
      <c r="A998" s="91"/>
      <c r="B998" s="35">
        <f>MAXA(B$5:B997)+1</f>
        <v>383</v>
      </c>
      <c r="C998" s="156" t="s">
        <v>1600</v>
      </c>
      <c r="D998" s="136" t="s">
        <v>28</v>
      </c>
      <c r="E998" s="137">
        <v>1</v>
      </c>
      <c r="F998" s="232">
        <v>47102331</v>
      </c>
      <c r="G998" s="232">
        <v>570688</v>
      </c>
      <c r="H998" s="138">
        <f t="shared" si="99"/>
        <v>47673019</v>
      </c>
      <c r="I998" s="138">
        <f t="shared" si="100"/>
        <v>47673019</v>
      </c>
      <c r="J998" s="115"/>
    </row>
    <row r="999" spans="1:10" s="16" customFormat="1" ht="25.5" outlineLevel="3">
      <c r="A999" s="91"/>
      <c r="B999" s="35">
        <f>MAXA(B$5:B998)+1</f>
        <v>384</v>
      </c>
      <c r="C999" s="156" t="s">
        <v>1601</v>
      </c>
      <c r="D999" s="136" t="s">
        <v>44</v>
      </c>
      <c r="E999" s="137">
        <v>1</v>
      </c>
      <c r="F999" s="232">
        <v>129436745</v>
      </c>
      <c r="G999" s="232">
        <v>6848250</v>
      </c>
      <c r="H999" s="138">
        <f t="shared" si="99"/>
        <v>136284995</v>
      </c>
      <c r="I999" s="138">
        <f t="shared" si="100"/>
        <v>136284995</v>
      </c>
      <c r="J999" s="115"/>
    </row>
    <row r="1000" spans="1:10" s="16" customFormat="1" ht="25.5" outlineLevel="3">
      <c r="A1000" s="91"/>
      <c r="B1000" s="35">
        <f>MAXA(B$5:B999)+1</f>
        <v>385</v>
      </c>
      <c r="C1000" s="156" t="s">
        <v>1616</v>
      </c>
      <c r="D1000" s="136" t="s">
        <v>28</v>
      </c>
      <c r="E1000" s="137">
        <v>1</v>
      </c>
      <c r="F1000" s="232">
        <v>7333781</v>
      </c>
      <c r="G1000" s="232">
        <v>1141375</v>
      </c>
      <c r="H1000" s="138">
        <f t="shared" si="99"/>
        <v>8475156</v>
      </c>
      <c r="I1000" s="138">
        <f t="shared" si="100"/>
        <v>8475156</v>
      </c>
      <c r="J1000" s="115"/>
    </row>
    <row r="1001" spans="1:10" s="16" customFormat="1" ht="25.5" outlineLevel="3">
      <c r="A1001" s="91"/>
      <c r="B1001" s="35">
        <f>MAXA(B$5:B1000)+1</f>
        <v>386</v>
      </c>
      <c r="C1001" s="156" t="s">
        <v>1617</v>
      </c>
      <c r="D1001" s="136" t="s">
        <v>28</v>
      </c>
      <c r="E1001" s="137">
        <v>4</v>
      </c>
      <c r="F1001" s="232">
        <v>41488247</v>
      </c>
      <c r="G1001" s="232">
        <v>1141375</v>
      </c>
      <c r="H1001" s="138">
        <f t="shared" si="99"/>
        <v>42629622</v>
      </c>
      <c r="I1001" s="138">
        <f t="shared" si="100"/>
        <v>170518488</v>
      </c>
      <c r="J1001" s="115"/>
    </row>
    <row r="1002" spans="1:10" s="16" customFormat="1" ht="25.5" outlineLevel="3">
      <c r="A1002" s="91"/>
      <c r="B1002" s="35">
        <f>MAXA(B$5:B1001)+1</f>
        <v>387</v>
      </c>
      <c r="C1002" s="156" t="s">
        <v>1602</v>
      </c>
      <c r="D1002" s="230" t="s">
        <v>25</v>
      </c>
      <c r="E1002" s="137">
        <v>600</v>
      </c>
      <c r="F1002" s="232">
        <v>74835</v>
      </c>
      <c r="G1002" s="232">
        <v>11414</v>
      </c>
      <c r="H1002" s="138">
        <f t="shared" si="99"/>
        <v>86249</v>
      </c>
      <c r="I1002" s="138">
        <f t="shared" si="100"/>
        <v>51749400</v>
      </c>
      <c r="J1002" s="115"/>
    </row>
    <row r="1003" spans="1:10" s="16" customFormat="1" ht="25.5" outlineLevel="3">
      <c r="A1003" s="91"/>
      <c r="B1003" s="35">
        <f>MAXA(B$5:B1002)+1</f>
        <v>388</v>
      </c>
      <c r="C1003" s="156" t="s">
        <v>1618</v>
      </c>
      <c r="D1003" s="230" t="s">
        <v>25</v>
      </c>
      <c r="E1003" s="137">
        <v>300</v>
      </c>
      <c r="F1003" s="232">
        <v>37417</v>
      </c>
      <c r="G1003" s="232">
        <v>11414</v>
      </c>
      <c r="H1003" s="138">
        <f t="shared" si="99"/>
        <v>48831</v>
      </c>
      <c r="I1003" s="138">
        <f t="shared" si="100"/>
        <v>14649300</v>
      </c>
      <c r="J1003" s="115"/>
    </row>
    <row r="1004" spans="1:10" s="16" customFormat="1" ht="25.5" outlineLevel="3">
      <c r="A1004" s="91"/>
      <c r="B1004" s="35">
        <f>MAXA(B$5:B1003)+1</f>
        <v>389</v>
      </c>
      <c r="C1004" s="156" t="s">
        <v>1619</v>
      </c>
      <c r="D1004" s="230" t="s">
        <v>25</v>
      </c>
      <c r="E1004" s="137">
        <v>300</v>
      </c>
      <c r="F1004" s="232">
        <v>26940</v>
      </c>
      <c r="G1004" s="232">
        <v>11414</v>
      </c>
      <c r="H1004" s="138">
        <f t="shared" si="99"/>
        <v>38354</v>
      </c>
      <c r="I1004" s="138">
        <f t="shared" si="100"/>
        <v>11506200</v>
      </c>
      <c r="J1004" s="115"/>
    </row>
    <row r="1005" spans="1:10" s="16" customFormat="1" ht="25.5" outlineLevel="3">
      <c r="A1005" s="91"/>
      <c r="B1005" s="35">
        <f>MAXA(B$5:B1004)+1</f>
        <v>390</v>
      </c>
      <c r="C1005" s="156" t="s">
        <v>1620</v>
      </c>
      <c r="D1005" s="230" t="s">
        <v>25</v>
      </c>
      <c r="E1005" s="137">
        <v>2510</v>
      </c>
      <c r="F1005" s="232">
        <v>10412</v>
      </c>
      <c r="G1005" s="232">
        <v>16674</v>
      </c>
      <c r="H1005" s="138">
        <f t="shared" si="99"/>
        <v>27086</v>
      </c>
      <c r="I1005" s="138">
        <f t="shared" si="100"/>
        <v>67985860</v>
      </c>
      <c r="J1005" s="115"/>
    </row>
    <row r="1006" spans="1:10" s="16" customFormat="1" ht="25.5" outlineLevel="3">
      <c r="A1006" s="91"/>
      <c r="B1006" s="35">
        <f>MAXA(B$5:B1005)+1</f>
        <v>391</v>
      </c>
      <c r="C1006" s="156" t="s">
        <v>1621</v>
      </c>
      <c r="D1006" s="230" t="s">
        <v>25</v>
      </c>
      <c r="E1006" s="137">
        <v>500</v>
      </c>
      <c r="F1006" s="232">
        <v>4605</v>
      </c>
      <c r="G1006" s="232">
        <v>2853</v>
      </c>
      <c r="H1006" s="138">
        <f t="shared" si="99"/>
        <v>7458</v>
      </c>
      <c r="I1006" s="138">
        <f t="shared" si="100"/>
        <v>3729000</v>
      </c>
      <c r="J1006" s="115"/>
    </row>
    <row r="1007" spans="1:10" s="16" customFormat="1" ht="25.5" outlineLevel="3">
      <c r="A1007" s="91"/>
      <c r="B1007" s="35">
        <f>MAXA(B$5:B1006)+1</f>
        <v>392</v>
      </c>
      <c r="C1007" s="165" t="s">
        <v>1622</v>
      </c>
      <c r="D1007" s="136" t="s">
        <v>38</v>
      </c>
      <c r="E1007" s="137">
        <v>1</v>
      </c>
      <c r="F1007" s="232">
        <v>29913836</v>
      </c>
      <c r="G1007" s="232">
        <v>5982767</v>
      </c>
      <c r="H1007" s="138">
        <f t="shared" si="99"/>
        <v>35896603</v>
      </c>
      <c r="I1007" s="138">
        <f t="shared" si="100"/>
        <v>35896603</v>
      </c>
      <c r="J1007" s="115"/>
    </row>
    <row r="1008" spans="1:10" s="16" customFormat="1" ht="63.75" outlineLevel="3">
      <c r="A1008" s="91"/>
      <c r="B1008" s="35">
        <f>MAXA(B$5:B1007)+1</f>
        <v>393</v>
      </c>
      <c r="C1008" s="388" t="s">
        <v>1623</v>
      </c>
      <c r="D1008" s="136" t="s">
        <v>44</v>
      </c>
      <c r="E1008" s="137">
        <v>2</v>
      </c>
      <c r="F1008" s="232">
        <v>295657651</v>
      </c>
      <c r="G1008" s="232">
        <v>21683346</v>
      </c>
      <c r="H1008" s="138">
        <f t="shared" si="99"/>
        <v>317340997</v>
      </c>
      <c r="I1008" s="138">
        <f t="shared" si="100"/>
        <v>634681994</v>
      </c>
      <c r="J1008" s="115"/>
    </row>
    <row r="1009" spans="1:10" s="16" customFormat="1" ht="25.5" outlineLevel="3">
      <c r="A1009" s="91"/>
      <c r="B1009" s="35">
        <f>MAXA(B$5:B1008)+1</f>
        <v>394</v>
      </c>
      <c r="C1009" s="156" t="s">
        <v>1624</v>
      </c>
      <c r="D1009" s="136" t="s">
        <v>44</v>
      </c>
      <c r="E1009" s="137">
        <v>4</v>
      </c>
      <c r="F1009" s="232">
        <v>4190732</v>
      </c>
      <c r="G1009" s="232">
        <v>228275</v>
      </c>
      <c r="H1009" s="138">
        <f t="shared" si="99"/>
        <v>4419007</v>
      </c>
      <c r="I1009" s="138">
        <f t="shared" si="100"/>
        <v>17676028</v>
      </c>
      <c r="J1009" s="115"/>
    </row>
    <row r="1010" spans="1:10" s="16" customFormat="1" ht="25.5" outlineLevel="3">
      <c r="A1010" s="91"/>
      <c r="B1010" s="35">
        <f>MAXA(B$5:B1009)+1</f>
        <v>395</v>
      </c>
      <c r="C1010" s="156" t="s">
        <v>1605</v>
      </c>
      <c r="D1010" s="136" t="s">
        <v>28</v>
      </c>
      <c r="E1010" s="137">
        <v>1</v>
      </c>
      <c r="F1010" s="232">
        <v>4490070</v>
      </c>
      <c r="G1010" s="232">
        <v>570688</v>
      </c>
      <c r="H1010" s="138">
        <f t="shared" si="99"/>
        <v>5060758</v>
      </c>
      <c r="I1010" s="138">
        <f t="shared" si="100"/>
        <v>5060758</v>
      </c>
      <c r="J1010" s="115"/>
    </row>
    <row r="1011" spans="1:10" s="33" customFormat="1" ht="27" outlineLevel="3">
      <c r="A1011" s="100"/>
      <c r="B1011" s="38" t="s">
        <v>542</v>
      </c>
      <c r="C1011" s="389" t="s">
        <v>1625</v>
      </c>
      <c r="D1011" s="363"/>
      <c r="E1011" s="390"/>
      <c r="F1011" s="232">
        <v>0</v>
      </c>
      <c r="G1011" s="232">
        <v>0</v>
      </c>
      <c r="H1011" s="339"/>
      <c r="I1011" s="180">
        <f>SUBTOTAL(9,I1012:I1053)</f>
        <v>6110338559</v>
      </c>
      <c r="J1011" s="115"/>
    </row>
    <row r="1012" spans="1:10" s="16" customFormat="1" ht="25.5" outlineLevel="3">
      <c r="A1012" s="91"/>
      <c r="B1012" s="35">
        <f>MAXA(B$5:B1011)+1</f>
        <v>396</v>
      </c>
      <c r="C1012" s="156" t="s">
        <v>505</v>
      </c>
      <c r="D1012" s="136" t="s">
        <v>44</v>
      </c>
      <c r="E1012" s="362">
        <v>6</v>
      </c>
      <c r="F1012" s="232">
        <v>30647050</v>
      </c>
      <c r="G1012" s="232">
        <v>863475</v>
      </c>
      <c r="H1012" s="138">
        <f t="shared" ref="H1012:H1033" si="101">G1012+F1012</f>
        <v>31510525</v>
      </c>
      <c r="I1012" s="138">
        <f t="shared" ref="I1012:I1033" si="102">H1012*E1012</f>
        <v>189063150</v>
      </c>
      <c r="J1012" s="122"/>
    </row>
    <row r="1013" spans="1:10" s="16" customFormat="1" ht="25.5" outlineLevel="3">
      <c r="A1013" s="91"/>
      <c r="B1013" s="35">
        <f>MAXA(B$5:B1012)+1</f>
        <v>397</v>
      </c>
      <c r="C1013" s="156" t="s">
        <v>1626</v>
      </c>
      <c r="D1013" s="136" t="s">
        <v>44</v>
      </c>
      <c r="E1013" s="362">
        <v>1</v>
      </c>
      <c r="F1013" s="232">
        <v>55485296</v>
      </c>
      <c r="G1013" s="232">
        <v>431738</v>
      </c>
      <c r="H1013" s="138">
        <f t="shared" si="101"/>
        <v>55917034</v>
      </c>
      <c r="I1013" s="138">
        <f t="shared" si="102"/>
        <v>55917034</v>
      </c>
      <c r="J1013" s="122"/>
    </row>
    <row r="1014" spans="1:10" s="16" customFormat="1" ht="25.5" outlineLevel="3">
      <c r="A1014" s="91"/>
      <c r="B1014" s="35">
        <f>MAXA(B$5:B1013)+1</f>
        <v>398</v>
      </c>
      <c r="C1014" s="156" t="s">
        <v>1627</v>
      </c>
      <c r="D1014" s="136" t="s">
        <v>44</v>
      </c>
      <c r="E1014" s="362">
        <v>1</v>
      </c>
      <c r="F1014" s="232">
        <v>0</v>
      </c>
      <c r="G1014" s="232">
        <v>0</v>
      </c>
      <c r="H1014" s="138">
        <f t="shared" si="101"/>
        <v>0</v>
      </c>
      <c r="I1014" s="138">
        <f t="shared" si="102"/>
        <v>0</v>
      </c>
      <c r="J1014" s="122"/>
    </row>
    <row r="1015" spans="1:10" s="16" customFormat="1" ht="25.5" outlineLevel="3">
      <c r="A1015" s="91"/>
      <c r="B1015" s="35">
        <f>MAXA(B$5:B1014)+1</f>
        <v>399</v>
      </c>
      <c r="C1015" s="156" t="s">
        <v>1628</v>
      </c>
      <c r="D1015" s="136" t="s">
        <v>44</v>
      </c>
      <c r="E1015" s="362">
        <v>1</v>
      </c>
      <c r="F1015" s="232">
        <v>97773359</v>
      </c>
      <c r="G1015" s="232">
        <v>863475</v>
      </c>
      <c r="H1015" s="138">
        <f t="shared" si="101"/>
        <v>98636834</v>
      </c>
      <c r="I1015" s="138">
        <f t="shared" si="102"/>
        <v>98636834</v>
      </c>
      <c r="J1015" s="122"/>
    </row>
    <row r="1016" spans="1:10" s="16" customFormat="1" ht="25.5" outlineLevel="3">
      <c r="A1016" s="91"/>
      <c r="B1016" s="35">
        <f>MAXA(B$5:B1015)+1</f>
        <v>400</v>
      </c>
      <c r="C1016" s="156" t="s">
        <v>1629</v>
      </c>
      <c r="D1016" s="136" t="s">
        <v>44</v>
      </c>
      <c r="E1016" s="362">
        <v>1</v>
      </c>
      <c r="F1016" s="232">
        <v>0</v>
      </c>
      <c r="G1016" s="232">
        <v>0</v>
      </c>
      <c r="H1016" s="138">
        <f t="shared" si="101"/>
        <v>0</v>
      </c>
      <c r="I1016" s="138">
        <f t="shared" si="102"/>
        <v>0</v>
      </c>
      <c r="J1016" s="122"/>
    </row>
    <row r="1017" spans="1:10" s="16" customFormat="1" ht="25.5" outlineLevel="3">
      <c r="A1017" s="91"/>
      <c r="B1017" s="35">
        <f>MAXA(B$5:B1016)+1</f>
        <v>401</v>
      </c>
      <c r="C1017" s="156" t="s">
        <v>510</v>
      </c>
      <c r="D1017" s="136" t="s">
        <v>44</v>
      </c>
      <c r="E1017" s="362">
        <v>1</v>
      </c>
      <c r="F1017" s="232">
        <v>13455799</v>
      </c>
      <c r="G1017" s="232">
        <v>198659</v>
      </c>
      <c r="H1017" s="138">
        <f t="shared" si="101"/>
        <v>13654458</v>
      </c>
      <c r="I1017" s="138">
        <f t="shared" si="102"/>
        <v>13654458</v>
      </c>
      <c r="J1017" s="122"/>
    </row>
    <row r="1018" spans="1:10" s="16" customFormat="1" ht="25.5" outlineLevel="3">
      <c r="A1018" s="91"/>
      <c r="B1018" s="35">
        <f>MAXA(B$5:B1017)+1</f>
        <v>402</v>
      </c>
      <c r="C1018" s="156" t="s">
        <v>511</v>
      </c>
      <c r="D1018" s="136" t="s">
        <v>44</v>
      </c>
      <c r="E1018" s="362">
        <v>2</v>
      </c>
      <c r="F1018" s="232">
        <v>14486729</v>
      </c>
      <c r="G1018" s="232">
        <v>215928</v>
      </c>
      <c r="H1018" s="138">
        <f t="shared" si="101"/>
        <v>14702657</v>
      </c>
      <c r="I1018" s="138">
        <f t="shared" si="102"/>
        <v>29405314</v>
      </c>
      <c r="J1018" s="122"/>
    </row>
    <row r="1019" spans="1:10" s="16" customFormat="1" ht="25.5" outlineLevel="3">
      <c r="A1019" s="91"/>
      <c r="B1019" s="35">
        <f>MAXA(B$5:B1018)+1</f>
        <v>403</v>
      </c>
      <c r="C1019" s="156" t="s">
        <v>512</v>
      </c>
      <c r="D1019" s="136" t="s">
        <v>44</v>
      </c>
      <c r="E1019" s="362">
        <v>1</v>
      </c>
      <c r="F1019" s="232">
        <v>0</v>
      </c>
      <c r="G1019" s="232">
        <v>0</v>
      </c>
      <c r="H1019" s="138">
        <f t="shared" si="101"/>
        <v>0</v>
      </c>
      <c r="I1019" s="138">
        <f t="shared" si="102"/>
        <v>0</v>
      </c>
      <c r="J1019" s="122"/>
    </row>
    <row r="1020" spans="1:10" s="16" customFormat="1" ht="25.5" outlineLevel="3">
      <c r="A1020" s="91"/>
      <c r="B1020" s="35">
        <f>MAXA(B$5:B1019)+1</f>
        <v>404</v>
      </c>
      <c r="C1020" s="156" t="s">
        <v>1630</v>
      </c>
      <c r="D1020" s="136" t="s">
        <v>44</v>
      </c>
      <c r="E1020" s="362">
        <v>1</v>
      </c>
      <c r="F1020" s="232">
        <v>0</v>
      </c>
      <c r="G1020" s="232">
        <v>0</v>
      </c>
      <c r="H1020" s="138">
        <f t="shared" si="101"/>
        <v>0</v>
      </c>
      <c r="I1020" s="138">
        <f t="shared" si="102"/>
        <v>0</v>
      </c>
      <c r="J1020" s="122"/>
    </row>
    <row r="1021" spans="1:10" s="16" customFormat="1" ht="25.5" outlineLevel="3">
      <c r="A1021" s="91"/>
      <c r="B1021" s="35">
        <f>MAXA(B$5:B1020)+1</f>
        <v>405</v>
      </c>
      <c r="C1021" s="156" t="s">
        <v>1631</v>
      </c>
      <c r="D1021" s="136" t="s">
        <v>44</v>
      </c>
      <c r="E1021" s="362">
        <v>1</v>
      </c>
      <c r="F1021" s="232">
        <v>0</v>
      </c>
      <c r="G1021" s="232">
        <v>0</v>
      </c>
      <c r="H1021" s="138">
        <f t="shared" si="101"/>
        <v>0</v>
      </c>
      <c r="I1021" s="138">
        <f t="shared" si="102"/>
        <v>0</v>
      </c>
      <c r="J1021" s="122"/>
    </row>
    <row r="1022" spans="1:10" s="16" customFormat="1" ht="25.5" outlineLevel="3">
      <c r="A1022" s="91"/>
      <c r="B1022" s="35">
        <f>MAXA(B$5:B1021)+1</f>
        <v>406</v>
      </c>
      <c r="C1022" s="156" t="s">
        <v>1632</v>
      </c>
      <c r="D1022" s="136" t="s">
        <v>44</v>
      </c>
      <c r="E1022" s="362">
        <v>70</v>
      </c>
      <c r="F1022" s="232">
        <v>2541832</v>
      </c>
      <c r="G1022" s="232">
        <v>189965</v>
      </c>
      <c r="H1022" s="138">
        <f t="shared" si="101"/>
        <v>2731797</v>
      </c>
      <c r="I1022" s="138">
        <f t="shared" si="102"/>
        <v>191225790</v>
      </c>
      <c r="J1022" s="122"/>
    </row>
    <row r="1023" spans="1:10" s="16" customFormat="1" ht="25.5" outlineLevel="3">
      <c r="A1023" s="91"/>
      <c r="B1023" s="35">
        <f>MAXA(B$5:B1022)+1</f>
        <v>407</v>
      </c>
      <c r="C1023" s="156" t="s">
        <v>1633</v>
      </c>
      <c r="D1023" s="136" t="s">
        <v>44</v>
      </c>
      <c r="E1023" s="362">
        <v>30</v>
      </c>
      <c r="F1023" s="232">
        <v>3204981</v>
      </c>
      <c r="G1023" s="232">
        <v>189965</v>
      </c>
      <c r="H1023" s="138">
        <f t="shared" si="101"/>
        <v>3394946</v>
      </c>
      <c r="I1023" s="138">
        <f t="shared" si="102"/>
        <v>101848380</v>
      </c>
      <c r="J1023" s="122"/>
    </row>
    <row r="1024" spans="1:10" s="16" customFormat="1" ht="25.5" outlineLevel="3">
      <c r="A1024" s="91"/>
      <c r="B1024" s="35">
        <f>MAXA(B$5:B1023)+1</f>
        <v>408</v>
      </c>
      <c r="C1024" s="156" t="s">
        <v>1634</v>
      </c>
      <c r="D1024" s="136" t="s">
        <v>44</v>
      </c>
      <c r="E1024" s="362">
        <v>17</v>
      </c>
      <c r="F1024" s="232">
        <v>661362</v>
      </c>
      <c r="G1024" s="232">
        <v>129581</v>
      </c>
      <c r="H1024" s="138">
        <f t="shared" si="101"/>
        <v>790943</v>
      </c>
      <c r="I1024" s="138">
        <f t="shared" si="102"/>
        <v>13446031</v>
      </c>
      <c r="J1024" s="122"/>
    </row>
    <row r="1025" spans="1:10" s="16" customFormat="1" ht="25.5" outlineLevel="3">
      <c r="A1025" s="91"/>
      <c r="B1025" s="35">
        <f>MAXA(B$5:B1024)+1</f>
        <v>409</v>
      </c>
      <c r="C1025" s="156" t="s">
        <v>1635</v>
      </c>
      <c r="D1025" s="136" t="s">
        <v>44</v>
      </c>
      <c r="E1025" s="362">
        <v>6</v>
      </c>
      <c r="F1025" s="232">
        <v>3257623</v>
      </c>
      <c r="G1025" s="232">
        <v>129581</v>
      </c>
      <c r="H1025" s="138">
        <f t="shared" si="101"/>
        <v>3387204</v>
      </c>
      <c r="I1025" s="138">
        <f t="shared" si="102"/>
        <v>20323224</v>
      </c>
      <c r="J1025" s="122"/>
    </row>
    <row r="1026" spans="1:10" s="16" customFormat="1" ht="25.5" outlineLevel="3">
      <c r="A1026" s="91"/>
      <c r="B1026" s="35">
        <f>MAXA(B$5:B1025)+1</f>
        <v>410</v>
      </c>
      <c r="C1026" s="156" t="s">
        <v>1636</v>
      </c>
      <c r="D1026" s="136" t="s">
        <v>44</v>
      </c>
      <c r="E1026" s="362">
        <v>5</v>
      </c>
      <c r="F1026" s="232">
        <v>2056142</v>
      </c>
      <c r="G1026" s="232">
        <v>129581</v>
      </c>
      <c r="H1026" s="138">
        <f t="shared" si="101"/>
        <v>2185723</v>
      </c>
      <c r="I1026" s="138">
        <f t="shared" si="102"/>
        <v>10928615</v>
      </c>
      <c r="J1026" s="122"/>
    </row>
    <row r="1027" spans="1:10" s="16" customFormat="1" ht="76.5" outlineLevel="3">
      <c r="A1027" s="91"/>
      <c r="B1027" s="35">
        <f>MAXA(B$5:B1026)+1</f>
        <v>411</v>
      </c>
      <c r="C1027" s="272" t="s">
        <v>518</v>
      </c>
      <c r="D1027" s="136" t="s">
        <v>44</v>
      </c>
      <c r="E1027" s="362">
        <v>1</v>
      </c>
      <c r="F1027" s="232">
        <v>41296734</v>
      </c>
      <c r="G1027" s="232">
        <v>604433</v>
      </c>
      <c r="H1027" s="138">
        <f t="shared" si="101"/>
        <v>41901167</v>
      </c>
      <c r="I1027" s="138">
        <f t="shared" si="102"/>
        <v>41901167</v>
      </c>
      <c r="J1027" s="122"/>
    </row>
    <row r="1028" spans="1:10" s="16" customFormat="1" ht="25.5" outlineLevel="3">
      <c r="A1028" s="91"/>
      <c r="B1028" s="35">
        <f>MAXA(B$5:B1027)+1</f>
        <v>412</v>
      </c>
      <c r="C1028" s="256" t="s">
        <v>519</v>
      </c>
      <c r="D1028" s="136" t="s">
        <v>44</v>
      </c>
      <c r="E1028" s="362">
        <v>1</v>
      </c>
      <c r="F1028" s="232">
        <v>131794869</v>
      </c>
      <c r="G1028" s="232">
        <v>2453222</v>
      </c>
      <c r="H1028" s="138">
        <f t="shared" si="101"/>
        <v>134248091</v>
      </c>
      <c r="I1028" s="138">
        <f t="shared" si="102"/>
        <v>134248091</v>
      </c>
      <c r="J1028" s="122"/>
    </row>
    <row r="1029" spans="1:10" s="16" customFormat="1" ht="25.5" outlineLevel="3">
      <c r="A1029" s="91"/>
      <c r="B1029" s="35">
        <f>MAXA(B$5:B1028)+1</f>
        <v>413</v>
      </c>
      <c r="C1029" s="256" t="s">
        <v>520</v>
      </c>
      <c r="D1029" s="230" t="s">
        <v>25</v>
      </c>
      <c r="E1029" s="362">
        <v>3000</v>
      </c>
      <c r="F1029" s="232">
        <v>37154</v>
      </c>
      <c r="G1029" s="232">
        <v>6410</v>
      </c>
      <c r="H1029" s="138">
        <f t="shared" si="101"/>
        <v>43564</v>
      </c>
      <c r="I1029" s="138">
        <f t="shared" si="102"/>
        <v>130692000</v>
      </c>
      <c r="J1029" s="122"/>
    </row>
    <row r="1030" spans="1:10" s="16" customFormat="1" ht="25.5" outlineLevel="3">
      <c r="A1030" s="91"/>
      <c r="B1030" s="35">
        <f>MAXA(B$5:B1029)+1</f>
        <v>414</v>
      </c>
      <c r="C1030" s="256" t="s">
        <v>1637</v>
      </c>
      <c r="D1030" s="230" t="s">
        <v>25</v>
      </c>
      <c r="E1030" s="362">
        <v>500</v>
      </c>
      <c r="F1030" s="232">
        <v>28822</v>
      </c>
      <c r="G1030" s="232">
        <v>11195</v>
      </c>
      <c r="H1030" s="138">
        <f t="shared" si="101"/>
        <v>40017</v>
      </c>
      <c r="I1030" s="138">
        <f t="shared" si="102"/>
        <v>20008500</v>
      </c>
      <c r="J1030" s="122"/>
    </row>
    <row r="1031" spans="1:10" s="16" customFormat="1" ht="25.5" outlineLevel="3">
      <c r="A1031" s="91"/>
      <c r="B1031" s="35">
        <f>MAXA(B$5:B1030)+1</f>
        <v>415</v>
      </c>
      <c r="C1031" s="256" t="s">
        <v>522</v>
      </c>
      <c r="D1031" s="230" t="s">
        <v>25</v>
      </c>
      <c r="E1031" s="362">
        <v>3200</v>
      </c>
      <c r="F1031" s="232">
        <v>9914</v>
      </c>
      <c r="G1031" s="232">
        <v>16544</v>
      </c>
      <c r="H1031" s="138">
        <f t="shared" si="101"/>
        <v>26458</v>
      </c>
      <c r="I1031" s="138">
        <f t="shared" si="102"/>
        <v>84665600</v>
      </c>
      <c r="J1031" s="122"/>
    </row>
    <row r="1032" spans="1:10" s="16" customFormat="1" ht="25.5" outlineLevel="3">
      <c r="A1032" s="91"/>
      <c r="B1032" s="35">
        <f>MAXA(B$5:B1031)+1</f>
        <v>416</v>
      </c>
      <c r="C1032" s="156" t="s">
        <v>1638</v>
      </c>
      <c r="D1032" s="136" t="s">
        <v>28</v>
      </c>
      <c r="E1032" s="362">
        <v>1</v>
      </c>
      <c r="F1032" s="232">
        <v>11013773</v>
      </c>
      <c r="G1032" s="232">
        <v>1295213</v>
      </c>
      <c r="H1032" s="138">
        <f t="shared" si="101"/>
        <v>12308986</v>
      </c>
      <c r="I1032" s="138">
        <f t="shared" si="102"/>
        <v>12308986</v>
      </c>
      <c r="J1032" s="122"/>
    </row>
    <row r="1033" spans="1:10" s="16" customFormat="1" ht="25.5" outlineLevel="3">
      <c r="A1033" s="91"/>
      <c r="B1033" s="35">
        <f>MAXA(B$5:B1032)+1</f>
        <v>417</v>
      </c>
      <c r="C1033" s="165" t="s">
        <v>1551</v>
      </c>
      <c r="D1033" s="136" t="s">
        <v>38</v>
      </c>
      <c r="E1033" s="362">
        <v>1</v>
      </c>
      <c r="F1033" s="232">
        <v>53447554</v>
      </c>
      <c r="G1033" s="232">
        <v>7338227</v>
      </c>
      <c r="H1033" s="138">
        <f t="shared" si="101"/>
        <v>60785781</v>
      </c>
      <c r="I1033" s="138">
        <f t="shared" si="102"/>
        <v>60785781</v>
      </c>
      <c r="J1033" s="122"/>
    </row>
    <row r="1034" spans="1:10" s="16" customFormat="1" ht="26.25" outlineLevel="3">
      <c r="A1034" s="91"/>
      <c r="B1034" s="40"/>
      <c r="C1034" s="158" t="s">
        <v>1639</v>
      </c>
      <c r="D1034" s="136" t="s">
        <v>28</v>
      </c>
      <c r="E1034" s="390"/>
      <c r="F1034" s="232">
        <v>0</v>
      </c>
      <c r="G1034" s="232">
        <v>0</v>
      </c>
      <c r="H1034" s="339"/>
      <c r="I1034" s="339"/>
      <c r="J1034" s="121"/>
    </row>
    <row r="1035" spans="1:10" s="16" customFormat="1" ht="25.5" outlineLevel="3">
      <c r="A1035" s="91"/>
      <c r="B1035" s="35">
        <f>MAXA(B$5:B1034)+1</f>
        <v>418</v>
      </c>
      <c r="C1035" s="156" t="s">
        <v>1640</v>
      </c>
      <c r="D1035" s="136" t="s">
        <v>28</v>
      </c>
      <c r="E1035" s="362">
        <v>1</v>
      </c>
      <c r="F1035" s="232">
        <v>79733282</v>
      </c>
      <c r="G1035" s="232">
        <v>570688</v>
      </c>
      <c r="H1035" s="138">
        <f>G1035+F1035</f>
        <v>80303970</v>
      </c>
      <c r="I1035" s="138">
        <f>H1035*E1035</f>
        <v>80303970</v>
      </c>
      <c r="J1035" s="122"/>
    </row>
    <row r="1036" spans="1:10" s="16" customFormat="1" ht="26.25" outlineLevel="3">
      <c r="A1036" s="91"/>
      <c r="B1036" s="40"/>
      <c r="C1036" s="391" t="s">
        <v>1641</v>
      </c>
      <c r="D1036" s="386"/>
      <c r="E1036" s="390"/>
      <c r="F1036" s="232">
        <v>0</v>
      </c>
      <c r="G1036" s="232">
        <v>0</v>
      </c>
      <c r="H1036" s="339"/>
      <c r="I1036" s="339"/>
      <c r="J1036" s="121"/>
    </row>
    <row r="1037" spans="1:10" s="16" customFormat="1" ht="25.5" outlineLevel="3">
      <c r="A1037" s="91"/>
      <c r="B1037" s="35">
        <f>MAXA(B$5:B1036)+1</f>
        <v>419</v>
      </c>
      <c r="C1037" s="256" t="s">
        <v>1642</v>
      </c>
      <c r="D1037" s="136" t="s">
        <v>44</v>
      </c>
      <c r="E1037" s="362">
        <v>6</v>
      </c>
      <c r="F1037" s="232">
        <v>9430100</v>
      </c>
      <c r="G1037" s="232">
        <v>431738</v>
      </c>
      <c r="H1037" s="138">
        <f t="shared" ref="H1037:H1053" si="103">G1037+F1037</f>
        <v>9861838</v>
      </c>
      <c r="I1037" s="138">
        <f t="shared" ref="I1037:I1053" si="104">H1037*E1037</f>
        <v>59171028</v>
      </c>
      <c r="J1037" s="122"/>
    </row>
    <row r="1038" spans="1:10" s="16" customFormat="1" ht="25.5" outlineLevel="3">
      <c r="A1038" s="91"/>
      <c r="B1038" s="35">
        <f>MAXA(B$5:B1037)+1</f>
        <v>420</v>
      </c>
      <c r="C1038" s="256" t="s">
        <v>1643</v>
      </c>
      <c r="D1038" s="136" t="s">
        <v>44</v>
      </c>
      <c r="E1038" s="362">
        <v>30</v>
      </c>
      <c r="F1038" s="232">
        <v>9430100</v>
      </c>
      <c r="G1038" s="232">
        <v>431738</v>
      </c>
      <c r="H1038" s="138">
        <f t="shared" si="103"/>
        <v>9861838</v>
      </c>
      <c r="I1038" s="138">
        <f t="shared" si="104"/>
        <v>295855140</v>
      </c>
      <c r="J1038" s="122"/>
    </row>
    <row r="1039" spans="1:10" s="16" customFormat="1" ht="25.5" outlineLevel="3">
      <c r="A1039" s="91"/>
      <c r="B1039" s="35">
        <f>MAXA(B$5:B1038)+1</f>
        <v>421</v>
      </c>
      <c r="C1039" s="256" t="s">
        <v>1644</v>
      </c>
      <c r="D1039" s="136" t="s">
        <v>44</v>
      </c>
      <c r="E1039" s="362">
        <v>2</v>
      </c>
      <c r="F1039" s="232">
        <v>12142483</v>
      </c>
      <c r="G1039" s="232">
        <v>431738</v>
      </c>
      <c r="H1039" s="138">
        <f t="shared" si="103"/>
        <v>12574221</v>
      </c>
      <c r="I1039" s="138">
        <f t="shared" si="104"/>
        <v>25148442</v>
      </c>
      <c r="J1039" s="122"/>
    </row>
    <row r="1040" spans="1:10" s="16" customFormat="1" ht="25.5" outlineLevel="3">
      <c r="A1040" s="91"/>
      <c r="B1040" s="35">
        <f>MAXA(B$5:B1039)+1</f>
        <v>422</v>
      </c>
      <c r="C1040" s="256" t="s">
        <v>1645</v>
      </c>
      <c r="D1040" s="136" t="s">
        <v>44</v>
      </c>
      <c r="E1040" s="362">
        <v>108</v>
      </c>
      <c r="F1040" s="232">
        <v>2541832</v>
      </c>
      <c r="G1040" s="232">
        <v>189965</v>
      </c>
      <c r="H1040" s="138">
        <f t="shared" si="103"/>
        <v>2731797</v>
      </c>
      <c r="I1040" s="138">
        <f t="shared" si="104"/>
        <v>295034076</v>
      </c>
      <c r="J1040" s="122"/>
    </row>
    <row r="1041" spans="1:10" s="16" customFormat="1" ht="25.5" outlineLevel="3">
      <c r="A1041" s="91"/>
      <c r="B1041" s="35">
        <f>MAXA(B$5:B1040)+1</f>
        <v>423</v>
      </c>
      <c r="C1041" s="256" t="s">
        <v>1646</v>
      </c>
      <c r="D1041" s="136" t="s">
        <v>44</v>
      </c>
      <c r="E1041" s="362">
        <v>36</v>
      </c>
      <c r="F1041" s="232">
        <v>3204981</v>
      </c>
      <c r="G1041" s="232">
        <v>189965</v>
      </c>
      <c r="H1041" s="138">
        <f t="shared" si="103"/>
        <v>3394946</v>
      </c>
      <c r="I1041" s="138">
        <f t="shared" si="104"/>
        <v>122218056</v>
      </c>
      <c r="J1041" s="122"/>
    </row>
    <row r="1042" spans="1:10" s="16" customFormat="1" ht="25.5" outlineLevel="3">
      <c r="A1042" s="91"/>
      <c r="B1042" s="35">
        <f>MAXA(B$5:B1041)+1</f>
        <v>424</v>
      </c>
      <c r="C1042" s="256" t="s">
        <v>531</v>
      </c>
      <c r="D1042" s="136" t="s">
        <v>44</v>
      </c>
      <c r="E1042" s="362">
        <v>17</v>
      </c>
      <c r="F1042" s="232">
        <v>30549150</v>
      </c>
      <c r="G1042" s="232">
        <v>863475</v>
      </c>
      <c r="H1042" s="138">
        <f t="shared" si="103"/>
        <v>31412625</v>
      </c>
      <c r="I1042" s="138">
        <f t="shared" si="104"/>
        <v>534014625</v>
      </c>
      <c r="J1042" s="122"/>
    </row>
    <row r="1043" spans="1:10" s="16" customFormat="1" ht="25.5" outlineLevel="3">
      <c r="A1043" s="91"/>
      <c r="B1043" s="35">
        <f>MAXA(B$5:B1042)+1</f>
        <v>425</v>
      </c>
      <c r="C1043" s="256" t="s">
        <v>532</v>
      </c>
      <c r="D1043" s="136" t="s">
        <v>44</v>
      </c>
      <c r="E1043" s="362">
        <v>22</v>
      </c>
      <c r="F1043" s="232">
        <v>32931150</v>
      </c>
      <c r="G1043" s="232">
        <v>1208865</v>
      </c>
      <c r="H1043" s="138">
        <f t="shared" si="103"/>
        <v>34140015</v>
      </c>
      <c r="I1043" s="138">
        <f t="shared" si="104"/>
        <v>751080330</v>
      </c>
      <c r="J1043" s="122"/>
    </row>
    <row r="1044" spans="1:10" s="16" customFormat="1" ht="25.5" outlineLevel="3">
      <c r="A1044" s="91"/>
      <c r="B1044" s="35">
        <f>MAXA(B$5:B1043)+1</f>
        <v>426</v>
      </c>
      <c r="C1044" s="256" t="s">
        <v>533</v>
      </c>
      <c r="D1044" s="136" t="s">
        <v>44</v>
      </c>
      <c r="E1044" s="362">
        <v>22</v>
      </c>
      <c r="F1044" s="232">
        <v>3482603</v>
      </c>
      <c r="G1044" s="232">
        <v>129581</v>
      </c>
      <c r="H1044" s="138">
        <f t="shared" si="103"/>
        <v>3612184</v>
      </c>
      <c r="I1044" s="138">
        <f t="shared" si="104"/>
        <v>79468048</v>
      </c>
      <c r="J1044" s="122"/>
    </row>
    <row r="1045" spans="1:10" s="16" customFormat="1" ht="25.5" outlineLevel="3">
      <c r="A1045" s="91"/>
      <c r="B1045" s="35">
        <f>MAXA(B$5:B1044)+1</f>
        <v>427</v>
      </c>
      <c r="C1045" s="256" t="s">
        <v>534</v>
      </c>
      <c r="D1045" s="136" t="s">
        <v>44</v>
      </c>
      <c r="E1045" s="362">
        <v>17</v>
      </c>
      <c r="F1045" s="232">
        <v>3482603</v>
      </c>
      <c r="G1045" s="232">
        <v>604433</v>
      </c>
      <c r="H1045" s="138">
        <f t="shared" si="103"/>
        <v>4087036</v>
      </c>
      <c r="I1045" s="138">
        <f t="shared" si="104"/>
        <v>69479612</v>
      </c>
      <c r="J1045" s="122"/>
    </row>
    <row r="1046" spans="1:10" s="16" customFormat="1" ht="25.5" outlineLevel="3">
      <c r="A1046" s="91"/>
      <c r="B1046" s="35">
        <f>MAXA(B$5:B1045)+1</f>
        <v>428</v>
      </c>
      <c r="C1046" s="256" t="s">
        <v>535</v>
      </c>
      <c r="D1046" s="136" t="s">
        <v>28</v>
      </c>
      <c r="E1046" s="362">
        <v>38</v>
      </c>
      <c r="F1046" s="232">
        <v>9936513</v>
      </c>
      <c r="G1046" s="232">
        <v>388623</v>
      </c>
      <c r="H1046" s="138">
        <f t="shared" si="103"/>
        <v>10325136</v>
      </c>
      <c r="I1046" s="138">
        <f t="shared" si="104"/>
        <v>392355168</v>
      </c>
      <c r="J1046" s="122"/>
    </row>
    <row r="1047" spans="1:10" s="16" customFormat="1" ht="25.5" outlineLevel="3">
      <c r="A1047" s="91"/>
      <c r="B1047" s="35">
        <f>MAXA(B$5:B1046)+1</f>
        <v>429</v>
      </c>
      <c r="C1047" s="256" t="s">
        <v>1647</v>
      </c>
      <c r="D1047" s="136" t="s">
        <v>28</v>
      </c>
      <c r="E1047" s="362">
        <v>38</v>
      </c>
      <c r="F1047" s="232">
        <v>9679257</v>
      </c>
      <c r="G1047" s="232">
        <v>388623</v>
      </c>
      <c r="H1047" s="138">
        <f t="shared" si="103"/>
        <v>10067880</v>
      </c>
      <c r="I1047" s="138">
        <f t="shared" si="104"/>
        <v>382579440</v>
      </c>
      <c r="J1047" s="122"/>
    </row>
    <row r="1048" spans="1:10" s="16" customFormat="1" ht="25.5" outlineLevel="3">
      <c r="A1048" s="91"/>
      <c r="B1048" s="35">
        <f>MAXA(B$5:B1047)+1</f>
        <v>430</v>
      </c>
      <c r="C1048" s="256" t="s">
        <v>1648</v>
      </c>
      <c r="D1048" s="136" t="s">
        <v>44</v>
      </c>
      <c r="E1048" s="362">
        <v>38</v>
      </c>
      <c r="F1048" s="232">
        <v>43580834</v>
      </c>
      <c r="G1048" s="232">
        <v>388623</v>
      </c>
      <c r="H1048" s="138">
        <f t="shared" si="103"/>
        <v>43969457</v>
      </c>
      <c r="I1048" s="138">
        <f t="shared" si="104"/>
        <v>1670839366</v>
      </c>
      <c r="J1048" s="122"/>
    </row>
    <row r="1049" spans="1:10" s="16" customFormat="1" ht="25.5" outlineLevel="3">
      <c r="A1049" s="91"/>
      <c r="B1049" s="35">
        <f>MAXA(B$5:B1048)+1</f>
        <v>431</v>
      </c>
      <c r="C1049" s="256" t="s">
        <v>1649</v>
      </c>
      <c r="D1049" s="230" t="s">
        <v>1650</v>
      </c>
      <c r="E1049" s="362">
        <v>39</v>
      </c>
      <c r="F1049" s="232">
        <v>578826</v>
      </c>
      <c r="G1049" s="232">
        <v>129581</v>
      </c>
      <c r="H1049" s="138">
        <f t="shared" si="103"/>
        <v>708407</v>
      </c>
      <c r="I1049" s="138">
        <f t="shared" si="104"/>
        <v>27627873</v>
      </c>
      <c r="J1049" s="122"/>
    </row>
    <row r="1050" spans="1:10" s="16" customFormat="1" ht="25.5" outlineLevel="3">
      <c r="A1050" s="91"/>
      <c r="B1050" s="35">
        <f>MAXA(B$5:B1049)+1</f>
        <v>432</v>
      </c>
      <c r="C1050" s="256" t="s">
        <v>540</v>
      </c>
      <c r="D1050" s="230" t="s">
        <v>25</v>
      </c>
      <c r="E1050" s="362">
        <v>1130</v>
      </c>
      <c r="F1050" s="232">
        <v>18699</v>
      </c>
      <c r="G1050" s="232">
        <v>9528</v>
      </c>
      <c r="H1050" s="138">
        <f t="shared" si="103"/>
        <v>28227</v>
      </c>
      <c r="I1050" s="138">
        <f t="shared" si="104"/>
        <v>31896510</v>
      </c>
      <c r="J1050" s="122"/>
    </row>
    <row r="1051" spans="1:10" s="16" customFormat="1" ht="25.5" outlineLevel="3">
      <c r="A1051" s="91"/>
      <c r="B1051" s="35">
        <f>MAXA(B$5:B1050)+1</f>
        <v>433</v>
      </c>
      <c r="C1051" s="256" t="s">
        <v>521</v>
      </c>
      <c r="D1051" s="230" t="s">
        <v>25</v>
      </c>
      <c r="E1051" s="362">
        <v>570</v>
      </c>
      <c r="F1051" s="232">
        <v>12004</v>
      </c>
      <c r="G1051" s="232">
        <v>10272</v>
      </c>
      <c r="H1051" s="138">
        <f t="shared" si="103"/>
        <v>22276</v>
      </c>
      <c r="I1051" s="138">
        <f t="shared" si="104"/>
        <v>12697320</v>
      </c>
      <c r="J1051" s="122"/>
    </row>
    <row r="1052" spans="1:10" s="16" customFormat="1" ht="25.5" outlineLevel="3">
      <c r="A1052" s="91"/>
      <c r="B1052" s="35">
        <f>MAXA(B$5:B1051)+1</f>
        <v>434</v>
      </c>
      <c r="C1052" s="256" t="s">
        <v>373</v>
      </c>
      <c r="D1052" s="230" t="s">
        <v>25</v>
      </c>
      <c r="E1052" s="362">
        <f>+E1050+E1051</f>
        <v>1700</v>
      </c>
      <c r="F1052" s="232">
        <v>7158</v>
      </c>
      <c r="G1052" s="232">
        <v>14590</v>
      </c>
      <c r="H1052" s="138">
        <f t="shared" si="103"/>
        <v>21748</v>
      </c>
      <c r="I1052" s="138">
        <f t="shared" si="104"/>
        <v>36971600</v>
      </c>
      <c r="J1052" s="122"/>
    </row>
    <row r="1053" spans="1:10" s="16" customFormat="1" ht="25.5" outlineLevel="3">
      <c r="A1053" s="91"/>
      <c r="B1053" s="35">
        <f>MAXA(B$5:B1052)+1</f>
        <v>435</v>
      </c>
      <c r="C1053" s="165" t="s">
        <v>485</v>
      </c>
      <c r="D1053" s="136" t="s">
        <v>38</v>
      </c>
      <c r="E1053" s="362">
        <v>1</v>
      </c>
      <c r="F1053" s="232">
        <v>29775000</v>
      </c>
      <c r="G1053" s="232">
        <v>4764000</v>
      </c>
      <c r="H1053" s="138">
        <f t="shared" si="103"/>
        <v>34539000</v>
      </c>
      <c r="I1053" s="138">
        <f t="shared" si="104"/>
        <v>34539000</v>
      </c>
      <c r="J1053" s="122"/>
    </row>
    <row r="1054" spans="1:10" s="33" customFormat="1" ht="27" outlineLevel="3">
      <c r="A1054" s="100"/>
      <c r="B1054" s="40" t="s">
        <v>553</v>
      </c>
      <c r="C1054" s="389" t="s">
        <v>1651</v>
      </c>
      <c r="D1054" s="259"/>
      <c r="E1054" s="390"/>
      <c r="F1054" s="232">
        <v>0</v>
      </c>
      <c r="G1054" s="232">
        <v>0</v>
      </c>
      <c r="H1054" s="390"/>
      <c r="I1054" s="180">
        <f>SUBTOTAL(9,I1055:I1065)</f>
        <v>207988499</v>
      </c>
      <c r="J1054" s="121"/>
    </row>
    <row r="1055" spans="1:10" s="16" customFormat="1" ht="25.5" outlineLevel="3">
      <c r="A1055" s="91"/>
      <c r="B1055" s="35">
        <f>MAXA(B$5:B1054)+1</f>
        <v>436</v>
      </c>
      <c r="C1055" s="156" t="s">
        <v>544</v>
      </c>
      <c r="D1055" s="136" t="s">
        <v>44</v>
      </c>
      <c r="E1055" s="362">
        <v>1</v>
      </c>
      <c r="F1055" s="232">
        <v>20291067</v>
      </c>
      <c r="G1055" s="232">
        <v>774150</v>
      </c>
      <c r="H1055" s="138">
        <f t="shared" ref="H1055:H1065" si="105">G1055+F1055</f>
        <v>21065217</v>
      </c>
      <c r="I1055" s="138">
        <f t="shared" ref="I1055:I1065" si="106">H1055*E1055</f>
        <v>21065217</v>
      </c>
      <c r="J1055" s="122"/>
    </row>
    <row r="1056" spans="1:10" s="16" customFormat="1" ht="25.5" outlineLevel="3">
      <c r="A1056" s="91"/>
      <c r="B1056" s="35">
        <f>MAXA(B$5:B1055)+1</f>
        <v>437</v>
      </c>
      <c r="C1056" s="156" t="s">
        <v>545</v>
      </c>
      <c r="D1056" s="136" t="s">
        <v>44</v>
      </c>
      <c r="E1056" s="362">
        <v>6</v>
      </c>
      <c r="F1056" s="232">
        <v>5423278</v>
      </c>
      <c r="G1056" s="232">
        <v>178650</v>
      </c>
      <c r="H1056" s="138">
        <f t="shared" si="105"/>
        <v>5601928</v>
      </c>
      <c r="I1056" s="138">
        <f t="shared" si="106"/>
        <v>33611568</v>
      </c>
      <c r="J1056" s="122"/>
    </row>
    <row r="1057" spans="1:10" s="16" customFormat="1" ht="25.5" outlineLevel="3">
      <c r="A1057" s="91"/>
      <c r="B1057" s="35">
        <f>MAXA(B$5:B1056)+1</f>
        <v>438</v>
      </c>
      <c r="C1057" s="156" t="s">
        <v>546</v>
      </c>
      <c r="D1057" s="136" t="s">
        <v>44</v>
      </c>
      <c r="E1057" s="362">
        <v>7</v>
      </c>
      <c r="F1057" s="232">
        <v>9296589</v>
      </c>
      <c r="G1057" s="232">
        <v>416850</v>
      </c>
      <c r="H1057" s="138">
        <f t="shared" si="105"/>
        <v>9713439</v>
      </c>
      <c r="I1057" s="138">
        <f t="shared" si="106"/>
        <v>67994073</v>
      </c>
      <c r="J1057" s="122"/>
    </row>
    <row r="1058" spans="1:10" s="16" customFormat="1" ht="25.5" outlineLevel="3">
      <c r="A1058" s="91"/>
      <c r="B1058" s="35">
        <f>MAXA(B$5:B1057)+1</f>
        <v>439</v>
      </c>
      <c r="C1058" s="156" t="s">
        <v>547</v>
      </c>
      <c r="D1058" s="136" t="s">
        <v>44</v>
      </c>
      <c r="E1058" s="362">
        <v>6</v>
      </c>
      <c r="F1058" s="232">
        <v>0</v>
      </c>
      <c r="G1058" s="232">
        <v>0</v>
      </c>
      <c r="H1058" s="138">
        <f t="shared" si="105"/>
        <v>0</v>
      </c>
      <c r="I1058" s="138">
        <f t="shared" si="106"/>
        <v>0</v>
      </c>
      <c r="J1058" s="122"/>
    </row>
    <row r="1059" spans="1:10" s="16" customFormat="1" ht="25.5" outlineLevel="3">
      <c r="A1059" s="91"/>
      <c r="B1059" s="35">
        <f>MAXA(B$5:B1058)+1</f>
        <v>440</v>
      </c>
      <c r="C1059" s="156" t="s">
        <v>548</v>
      </c>
      <c r="D1059" s="136" t="s">
        <v>44</v>
      </c>
      <c r="E1059" s="362">
        <v>1</v>
      </c>
      <c r="F1059" s="232">
        <v>17525565</v>
      </c>
      <c r="G1059" s="232">
        <v>655050</v>
      </c>
      <c r="H1059" s="138">
        <f t="shared" si="105"/>
        <v>18180615</v>
      </c>
      <c r="I1059" s="138">
        <f t="shared" si="106"/>
        <v>18180615</v>
      </c>
      <c r="J1059" s="122"/>
    </row>
    <row r="1060" spans="1:10" s="16" customFormat="1" ht="51" outlineLevel="3">
      <c r="A1060" s="91"/>
      <c r="B1060" s="35">
        <f>MAXA(B$5:B1059)+1</f>
        <v>441</v>
      </c>
      <c r="C1060" s="156" t="s">
        <v>549</v>
      </c>
      <c r="D1060" s="136" t="s">
        <v>44</v>
      </c>
      <c r="E1060" s="362">
        <v>1</v>
      </c>
      <c r="F1060" s="232">
        <v>29222674</v>
      </c>
      <c r="G1060" s="232">
        <v>535950</v>
      </c>
      <c r="H1060" s="138">
        <f t="shared" si="105"/>
        <v>29758624</v>
      </c>
      <c r="I1060" s="138">
        <f t="shared" si="106"/>
        <v>29758624</v>
      </c>
      <c r="J1060" s="122"/>
    </row>
    <row r="1061" spans="1:10" s="16" customFormat="1" ht="25.5" outlineLevel="3">
      <c r="A1061" s="91"/>
      <c r="B1061" s="35">
        <f>MAXA(B$5:B1060)+1</f>
        <v>442</v>
      </c>
      <c r="C1061" s="156" t="s">
        <v>550</v>
      </c>
      <c r="D1061" s="136" t="s">
        <v>38</v>
      </c>
      <c r="E1061" s="362">
        <v>1</v>
      </c>
      <c r="F1061" s="232">
        <v>21140250</v>
      </c>
      <c r="G1061" s="232">
        <v>3811200</v>
      </c>
      <c r="H1061" s="138">
        <f t="shared" si="105"/>
        <v>24951450</v>
      </c>
      <c r="I1061" s="138">
        <f t="shared" si="106"/>
        <v>24951450</v>
      </c>
      <c r="J1061" s="122"/>
    </row>
    <row r="1062" spans="1:10" s="16" customFormat="1" ht="25.5" outlineLevel="3">
      <c r="A1062" s="91"/>
      <c r="B1062" s="35">
        <f>MAXA(B$5:B1061)+1</f>
        <v>443</v>
      </c>
      <c r="C1062" s="156" t="s">
        <v>1652</v>
      </c>
      <c r="D1062" s="136" t="s">
        <v>38</v>
      </c>
      <c r="E1062" s="362">
        <v>1</v>
      </c>
      <c r="F1062" s="232">
        <v>37154</v>
      </c>
      <c r="G1062" s="232">
        <v>5342</v>
      </c>
      <c r="H1062" s="138">
        <f t="shared" si="105"/>
        <v>42496</v>
      </c>
      <c r="I1062" s="138">
        <f t="shared" si="106"/>
        <v>42496</v>
      </c>
      <c r="J1062" s="122"/>
    </row>
    <row r="1063" spans="1:10" s="16" customFormat="1" ht="25.5" outlineLevel="3">
      <c r="A1063" s="91"/>
      <c r="B1063" s="35">
        <f>MAXA(B$5:B1062)+1</f>
        <v>444</v>
      </c>
      <c r="C1063" s="156" t="s">
        <v>552</v>
      </c>
      <c r="D1063" s="136" t="s">
        <v>44</v>
      </c>
      <c r="E1063" s="362">
        <v>6</v>
      </c>
      <c r="F1063" s="232">
        <v>137412</v>
      </c>
      <c r="G1063" s="232">
        <v>45159</v>
      </c>
      <c r="H1063" s="138">
        <f t="shared" si="105"/>
        <v>182571</v>
      </c>
      <c r="I1063" s="138">
        <f t="shared" si="106"/>
        <v>1095426</v>
      </c>
      <c r="J1063" s="122"/>
    </row>
    <row r="1064" spans="1:10" s="16" customFormat="1" ht="25.5" outlineLevel="3">
      <c r="A1064" s="91"/>
      <c r="B1064" s="35">
        <f>MAXA(B$5:B1063)+1</f>
        <v>445</v>
      </c>
      <c r="C1064" s="256" t="s">
        <v>373</v>
      </c>
      <c r="D1064" s="136" t="s">
        <v>38</v>
      </c>
      <c r="E1064" s="362">
        <v>1</v>
      </c>
      <c r="F1064" s="232">
        <v>9914</v>
      </c>
      <c r="G1064" s="232">
        <v>16544</v>
      </c>
      <c r="H1064" s="138">
        <f t="shared" si="105"/>
        <v>26458</v>
      </c>
      <c r="I1064" s="138">
        <f t="shared" si="106"/>
        <v>26458</v>
      </c>
      <c r="J1064" s="122"/>
    </row>
    <row r="1065" spans="1:10" s="16" customFormat="1" ht="25.5" outlineLevel="3">
      <c r="A1065" s="91"/>
      <c r="B1065" s="35">
        <f>MAXA(B$5:B1064)+1</f>
        <v>446</v>
      </c>
      <c r="C1065" s="165" t="s">
        <v>1551</v>
      </c>
      <c r="D1065" s="136" t="s">
        <v>38</v>
      </c>
      <c r="E1065" s="362">
        <v>1</v>
      </c>
      <c r="F1065" s="232">
        <v>7508421</v>
      </c>
      <c r="G1065" s="232">
        <v>3754151</v>
      </c>
      <c r="H1065" s="138">
        <f t="shared" si="105"/>
        <v>11262572</v>
      </c>
      <c r="I1065" s="138">
        <f t="shared" si="106"/>
        <v>11262572</v>
      </c>
      <c r="J1065" s="122"/>
    </row>
    <row r="1066" spans="1:10" s="33" customFormat="1" ht="27" outlineLevel="3">
      <c r="A1066" s="100"/>
      <c r="B1066" s="38" t="s">
        <v>1653</v>
      </c>
      <c r="C1066" s="164" t="s">
        <v>371</v>
      </c>
      <c r="D1066" s="363"/>
      <c r="E1066" s="377"/>
      <c r="F1066" s="232">
        <v>0</v>
      </c>
      <c r="G1066" s="232">
        <v>0</v>
      </c>
      <c r="H1066" s="339"/>
      <c r="I1066" s="180">
        <f>SUBTOTAL(9,I1067:I1092)</f>
        <v>622379622</v>
      </c>
      <c r="J1066" s="115"/>
    </row>
    <row r="1067" spans="1:10" s="16" customFormat="1" ht="25.5" outlineLevel="3">
      <c r="A1067" s="91"/>
      <c r="B1067" s="35">
        <f>MAXA(B$5:B1066)+1</f>
        <v>447</v>
      </c>
      <c r="C1067" s="156" t="s">
        <v>1654</v>
      </c>
      <c r="D1067" s="230" t="s">
        <v>25</v>
      </c>
      <c r="E1067" s="137">
        <v>51</v>
      </c>
      <c r="F1067" s="232">
        <v>1112454</v>
      </c>
      <c r="G1067" s="232">
        <v>208425</v>
      </c>
      <c r="H1067" s="138">
        <f t="shared" ref="H1067:H1086" si="107">G1067+F1067</f>
        <v>1320879</v>
      </c>
      <c r="I1067" s="138">
        <f t="shared" ref="I1067:I1086" si="108">H1067*E1067</f>
        <v>67364829</v>
      </c>
      <c r="J1067" s="115"/>
    </row>
    <row r="1068" spans="1:10" s="16" customFormat="1" ht="25.5" outlineLevel="3">
      <c r="A1068" s="91"/>
      <c r="B1068" s="35">
        <f>MAXA(B$5:B1067)+1</f>
        <v>448</v>
      </c>
      <c r="C1068" s="156" t="s">
        <v>1655</v>
      </c>
      <c r="D1068" s="136" t="s">
        <v>28</v>
      </c>
      <c r="E1068" s="137">
        <v>2</v>
      </c>
      <c r="F1068" s="232">
        <v>935947</v>
      </c>
      <c r="G1068" s="232">
        <v>156319</v>
      </c>
      <c r="H1068" s="138">
        <f t="shared" si="107"/>
        <v>1092266</v>
      </c>
      <c r="I1068" s="138">
        <f t="shared" si="108"/>
        <v>2184532</v>
      </c>
      <c r="J1068" s="115"/>
    </row>
    <row r="1069" spans="1:10" s="16" customFormat="1" ht="25.5" outlineLevel="3">
      <c r="A1069" s="91"/>
      <c r="B1069" s="35">
        <f>MAXA(B$5:B1068)+1</f>
        <v>449</v>
      </c>
      <c r="C1069" s="156" t="s">
        <v>1656</v>
      </c>
      <c r="D1069" s="136" t="s">
        <v>28</v>
      </c>
      <c r="E1069" s="137">
        <v>3</v>
      </c>
      <c r="F1069" s="232">
        <v>905756</v>
      </c>
      <c r="G1069" s="232">
        <v>156319</v>
      </c>
      <c r="H1069" s="138">
        <f t="shared" si="107"/>
        <v>1062075</v>
      </c>
      <c r="I1069" s="138">
        <f t="shared" si="108"/>
        <v>3186225</v>
      </c>
      <c r="J1069" s="115"/>
    </row>
    <row r="1070" spans="1:10" s="16" customFormat="1" ht="25.5" outlineLevel="3">
      <c r="A1070" s="91"/>
      <c r="B1070" s="35">
        <f>MAXA(B$5:B1069)+1</f>
        <v>450</v>
      </c>
      <c r="C1070" s="156" t="s">
        <v>1657</v>
      </c>
      <c r="D1070" s="136" t="s">
        <v>28</v>
      </c>
      <c r="E1070" s="137">
        <v>1</v>
      </c>
      <c r="F1070" s="232">
        <v>870919</v>
      </c>
      <c r="G1070" s="232">
        <v>156319</v>
      </c>
      <c r="H1070" s="138">
        <f t="shared" si="107"/>
        <v>1027238</v>
      </c>
      <c r="I1070" s="138">
        <f t="shared" si="108"/>
        <v>1027238</v>
      </c>
      <c r="J1070" s="115"/>
    </row>
    <row r="1071" spans="1:10" s="16" customFormat="1" ht="25.5" outlineLevel="3">
      <c r="A1071" s="91"/>
      <c r="B1071" s="35">
        <f>MAXA(B$5:B1070)+1</f>
        <v>451</v>
      </c>
      <c r="C1071" s="156" t="s">
        <v>1658</v>
      </c>
      <c r="D1071" s="136" t="s">
        <v>28</v>
      </c>
      <c r="E1071" s="137">
        <v>1</v>
      </c>
      <c r="F1071" s="232">
        <v>870919</v>
      </c>
      <c r="G1071" s="232">
        <v>156319</v>
      </c>
      <c r="H1071" s="138">
        <f t="shared" si="107"/>
        <v>1027238</v>
      </c>
      <c r="I1071" s="138">
        <f t="shared" si="108"/>
        <v>1027238</v>
      </c>
      <c r="J1071" s="115"/>
    </row>
    <row r="1072" spans="1:10" s="16" customFormat="1" ht="25.5" outlineLevel="3">
      <c r="A1072" s="91"/>
      <c r="B1072" s="35">
        <f>MAXA(B$5:B1071)+1</f>
        <v>452</v>
      </c>
      <c r="C1072" s="156" t="s">
        <v>1659</v>
      </c>
      <c r="D1072" s="136" t="s">
        <v>28</v>
      </c>
      <c r="E1072" s="137">
        <v>1</v>
      </c>
      <c r="F1072" s="232">
        <v>870919</v>
      </c>
      <c r="G1072" s="232">
        <v>156319</v>
      </c>
      <c r="H1072" s="138">
        <f t="shared" si="107"/>
        <v>1027238</v>
      </c>
      <c r="I1072" s="138">
        <f t="shared" si="108"/>
        <v>1027238</v>
      </c>
      <c r="J1072" s="115"/>
    </row>
    <row r="1073" spans="1:10" s="16" customFormat="1" ht="25.5" outlineLevel="3">
      <c r="A1073" s="91"/>
      <c r="B1073" s="35">
        <f>MAXA(B$5:B1072)+1</f>
        <v>453</v>
      </c>
      <c r="C1073" s="156" t="s">
        <v>1660</v>
      </c>
      <c r="D1073" s="230" t="s">
        <v>25</v>
      </c>
      <c r="E1073" s="137">
        <v>40</v>
      </c>
      <c r="F1073" s="232">
        <v>935947</v>
      </c>
      <c r="G1073" s="232">
        <v>208425</v>
      </c>
      <c r="H1073" s="138">
        <f t="shared" si="107"/>
        <v>1144372</v>
      </c>
      <c r="I1073" s="138">
        <f t="shared" si="108"/>
        <v>45774880</v>
      </c>
      <c r="J1073" s="115"/>
    </row>
    <row r="1074" spans="1:10" s="16" customFormat="1" ht="25.5" outlineLevel="3">
      <c r="A1074" s="91"/>
      <c r="B1074" s="35">
        <f>MAXA(B$5:B1073)+1</f>
        <v>454</v>
      </c>
      <c r="C1074" s="156" t="s">
        <v>1661</v>
      </c>
      <c r="D1074" s="136" t="s">
        <v>28</v>
      </c>
      <c r="E1074" s="137">
        <v>3</v>
      </c>
      <c r="F1074" s="232">
        <v>905756</v>
      </c>
      <c r="G1074" s="232">
        <v>156319</v>
      </c>
      <c r="H1074" s="138">
        <f t="shared" si="107"/>
        <v>1062075</v>
      </c>
      <c r="I1074" s="138">
        <f t="shared" si="108"/>
        <v>3186225</v>
      </c>
      <c r="J1074" s="115"/>
    </row>
    <row r="1075" spans="1:10" s="16" customFormat="1" ht="25.5" outlineLevel="3">
      <c r="A1075" s="91"/>
      <c r="B1075" s="35">
        <f>MAXA(B$5:B1074)+1</f>
        <v>455</v>
      </c>
      <c r="C1075" s="156" t="s">
        <v>1662</v>
      </c>
      <c r="D1075" s="136" t="s">
        <v>28</v>
      </c>
      <c r="E1075" s="137">
        <v>9</v>
      </c>
      <c r="F1075" s="232">
        <v>870919</v>
      </c>
      <c r="G1075" s="232">
        <v>156319</v>
      </c>
      <c r="H1075" s="138">
        <f t="shared" si="107"/>
        <v>1027238</v>
      </c>
      <c r="I1075" s="138">
        <f t="shared" si="108"/>
        <v>9245142</v>
      </c>
      <c r="J1075" s="115"/>
    </row>
    <row r="1076" spans="1:10" s="16" customFormat="1" ht="25.5" outlineLevel="3">
      <c r="A1076" s="91"/>
      <c r="B1076" s="35">
        <f>MAXA(B$5:B1075)+1</f>
        <v>456</v>
      </c>
      <c r="C1076" s="156" t="s">
        <v>1663</v>
      </c>
      <c r="D1076" s="136" t="s">
        <v>28</v>
      </c>
      <c r="E1076" s="137">
        <v>6</v>
      </c>
      <c r="F1076" s="232">
        <v>812858</v>
      </c>
      <c r="G1076" s="232">
        <v>156319</v>
      </c>
      <c r="H1076" s="138">
        <f t="shared" si="107"/>
        <v>969177</v>
      </c>
      <c r="I1076" s="138">
        <f t="shared" si="108"/>
        <v>5815062</v>
      </c>
      <c r="J1076" s="115"/>
    </row>
    <row r="1077" spans="1:10" s="16" customFormat="1" ht="25.5" outlineLevel="3">
      <c r="A1077" s="91"/>
      <c r="B1077" s="35">
        <f>MAXA(B$5:B1076)+1</f>
        <v>457</v>
      </c>
      <c r="C1077" s="156" t="s">
        <v>555</v>
      </c>
      <c r="D1077" s="230" t="s">
        <v>25</v>
      </c>
      <c r="E1077" s="137">
        <v>45</v>
      </c>
      <c r="F1077" s="232">
        <v>500488</v>
      </c>
      <c r="G1077" s="232">
        <v>156319</v>
      </c>
      <c r="H1077" s="138">
        <f t="shared" si="107"/>
        <v>656807</v>
      </c>
      <c r="I1077" s="138">
        <f t="shared" si="108"/>
        <v>29556315</v>
      </c>
      <c r="J1077" s="115"/>
    </row>
    <row r="1078" spans="1:10" s="16" customFormat="1" ht="25.5" outlineLevel="3">
      <c r="A1078" s="91"/>
      <c r="B1078" s="35">
        <f>MAXA(B$5:B1077)+1</f>
        <v>458</v>
      </c>
      <c r="C1078" s="156" t="s">
        <v>556</v>
      </c>
      <c r="D1078" s="136" t="s">
        <v>28</v>
      </c>
      <c r="E1078" s="137">
        <v>1</v>
      </c>
      <c r="F1078" s="232">
        <v>598031</v>
      </c>
      <c r="G1078" s="232">
        <v>156319</v>
      </c>
      <c r="H1078" s="138">
        <f t="shared" si="107"/>
        <v>754350</v>
      </c>
      <c r="I1078" s="138">
        <f t="shared" si="108"/>
        <v>754350</v>
      </c>
      <c r="J1078" s="115"/>
    </row>
    <row r="1079" spans="1:10" s="16" customFormat="1" ht="25.5" outlineLevel="3">
      <c r="A1079" s="91"/>
      <c r="B1079" s="35">
        <f>MAXA(B$5:B1078)+1</f>
        <v>459</v>
      </c>
      <c r="C1079" s="156" t="s">
        <v>557</v>
      </c>
      <c r="D1079" s="136" t="s">
        <v>28</v>
      </c>
      <c r="E1079" s="137">
        <v>5</v>
      </c>
      <c r="F1079" s="232">
        <v>483070</v>
      </c>
      <c r="G1079" s="232">
        <v>156319</v>
      </c>
      <c r="H1079" s="138">
        <f t="shared" si="107"/>
        <v>639389</v>
      </c>
      <c r="I1079" s="138">
        <f t="shared" si="108"/>
        <v>3196945</v>
      </c>
      <c r="J1079" s="115"/>
    </row>
    <row r="1080" spans="1:10" s="16" customFormat="1" ht="25.5" outlineLevel="3">
      <c r="A1080" s="91"/>
      <c r="B1080" s="35">
        <f>MAXA(B$5:B1079)+1</f>
        <v>460</v>
      </c>
      <c r="C1080" s="156" t="s">
        <v>558</v>
      </c>
      <c r="D1080" s="230" t="s">
        <v>25</v>
      </c>
      <c r="E1080" s="137">
        <v>282</v>
      </c>
      <c r="F1080" s="232">
        <v>360351</v>
      </c>
      <c r="G1080" s="232">
        <v>156319</v>
      </c>
      <c r="H1080" s="138">
        <f t="shared" si="107"/>
        <v>516670</v>
      </c>
      <c r="I1080" s="138">
        <f t="shared" si="108"/>
        <v>145700940</v>
      </c>
      <c r="J1080" s="115"/>
    </row>
    <row r="1081" spans="1:10" s="16" customFormat="1" ht="25.5" outlineLevel="3">
      <c r="A1081" s="91"/>
      <c r="B1081" s="35">
        <f>MAXA(B$5:B1080)+1</f>
        <v>461</v>
      </c>
      <c r="C1081" s="156" t="s">
        <v>559</v>
      </c>
      <c r="D1081" s="136" t="s">
        <v>28</v>
      </c>
      <c r="E1081" s="137">
        <f>1+7</f>
        <v>8</v>
      </c>
      <c r="F1081" s="232">
        <v>478425</v>
      </c>
      <c r="G1081" s="232">
        <v>125055</v>
      </c>
      <c r="H1081" s="138">
        <f t="shared" si="107"/>
        <v>603480</v>
      </c>
      <c r="I1081" s="138">
        <f t="shared" si="108"/>
        <v>4827840</v>
      </c>
      <c r="J1081" s="115"/>
    </row>
    <row r="1082" spans="1:10" s="16" customFormat="1" ht="25.5" outlineLevel="3">
      <c r="A1082" s="91"/>
      <c r="B1082" s="35">
        <f>MAXA(B$5:B1081)+1</f>
        <v>462</v>
      </c>
      <c r="C1082" s="156" t="s">
        <v>560</v>
      </c>
      <c r="D1082" s="230" t="s">
        <v>25</v>
      </c>
      <c r="E1082" s="137">
        <v>309</v>
      </c>
      <c r="F1082" s="232">
        <v>272888</v>
      </c>
      <c r="G1082" s="232">
        <v>125055</v>
      </c>
      <c r="H1082" s="138">
        <f t="shared" si="107"/>
        <v>397943</v>
      </c>
      <c r="I1082" s="138">
        <f t="shared" si="108"/>
        <v>122964387</v>
      </c>
      <c r="J1082" s="115"/>
    </row>
    <row r="1083" spans="1:10" s="16" customFormat="1" ht="25.5" outlineLevel="3">
      <c r="A1083" s="91"/>
      <c r="B1083" s="35">
        <f>MAXA(B$5:B1082)+1</f>
        <v>463</v>
      </c>
      <c r="C1083" s="156" t="s">
        <v>1664</v>
      </c>
      <c r="D1083" s="136" t="s">
        <v>28</v>
      </c>
      <c r="E1083" s="137">
        <v>1</v>
      </c>
      <c r="F1083" s="232">
        <v>181151</v>
      </c>
      <c r="G1083" s="232">
        <v>78159</v>
      </c>
      <c r="H1083" s="138">
        <f t="shared" si="107"/>
        <v>259310</v>
      </c>
      <c r="I1083" s="138">
        <f t="shared" si="108"/>
        <v>259310</v>
      </c>
      <c r="J1083" s="115"/>
    </row>
    <row r="1084" spans="1:10" s="16" customFormat="1" ht="25.5" outlineLevel="3">
      <c r="A1084" s="91"/>
      <c r="B1084" s="35">
        <f>MAXA(B$5:B1083)+1</f>
        <v>464</v>
      </c>
      <c r="C1084" s="156" t="s">
        <v>1665</v>
      </c>
      <c r="D1084" s="136" t="s">
        <v>28</v>
      </c>
      <c r="E1084" s="137">
        <f>4</f>
        <v>4</v>
      </c>
      <c r="F1084" s="232">
        <v>218310</v>
      </c>
      <c r="G1084" s="232">
        <v>78159</v>
      </c>
      <c r="H1084" s="138">
        <f t="shared" si="107"/>
        <v>296469</v>
      </c>
      <c r="I1084" s="138">
        <f t="shared" si="108"/>
        <v>1185876</v>
      </c>
      <c r="J1084" s="115"/>
    </row>
    <row r="1085" spans="1:10" s="16" customFormat="1" ht="25.5" outlineLevel="3">
      <c r="A1085" s="91"/>
      <c r="B1085" s="35">
        <f>MAXA(B$5:B1084)+1</f>
        <v>465</v>
      </c>
      <c r="C1085" s="156" t="s">
        <v>1666</v>
      </c>
      <c r="D1085" s="230" t="s">
        <v>25</v>
      </c>
      <c r="E1085" s="137">
        <v>250</v>
      </c>
      <c r="F1085" s="232">
        <v>163733</v>
      </c>
      <c r="G1085" s="232">
        <v>78159</v>
      </c>
      <c r="H1085" s="138">
        <f t="shared" si="107"/>
        <v>241892</v>
      </c>
      <c r="I1085" s="138">
        <f t="shared" si="108"/>
        <v>60473000</v>
      </c>
      <c r="J1085" s="115"/>
    </row>
    <row r="1086" spans="1:10" s="16" customFormat="1" ht="25.5" outlineLevel="3">
      <c r="A1086" s="91"/>
      <c r="B1086" s="35">
        <f>MAXA(B$5:B1085)+1</f>
        <v>466</v>
      </c>
      <c r="C1086" s="156" t="s">
        <v>1667</v>
      </c>
      <c r="D1086" s="136" t="s">
        <v>28</v>
      </c>
      <c r="E1086" s="137">
        <v>15</v>
      </c>
      <c r="F1086" s="232">
        <v>116123</v>
      </c>
      <c r="G1086" s="232">
        <v>52106</v>
      </c>
      <c r="H1086" s="138">
        <f t="shared" si="107"/>
        <v>168229</v>
      </c>
      <c r="I1086" s="138">
        <f t="shared" si="108"/>
        <v>2523435</v>
      </c>
      <c r="J1086" s="115"/>
    </row>
    <row r="1087" spans="1:10" s="16" customFormat="1" ht="27" outlineLevel="3">
      <c r="A1087" s="91"/>
      <c r="B1087" s="38"/>
      <c r="C1087" s="164" t="s">
        <v>1668</v>
      </c>
      <c r="D1087" s="363"/>
      <c r="E1087" s="137"/>
      <c r="F1087" s="232">
        <v>0</v>
      </c>
      <c r="G1087" s="232">
        <v>0</v>
      </c>
      <c r="H1087" s="138"/>
      <c r="I1087" s="138"/>
      <c r="J1087" s="115"/>
    </row>
    <row r="1088" spans="1:10" s="16" customFormat="1" ht="25.5" outlineLevel="3">
      <c r="A1088" s="91"/>
      <c r="B1088" s="35">
        <f>MAXA(B$5:B1087)+1</f>
        <v>467</v>
      </c>
      <c r="C1088" s="156" t="s">
        <v>401</v>
      </c>
      <c r="D1088" s="230" t="s">
        <v>25</v>
      </c>
      <c r="E1088" s="137">
        <f>ROUND(SUM(E1067,E1073,E1077,E1080,E1082,E1085)/1.5*0.7,0)</f>
        <v>456</v>
      </c>
      <c r="F1088" s="232">
        <v>82099</v>
      </c>
      <c r="G1088" s="232">
        <v>15632</v>
      </c>
      <c r="H1088" s="138">
        <f>G1088+F1088</f>
        <v>97731</v>
      </c>
      <c r="I1088" s="138">
        <f>H1088*E1088</f>
        <v>44565336</v>
      </c>
      <c r="J1088" s="115"/>
    </row>
    <row r="1089" spans="1:15" s="16" customFormat="1" ht="25.5" outlineLevel="3">
      <c r="A1089" s="91"/>
      <c r="B1089" s="35">
        <f>MAXA(B$5:B1088)+1</f>
        <v>468</v>
      </c>
      <c r="C1089" s="156" t="s">
        <v>561</v>
      </c>
      <c r="D1089" s="230" t="s">
        <v>25</v>
      </c>
      <c r="E1089" s="137">
        <f>SUM(E1067,E1073,E1077,E1080,E1082,E1085)</f>
        <v>977</v>
      </c>
      <c r="F1089" s="232">
        <v>25779</v>
      </c>
      <c r="G1089" s="232">
        <v>5211</v>
      </c>
      <c r="H1089" s="138">
        <f>G1089+F1089</f>
        <v>30990</v>
      </c>
      <c r="I1089" s="138">
        <f>H1089*E1089</f>
        <v>30277230</v>
      </c>
      <c r="J1089" s="115"/>
    </row>
    <row r="1090" spans="1:15" s="16" customFormat="1" ht="25.5" outlineLevel="3">
      <c r="A1090" s="91"/>
      <c r="B1090" s="35">
        <f>MAXA(B$5:B1089)+1</f>
        <v>469</v>
      </c>
      <c r="C1090" s="156" t="s">
        <v>562</v>
      </c>
      <c r="D1090" s="136" t="s">
        <v>28</v>
      </c>
      <c r="E1090" s="137">
        <v>1303</v>
      </c>
      <c r="F1090" s="232">
        <v>9174</v>
      </c>
      <c r="G1090" s="232">
        <v>2084</v>
      </c>
      <c r="H1090" s="138">
        <f>G1090+F1090</f>
        <v>11258</v>
      </c>
      <c r="I1090" s="138">
        <f>H1090*E1090</f>
        <v>14669174</v>
      </c>
      <c r="J1090" s="115"/>
    </row>
    <row r="1091" spans="1:15" s="16" customFormat="1" ht="25.5" outlineLevel="3">
      <c r="A1091" s="91"/>
      <c r="B1091" s="35">
        <f>MAXA(B$5:B1090)+1</f>
        <v>470</v>
      </c>
      <c r="C1091" s="156" t="s">
        <v>1669</v>
      </c>
      <c r="D1091" s="136" t="s">
        <v>38</v>
      </c>
      <c r="E1091" s="137">
        <v>1</v>
      </c>
      <c r="F1091" s="232">
        <v>11612250</v>
      </c>
      <c r="G1091" s="232">
        <v>2084250</v>
      </c>
      <c r="H1091" s="138">
        <f>G1091+F1091</f>
        <v>13696500</v>
      </c>
      <c r="I1091" s="138">
        <f>H1091*E1091</f>
        <v>13696500</v>
      </c>
      <c r="J1091" s="115"/>
    </row>
    <row r="1092" spans="1:15" s="16" customFormat="1" ht="25.5" outlineLevel="3">
      <c r="A1092" s="91"/>
      <c r="B1092" s="35">
        <f>MAXA(B$5:B1091)+1</f>
        <v>471</v>
      </c>
      <c r="C1092" s="165" t="s">
        <v>1551</v>
      </c>
      <c r="D1092" s="136" t="s">
        <v>38</v>
      </c>
      <c r="E1092" s="137">
        <v>1</v>
      </c>
      <c r="F1092" s="232">
        <v>5806125</v>
      </c>
      <c r="G1092" s="232">
        <v>2084250</v>
      </c>
      <c r="H1092" s="138">
        <f>G1092+F1092</f>
        <v>7890375</v>
      </c>
      <c r="I1092" s="138">
        <f>H1092*E1092</f>
        <v>7890375</v>
      </c>
      <c r="J1092" s="115"/>
    </row>
    <row r="1093" spans="1:15" s="33" customFormat="1" ht="26.25" outlineLevel="2">
      <c r="A1093" s="100"/>
      <c r="B1093" s="30" t="s">
        <v>563</v>
      </c>
      <c r="C1093" s="104" t="s">
        <v>564</v>
      </c>
      <c r="D1093" s="212"/>
      <c r="E1093" s="105"/>
      <c r="F1093" s="232">
        <v>0</v>
      </c>
      <c r="G1093" s="232">
        <v>0</v>
      </c>
      <c r="H1093" s="276"/>
      <c r="I1093" s="180">
        <f>SUBTOTAL(9,I1094:I1094)</f>
        <v>460520000</v>
      </c>
      <c r="J1093" s="111"/>
      <c r="M1093" s="33" t="s">
        <v>563</v>
      </c>
      <c r="N1093" s="33" t="s">
        <v>563</v>
      </c>
    </row>
    <row r="1094" spans="1:15" s="16" customFormat="1" ht="25.5" outlineLevel="3">
      <c r="A1094" s="91"/>
      <c r="B1094" s="30"/>
      <c r="C1094" s="123" t="s">
        <v>1670</v>
      </c>
      <c r="D1094" s="136" t="s">
        <v>38</v>
      </c>
      <c r="E1094" s="362">
        <v>1</v>
      </c>
      <c r="F1094" s="232">
        <v>49625000</v>
      </c>
      <c r="G1094" s="232">
        <v>410895000</v>
      </c>
      <c r="H1094" s="138">
        <f>G1094+F1094</f>
        <v>460520000</v>
      </c>
      <c r="I1094" s="138">
        <f>H1094*E1094</f>
        <v>460520000</v>
      </c>
      <c r="J1094" s="48"/>
    </row>
    <row r="1095" spans="1:15" s="16" customFormat="1" ht="26.25" outlineLevel="1">
      <c r="A1095" s="91"/>
      <c r="B1095" s="28" t="s">
        <v>566</v>
      </c>
      <c r="C1095" s="155" t="s">
        <v>1327</v>
      </c>
      <c r="D1095" s="221"/>
      <c r="E1095" s="345"/>
      <c r="F1095" s="232">
        <v>0</v>
      </c>
      <c r="G1095" s="232">
        <v>0</v>
      </c>
      <c r="H1095" s="346"/>
      <c r="I1095" s="224">
        <f>SUBTOTAL(9,I1096:I1287)</f>
        <v>2315649251</v>
      </c>
      <c r="J1095" s="185">
        <v>2111498909</v>
      </c>
      <c r="K1095" s="187">
        <f>I1095-J1095</f>
        <v>204150342</v>
      </c>
      <c r="M1095" s="33" t="s">
        <v>566</v>
      </c>
      <c r="O1095" s="16" t="s">
        <v>566</v>
      </c>
    </row>
    <row r="1096" spans="1:15" s="16" customFormat="1" ht="26.25" outlineLevel="2">
      <c r="A1096" s="91"/>
      <c r="B1096" s="30" t="s">
        <v>20</v>
      </c>
      <c r="C1096" s="104" t="s">
        <v>1671</v>
      </c>
      <c r="D1096" s="212"/>
      <c r="E1096" s="105"/>
      <c r="F1096" s="232">
        <v>0</v>
      </c>
      <c r="G1096" s="232">
        <v>0</v>
      </c>
      <c r="H1096" s="276"/>
      <c r="I1096" s="180">
        <f>SUBTOTAL(9,I1097:I1177)</f>
        <v>1045786262</v>
      </c>
      <c r="J1096" s="48"/>
      <c r="M1096" s="33" t="s">
        <v>20</v>
      </c>
      <c r="N1096" s="16" t="s">
        <v>20</v>
      </c>
    </row>
    <row r="1097" spans="1:15" s="110" customFormat="1" ht="26.25" outlineLevel="3">
      <c r="A1097" s="109"/>
      <c r="B1097" s="55" t="s">
        <v>22</v>
      </c>
      <c r="C1097" s="277" t="s">
        <v>607</v>
      </c>
      <c r="D1097" s="386"/>
      <c r="E1097" s="352"/>
      <c r="F1097" s="232">
        <v>0</v>
      </c>
      <c r="G1097" s="232">
        <v>0</v>
      </c>
      <c r="H1097" s="367"/>
      <c r="I1097" s="180">
        <f>SUBTOTAL(9,I1098:I1131)</f>
        <v>379298853</v>
      </c>
      <c r="J1097" s="115"/>
    </row>
    <row r="1098" spans="1:15" s="125" customFormat="1" ht="25.5" outlineLevel="3">
      <c r="A1098" s="124"/>
      <c r="B1098" s="35">
        <f>MAXA(B$5:B1097)+1</f>
        <v>472</v>
      </c>
      <c r="C1098" s="281" t="s">
        <v>1672</v>
      </c>
      <c r="D1098" s="230" t="s">
        <v>25</v>
      </c>
      <c r="E1098" s="373">
        <v>56</v>
      </c>
      <c r="F1098" s="232">
        <v>76921</v>
      </c>
      <c r="G1098" s="232">
        <v>78159</v>
      </c>
      <c r="H1098" s="138">
        <f t="shared" ref="H1098:H1129" si="109">G1098+F1098</f>
        <v>155080</v>
      </c>
      <c r="I1098" s="138">
        <f t="shared" ref="I1098:I1129" si="110">H1098*E1098</f>
        <v>8684480</v>
      </c>
      <c r="J1098" s="108"/>
    </row>
    <row r="1099" spans="1:15" s="16" customFormat="1" ht="25.5" outlineLevel="3">
      <c r="A1099" s="91"/>
      <c r="B1099" s="35">
        <f>MAXA(B$5:B1098)+1</f>
        <v>473</v>
      </c>
      <c r="C1099" s="280" t="s">
        <v>609</v>
      </c>
      <c r="D1099" s="136" t="s">
        <v>38</v>
      </c>
      <c r="E1099" s="137">
        <v>1</v>
      </c>
      <c r="F1099" s="232">
        <v>2799914</v>
      </c>
      <c r="G1099" s="232">
        <v>1005097</v>
      </c>
      <c r="H1099" s="138">
        <f t="shared" si="109"/>
        <v>3805011</v>
      </c>
      <c r="I1099" s="138">
        <f t="shared" si="110"/>
        <v>3805011</v>
      </c>
      <c r="J1099" s="108"/>
    </row>
    <row r="1100" spans="1:15" s="16" customFormat="1" ht="25.5" outlineLevel="3">
      <c r="A1100" s="91"/>
      <c r="B1100" s="35">
        <f>MAXA(B$5:B1099)+1</f>
        <v>474</v>
      </c>
      <c r="C1100" s="281" t="s">
        <v>1673</v>
      </c>
      <c r="D1100" s="230" t="s">
        <v>25</v>
      </c>
      <c r="E1100" s="137">
        <v>68</v>
      </c>
      <c r="F1100" s="232">
        <v>136358</v>
      </c>
      <c r="G1100" s="232">
        <v>88581</v>
      </c>
      <c r="H1100" s="138">
        <f t="shared" si="109"/>
        <v>224939</v>
      </c>
      <c r="I1100" s="138">
        <f t="shared" si="110"/>
        <v>15295852</v>
      </c>
      <c r="J1100" s="108"/>
    </row>
    <row r="1101" spans="1:15" s="16" customFormat="1" ht="25.5" outlineLevel="3">
      <c r="A1101" s="91"/>
      <c r="B1101" s="35">
        <f>MAXA(B$5:B1100)+1</f>
        <v>475</v>
      </c>
      <c r="C1101" s="281" t="s">
        <v>1674</v>
      </c>
      <c r="D1101" s="230" t="s">
        <v>25</v>
      </c>
      <c r="E1101" s="137">
        <v>21</v>
      </c>
      <c r="F1101" s="232">
        <v>94021</v>
      </c>
      <c r="G1101" s="232">
        <v>67738</v>
      </c>
      <c r="H1101" s="138">
        <f t="shared" si="109"/>
        <v>161759</v>
      </c>
      <c r="I1101" s="138">
        <f t="shared" si="110"/>
        <v>3396939</v>
      </c>
      <c r="J1101" s="108"/>
    </row>
    <row r="1102" spans="1:15" s="16" customFormat="1" ht="25.5" outlineLevel="3">
      <c r="A1102" s="91"/>
      <c r="B1102" s="35">
        <f>MAXA(B$5:B1101)+1</f>
        <v>476</v>
      </c>
      <c r="C1102" s="281" t="s">
        <v>1675</v>
      </c>
      <c r="D1102" s="230" t="s">
        <v>25</v>
      </c>
      <c r="E1102" s="137">
        <v>102</v>
      </c>
      <c r="F1102" s="232">
        <v>67343</v>
      </c>
      <c r="G1102" s="232">
        <v>46896</v>
      </c>
      <c r="H1102" s="138">
        <f t="shared" si="109"/>
        <v>114239</v>
      </c>
      <c r="I1102" s="138">
        <f t="shared" si="110"/>
        <v>11652378</v>
      </c>
      <c r="J1102" s="108"/>
    </row>
    <row r="1103" spans="1:15" s="16" customFormat="1" ht="25.5" outlineLevel="3">
      <c r="A1103" s="91"/>
      <c r="B1103" s="35">
        <f>MAXA(B$5:B1102)+1</f>
        <v>477</v>
      </c>
      <c r="C1103" s="281" t="s">
        <v>1676</v>
      </c>
      <c r="D1103" s="230" t="s">
        <v>25</v>
      </c>
      <c r="E1103" s="137">
        <f>15+26</f>
        <v>41</v>
      </c>
      <c r="F1103" s="232">
        <v>42222</v>
      </c>
      <c r="G1103" s="232">
        <v>41685</v>
      </c>
      <c r="H1103" s="138">
        <f t="shared" si="109"/>
        <v>83907</v>
      </c>
      <c r="I1103" s="138">
        <f t="shared" si="110"/>
        <v>3440187</v>
      </c>
      <c r="J1103" s="108"/>
    </row>
    <row r="1104" spans="1:15" s="16" customFormat="1" ht="25.5" outlineLevel="3">
      <c r="A1104" s="91"/>
      <c r="B1104" s="35">
        <f>MAXA(B$5:B1103)+1</f>
        <v>478</v>
      </c>
      <c r="C1104" s="281" t="s">
        <v>1677</v>
      </c>
      <c r="D1104" s="230" t="s">
        <v>25</v>
      </c>
      <c r="E1104" s="137">
        <f>150-9</f>
        <v>141</v>
      </c>
      <c r="F1104" s="232">
        <v>28807</v>
      </c>
      <c r="G1104" s="232">
        <v>39601</v>
      </c>
      <c r="H1104" s="138">
        <f t="shared" si="109"/>
        <v>68408</v>
      </c>
      <c r="I1104" s="138">
        <f t="shared" si="110"/>
        <v>9645528</v>
      </c>
      <c r="J1104" s="108"/>
    </row>
    <row r="1105" spans="1:12" s="16" customFormat="1" ht="25.5" outlineLevel="3">
      <c r="A1105" s="91"/>
      <c r="B1105" s="35">
        <f>MAXA(B$5:B1104)+1</f>
        <v>479</v>
      </c>
      <c r="C1105" s="281" t="s">
        <v>1678</v>
      </c>
      <c r="D1105" s="230" t="s">
        <v>25</v>
      </c>
      <c r="E1105" s="137">
        <f>268+41</f>
        <v>309</v>
      </c>
      <c r="F1105" s="232">
        <v>21472</v>
      </c>
      <c r="G1105" s="232">
        <v>37517</v>
      </c>
      <c r="H1105" s="138">
        <f t="shared" si="109"/>
        <v>58989</v>
      </c>
      <c r="I1105" s="138">
        <f t="shared" si="110"/>
        <v>18227601</v>
      </c>
      <c r="J1105" s="108"/>
    </row>
    <row r="1106" spans="1:12" s="16" customFormat="1" ht="25.5" outlineLevel="3">
      <c r="A1106" s="91"/>
      <c r="B1106" s="35">
        <f>MAXA(B$5:B1105)+1</f>
        <v>480</v>
      </c>
      <c r="C1106" s="281" t="s">
        <v>1679</v>
      </c>
      <c r="D1106" s="230" t="s">
        <v>25</v>
      </c>
      <c r="E1106" s="137">
        <f>342+167</f>
        <v>509</v>
      </c>
      <c r="F1106" s="232">
        <v>16531</v>
      </c>
      <c r="G1106" s="232">
        <v>35432</v>
      </c>
      <c r="H1106" s="138">
        <f t="shared" si="109"/>
        <v>51963</v>
      </c>
      <c r="I1106" s="138">
        <f t="shared" si="110"/>
        <v>26449167</v>
      </c>
      <c r="J1106" s="108"/>
    </row>
    <row r="1107" spans="1:12" s="16" customFormat="1" ht="25.5" outlineLevel="3">
      <c r="A1107" s="91" t="s">
        <v>154</v>
      </c>
      <c r="B1107" s="35">
        <f>MAXA(B$5:B1106)+1</f>
        <v>481</v>
      </c>
      <c r="C1107" s="281" t="s">
        <v>1680</v>
      </c>
      <c r="D1107" s="230" t="s">
        <v>25</v>
      </c>
      <c r="E1107" s="137">
        <f>1497+232+24</f>
        <v>1753</v>
      </c>
      <c r="F1107" s="232">
        <v>9274</v>
      </c>
      <c r="G1107" s="232">
        <v>33348</v>
      </c>
      <c r="H1107" s="138">
        <f t="shared" si="109"/>
        <v>42622</v>
      </c>
      <c r="I1107" s="138">
        <f t="shared" si="110"/>
        <v>74716366</v>
      </c>
      <c r="J1107" s="108"/>
      <c r="K1107" s="16" t="s">
        <v>156</v>
      </c>
      <c r="L1107" s="16" t="s">
        <v>1681</v>
      </c>
    </row>
    <row r="1108" spans="1:12" s="16" customFormat="1" ht="25.5" outlineLevel="3">
      <c r="A1108" s="91"/>
      <c r="B1108" s="35">
        <f>MAXA(B$5:B1107)+1</f>
        <v>482</v>
      </c>
      <c r="C1108" s="146" t="s">
        <v>623</v>
      </c>
      <c r="D1108" s="136" t="s">
        <v>38</v>
      </c>
      <c r="E1108" s="137">
        <v>1</v>
      </c>
      <c r="F1108" s="232">
        <v>21762354</v>
      </c>
      <c r="G1108" s="232">
        <v>7812127</v>
      </c>
      <c r="H1108" s="138">
        <f t="shared" si="109"/>
        <v>29574481</v>
      </c>
      <c r="I1108" s="138">
        <f t="shared" si="110"/>
        <v>29574481</v>
      </c>
      <c r="J1108" s="108"/>
    </row>
    <row r="1109" spans="1:12" s="16" customFormat="1" ht="25.5" outlineLevel="3">
      <c r="A1109" s="91"/>
      <c r="B1109" s="35">
        <f>MAXA(B$5:B1108)+1</f>
        <v>483</v>
      </c>
      <c r="C1109" s="146" t="s">
        <v>619</v>
      </c>
      <c r="D1109" s="136" t="s">
        <v>38</v>
      </c>
      <c r="E1109" s="137">
        <v>1</v>
      </c>
      <c r="F1109" s="232">
        <v>14024628</v>
      </c>
      <c r="G1109" s="232">
        <v>5034482</v>
      </c>
      <c r="H1109" s="138">
        <f t="shared" si="109"/>
        <v>19059110</v>
      </c>
      <c r="I1109" s="138">
        <f t="shared" si="110"/>
        <v>19059110</v>
      </c>
      <c r="J1109" s="108"/>
    </row>
    <row r="1110" spans="1:12" s="16" customFormat="1" ht="25.5" outlineLevel="3">
      <c r="A1110" s="91"/>
      <c r="B1110" s="35">
        <f>MAXA(B$5:B1109)+1</f>
        <v>484</v>
      </c>
      <c r="C1110" s="146" t="s">
        <v>1682</v>
      </c>
      <c r="D1110" s="136" t="s">
        <v>28</v>
      </c>
      <c r="E1110" s="137">
        <v>1</v>
      </c>
      <c r="F1110" s="232">
        <v>2403736</v>
      </c>
      <c r="G1110" s="232">
        <v>416850</v>
      </c>
      <c r="H1110" s="138">
        <f t="shared" si="109"/>
        <v>2820586</v>
      </c>
      <c r="I1110" s="138">
        <f t="shared" si="110"/>
        <v>2820586</v>
      </c>
      <c r="J1110" s="108"/>
    </row>
    <row r="1111" spans="1:12" s="16" customFormat="1" ht="25.5" outlineLevel="3">
      <c r="A1111" s="91"/>
      <c r="B1111" s="35">
        <f>MAXA(B$5:B1110)+1</f>
        <v>485</v>
      </c>
      <c r="C1111" s="146" t="s">
        <v>1683</v>
      </c>
      <c r="D1111" s="136" t="s">
        <v>28</v>
      </c>
      <c r="E1111" s="137">
        <v>2</v>
      </c>
      <c r="F1111" s="232">
        <v>2140138</v>
      </c>
      <c r="G1111" s="232">
        <v>364744</v>
      </c>
      <c r="H1111" s="138">
        <f t="shared" si="109"/>
        <v>2504882</v>
      </c>
      <c r="I1111" s="138">
        <f t="shared" si="110"/>
        <v>5009764</v>
      </c>
      <c r="J1111" s="108"/>
    </row>
    <row r="1112" spans="1:12" s="16" customFormat="1" ht="25.5" outlineLevel="3">
      <c r="A1112" s="91"/>
      <c r="B1112" s="35">
        <f>MAXA(B$5:B1111)+1</f>
        <v>486</v>
      </c>
      <c r="C1112" s="146" t="s">
        <v>1684</v>
      </c>
      <c r="D1112" s="136" t="s">
        <v>28</v>
      </c>
      <c r="E1112" s="137">
        <v>3</v>
      </c>
      <c r="F1112" s="232">
        <v>1153096</v>
      </c>
      <c r="G1112" s="232">
        <v>312638</v>
      </c>
      <c r="H1112" s="138">
        <f t="shared" si="109"/>
        <v>1465734</v>
      </c>
      <c r="I1112" s="138">
        <f t="shared" si="110"/>
        <v>4397202</v>
      </c>
      <c r="J1112" s="108"/>
    </row>
    <row r="1113" spans="1:12" s="16" customFormat="1" ht="25.5" outlineLevel="3">
      <c r="A1113" s="91"/>
      <c r="B1113" s="35">
        <f>MAXA(B$5:B1112)+1</f>
        <v>487</v>
      </c>
      <c r="C1113" s="146" t="s">
        <v>1685</v>
      </c>
      <c r="D1113" s="136" t="s">
        <v>28</v>
      </c>
      <c r="E1113" s="137">
        <v>4</v>
      </c>
      <c r="F1113" s="232">
        <v>782666</v>
      </c>
      <c r="G1113" s="232">
        <v>208425</v>
      </c>
      <c r="H1113" s="138">
        <f t="shared" si="109"/>
        <v>991091</v>
      </c>
      <c r="I1113" s="138">
        <f t="shared" si="110"/>
        <v>3964364</v>
      </c>
      <c r="J1113" s="108"/>
    </row>
    <row r="1114" spans="1:12" s="16" customFormat="1" ht="25.5" outlineLevel="3">
      <c r="A1114" s="91"/>
      <c r="B1114" s="35">
        <f>MAXA(B$5:B1113)+1</f>
        <v>488</v>
      </c>
      <c r="C1114" s="146" t="s">
        <v>1686</v>
      </c>
      <c r="D1114" s="136" t="s">
        <v>28</v>
      </c>
      <c r="E1114" s="137">
        <f>10-2</f>
        <v>8</v>
      </c>
      <c r="F1114" s="232">
        <v>573645</v>
      </c>
      <c r="G1114" s="232">
        <v>156319</v>
      </c>
      <c r="H1114" s="138">
        <f t="shared" si="109"/>
        <v>729964</v>
      </c>
      <c r="I1114" s="138">
        <f t="shared" si="110"/>
        <v>5839712</v>
      </c>
      <c r="J1114" s="108"/>
    </row>
    <row r="1115" spans="1:12" s="16" customFormat="1" ht="25.5" outlineLevel="3">
      <c r="A1115" s="91"/>
      <c r="B1115" s="35">
        <f>MAXA(B$5:B1114)+1</f>
        <v>489</v>
      </c>
      <c r="C1115" s="146" t="s">
        <v>1687</v>
      </c>
      <c r="D1115" s="136" t="s">
        <v>28</v>
      </c>
      <c r="E1115" s="137">
        <f>16+2</f>
        <v>18</v>
      </c>
      <c r="F1115" s="232">
        <v>391333</v>
      </c>
      <c r="G1115" s="232">
        <v>156319</v>
      </c>
      <c r="H1115" s="138">
        <f t="shared" si="109"/>
        <v>547652</v>
      </c>
      <c r="I1115" s="138">
        <f t="shared" si="110"/>
        <v>9857736</v>
      </c>
      <c r="J1115" s="108"/>
    </row>
    <row r="1116" spans="1:12" s="16" customFormat="1" ht="25.5" outlineLevel="3">
      <c r="A1116" s="91"/>
      <c r="B1116" s="35">
        <f>MAXA(B$5:B1115)+1</f>
        <v>490</v>
      </c>
      <c r="C1116" s="146" t="s">
        <v>1688</v>
      </c>
      <c r="D1116" s="136" t="s">
        <v>28</v>
      </c>
      <c r="E1116" s="137">
        <v>8</v>
      </c>
      <c r="F1116" s="232">
        <v>281016</v>
      </c>
      <c r="G1116" s="232">
        <v>156319</v>
      </c>
      <c r="H1116" s="138">
        <f t="shared" si="109"/>
        <v>437335</v>
      </c>
      <c r="I1116" s="138">
        <f t="shared" si="110"/>
        <v>3498680</v>
      </c>
      <c r="J1116" s="108"/>
    </row>
    <row r="1117" spans="1:12" s="16" customFormat="1" ht="25.5" outlineLevel="3">
      <c r="A1117" s="91"/>
      <c r="B1117" s="35">
        <f>MAXA(B$5:B1116)+1</f>
        <v>491</v>
      </c>
      <c r="C1117" s="146" t="s">
        <v>1689</v>
      </c>
      <c r="D1117" s="136" t="s">
        <v>28</v>
      </c>
      <c r="E1117" s="137">
        <v>7</v>
      </c>
      <c r="F1117" s="232">
        <v>207859</v>
      </c>
      <c r="G1117" s="232">
        <v>156319</v>
      </c>
      <c r="H1117" s="138">
        <f t="shared" si="109"/>
        <v>364178</v>
      </c>
      <c r="I1117" s="138">
        <f t="shared" si="110"/>
        <v>2549246</v>
      </c>
      <c r="J1117" s="108"/>
    </row>
    <row r="1118" spans="1:12" s="16" customFormat="1" ht="25.5" outlineLevel="3">
      <c r="A1118" s="91"/>
      <c r="B1118" s="35">
        <f>MAXA(B$5:B1117)+1</f>
        <v>492</v>
      </c>
      <c r="C1118" s="281" t="s">
        <v>1690</v>
      </c>
      <c r="D1118" s="136" t="s">
        <v>44</v>
      </c>
      <c r="E1118" s="137">
        <v>2</v>
      </c>
      <c r="F1118" s="232">
        <v>971945</v>
      </c>
      <c r="G1118" s="232">
        <v>156319</v>
      </c>
      <c r="H1118" s="138">
        <f t="shared" si="109"/>
        <v>1128264</v>
      </c>
      <c r="I1118" s="138">
        <f t="shared" si="110"/>
        <v>2256528</v>
      </c>
      <c r="J1118" s="108"/>
    </row>
    <row r="1119" spans="1:12" s="16" customFormat="1" ht="25.5" outlineLevel="3">
      <c r="A1119" s="91"/>
      <c r="B1119" s="35">
        <f>MAXA(B$5:B1118)+1</f>
        <v>493</v>
      </c>
      <c r="C1119" s="281" t="s">
        <v>1691</v>
      </c>
      <c r="D1119" s="136" t="s">
        <v>28</v>
      </c>
      <c r="E1119" s="137">
        <v>2</v>
      </c>
      <c r="F1119" s="232">
        <v>1245994</v>
      </c>
      <c r="G1119" s="232">
        <v>208425</v>
      </c>
      <c r="H1119" s="138">
        <f t="shared" si="109"/>
        <v>1454419</v>
      </c>
      <c r="I1119" s="138">
        <f t="shared" si="110"/>
        <v>2908838</v>
      </c>
      <c r="J1119" s="108"/>
    </row>
    <row r="1120" spans="1:12" s="16" customFormat="1" ht="25.5" outlineLevel="3">
      <c r="A1120" s="91"/>
      <c r="B1120" s="35">
        <f>MAXA(B$5:B1119)+1</f>
        <v>494</v>
      </c>
      <c r="C1120" s="146" t="s">
        <v>1692</v>
      </c>
      <c r="D1120" s="136" t="s">
        <v>28</v>
      </c>
      <c r="E1120" s="137">
        <v>15</v>
      </c>
      <c r="F1120" s="232">
        <v>139347</v>
      </c>
      <c r="G1120" s="232">
        <v>88581</v>
      </c>
      <c r="H1120" s="138">
        <f t="shared" si="109"/>
        <v>227928</v>
      </c>
      <c r="I1120" s="138">
        <f t="shared" si="110"/>
        <v>3418920</v>
      </c>
      <c r="J1120" s="108"/>
    </row>
    <row r="1121" spans="1:12" s="16" customFormat="1" ht="38.25" outlineLevel="3">
      <c r="A1121" s="91" t="s">
        <v>154</v>
      </c>
      <c r="B1121" s="35">
        <f>MAXA(B$5:B1120)+1</f>
        <v>495</v>
      </c>
      <c r="C1121" s="280" t="s">
        <v>598</v>
      </c>
      <c r="D1121" s="136" t="s">
        <v>28</v>
      </c>
      <c r="E1121" s="137">
        <f>60-2</f>
        <v>58</v>
      </c>
      <c r="F1121" s="232">
        <v>754796</v>
      </c>
      <c r="G1121" s="232">
        <v>260531</v>
      </c>
      <c r="H1121" s="138">
        <f t="shared" si="109"/>
        <v>1015327</v>
      </c>
      <c r="I1121" s="138">
        <f t="shared" si="110"/>
        <v>58888966</v>
      </c>
      <c r="J1121" s="108"/>
      <c r="K1121" s="16" t="s">
        <v>156</v>
      </c>
      <c r="L1121" s="16" t="s">
        <v>1681</v>
      </c>
    </row>
    <row r="1122" spans="1:12" s="16" customFormat="1" ht="25.5" outlineLevel="3">
      <c r="A1122" s="91"/>
      <c r="B1122" s="35">
        <f>MAXA(B$5:B1121)+1</f>
        <v>496</v>
      </c>
      <c r="C1122" s="146" t="s">
        <v>1693</v>
      </c>
      <c r="D1122" s="136" t="s">
        <v>28</v>
      </c>
      <c r="E1122" s="137">
        <v>2</v>
      </c>
      <c r="F1122" s="232">
        <v>7571187</v>
      </c>
      <c r="G1122" s="232">
        <v>468956</v>
      </c>
      <c r="H1122" s="138">
        <f t="shared" si="109"/>
        <v>8040143</v>
      </c>
      <c r="I1122" s="138">
        <f t="shared" si="110"/>
        <v>16080286</v>
      </c>
      <c r="J1122" s="52"/>
    </row>
    <row r="1123" spans="1:12" s="16" customFormat="1" ht="25.5" outlineLevel="3">
      <c r="A1123" s="91"/>
      <c r="B1123" s="35">
        <f>MAXA(B$5:B1122)+1</f>
        <v>497</v>
      </c>
      <c r="C1123" s="146" t="s">
        <v>1694</v>
      </c>
      <c r="D1123" s="136" t="s">
        <v>28</v>
      </c>
      <c r="E1123" s="137">
        <v>1</v>
      </c>
      <c r="F1123" s="232">
        <v>4075900</v>
      </c>
      <c r="G1123" s="232">
        <v>260531</v>
      </c>
      <c r="H1123" s="138">
        <f t="shared" si="109"/>
        <v>4336431</v>
      </c>
      <c r="I1123" s="138">
        <f t="shared" si="110"/>
        <v>4336431</v>
      </c>
      <c r="J1123" s="52"/>
    </row>
    <row r="1124" spans="1:12" s="16" customFormat="1" ht="25.5" outlineLevel="3">
      <c r="A1124" s="91"/>
      <c r="B1124" s="35">
        <f>MAXA(B$5:B1123)+1</f>
        <v>498</v>
      </c>
      <c r="C1124" s="281" t="s">
        <v>622</v>
      </c>
      <c r="D1124" s="230" t="s">
        <v>25</v>
      </c>
      <c r="E1124" s="137">
        <v>66</v>
      </c>
      <c r="F1124" s="232">
        <v>42306</v>
      </c>
      <c r="G1124" s="232">
        <v>41685</v>
      </c>
      <c r="H1124" s="138">
        <f t="shared" si="109"/>
        <v>83991</v>
      </c>
      <c r="I1124" s="138">
        <f t="shared" si="110"/>
        <v>5543406</v>
      </c>
      <c r="J1124" s="108"/>
    </row>
    <row r="1125" spans="1:12" s="16" customFormat="1" ht="25.5" outlineLevel="3">
      <c r="A1125" s="91"/>
      <c r="B1125" s="35">
        <f>MAXA(B$5:B1124)+1</f>
        <v>499</v>
      </c>
      <c r="C1125" s="146" t="s">
        <v>623</v>
      </c>
      <c r="D1125" s="136" t="s">
        <v>38</v>
      </c>
      <c r="E1125" s="137">
        <v>1</v>
      </c>
      <c r="F1125" s="232">
        <v>1704924</v>
      </c>
      <c r="G1125" s="232">
        <v>612024</v>
      </c>
      <c r="H1125" s="138">
        <f t="shared" si="109"/>
        <v>2316948</v>
      </c>
      <c r="I1125" s="138">
        <f t="shared" si="110"/>
        <v>2316948</v>
      </c>
      <c r="J1125" s="108"/>
    </row>
    <row r="1126" spans="1:12" s="16" customFormat="1" ht="25.5" outlineLevel="3">
      <c r="A1126" s="91"/>
      <c r="B1126" s="35">
        <f>MAXA(B$5:B1125)+1</f>
        <v>500</v>
      </c>
      <c r="C1126" s="146" t="s">
        <v>624</v>
      </c>
      <c r="D1126" s="136" t="s">
        <v>28</v>
      </c>
      <c r="E1126" s="137">
        <v>3</v>
      </c>
      <c r="F1126" s="232">
        <v>281016</v>
      </c>
      <c r="G1126" s="232">
        <v>156319</v>
      </c>
      <c r="H1126" s="138">
        <f t="shared" si="109"/>
        <v>437335</v>
      </c>
      <c r="I1126" s="138">
        <f t="shared" si="110"/>
        <v>1312005</v>
      </c>
      <c r="J1126" s="108"/>
    </row>
    <row r="1127" spans="1:12" s="16" customFormat="1" ht="25.5" outlineLevel="3">
      <c r="A1127" s="91"/>
      <c r="B1127" s="35">
        <f>MAXA(B$5:B1126)+1</f>
        <v>501</v>
      </c>
      <c r="C1127" s="146" t="s">
        <v>1688</v>
      </c>
      <c r="D1127" s="136" t="s">
        <v>28</v>
      </c>
      <c r="E1127" s="137">
        <v>3</v>
      </c>
      <c r="F1127" s="232">
        <v>281016</v>
      </c>
      <c r="G1127" s="232">
        <v>156319</v>
      </c>
      <c r="H1127" s="138">
        <f t="shared" si="109"/>
        <v>437335</v>
      </c>
      <c r="I1127" s="138">
        <f t="shared" si="110"/>
        <v>1312005</v>
      </c>
      <c r="J1127" s="108"/>
    </row>
    <row r="1128" spans="1:12" s="16" customFormat="1" ht="25.5" outlineLevel="3">
      <c r="A1128" s="91"/>
      <c r="B1128" s="35">
        <f>MAXA(B$5:B1127)+1</f>
        <v>502</v>
      </c>
      <c r="C1128" s="146" t="s">
        <v>1695</v>
      </c>
      <c r="D1128" s="136" t="s">
        <v>28</v>
      </c>
      <c r="E1128" s="137">
        <v>3</v>
      </c>
      <c r="F1128" s="232">
        <v>930141</v>
      </c>
      <c r="G1128" s="232">
        <v>156319</v>
      </c>
      <c r="H1128" s="138">
        <f t="shared" si="109"/>
        <v>1086460</v>
      </c>
      <c r="I1128" s="138">
        <f t="shared" si="110"/>
        <v>3259380</v>
      </c>
      <c r="J1128" s="108"/>
    </row>
    <row r="1129" spans="1:12" s="16" customFormat="1" ht="25.5" outlineLevel="3">
      <c r="A1129" s="91"/>
      <c r="B1129" s="35">
        <f>MAXA(B$5:B1128)+1</f>
        <v>503</v>
      </c>
      <c r="C1129" s="146" t="s">
        <v>1041</v>
      </c>
      <c r="D1129" s="136" t="s">
        <v>38</v>
      </c>
      <c r="E1129" s="137">
        <v>1</v>
      </c>
      <c r="F1129" s="232">
        <v>11612250</v>
      </c>
      <c r="G1129" s="232">
        <v>4168500</v>
      </c>
      <c r="H1129" s="138">
        <f t="shared" si="109"/>
        <v>15780750</v>
      </c>
      <c r="I1129" s="138">
        <f t="shared" si="110"/>
        <v>15780750</v>
      </c>
      <c r="J1129" s="108"/>
    </row>
    <row r="1130" spans="1:12" s="16" customFormat="1" ht="38.25" outlineLevel="3">
      <c r="A1130" s="91"/>
      <c r="B1130" s="51">
        <f>MAX($B$9:B1129)+1</f>
        <v>504</v>
      </c>
      <c r="C1130" s="126" t="s">
        <v>627</v>
      </c>
      <c r="D1130" s="136"/>
      <c r="E1130" s="113"/>
      <c r="F1130" s="232">
        <v>0</v>
      </c>
      <c r="G1130" s="232">
        <v>0</v>
      </c>
      <c r="H1130" s="127"/>
      <c r="I1130" s="127"/>
      <c r="J1130" s="54" t="s">
        <v>626</v>
      </c>
    </row>
    <row r="1131" spans="1:12" s="16" customFormat="1" ht="38.25" outlineLevel="3">
      <c r="A1131" s="91"/>
      <c r="B1131" s="51">
        <f>MAX($B$9:B1130)+1</f>
        <v>505</v>
      </c>
      <c r="C1131" s="128" t="s">
        <v>628</v>
      </c>
      <c r="D1131" s="136"/>
      <c r="E1131" s="113"/>
      <c r="F1131" s="232">
        <v>0</v>
      </c>
      <c r="G1131" s="232">
        <v>0</v>
      </c>
      <c r="H1131" s="127"/>
      <c r="I1131" s="127"/>
      <c r="J1131" s="54" t="s">
        <v>626</v>
      </c>
    </row>
    <row r="1132" spans="1:12" s="33" customFormat="1" ht="27" outlineLevel="3">
      <c r="A1132" s="100"/>
      <c r="B1132" s="55" t="s">
        <v>39</v>
      </c>
      <c r="C1132" s="392" t="s">
        <v>1696</v>
      </c>
      <c r="D1132" s="393"/>
      <c r="E1132" s="377"/>
      <c r="F1132" s="232">
        <v>0</v>
      </c>
      <c r="G1132" s="232">
        <v>0</v>
      </c>
      <c r="H1132" s="339"/>
      <c r="I1132" s="180">
        <f>SUBTOTAL(9,I1133:I1176)</f>
        <v>666487409</v>
      </c>
      <c r="J1132" s="115"/>
    </row>
    <row r="1133" spans="1:12" s="16" customFormat="1" ht="38.25" outlineLevel="3">
      <c r="A1133" s="91"/>
      <c r="B1133" s="35">
        <f>MAXA(B$5:B1132)+1</f>
        <v>506</v>
      </c>
      <c r="C1133" s="146" t="s">
        <v>1697</v>
      </c>
      <c r="D1133" s="136" t="s">
        <v>44</v>
      </c>
      <c r="E1133" s="137">
        <v>2</v>
      </c>
      <c r="F1133" s="232">
        <v>88009243</v>
      </c>
      <c r="G1133" s="232">
        <v>6252750</v>
      </c>
      <c r="H1133" s="138">
        <f>G1133+F1133</f>
        <v>94261993</v>
      </c>
      <c r="I1133" s="138">
        <f>H1133*E1133</f>
        <v>188523986</v>
      </c>
      <c r="J1133" s="108"/>
    </row>
    <row r="1134" spans="1:12" s="16" customFormat="1" ht="25.5" outlineLevel="3">
      <c r="A1134" s="91"/>
      <c r="B1134" s="35">
        <f>MAXA(B$5:B1133)+1</f>
        <v>507</v>
      </c>
      <c r="C1134" s="146" t="s">
        <v>1698</v>
      </c>
      <c r="D1134" s="136" t="s">
        <v>44</v>
      </c>
      <c r="E1134" s="137">
        <v>1</v>
      </c>
      <c r="F1134" s="232">
        <v>26531669</v>
      </c>
      <c r="G1134" s="232">
        <v>677381</v>
      </c>
      <c r="H1134" s="138">
        <f>G1134+F1134</f>
        <v>27209050</v>
      </c>
      <c r="I1134" s="138">
        <f>H1134*E1134</f>
        <v>27209050</v>
      </c>
      <c r="J1134" s="108"/>
    </row>
    <row r="1135" spans="1:12" s="16" customFormat="1" ht="25.5" outlineLevel="3">
      <c r="A1135" s="91"/>
      <c r="B1135" s="35">
        <f>MAXA(B$5:B1134)+1</f>
        <v>508</v>
      </c>
      <c r="C1135" s="146" t="s">
        <v>572</v>
      </c>
      <c r="D1135" s="136" t="s">
        <v>38</v>
      </c>
      <c r="E1135" s="137">
        <v>1</v>
      </c>
      <c r="F1135" s="232">
        <v>80006080</v>
      </c>
      <c r="G1135" s="232">
        <v>1563188</v>
      </c>
      <c r="H1135" s="138">
        <f>G1135+F1135</f>
        <v>81569268</v>
      </c>
      <c r="I1135" s="138">
        <f>H1135*E1135</f>
        <v>81569268</v>
      </c>
      <c r="J1135" s="108"/>
    </row>
    <row r="1136" spans="1:12" s="16" customFormat="1" ht="25.5" outlineLevel="3">
      <c r="A1136" s="91"/>
      <c r="B1136" s="35"/>
      <c r="C1136" s="112" t="s">
        <v>141</v>
      </c>
      <c r="D1136" s="136"/>
      <c r="E1136" s="137"/>
      <c r="F1136" s="232">
        <v>0</v>
      </c>
      <c r="G1136" s="232">
        <v>0</v>
      </c>
      <c r="H1136" s="138"/>
      <c r="I1136" s="138"/>
      <c r="J1136" s="108"/>
    </row>
    <row r="1137" spans="1:10" s="16" customFormat="1" ht="25.5" outlineLevel="3">
      <c r="A1137" s="91"/>
      <c r="B1137" s="35"/>
      <c r="C1137" s="142" t="s">
        <v>159</v>
      </c>
      <c r="D1137" s="136" t="s">
        <v>28</v>
      </c>
      <c r="E1137" s="137">
        <v>1</v>
      </c>
      <c r="F1137" s="232">
        <v>0</v>
      </c>
      <c r="G1137" s="232">
        <v>0</v>
      </c>
      <c r="H1137" s="138">
        <f>G1137+F1137</f>
        <v>0</v>
      </c>
      <c r="I1137" s="138">
        <f>H1137*E1137</f>
        <v>0</v>
      </c>
      <c r="J1137" s="108"/>
    </row>
    <row r="1138" spans="1:10" s="16" customFormat="1" ht="25.5" outlineLevel="3">
      <c r="A1138" s="91"/>
      <c r="B1138" s="35"/>
      <c r="C1138" s="139" t="s">
        <v>573</v>
      </c>
      <c r="D1138" s="136" t="s">
        <v>28</v>
      </c>
      <c r="E1138" s="137">
        <v>3</v>
      </c>
      <c r="F1138" s="232">
        <v>0</v>
      </c>
      <c r="G1138" s="232">
        <v>0</v>
      </c>
      <c r="H1138" s="138">
        <f>G1138+F1138</f>
        <v>0</v>
      </c>
      <c r="I1138" s="138">
        <f>H1138*E1138</f>
        <v>0</v>
      </c>
      <c r="J1138" s="108"/>
    </row>
    <row r="1139" spans="1:10" s="16" customFormat="1" ht="25.5" outlineLevel="3">
      <c r="A1139" s="91"/>
      <c r="B1139" s="35"/>
      <c r="C1139" s="139" t="s">
        <v>574</v>
      </c>
      <c r="D1139" s="136" t="s">
        <v>28</v>
      </c>
      <c r="E1139" s="137">
        <v>3</v>
      </c>
      <c r="F1139" s="232">
        <v>0</v>
      </c>
      <c r="G1139" s="232">
        <v>0</v>
      </c>
      <c r="H1139" s="138">
        <f>G1139+F1139</f>
        <v>0</v>
      </c>
      <c r="I1139" s="138">
        <f>H1139*E1139</f>
        <v>0</v>
      </c>
      <c r="J1139" s="108"/>
    </row>
    <row r="1140" spans="1:10" s="16" customFormat="1" ht="25.5" outlineLevel="3">
      <c r="A1140" s="91"/>
      <c r="B1140" s="35"/>
      <c r="C1140" s="112" t="s">
        <v>148</v>
      </c>
      <c r="D1140" s="136"/>
      <c r="E1140" s="137"/>
      <c r="F1140" s="232">
        <v>0</v>
      </c>
      <c r="G1140" s="232">
        <v>0</v>
      </c>
      <c r="H1140" s="138"/>
      <c r="I1140" s="138"/>
      <c r="J1140" s="108"/>
    </row>
    <row r="1141" spans="1:10" s="16" customFormat="1" ht="25.5" outlineLevel="3">
      <c r="A1141" s="91"/>
      <c r="B1141" s="35"/>
      <c r="C1141" s="142" t="s">
        <v>272</v>
      </c>
      <c r="D1141" s="136" t="s">
        <v>28</v>
      </c>
      <c r="E1141" s="137">
        <v>1</v>
      </c>
      <c r="F1141" s="232">
        <v>0</v>
      </c>
      <c r="G1141" s="232">
        <v>0</v>
      </c>
      <c r="H1141" s="138">
        <f>G1141+F1141</f>
        <v>0</v>
      </c>
      <c r="I1141" s="138">
        <f>H1141*E1141</f>
        <v>0</v>
      </c>
      <c r="J1141" s="108"/>
    </row>
    <row r="1142" spans="1:10" s="16" customFormat="1" ht="25.5" outlineLevel="3">
      <c r="A1142" s="91"/>
      <c r="B1142" s="35"/>
      <c r="C1142" s="142" t="s">
        <v>159</v>
      </c>
      <c r="D1142" s="136" t="s">
        <v>28</v>
      </c>
      <c r="E1142" s="137">
        <v>2</v>
      </c>
      <c r="F1142" s="232">
        <v>0</v>
      </c>
      <c r="G1142" s="232">
        <v>0</v>
      </c>
      <c r="H1142" s="138">
        <f>G1142+F1142</f>
        <v>0</v>
      </c>
      <c r="I1142" s="138">
        <f>H1142*E1142</f>
        <v>0</v>
      </c>
      <c r="J1142" s="108"/>
    </row>
    <row r="1143" spans="1:10" s="16" customFormat="1" ht="25.5" outlineLevel="3">
      <c r="A1143" s="91"/>
      <c r="B1143" s="35"/>
      <c r="C1143" s="142" t="s">
        <v>203</v>
      </c>
      <c r="D1143" s="136" t="s">
        <v>28</v>
      </c>
      <c r="E1143" s="137">
        <v>1</v>
      </c>
      <c r="F1143" s="232">
        <v>0</v>
      </c>
      <c r="G1143" s="232">
        <v>0</v>
      </c>
      <c r="H1143" s="138">
        <f>G1143+F1143</f>
        <v>0</v>
      </c>
      <c r="I1143" s="138">
        <f>H1143*E1143</f>
        <v>0</v>
      </c>
      <c r="J1143" s="108"/>
    </row>
    <row r="1144" spans="1:10" s="16" customFormat="1" ht="25.5" outlineLevel="3">
      <c r="A1144" s="91"/>
      <c r="B1144" s="35"/>
      <c r="C1144" s="139" t="s">
        <v>161</v>
      </c>
      <c r="D1144" s="136" t="s">
        <v>44</v>
      </c>
      <c r="E1144" s="137">
        <v>1</v>
      </c>
      <c r="F1144" s="232">
        <v>0</v>
      </c>
      <c r="G1144" s="232">
        <v>0</v>
      </c>
      <c r="H1144" s="138">
        <f>G1144+F1144</f>
        <v>0</v>
      </c>
      <c r="I1144" s="138">
        <f>H1144*E1144</f>
        <v>0</v>
      </c>
      <c r="J1144" s="108"/>
    </row>
    <row r="1145" spans="1:10" s="16" customFormat="1" ht="25.5" outlineLevel="3">
      <c r="A1145" s="91"/>
      <c r="B1145" s="35"/>
      <c r="C1145" s="139" t="s">
        <v>575</v>
      </c>
      <c r="D1145" s="136" t="s">
        <v>28</v>
      </c>
      <c r="E1145" s="137">
        <v>1</v>
      </c>
      <c r="F1145" s="232">
        <v>0</v>
      </c>
      <c r="G1145" s="232">
        <v>0</v>
      </c>
      <c r="H1145" s="138">
        <f>G1145+F1145</f>
        <v>0</v>
      </c>
      <c r="I1145" s="138">
        <f>H1145*E1145</f>
        <v>0</v>
      </c>
      <c r="J1145" s="108"/>
    </row>
    <row r="1146" spans="1:10" s="16" customFormat="1" ht="25.5" outlineLevel="3">
      <c r="A1146" s="91"/>
      <c r="B1146" s="35"/>
      <c r="C1146" s="143" t="s">
        <v>1699</v>
      </c>
      <c r="D1146" s="136"/>
      <c r="E1146" s="137"/>
      <c r="F1146" s="232">
        <v>0</v>
      </c>
      <c r="G1146" s="232">
        <v>0</v>
      </c>
      <c r="H1146" s="138"/>
      <c r="I1146" s="138"/>
      <c r="J1146" s="108"/>
    </row>
    <row r="1147" spans="1:10" s="16" customFormat="1" ht="25.5" outlineLevel="3">
      <c r="A1147" s="91"/>
      <c r="B1147" s="35"/>
      <c r="C1147" s="139" t="s">
        <v>1700</v>
      </c>
      <c r="D1147" s="136" t="s">
        <v>28</v>
      </c>
      <c r="E1147" s="137">
        <v>2</v>
      </c>
      <c r="F1147" s="232">
        <v>0</v>
      </c>
      <c r="G1147" s="232">
        <v>0</v>
      </c>
      <c r="H1147" s="138">
        <f t="shared" ref="H1147:H1176" si="111">G1147+F1147</f>
        <v>0</v>
      </c>
      <c r="I1147" s="138">
        <f t="shared" ref="I1147:I1176" si="112">H1147*E1147</f>
        <v>0</v>
      </c>
      <c r="J1147" s="108"/>
    </row>
    <row r="1148" spans="1:10" s="16" customFormat="1" ht="25.5" outlineLevel="3">
      <c r="A1148" s="91"/>
      <c r="B1148" s="35"/>
      <c r="C1148" s="129" t="s">
        <v>578</v>
      </c>
      <c r="D1148" s="136" t="s">
        <v>38</v>
      </c>
      <c r="E1148" s="140">
        <v>1</v>
      </c>
      <c r="F1148" s="232">
        <v>0</v>
      </c>
      <c r="G1148" s="232">
        <v>0</v>
      </c>
      <c r="H1148" s="138">
        <f t="shared" si="111"/>
        <v>0</v>
      </c>
      <c r="I1148" s="138">
        <f t="shared" si="112"/>
        <v>0</v>
      </c>
      <c r="J1148" s="108"/>
    </row>
    <row r="1149" spans="1:10" s="16" customFormat="1" ht="25.5" outlineLevel="3">
      <c r="A1149" s="91"/>
      <c r="B1149" s="35"/>
      <c r="C1149" s="141" t="s">
        <v>1436</v>
      </c>
      <c r="D1149" s="136" t="s">
        <v>38</v>
      </c>
      <c r="E1149" s="137">
        <v>1</v>
      </c>
      <c r="F1149" s="232">
        <v>0</v>
      </c>
      <c r="G1149" s="232">
        <v>0</v>
      </c>
      <c r="H1149" s="138">
        <f t="shared" si="111"/>
        <v>0</v>
      </c>
      <c r="I1149" s="138">
        <f t="shared" si="112"/>
        <v>0</v>
      </c>
      <c r="J1149" s="108"/>
    </row>
    <row r="1150" spans="1:10" s="16" customFormat="1" ht="25.5" outlineLevel="3">
      <c r="A1150" s="91"/>
      <c r="B1150" s="35">
        <f>MAXA(B$5:B1135)+1</f>
        <v>509</v>
      </c>
      <c r="C1150" s="146" t="s">
        <v>1701</v>
      </c>
      <c r="D1150" s="136" t="s">
        <v>38</v>
      </c>
      <c r="E1150" s="137">
        <v>1</v>
      </c>
      <c r="F1150" s="232">
        <v>46449000</v>
      </c>
      <c r="G1150" s="232">
        <v>12505500</v>
      </c>
      <c r="H1150" s="138">
        <f t="shared" si="111"/>
        <v>58954500</v>
      </c>
      <c r="I1150" s="138">
        <f t="shared" si="112"/>
        <v>58954500</v>
      </c>
      <c r="J1150" s="108"/>
    </row>
    <row r="1151" spans="1:10" s="16" customFormat="1" ht="25.5" outlineLevel="3">
      <c r="A1151" s="91"/>
      <c r="B1151" s="35">
        <f>MAXA(B$5:B1150)+1</f>
        <v>510</v>
      </c>
      <c r="C1151" s="146" t="s">
        <v>1702</v>
      </c>
      <c r="D1151" s="136" t="s">
        <v>28</v>
      </c>
      <c r="E1151" s="137">
        <v>1</v>
      </c>
      <c r="F1151" s="232">
        <v>10244327</v>
      </c>
      <c r="G1151" s="232">
        <v>468956</v>
      </c>
      <c r="H1151" s="138">
        <f t="shared" si="111"/>
        <v>10713283</v>
      </c>
      <c r="I1151" s="138">
        <f t="shared" si="112"/>
        <v>10713283</v>
      </c>
      <c r="J1151" s="108"/>
    </row>
    <row r="1152" spans="1:10" s="16" customFormat="1" ht="25.5" outlineLevel="3">
      <c r="A1152" s="91"/>
      <c r="B1152" s="35">
        <f>MAXA(B$5:B1151)+1</f>
        <v>511</v>
      </c>
      <c r="C1152" s="143" t="s">
        <v>1703</v>
      </c>
      <c r="D1152" s="136" t="s">
        <v>28</v>
      </c>
      <c r="E1152" s="137">
        <v>6</v>
      </c>
      <c r="F1152" s="232">
        <v>7329652</v>
      </c>
      <c r="G1152" s="232">
        <v>416850</v>
      </c>
      <c r="H1152" s="138">
        <f t="shared" si="111"/>
        <v>7746502</v>
      </c>
      <c r="I1152" s="138">
        <f t="shared" si="112"/>
        <v>46479012</v>
      </c>
      <c r="J1152" s="108"/>
    </row>
    <row r="1153" spans="1:10" s="16" customFormat="1" ht="25.5" outlineLevel="3">
      <c r="A1153" s="91"/>
      <c r="B1153" s="35">
        <f>MAXA(B$5:B1152)+1</f>
        <v>512</v>
      </c>
      <c r="C1153" s="146" t="s">
        <v>1704</v>
      </c>
      <c r="D1153" s="136" t="s">
        <v>28</v>
      </c>
      <c r="E1153" s="137">
        <v>2</v>
      </c>
      <c r="F1153" s="232">
        <v>5967535</v>
      </c>
      <c r="G1153" s="232">
        <v>364744</v>
      </c>
      <c r="H1153" s="138">
        <f t="shared" si="111"/>
        <v>6332279</v>
      </c>
      <c r="I1153" s="138">
        <f t="shared" si="112"/>
        <v>12664558</v>
      </c>
      <c r="J1153" s="108"/>
    </row>
    <row r="1154" spans="1:10" s="16" customFormat="1" ht="25.5" outlineLevel="3">
      <c r="A1154" s="91"/>
      <c r="B1154" s="35">
        <f>MAXA(B$5:B1153)+1</f>
        <v>513</v>
      </c>
      <c r="C1154" s="146" t="s">
        <v>1705</v>
      </c>
      <c r="D1154" s="136" t="s">
        <v>28</v>
      </c>
      <c r="E1154" s="137">
        <v>1</v>
      </c>
      <c r="F1154" s="232">
        <v>1840542</v>
      </c>
      <c r="G1154" s="232">
        <v>208425</v>
      </c>
      <c r="H1154" s="138">
        <f t="shared" si="111"/>
        <v>2048967</v>
      </c>
      <c r="I1154" s="138">
        <f t="shared" si="112"/>
        <v>2048967</v>
      </c>
      <c r="J1154" s="108"/>
    </row>
    <row r="1155" spans="1:10" s="16" customFormat="1" ht="25.5" outlineLevel="3">
      <c r="A1155" s="91"/>
      <c r="B1155" s="35">
        <f>MAXA(B$5:B1154)+1</f>
        <v>514</v>
      </c>
      <c r="C1155" s="146" t="s">
        <v>1706</v>
      </c>
      <c r="D1155" s="136" t="s">
        <v>28</v>
      </c>
      <c r="E1155" s="137">
        <v>1</v>
      </c>
      <c r="F1155" s="232">
        <v>116123</v>
      </c>
      <c r="G1155" s="232">
        <v>67738</v>
      </c>
      <c r="H1155" s="138">
        <f t="shared" si="111"/>
        <v>183861</v>
      </c>
      <c r="I1155" s="138">
        <f t="shared" si="112"/>
        <v>183861</v>
      </c>
      <c r="J1155" s="108"/>
    </row>
    <row r="1156" spans="1:10" s="16" customFormat="1" ht="25.5" outlineLevel="3">
      <c r="A1156" s="91"/>
      <c r="B1156" s="35">
        <f>MAXA(B$5:B1155)+1</f>
        <v>515</v>
      </c>
      <c r="C1156" s="146" t="s">
        <v>1707</v>
      </c>
      <c r="D1156" s="136" t="s">
        <v>28</v>
      </c>
      <c r="E1156" s="137">
        <v>2</v>
      </c>
      <c r="F1156" s="232">
        <v>1938085</v>
      </c>
      <c r="G1156" s="232">
        <v>364744</v>
      </c>
      <c r="H1156" s="138">
        <f t="shared" si="111"/>
        <v>2302829</v>
      </c>
      <c r="I1156" s="138">
        <f t="shared" si="112"/>
        <v>4605658</v>
      </c>
      <c r="J1156" s="108"/>
    </row>
    <row r="1157" spans="1:10" s="16" customFormat="1" ht="25.5" outlineLevel="3">
      <c r="A1157" s="91"/>
      <c r="B1157" s="35">
        <f>MAXA(B$5:B1156)+1</f>
        <v>516</v>
      </c>
      <c r="C1157" s="146" t="s">
        <v>1708</v>
      </c>
      <c r="D1157" s="136" t="s">
        <v>28</v>
      </c>
      <c r="E1157" s="137">
        <v>2</v>
      </c>
      <c r="F1157" s="232">
        <v>1153096</v>
      </c>
      <c r="G1157" s="232">
        <v>416850</v>
      </c>
      <c r="H1157" s="138">
        <f t="shared" si="111"/>
        <v>1569946</v>
      </c>
      <c r="I1157" s="138">
        <f t="shared" si="112"/>
        <v>3139892</v>
      </c>
      <c r="J1157" s="108"/>
    </row>
    <row r="1158" spans="1:10" s="16" customFormat="1" ht="25.5" outlineLevel="3">
      <c r="A1158" s="91"/>
      <c r="B1158" s="35">
        <f>MAXA(B$5:B1157)+1</f>
        <v>517</v>
      </c>
      <c r="C1158" s="146" t="s">
        <v>1709</v>
      </c>
      <c r="D1158" s="136" t="s">
        <v>28</v>
      </c>
      <c r="E1158" s="137">
        <v>2</v>
      </c>
      <c r="F1158" s="232">
        <v>948721</v>
      </c>
      <c r="G1158" s="232">
        <v>364744</v>
      </c>
      <c r="H1158" s="138">
        <f t="shared" si="111"/>
        <v>1313465</v>
      </c>
      <c r="I1158" s="138">
        <f t="shared" si="112"/>
        <v>2626930</v>
      </c>
      <c r="J1158" s="108"/>
    </row>
    <row r="1159" spans="1:10" s="16" customFormat="1" ht="25.5" outlineLevel="3">
      <c r="A1159" s="91"/>
      <c r="B1159" s="35">
        <f>MAXA(B$5:B1158)+1</f>
        <v>518</v>
      </c>
      <c r="C1159" s="146" t="s">
        <v>1710</v>
      </c>
      <c r="D1159" s="136" t="s">
        <v>28</v>
      </c>
      <c r="E1159" s="137">
        <v>2</v>
      </c>
      <c r="F1159" s="232">
        <v>1961309</v>
      </c>
      <c r="G1159" s="232">
        <v>416850</v>
      </c>
      <c r="H1159" s="138">
        <f t="shared" si="111"/>
        <v>2378159</v>
      </c>
      <c r="I1159" s="138">
        <f t="shared" si="112"/>
        <v>4756318</v>
      </c>
      <c r="J1159" s="108"/>
    </row>
    <row r="1160" spans="1:10" s="16" customFormat="1" ht="25.5" outlineLevel="3">
      <c r="A1160" s="91"/>
      <c r="B1160" s="35">
        <f>MAXA(B$5:B1159)+1</f>
        <v>519</v>
      </c>
      <c r="C1160" s="146" t="s">
        <v>1711</v>
      </c>
      <c r="D1160" s="136" t="s">
        <v>28</v>
      </c>
      <c r="E1160" s="137">
        <v>2</v>
      </c>
      <c r="F1160" s="232">
        <v>16996850</v>
      </c>
      <c r="G1160" s="232">
        <v>1563188</v>
      </c>
      <c r="H1160" s="138">
        <f t="shared" si="111"/>
        <v>18560038</v>
      </c>
      <c r="I1160" s="138">
        <f t="shared" si="112"/>
        <v>37120076</v>
      </c>
      <c r="J1160" s="108"/>
    </row>
    <row r="1161" spans="1:10" s="16" customFormat="1" ht="25.5" outlineLevel="3">
      <c r="A1161" s="91"/>
      <c r="B1161" s="35">
        <f>MAXA(B$5:B1160)+1</f>
        <v>520</v>
      </c>
      <c r="C1161" s="146" t="s">
        <v>1691</v>
      </c>
      <c r="D1161" s="136" t="s">
        <v>28</v>
      </c>
      <c r="E1161" s="137">
        <v>1</v>
      </c>
      <c r="F1161" s="232">
        <v>1245994</v>
      </c>
      <c r="G1161" s="232">
        <v>208425</v>
      </c>
      <c r="H1161" s="138">
        <f t="shared" si="111"/>
        <v>1454419</v>
      </c>
      <c r="I1161" s="138">
        <f t="shared" si="112"/>
        <v>1454419</v>
      </c>
      <c r="J1161" s="108"/>
    </row>
    <row r="1162" spans="1:10" s="16" customFormat="1" ht="25.5" outlineLevel="3">
      <c r="A1162" s="91"/>
      <c r="B1162" s="35">
        <f>MAXA(B$5:B1161)+1</f>
        <v>521</v>
      </c>
      <c r="C1162" s="146" t="s">
        <v>1712</v>
      </c>
      <c r="D1162" s="136" t="s">
        <v>28</v>
      </c>
      <c r="E1162" s="137">
        <v>2</v>
      </c>
      <c r="F1162" s="232">
        <v>3361746</v>
      </c>
      <c r="G1162" s="232">
        <v>416850</v>
      </c>
      <c r="H1162" s="138">
        <f t="shared" si="111"/>
        <v>3778596</v>
      </c>
      <c r="I1162" s="138">
        <f t="shared" si="112"/>
        <v>7557192</v>
      </c>
      <c r="J1162" s="108"/>
    </row>
    <row r="1163" spans="1:10" s="16" customFormat="1" ht="25.5" outlineLevel="3">
      <c r="A1163" s="91"/>
      <c r="B1163" s="35">
        <f>MAXA(B$5:B1162)+1</f>
        <v>522</v>
      </c>
      <c r="C1163" s="146" t="s">
        <v>1690</v>
      </c>
      <c r="D1163" s="136" t="s">
        <v>44</v>
      </c>
      <c r="E1163" s="137">
        <v>6</v>
      </c>
      <c r="F1163" s="232">
        <v>971945</v>
      </c>
      <c r="G1163" s="232">
        <v>156319</v>
      </c>
      <c r="H1163" s="138">
        <f t="shared" si="111"/>
        <v>1128264</v>
      </c>
      <c r="I1163" s="138">
        <f t="shared" si="112"/>
        <v>6769584</v>
      </c>
      <c r="J1163" s="108"/>
    </row>
    <row r="1164" spans="1:10" s="16" customFormat="1" ht="25.5" outlineLevel="3">
      <c r="A1164" s="91"/>
      <c r="B1164" s="35">
        <f>MAXA(B$5:B1163)+1</f>
        <v>523</v>
      </c>
      <c r="C1164" s="146" t="s">
        <v>1713</v>
      </c>
      <c r="D1164" s="136" t="s">
        <v>28</v>
      </c>
      <c r="E1164" s="137">
        <v>2</v>
      </c>
      <c r="F1164" s="232">
        <v>3135308</v>
      </c>
      <c r="G1164" s="232">
        <v>156319</v>
      </c>
      <c r="H1164" s="138">
        <f t="shared" si="111"/>
        <v>3291627</v>
      </c>
      <c r="I1164" s="138">
        <f t="shared" si="112"/>
        <v>6583254</v>
      </c>
      <c r="J1164" s="108"/>
    </row>
    <row r="1165" spans="1:10" s="16" customFormat="1" ht="25.5" outlineLevel="3">
      <c r="A1165" s="91"/>
      <c r="B1165" s="35">
        <f>MAXA(B$5:B1164)+1</f>
        <v>524</v>
      </c>
      <c r="C1165" s="146" t="s">
        <v>1714</v>
      </c>
      <c r="D1165" s="136" t="s">
        <v>28</v>
      </c>
      <c r="E1165" s="137">
        <v>1</v>
      </c>
      <c r="F1165" s="232">
        <v>1456176</v>
      </c>
      <c r="G1165" s="232">
        <v>208425</v>
      </c>
      <c r="H1165" s="138">
        <f t="shared" si="111"/>
        <v>1664601</v>
      </c>
      <c r="I1165" s="138">
        <f t="shared" si="112"/>
        <v>1664601</v>
      </c>
      <c r="J1165" s="108"/>
    </row>
    <row r="1166" spans="1:10" s="16" customFormat="1" ht="25.5" outlineLevel="3">
      <c r="A1166" s="91"/>
      <c r="B1166" s="51">
        <f>MAX($B$9:B1165)+1</f>
        <v>525</v>
      </c>
      <c r="C1166" s="256" t="s">
        <v>594</v>
      </c>
      <c r="D1166" s="136" t="s">
        <v>28</v>
      </c>
      <c r="E1166" s="137">
        <v>1</v>
      </c>
      <c r="F1166" s="232">
        <v>0</v>
      </c>
      <c r="G1166" s="232">
        <v>0</v>
      </c>
      <c r="H1166" s="138">
        <f t="shared" si="111"/>
        <v>0</v>
      </c>
      <c r="I1166" s="138">
        <f t="shared" si="112"/>
        <v>0</v>
      </c>
      <c r="J1166" s="50"/>
    </row>
    <row r="1167" spans="1:10" s="16" customFormat="1" ht="25.5" outlineLevel="3">
      <c r="A1167" s="91"/>
      <c r="B1167" s="35">
        <f>MAXA(B$5:B1166)+1</f>
        <v>526</v>
      </c>
      <c r="C1167" s="146" t="s">
        <v>1715</v>
      </c>
      <c r="D1167" s="136" t="s">
        <v>44</v>
      </c>
      <c r="E1167" s="137">
        <v>2</v>
      </c>
      <c r="F1167" s="232">
        <v>13934700</v>
      </c>
      <c r="G1167" s="232">
        <v>2084250</v>
      </c>
      <c r="H1167" s="138">
        <f t="shared" si="111"/>
        <v>16018950</v>
      </c>
      <c r="I1167" s="138">
        <f t="shared" si="112"/>
        <v>32037900</v>
      </c>
      <c r="J1167" s="108"/>
    </row>
    <row r="1168" spans="1:10" s="16" customFormat="1" ht="25.5" outlineLevel="3">
      <c r="A1168" s="91"/>
      <c r="B1168" s="35">
        <f>MAXA(B$5:B1167)+1</f>
        <v>527</v>
      </c>
      <c r="C1168" s="146" t="s">
        <v>1716</v>
      </c>
      <c r="D1168" s="230" t="s">
        <v>25</v>
      </c>
      <c r="E1168" s="137">
        <v>3</v>
      </c>
      <c r="F1168" s="232">
        <v>1789215</v>
      </c>
      <c r="G1168" s="232">
        <v>135476</v>
      </c>
      <c r="H1168" s="138">
        <f t="shared" si="111"/>
        <v>1924691</v>
      </c>
      <c r="I1168" s="138">
        <f t="shared" si="112"/>
        <v>5774073</v>
      </c>
      <c r="J1168" s="108"/>
    </row>
    <row r="1169" spans="1:14" s="16" customFormat="1" ht="25.5" outlineLevel="3">
      <c r="A1169" s="91"/>
      <c r="B1169" s="35">
        <f>MAXA(B$5:B1168)+1</f>
        <v>528</v>
      </c>
      <c r="C1169" s="146" t="s">
        <v>604</v>
      </c>
      <c r="D1169" s="230" t="s">
        <v>25</v>
      </c>
      <c r="E1169" s="137">
        <v>12</v>
      </c>
      <c r="F1169" s="232">
        <v>1256910</v>
      </c>
      <c r="G1169" s="232">
        <v>108381</v>
      </c>
      <c r="H1169" s="138">
        <f t="shared" si="111"/>
        <v>1365291</v>
      </c>
      <c r="I1169" s="138">
        <f t="shared" si="112"/>
        <v>16383492</v>
      </c>
      <c r="J1169" s="108"/>
    </row>
    <row r="1170" spans="1:14" s="16" customFormat="1" ht="25.5" outlineLevel="3">
      <c r="A1170" s="91"/>
      <c r="B1170" s="35">
        <f>MAXA(B$5:B1169)+1</f>
        <v>529</v>
      </c>
      <c r="C1170" s="146" t="s">
        <v>605</v>
      </c>
      <c r="D1170" s="230" t="s">
        <v>25</v>
      </c>
      <c r="E1170" s="137">
        <v>16</v>
      </c>
      <c r="F1170" s="232">
        <v>961494</v>
      </c>
      <c r="G1170" s="232">
        <v>88060</v>
      </c>
      <c r="H1170" s="138">
        <f t="shared" si="111"/>
        <v>1049554</v>
      </c>
      <c r="I1170" s="138">
        <f t="shared" si="112"/>
        <v>16792864</v>
      </c>
      <c r="J1170" s="108"/>
    </row>
    <row r="1171" spans="1:14" s="16" customFormat="1" ht="25.5" outlineLevel="3">
      <c r="A1171" s="91"/>
      <c r="B1171" s="35">
        <f>MAXA(B$5:B1170)+1</f>
        <v>530</v>
      </c>
      <c r="C1171" s="146" t="s">
        <v>1717</v>
      </c>
      <c r="D1171" s="230" t="s">
        <v>25</v>
      </c>
      <c r="E1171" s="137">
        <v>2</v>
      </c>
      <c r="F1171" s="232">
        <v>769195</v>
      </c>
      <c r="G1171" s="232">
        <v>54191</v>
      </c>
      <c r="H1171" s="138">
        <f t="shared" si="111"/>
        <v>823386</v>
      </c>
      <c r="I1171" s="138">
        <f t="shared" si="112"/>
        <v>1646772</v>
      </c>
      <c r="J1171" s="108"/>
    </row>
    <row r="1172" spans="1:14" s="16" customFormat="1" ht="25.5" outlineLevel="3">
      <c r="A1172" s="91"/>
      <c r="B1172" s="35">
        <f>MAXA(B$5:B1171)+1</f>
        <v>531</v>
      </c>
      <c r="C1172" s="146" t="s">
        <v>1718</v>
      </c>
      <c r="D1172" s="136" t="s">
        <v>38</v>
      </c>
      <c r="E1172" s="137">
        <v>1</v>
      </c>
      <c r="F1172" s="232">
        <v>24292363</v>
      </c>
      <c r="G1172" s="232">
        <v>8720335</v>
      </c>
      <c r="H1172" s="138">
        <f t="shared" si="111"/>
        <v>33012698</v>
      </c>
      <c r="I1172" s="138">
        <f t="shared" si="112"/>
        <v>33012698</v>
      </c>
      <c r="J1172" s="108"/>
    </row>
    <row r="1173" spans="1:14" s="16" customFormat="1" ht="25.5" outlineLevel="3">
      <c r="A1173" s="91"/>
      <c r="B1173" s="35">
        <f>MAXA(B$5:B1172)+1</f>
        <v>532</v>
      </c>
      <c r="C1173" s="143" t="s">
        <v>1719</v>
      </c>
      <c r="D1173" s="136" t="s">
        <v>28</v>
      </c>
      <c r="E1173" s="137">
        <v>2</v>
      </c>
      <c r="F1173" s="232">
        <v>2903063</v>
      </c>
      <c r="G1173" s="232">
        <v>312638</v>
      </c>
      <c r="H1173" s="138">
        <f t="shared" si="111"/>
        <v>3215701</v>
      </c>
      <c r="I1173" s="138">
        <f t="shared" si="112"/>
        <v>6431402</v>
      </c>
      <c r="J1173" s="108"/>
    </row>
    <row r="1174" spans="1:14" s="16" customFormat="1" ht="25.5" outlineLevel="3">
      <c r="A1174" s="91"/>
      <c r="B1174" s="35">
        <f>MAXA(B$5:B1173)+1</f>
        <v>533</v>
      </c>
      <c r="C1174" s="146" t="s">
        <v>1720</v>
      </c>
      <c r="D1174" s="136" t="s">
        <v>28</v>
      </c>
      <c r="E1174" s="137">
        <v>4</v>
      </c>
      <c r="F1174" s="232">
        <v>2322450</v>
      </c>
      <c r="G1174" s="232">
        <v>260531</v>
      </c>
      <c r="H1174" s="138">
        <f t="shared" si="111"/>
        <v>2582981</v>
      </c>
      <c r="I1174" s="138">
        <f t="shared" si="112"/>
        <v>10331924</v>
      </c>
      <c r="J1174" s="108"/>
    </row>
    <row r="1175" spans="1:14" s="16" customFormat="1" ht="25.5" outlineLevel="3">
      <c r="A1175" s="91"/>
      <c r="B1175" s="35">
        <f>MAXA(B$5:B1174)+1</f>
        <v>534</v>
      </c>
      <c r="C1175" s="146" t="s">
        <v>619</v>
      </c>
      <c r="D1175" s="136" t="s">
        <v>38</v>
      </c>
      <c r="E1175" s="137">
        <v>1</v>
      </c>
      <c r="F1175" s="232">
        <v>23224500</v>
      </c>
      <c r="G1175" s="232">
        <v>8337000</v>
      </c>
      <c r="H1175" s="138">
        <f t="shared" si="111"/>
        <v>31561500</v>
      </c>
      <c r="I1175" s="138">
        <f t="shared" si="112"/>
        <v>31561500</v>
      </c>
      <c r="J1175" s="108"/>
    </row>
    <row r="1176" spans="1:14" s="16" customFormat="1" ht="25.5" outlineLevel="3">
      <c r="A1176" s="91"/>
      <c r="B1176" s="35">
        <f>MAXA(B$5:B1175)+1</f>
        <v>535</v>
      </c>
      <c r="C1176" s="146" t="s">
        <v>828</v>
      </c>
      <c r="D1176" s="136" t="s">
        <v>38</v>
      </c>
      <c r="E1176" s="137">
        <v>1</v>
      </c>
      <c r="F1176" s="232">
        <v>5806125</v>
      </c>
      <c r="G1176" s="232">
        <v>2084250</v>
      </c>
      <c r="H1176" s="138">
        <f t="shared" si="111"/>
        <v>7890375</v>
      </c>
      <c r="I1176" s="138">
        <f t="shared" si="112"/>
        <v>7890375</v>
      </c>
      <c r="J1176" s="108"/>
    </row>
    <row r="1177" spans="1:14" s="33" customFormat="1" ht="27" outlineLevel="3">
      <c r="A1177" s="100"/>
      <c r="B1177" s="55" t="s">
        <v>61</v>
      </c>
      <c r="C1177" s="166" t="s">
        <v>1721</v>
      </c>
      <c r="D1177" s="393"/>
      <c r="E1177" s="352"/>
      <c r="F1177" s="232">
        <v>0</v>
      </c>
      <c r="G1177" s="232">
        <v>0</v>
      </c>
      <c r="H1177" s="127"/>
      <c r="I1177" s="127"/>
      <c r="J1177" s="54" t="s">
        <v>1722</v>
      </c>
    </row>
    <row r="1178" spans="1:14" s="16" customFormat="1" ht="26.25" outlineLevel="2">
      <c r="A1178" s="91"/>
      <c r="B1178" s="30" t="s">
        <v>83</v>
      </c>
      <c r="C1178" s="104" t="s">
        <v>631</v>
      </c>
      <c r="D1178" s="212"/>
      <c r="E1178" s="105"/>
      <c r="F1178" s="232">
        <v>0</v>
      </c>
      <c r="G1178" s="232">
        <v>0</v>
      </c>
      <c r="H1178" s="276"/>
      <c r="I1178" s="180">
        <f>SUBTOTAL(9,I1179:I1285)</f>
        <v>1215374739</v>
      </c>
      <c r="J1178" s="48"/>
      <c r="M1178" s="33" t="s">
        <v>83</v>
      </c>
      <c r="N1178" s="16" t="s">
        <v>83</v>
      </c>
    </row>
    <row r="1179" spans="1:14" s="33" customFormat="1" ht="27" outlineLevel="3">
      <c r="A1179" s="100"/>
      <c r="B1179" s="55" t="s">
        <v>85</v>
      </c>
      <c r="C1179" s="166" t="s">
        <v>632</v>
      </c>
      <c r="D1179" s="393"/>
      <c r="E1179" s="352"/>
      <c r="F1179" s="232">
        <v>0</v>
      </c>
      <c r="G1179" s="232">
        <v>0</v>
      </c>
      <c r="H1179" s="367"/>
      <c r="I1179" s="180">
        <f>SUBTOTAL(9,I1180:I1197)</f>
        <v>546173292</v>
      </c>
      <c r="J1179" s="111"/>
    </row>
    <row r="1180" spans="1:14" s="16" customFormat="1" ht="25.5" outlineLevel="3">
      <c r="A1180" s="91"/>
      <c r="B1180" s="35">
        <f>MAXA(B$5:B1179)+1</f>
        <v>536</v>
      </c>
      <c r="C1180" s="146" t="s">
        <v>1723</v>
      </c>
      <c r="D1180" s="230" t="s">
        <v>25</v>
      </c>
      <c r="E1180" s="137">
        <f>450-68</f>
        <v>382</v>
      </c>
      <c r="F1180" s="232">
        <v>290957</v>
      </c>
      <c r="G1180" s="232">
        <v>156319</v>
      </c>
      <c r="H1180" s="138">
        <f t="shared" ref="H1180:H1197" si="113">G1180+F1180</f>
        <v>447276</v>
      </c>
      <c r="I1180" s="138">
        <f t="shared" ref="I1180:I1197" si="114">H1180*E1180</f>
        <v>170859432</v>
      </c>
      <c r="J1180" s="108"/>
    </row>
    <row r="1181" spans="1:14" s="16" customFormat="1" ht="25.5" outlineLevel="3">
      <c r="A1181" s="91"/>
      <c r="B1181" s="35">
        <f>MAXA(B$5:B1180)+1</f>
        <v>537</v>
      </c>
      <c r="C1181" s="146" t="s">
        <v>1724</v>
      </c>
      <c r="D1181" s="230" t="s">
        <v>25</v>
      </c>
      <c r="E1181" s="137">
        <v>93</v>
      </c>
      <c r="F1181" s="232">
        <v>153232</v>
      </c>
      <c r="G1181" s="232">
        <v>125055</v>
      </c>
      <c r="H1181" s="138">
        <f t="shared" si="113"/>
        <v>278287</v>
      </c>
      <c r="I1181" s="138">
        <f t="shared" si="114"/>
        <v>25880691</v>
      </c>
      <c r="J1181" s="108"/>
    </row>
    <row r="1182" spans="1:14" s="16" customFormat="1" ht="25.5" outlineLevel="3">
      <c r="A1182" s="91"/>
      <c r="B1182" s="35">
        <f>MAXA(B$5:B1181)+1</f>
        <v>538</v>
      </c>
      <c r="C1182" s="146" t="s">
        <v>1725</v>
      </c>
      <c r="D1182" s="230" t="s">
        <v>25</v>
      </c>
      <c r="E1182" s="137">
        <v>7</v>
      </c>
      <c r="F1182" s="232">
        <v>75019</v>
      </c>
      <c r="G1182" s="232">
        <v>62528</v>
      </c>
      <c r="H1182" s="138">
        <f t="shared" si="113"/>
        <v>137547</v>
      </c>
      <c r="I1182" s="138">
        <f t="shared" si="114"/>
        <v>962829</v>
      </c>
      <c r="J1182" s="108"/>
    </row>
    <row r="1183" spans="1:14" s="16" customFormat="1" ht="25.5" outlineLevel="3">
      <c r="A1183" s="91"/>
      <c r="B1183" s="35">
        <f>MAXA(B$5:B1182)+1</f>
        <v>539</v>
      </c>
      <c r="C1183" s="146" t="s">
        <v>1726</v>
      </c>
      <c r="D1183" s="230" t="s">
        <v>25</v>
      </c>
      <c r="E1183" s="137">
        <v>76</v>
      </c>
      <c r="F1183" s="232">
        <v>58297</v>
      </c>
      <c r="G1183" s="232">
        <v>46896</v>
      </c>
      <c r="H1183" s="138">
        <f t="shared" si="113"/>
        <v>105193</v>
      </c>
      <c r="I1183" s="138">
        <f t="shared" si="114"/>
        <v>7994668</v>
      </c>
      <c r="J1183" s="108"/>
    </row>
    <row r="1184" spans="1:14" s="16" customFormat="1" ht="25.5" outlineLevel="3">
      <c r="A1184" s="91"/>
      <c r="B1184" s="35">
        <f>MAXA(B$5:B1183)+1</f>
        <v>540</v>
      </c>
      <c r="C1184" s="146" t="s">
        <v>1727</v>
      </c>
      <c r="D1184" s="230" t="s">
        <v>25</v>
      </c>
      <c r="E1184" s="137">
        <v>52</v>
      </c>
      <c r="F1184" s="232">
        <v>40739</v>
      </c>
      <c r="G1184" s="232">
        <v>41685</v>
      </c>
      <c r="H1184" s="138">
        <f t="shared" si="113"/>
        <v>82424</v>
      </c>
      <c r="I1184" s="138">
        <f t="shared" si="114"/>
        <v>4286048</v>
      </c>
      <c r="J1184" s="108"/>
    </row>
    <row r="1185" spans="1:11" s="16" customFormat="1" ht="25.5" outlineLevel="3">
      <c r="A1185" s="91" t="s">
        <v>154</v>
      </c>
      <c r="B1185" s="35">
        <f>MAXA(B$5:B1184)+1</f>
        <v>541</v>
      </c>
      <c r="C1185" s="146" t="s">
        <v>1728</v>
      </c>
      <c r="D1185" s="230" t="s">
        <v>25</v>
      </c>
      <c r="E1185" s="137">
        <f>81-36+32</f>
        <v>77</v>
      </c>
      <c r="F1185" s="232">
        <v>32075</v>
      </c>
      <c r="G1185" s="232">
        <v>36474</v>
      </c>
      <c r="H1185" s="138">
        <f t="shared" si="113"/>
        <v>68549</v>
      </c>
      <c r="I1185" s="138">
        <f t="shared" si="114"/>
        <v>5278273</v>
      </c>
      <c r="J1185" s="108"/>
      <c r="K1185" s="16" t="s">
        <v>156</v>
      </c>
    </row>
    <row r="1186" spans="1:11" s="16" customFormat="1" ht="25.5" outlineLevel="3">
      <c r="A1186" s="91"/>
      <c r="B1186" s="35">
        <f>MAXA(B$5:B1185)+1</f>
        <v>542</v>
      </c>
      <c r="C1186" s="146" t="s">
        <v>1729</v>
      </c>
      <c r="D1186" s="230" t="s">
        <v>25</v>
      </c>
      <c r="E1186" s="137">
        <v>78</v>
      </c>
      <c r="F1186" s="232">
        <v>536260</v>
      </c>
      <c r="G1186" s="232">
        <v>314486</v>
      </c>
      <c r="H1186" s="138">
        <f t="shared" si="113"/>
        <v>850746</v>
      </c>
      <c r="I1186" s="138">
        <f t="shared" si="114"/>
        <v>66358188</v>
      </c>
      <c r="J1186" s="108"/>
    </row>
    <row r="1187" spans="1:11" s="16" customFormat="1" ht="25.5" outlineLevel="3">
      <c r="A1187" s="91"/>
      <c r="B1187" s="35">
        <f>MAXA(B$5:B1186)+1</f>
        <v>543</v>
      </c>
      <c r="C1187" s="146" t="s">
        <v>1730</v>
      </c>
      <c r="D1187" s="230" t="s">
        <v>25</v>
      </c>
      <c r="E1187" s="137">
        <v>10</v>
      </c>
      <c r="F1187" s="232">
        <v>112681</v>
      </c>
      <c r="G1187" s="232">
        <v>65172</v>
      </c>
      <c r="H1187" s="138">
        <f t="shared" si="113"/>
        <v>177853</v>
      </c>
      <c r="I1187" s="138">
        <f t="shared" si="114"/>
        <v>1778530</v>
      </c>
      <c r="J1187" s="108"/>
    </row>
    <row r="1188" spans="1:11" s="16" customFormat="1" ht="25.5" outlineLevel="3">
      <c r="A1188" s="91" t="s">
        <v>154</v>
      </c>
      <c r="B1188" s="35">
        <f>MAXA(B$5:B1187)+1</f>
        <v>544</v>
      </c>
      <c r="C1188" s="146" t="s">
        <v>1731</v>
      </c>
      <c r="D1188" s="230" t="s">
        <v>25</v>
      </c>
      <c r="E1188" s="137">
        <f>36+96</f>
        <v>132</v>
      </c>
      <c r="F1188" s="232">
        <v>74390</v>
      </c>
      <c r="G1188" s="232">
        <v>65172</v>
      </c>
      <c r="H1188" s="138">
        <f t="shared" si="113"/>
        <v>139562</v>
      </c>
      <c r="I1188" s="138">
        <f t="shared" si="114"/>
        <v>18422184</v>
      </c>
      <c r="J1188" s="108"/>
      <c r="K1188" s="16" t="s">
        <v>156</v>
      </c>
    </row>
    <row r="1189" spans="1:11" s="16" customFormat="1" ht="25.5" outlineLevel="3">
      <c r="A1189" s="91"/>
      <c r="B1189" s="35">
        <f>MAXA(B$5:B1188)+1</f>
        <v>545</v>
      </c>
      <c r="C1189" s="146" t="s">
        <v>1732</v>
      </c>
      <c r="D1189" s="136" t="s">
        <v>38</v>
      </c>
      <c r="E1189" s="137">
        <v>1</v>
      </c>
      <c r="F1189" s="232">
        <v>23224500</v>
      </c>
      <c r="G1189" s="232">
        <v>8337000</v>
      </c>
      <c r="H1189" s="138">
        <f t="shared" si="113"/>
        <v>31561500</v>
      </c>
      <c r="I1189" s="138">
        <f t="shared" si="114"/>
        <v>31561500</v>
      </c>
      <c r="J1189" s="108"/>
    </row>
    <row r="1190" spans="1:11" s="16" customFormat="1" ht="25.5" outlineLevel="3">
      <c r="A1190" s="91"/>
      <c r="B1190" s="35">
        <f>MAXA(B$5:B1189)+1</f>
        <v>546</v>
      </c>
      <c r="C1190" s="146" t="s">
        <v>1733</v>
      </c>
      <c r="D1190" s="136" t="s">
        <v>38</v>
      </c>
      <c r="E1190" s="137">
        <v>1</v>
      </c>
      <c r="F1190" s="232">
        <v>69683959</v>
      </c>
      <c r="G1190" s="232">
        <v>25014754</v>
      </c>
      <c r="H1190" s="138">
        <f t="shared" si="113"/>
        <v>94698713</v>
      </c>
      <c r="I1190" s="138">
        <f t="shared" si="114"/>
        <v>94698713</v>
      </c>
      <c r="J1190" s="108"/>
    </row>
    <row r="1191" spans="1:11" s="16" customFormat="1" ht="25.5" outlineLevel="3">
      <c r="A1191" s="91"/>
      <c r="B1191" s="35">
        <f>MAXA(B$5:B1190)+1</f>
        <v>547</v>
      </c>
      <c r="C1191" s="146" t="s">
        <v>1734</v>
      </c>
      <c r="D1191" s="136" t="s">
        <v>1509</v>
      </c>
      <c r="E1191" s="137">
        <v>30</v>
      </c>
      <c r="F1191" s="232">
        <v>174184</v>
      </c>
      <c r="G1191" s="232">
        <v>26053</v>
      </c>
      <c r="H1191" s="138">
        <f t="shared" si="113"/>
        <v>200237</v>
      </c>
      <c r="I1191" s="138">
        <f t="shared" si="114"/>
        <v>6007110</v>
      </c>
      <c r="J1191" s="108"/>
    </row>
    <row r="1192" spans="1:11" s="16" customFormat="1" ht="25.5" outlineLevel="3">
      <c r="A1192" s="91"/>
      <c r="B1192" s="35">
        <f>MAXA(B$5:B1191)+1</f>
        <v>548</v>
      </c>
      <c r="C1192" s="146" t="s">
        <v>1735</v>
      </c>
      <c r="D1192" s="136" t="s">
        <v>28</v>
      </c>
      <c r="E1192" s="137">
        <v>16</v>
      </c>
      <c r="F1192" s="232">
        <v>1138001</v>
      </c>
      <c r="G1192" s="232">
        <v>260531</v>
      </c>
      <c r="H1192" s="138">
        <f t="shared" si="113"/>
        <v>1398532</v>
      </c>
      <c r="I1192" s="138">
        <f t="shared" si="114"/>
        <v>22376512</v>
      </c>
      <c r="J1192" s="108"/>
    </row>
    <row r="1193" spans="1:11" s="16" customFormat="1" ht="25.5" outlineLevel="3">
      <c r="A1193" s="91" t="s">
        <v>154</v>
      </c>
      <c r="B1193" s="35">
        <f>MAXA(B$5:B1192)+1</f>
        <v>549</v>
      </c>
      <c r="C1193" s="146" t="s">
        <v>1736</v>
      </c>
      <c r="D1193" s="136" t="s">
        <v>28</v>
      </c>
      <c r="E1193" s="137">
        <f>5+15</f>
        <v>20</v>
      </c>
      <c r="F1193" s="232">
        <v>150959</v>
      </c>
      <c r="G1193" s="232">
        <v>125055</v>
      </c>
      <c r="H1193" s="138">
        <f t="shared" si="113"/>
        <v>276014</v>
      </c>
      <c r="I1193" s="138">
        <f t="shared" si="114"/>
        <v>5520280</v>
      </c>
      <c r="J1193" s="108"/>
      <c r="K1193" s="16" t="s">
        <v>156</v>
      </c>
    </row>
    <row r="1194" spans="1:11" s="16" customFormat="1" ht="25.5" outlineLevel="3">
      <c r="A1194" s="91"/>
      <c r="B1194" s="35">
        <f>MAXA(B$5:B1193)+1</f>
        <v>550</v>
      </c>
      <c r="C1194" s="146" t="s">
        <v>1737</v>
      </c>
      <c r="D1194" s="136" t="s">
        <v>28</v>
      </c>
      <c r="E1194" s="137">
        <v>3</v>
      </c>
      <c r="F1194" s="232">
        <v>232245</v>
      </c>
      <c r="G1194" s="232">
        <v>156319</v>
      </c>
      <c r="H1194" s="138">
        <f t="shared" si="113"/>
        <v>388564</v>
      </c>
      <c r="I1194" s="138">
        <f t="shared" si="114"/>
        <v>1165692</v>
      </c>
      <c r="J1194" s="108"/>
    </row>
    <row r="1195" spans="1:11" s="16" customFormat="1" ht="25.5" outlineLevel="3">
      <c r="A1195" s="91"/>
      <c r="B1195" s="35">
        <f>MAXA(B$5:B1194)+1</f>
        <v>551</v>
      </c>
      <c r="C1195" s="146" t="s">
        <v>1738</v>
      </c>
      <c r="D1195" s="136" t="s">
        <v>28</v>
      </c>
      <c r="E1195" s="137">
        <v>28</v>
      </c>
      <c r="F1195" s="232">
        <v>232245</v>
      </c>
      <c r="G1195" s="232">
        <v>156319</v>
      </c>
      <c r="H1195" s="138">
        <f t="shared" si="113"/>
        <v>388564</v>
      </c>
      <c r="I1195" s="138">
        <f t="shared" si="114"/>
        <v>10879792</v>
      </c>
      <c r="J1195" s="108"/>
    </row>
    <row r="1196" spans="1:11" s="16" customFormat="1" ht="25.5" outlineLevel="3">
      <c r="A1196" s="91"/>
      <c r="B1196" s="35">
        <f>MAXA(B$5:B1195)+1</f>
        <v>552</v>
      </c>
      <c r="C1196" s="146" t="s">
        <v>1739</v>
      </c>
      <c r="D1196" s="136" t="s">
        <v>38</v>
      </c>
      <c r="E1196" s="137">
        <v>1</v>
      </c>
      <c r="F1196" s="232">
        <v>49552340</v>
      </c>
      <c r="G1196" s="232">
        <v>8894010</v>
      </c>
      <c r="H1196" s="138">
        <f t="shared" si="113"/>
        <v>58446350</v>
      </c>
      <c r="I1196" s="138">
        <f t="shared" si="114"/>
        <v>58446350</v>
      </c>
      <c r="J1196" s="108"/>
    </row>
    <row r="1197" spans="1:11" s="16" customFormat="1" ht="25.5" outlineLevel="3">
      <c r="A1197" s="91"/>
      <c r="B1197" s="35">
        <f>MAXA(B$5:B1196)+1</f>
        <v>553</v>
      </c>
      <c r="C1197" s="146" t="s">
        <v>1041</v>
      </c>
      <c r="D1197" s="136" t="s">
        <v>38</v>
      </c>
      <c r="E1197" s="137">
        <v>1</v>
      </c>
      <c r="F1197" s="232">
        <v>11612250</v>
      </c>
      <c r="G1197" s="232">
        <v>2084250</v>
      </c>
      <c r="H1197" s="138">
        <f t="shared" si="113"/>
        <v>13696500</v>
      </c>
      <c r="I1197" s="138">
        <f t="shared" si="114"/>
        <v>13696500</v>
      </c>
      <c r="J1197" s="108"/>
    </row>
    <row r="1198" spans="1:11" s="33" customFormat="1" ht="27" outlineLevel="3">
      <c r="A1198" s="100"/>
      <c r="B1198" s="55" t="s">
        <v>275</v>
      </c>
      <c r="C1198" s="392" t="s">
        <v>1740</v>
      </c>
      <c r="D1198" s="393"/>
      <c r="E1198" s="377"/>
      <c r="F1198" s="232">
        <v>0</v>
      </c>
      <c r="G1198" s="232">
        <v>0</v>
      </c>
      <c r="H1198" s="339"/>
      <c r="I1198" s="180">
        <f>SUBTOTAL(9,I1199:I1248)</f>
        <v>270483869</v>
      </c>
      <c r="J1198" s="115"/>
    </row>
    <row r="1199" spans="1:11" s="16" customFormat="1" ht="38.25" outlineLevel="3">
      <c r="A1199" s="91"/>
      <c r="B1199" s="35">
        <f>MAXA(B$5:B1198)+1</f>
        <v>554</v>
      </c>
      <c r="C1199" s="146" t="s">
        <v>1741</v>
      </c>
      <c r="D1199" s="136" t="s">
        <v>44</v>
      </c>
      <c r="E1199" s="137">
        <v>2</v>
      </c>
      <c r="F1199" s="232">
        <v>26475930</v>
      </c>
      <c r="G1199" s="232">
        <v>4168500</v>
      </c>
      <c r="H1199" s="138">
        <f>G1199+F1199</f>
        <v>30644430</v>
      </c>
      <c r="I1199" s="138">
        <f>H1199*E1199</f>
        <v>61288860</v>
      </c>
      <c r="J1199" s="108"/>
    </row>
    <row r="1200" spans="1:11" s="16" customFormat="1" ht="38.25" outlineLevel="3">
      <c r="A1200" s="91"/>
      <c r="B1200" s="35">
        <f>MAXA(B$5:B1199)+1</f>
        <v>555</v>
      </c>
      <c r="C1200" s="146" t="s">
        <v>1742</v>
      </c>
      <c r="D1200" s="136" t="s">
        <v>44</v>
      </c>
      <c r="E1200" s="137">
        <v>2</v>
      </c>
      <c r="F1200" s="232">
        <v>28333890</v>
      </c>
      <c r="G1200" s="232">
        <v>0</v>
      </c>
      <c r="H1200" s="138">
        <f>G1200+F1200</f>
        <v>28333890</v>
      </c>
      <c r="I1200" s="138">
        <f>H1200*E1200</f>
        <v>56667780</v>
      </c>
      <c r="J1200" s="108"/>
    </row>
    <row r="1201" spans="1:10" s="16" customFormat="1" ht="25.5" outlineLevel="3">
      <c r="A1201" s="91"/>
      <c r="B1201" s="51">
        <f>MAX($B$9:B1200)+1</f>
        <v>556</v>
      </c>
      <c r="C1201" s="280" t="s">
        <v>637</v>
      </c>
      <c r="D1201" s="136" t="s">
        <v>28</v>
      </c>
      <c r="E1201" s="137">
        <v>2</v>
      </c>
      <c r="F1201" s="232">
        <v>0</v>
      </c>
      <c r="G1201" s="232">
        <v>0</v>
      </c>
      <c r="H1201" s="138">
        <f>G1201+F1201</f>
        <v>0</v>
      </c>
      <c r="I1201" s="138">
        <f>H1201*E1201</f>
        <v>0</v>
      </c>
      <c r="J1201" s="50"/>
    </row>
    <row r="1202" spans="1:10" s="16" customFormat="1" ht="25.5" outlineLevel="3">
      <c r="A1202" s="91"/>
      <c r="B1202" s="35">
        <f>MAXA(B$5:B1201)+1</f>
        <v>557</v>
      </c>
      <c r="C1202" s="146" t="s">
        <v>1743</v>
      </c>
      <c r="D1202" s="136" t="s">
        <v>38</v>
      </c>
      <c r="E1202" s="137">
        <v>1</v>
      </c>
      <c r="F1202" s="232">
        <v>28570780</v>
      </c>
      <c r="G1202" s="232">
        <v>1563188</v>
      </c>
      <c r="H1202" s="138">
        <f>G1202+F1202</f>
        <v>30133968</v>
      </c>
      <c r="I1202" s="138">
        <f>H1202*E1202</f>
        <v>30133968</v>
      </c>
      <c r="J1202" s="108"/>
    </row>
    <row r="1203" spans="1:10" s="16" customFormat="1" ht="25.5" outlineLevel="3">
      <c r="A1203" s="91"/>
      <c r="B1203" s="35"/>
      <c r="C1203" s="112" t="s">
        <v>141</v>
      </c>
      <c r="D1203" s="136"/>
      <c r="E1203" s="137"/>
      <c r="F1203" s="232">
        <v>0</v>
      </c>
      <c r="G1203" s="232">
        <v>0</v>
      </c>
      <c r="H1203" s="138"/>
      <c r="I1203" s="138"/>
      <c r="J1203" s="108"/>
    </row>
    <row r="1204" spans="1:10" s="16" customFormat="1" ht="25.5" outlineLevel="3">
      <c r="A1204" s="91"/>
      <c r="B1204" s="35"/>
      <c r="C1204" s="142" t="s">
        <v>155</v>
      </c>
      <c r="D1204" s="136" t="s">
        <v>28</v>
      </c>
      <c r="E1204" s="137">
        <v>1</v>
      </c>
      <c r="F1204" s="232">
        <v>0</v>
      </c>
      <c r="G1204" s="232">
        <v>0</v>
      </c>
      <c r="H1204" s="138">
        <f t="shared" ref="H1204:H1209" si="115">G1204+F1204</f>
        <v>0</v>
      </c>
      <c r="I1204" s="138">
        <f t="shared" ref="I1204:I1209" si="116">H1204*E1204</f>
        <v>0</v>
      </c>
      <c r="J1204" s="108"/>
    </row>
    <row r="1205" spans="1:10" s="16" customFormat="1" ht="25.5" outlineLevel="3">
      <c r="A1205" s="91"/>
      <c r="B1205" s="35"/>
      <c r="C1205" s="139" t="s">
        <v>118</v>
      </c>
      <c r="D1205" s="136" t="s">
        <v>28</v>
      </c>
      <c r="E1205" s="137">
        <v>1</v>
      </c>
      <c r="F1205" s="232">
        <v>0</v>
      </c>
      <c r="G1205" s="232">
        <v>0</v>
      </c>
      <c r="H1205" s="138">
        <f t="shared" si="115"/>
        <v>0</v>
      </c>
      <c r="I1205" s="138">
        <f t="shared" si="116"/>
        <v>0</v>
      </c>
      <c r="J1205" s="108"/>
    </row>
    <row r="1206" spans="1:10" s="16" customFormat="1" ht="25.5" outlineLevel="3">
      <c r="A1206" s="91"/>
      <c r="B1206" s="35"/>
      <c r="C1206" s="139" t="s">
        <v>1426</v>
      </c>
      <c r="D1206" s="136" t="s">
        <v>28</v>
      </c>
      <c r="E1206" s="137">
        <v>1</v>
      </c>
      <c r="F1206" s="232">
        <v>0</v>
      </c>
      <c r="G1206" s="232">
        <v>0</v>
      </c>
      <c r="H1206" s="138">
        <f t="shared" si="115"/>
        <v>0</v>
      </c>
      <c r="I1206" s="138">
        <f t="shared" si="116"/>
        <v>0</v>
      </c>
      <c r="J1206" s="108"/>
    </row>
    <row r="1207" spans="1:10" s="16" customFormat="1" ht="25.5" outlineLevel="3">
      <c r="A1207" s="91"/>
      <c r="B1207" s="35"/>
      <c r="C1207" s="141" t="s">
        <v>1429</v>
      </c>
      <c r="D1207" s="136" t="s">
        <v>28</v>
      </c>
      <c r="E1207" s="137">
        <v>1</v>
      </c>
      <c r="F1207" s="232">
        <v>0</v>
      </c>
      <c r="G1207" s="232">
        <v>0</v>
      </c>
      <c r="H1207" s="138">
        <f t="shared" si="115"/>
        <v>0</v>
      </c>
      <c r="I1207" s="138">
        <f t="shared" si="116"/>
        <v>0</v>
      </c>
      <c r="J1207" s="108"/>
    </row>
    <row r="1208" spans="1:10" s="16" customFormat="1" ht="25.5" outlineLevel="3">
      <c r="A1208" s="91"/>
      <c r="B1208" s="35"/>
      <c r="C1208" s="139" t="s">
        <v>573</v>
      </c>
      <c r="D1208" s="136" t="s">
        <v>28</v>
      </c>
      <c r="E1208" s="137">
        <v>3</v>
      </c>
      <c r="F1208" s="232">
        <v>0</v>
      </c>
      <c r="G1208" s="232">
        <v>0</v>
      </c>
      <c r="H1208" s="138">
        <f t="shared" si="115"/>
        <v>0</v>
      </c>
      <c r="I1208" s="138">
        <f t="shared" si="116"/>
        <v>0</v>
      </c>
      <c r="J1208" s="108"/>
    </row>
    <row r="1209" spans="1:10" s="16" customFormat="1" ht="25.5" outlineLevel="3">
      <c r="A1209" s="91"/>
      <c r="B1209" s="35"/>
      <c r="C1209" s="139" t="s">
        <v>574</v>
      </c>
      <c r="D1209" s="136" t="s">
        <v>28</v>
      </c>
      <c r="E1209" s="137">
        <v>3</v>
      </c>
      <c r="F1209" s="232">
        <v>0</v>
      </c>
      <c r="G1209" s="232">
        <v>0</v>
      </c>
      <c r="H1209" s="138">
        <f t="shared" si="115"/>
        <v>0</v>
      </c>
      <c r="I1209" s="138">
        <f t="shared" si="116"/>
        <v>0</v>
      </c>
      <c r="J1209" s="108"/>
    </row>
    <row r="1210" spans="1:10" s="16" customFormat="1" ht="25.5" outlineLevel="3">
      <c r="A1210" s="91"/>
      <c r="B1210" s="35"/>
      <c r="C1210" s="112" t="s">
        <v>148</v>
      </c>
      <c r="D1210" s="136"/>
      <c r="E1210" s="137"/>
      <c r="F1210" s="232">
        <v>0</v>
      </c>
      <c r="G1210" s="232">
        <v>0</v>
      </c>
      <c r="H1210" s="138"/>
      <c r="I1210" s="138"/>
      <c r="J1210" s="108"/>
    </row>
    <row r="1211" spans="1:10" s="16" customFormat="1" ht="25.5" outlineLevel="3">
      <c r="A1211" s="91"/>
      <c r="B1211" s="35"/>
      <c r="C1211" s="142" t="s">
        <v>645</v>
      </c>
      <c r="D1211" s="136" t="s">
        <v>28</v>
      </c>
      <c r="E1211" s="137">
        <v>2</v>
      </c>
      <c r="F1211" s="232">
        <v>0</v>
      </c>
      <c r="G1211" s="232">
        <v>0</v>
      </c>
      <c r="H1211" s="138">
        <f>G1211+F1211</f>
        <v>0</v>
      </c>
      <c r="I1211" s="138">
        <f>H1211*E1211</f>
        <v>0</v>
      </c>
      <c r="J1211" s="108"/>
    </row>
    <row r="1212" spans="1:10" s="16" customFormat="1" ht="25.5" outlineLevel="3">
      <c r="A1212" s="91"/>
      <c r="B1212" s="35"/>
      <c r="C1212" s="142" t="s">
        <v>639</v>
      </c>
      <c r="D1212" s="136" t="s">
        <v>28</v>
      </c>
      <c r="E1212" s="137">
        <v>1</v>
      </c>
      <c r="F1212" s="232">
        <v>0</v>
      </c>
      <c r="G1212" s="232">
        <v>0</v>
      </c>
      <c r="H1212" s="138">
        <f>G1212+F1212</f>
        <v>0</v>
      </c>
      <c r="I1212" s="138">
        <f>H1212*E1212</f>
        <v>0</v>
      </c>
      <c r="J1212" s="108"/>
    </row>
    <row r="1213" spans="1:10" s="16" customFormat="1" ht="25.5" outlineLevel="3">
      <c r="A1213" s="91"/>
      <c r="B1213" s="35"/>
      <c r="C1213" s="144" t="s">
        <v>646</v>
      </c>
      <c r="D1213" s="136"/>
      <c r="E1213" s="137"/>
      <c r="F1213" s="232">
        <v>0</v>
      </c>
      <c r="G1213" s="232">
        <v>0</v>
      </c>
      <c r="H1213" s="138"/>
      <c r="I1213" s="138"/>
      <c r="J1213" s="108"/>
    </row>
    <row r="1214" spans="1:10" s="16" customFormat="1" ht="25.5" outlineLevel="3">
      <c r="A1214" s="91"/>
      <c r="B1214" s="35"/>
      <c r="C1214" s="142" t="s">
        <v>265</v>
      </c>
      <c r="D1214" s="136" t="s">
        <v>28</v>
      </c>
      <c r="E1214" s="137">
        <v>2</v>
      </c>
      <c r="F1214" s="232">
        <v>0</v>
      </c>
      <c r="G1214" s="232">
        <v>0</v>
      </c>
      <c r="H1214" s="138">
        <f t="shared" ref="H1214:H1219" si="117">G1214+F1214</f>
        <v>0</v>
      </c>
      <c r="I1214" s="138">
        <f t="shared" ref="I1214:I1219" si="118">H1214*E1214</f>
        <v>0</v>
      </c>
      <c r="J1214" s="108"/>
    </row>
    <row r="1215" spans="1:10" s="16" customFormat="1" ht="25.5" outlineLevel="3">
      <c r="A1215" s="91"/>
      <c r="B1215" s="35"/>
      <c r="C1215" s="139" t="s">
        <v>266</v>
      </c>
      <c r="D1215" s="136" t="s">
        <v>28</v>
      </c>
      <c r="E1215" s="137">
        <v>2</v>
      </c>
      <c r="F1215" s="232">
        <v>0</v>
      </c>
      <c r="G1215" s="232">
        <v>0</v>
      </c>
      <c r="H1215" s="138">
        <f t="shared" si="117"/>
        <v>0</v>
      </c>
      <c r="I1215" s="138">
        <f t="shared" si="118"/>
        <v>0</v>
      </c>
      <c r="J1215" s="108"/>
    </row>
    <row r="1216" spans="1:10" s="16" customFormat="1" ht="25.5" outlineLevel="3">
      <c r="A1216" s="91"/>
      <c r="B1216" s="35"/>
      <c r="C1216" s="139" t="s">
        <v>1744</v>
      </c>
      <c r="D1216" s="136" t="s">
        <v>28</v>
      </c>
      <c r="E1216" s="137">
        <v>2</v>
      </c>
      <c r="F1216" s="232">
        <v>0</v>
      </c>
      <c r="G1216" s="232">
        <v>0</v>
      </c>
      <c r="H1216" s="138">
        <f t="shared" si="117"/>
        <v>0</v>
      </c>
      <c r="I1216" s="138">
        <f t="shared" si="118"/>
        <v>0</v>
      </c>
      <c r="J1216" s="108"/>
    </row>
    <row r="1217" spans="1:10" s="16" customFormat="1" ht="25.5" outlineLevel="3">
      <c r="A1217" s="91"/>
      <c r="B1217" s="35"/>
      <c r="C1217" s="129" t="s">
        <v>1745</v>
      </c>
      <c r="D1217" s="136" t="s">
        <v>38</v>
      </c>
      <c r="E1217" s="140">
        <v>1</v>
      </c>
      <c r="F1217" s="232">
        <v>0</v>
      </c>
      <c r="G1217" s="232">
        <v>0</v>
      </c>
      <c r="H1217" s="138">
        <f t="shared" si="117"/>
        <v>0</v>
      </c>
      <c r="I1217" s="138">
        <f t="shared" si="118"/>
        <v>0</v>
      </c>
      <c r="J1217" s="108"/>
    </row>
    <row r="1218" spans="1:10" s="16" customFormat="1" ht="25.5" outlineLevel="3">
      <c r="A1218" s="91"/>
      <c r="B1218" s="35"/>
      <c r="C1218" s="141" t="s">
        <v>1436</v>
      </c>
      <c r="D1218" s="136" t="s">
        <v>38</v>
      </c>
      <c r="E1218" s="137">
        <v>1</v>
      </c>
      <c r="F1218" s="232">
        <v>0</v>
      </c>
      <c r="G1218" s="232">
        <v>0</v>
      </c>
      <c r="H1218" s="138">
        <f t="shared" si="117"/>
        <v>0</v>
      </c>
      <c r="I1218" s="138">
        <f t="shared" si="118"/>
        <v>0</v>
      </c>
      <c r="J1218" s="108"/>
    </row>
    <row r="1219" spans="1:10" s="16" customFormat="1" ht="25.5" outlineLevel="3">
      <c r="A1219" s="91"/>
      <c r="B1219" s="35">
        <f>MAXA(B$5:B1218)+1</f>
        <v>558</v>
      </c>
      <c r="C1219" s="146" t="s">
        <v>1746</v>
      </c>
      <c r="D1219" s="136" t="s">
        <v>38</v>
      </c>
      <c r="E1219" s="137">
        <v>1</v>
      </c>
      <c r="F1219" s="232">
        <v>28570780</v>
      </c>
      <c r="G1219" s="232">
        <v>1563188</v>
      </c>
      <c r="H1219" s="138">
        <f t="shared" si="117"/>
        <v>30133968</v>
      </c>
      <c r="I1219" s="138">
        <f t="shared" si="118"/>
        <v>30133968</v>
      </c>
      <c r="J1219" s="108"/>
    </row>
    <row r="1220" spans="1:10" s="16" customFormat="1" ht="25.5" outlineLevel="3">
      <c r="A1220" s="91"/>
      <c r="B1220" s="35"/>
      <c r="C1220" s="112" t="s">
        <v>141</v>
      </c>
      <c r="D1220" s="136"/>
      <c r="E1220" s="137"/>
      <c r="F1220" s="232">
        <v>0</v>
      </c>
      <c r="G1220" s="232">
        <v>0</v>
      </c>
      <c r="H1220" s="138"/>
      <c r="I1220" s="138"/>
      <c r="J1220" s="108"/>
    </row>
    <row r="1221" spans="1:10" s="16" customFormat="1" ht="25.5" outlineLevel="3">
      <c r="A1221" s="91"/>
      <c r="B1221" s="35"/>
      <c r="C1221" s="142" t="s">
        <v>155</v>
      </c>
      <c r="D1221" s="136" t="s">
        <v>28</v>
      </c>
      <c r="E1221" s="137">
        <v>1</v>
      </c>
      <c r="F1221" s="232">
        <v>0</v>
      </c>
      <c r="G1221" s="232">
        <v>0</v>
      </c>
      <c r="H1221" s="138">
        <f t="shared" ref="H1221:H1226" si="119">G1221+F1221</f>
        <v>0</v>
      </c>
      <c r="I1221" s="138">
        <f t="shared" ref="I1221:I1226" si="120">H1221*E1221</f>
        <v>0</v>
      </c>
      <c r="J1221" s="108"/>
    </row>
    <row r="1222" spans="1:10" s="16" customFormat="1" ht="25.5" outlineLevel="3">
      <c r="A1222" s="91"/>
      <c r="B1222" s="35"/>
      <c r="C1222" s="139" t="s">
        <v>118</v>
      </c>
      <c r="D1222" s="136" t="s">
        <v>28</v>
      </c>
      <c r="E1222" s="137">
        <v>1</v>
      </c>
      <c r="F1222" s="232">
        <v>0</v>
      </c>
      <c r="G1222" s="232">
        <v>0</v>
      </c>
      <c r="H1222" s="138">
        <f t="shared" si="119"/>
        <v>0</v>
      </c>
      <c r="I1222" s="138">
        <f t="shared" si="120"/>
        <v>0</v>
      </c>
      <c r="J1222" s="108"/>
    </row>
    <row r="1223" spans="1:10" s="16" customFormat="1" ht="25.5" outlineLevel="3">
      <c r="A1223" s="91"/>
      <c r="B1223" s="35"/>
      <c r="C1223" s="139" t="s">
        <v>1426</v>
      </c>
      <c r="D1223" s="136" t="s">
        <v>28</v>
      </c>
      <c r="E1223" s="137">
        <v>1</v>
      </c>
      <c r="F1223" s="232">
        <v>0</v>
      </c>
      <c r="G1223" s="232">
        <v>0</v>
      </c>
      <c r="H1223" s="138">
        <f t="shared" si="119"/>
        <v>0</v>
      </c>
      <c r="I1223" s="138">
        <f t="shared" si="120"/>
        <v>0</v>
      </c>
      <c r="J1223" s="108"/>
    </row>
    <row r="1224" spans="1:10" s="16" customFormat="1" ht="25.5" outlineLevel="3">
      <c r="A1224" s="91"/>
      <c r="B1224" s="35"/>
      <c r="C1224" s="141" t="s">
        <v>1429</v>
      </c>
      <c r="D1224" s="136" t="s">
        <v>28</v>
      </c>
      <c r="E1224" s="137">
        <v>1</v>
      </c>
      <c r="F1224" s="232">
        <v>0</v>
      </c>
      <c r="G1224" s="232">
        <v>0</v>
      </c>
      <c r="H1224" s="138">
        <f t="shared" si="119"/>
        <v>0</v>
      </c>
      <c r="I1224" s="138">
        <f t="shared" si="120"/>
        <v>0</v>
      </c>
      <c r="J1224" s="108"/>
    </row>
    <row r="1225" spans="1:10" s="16" customFormat="1" ht="25.5" outlineLevel="3">
      <c r="A1225" s="91"/>
      <c r="B1225" s="35"/>
      <c r="C1225" s="139" t="s">
        <v>573</v>
      </c>
      <c r="D1225" s="136" t="s">
        <v>28</v>
      </c>
      <c r="E1225" s="137">
        <v>3</v>
      </c>
      <c r="F1225" s="232">
        <v>0</v>
      </c>
      <c r="G1225" s="232">
        <v>0</v>
      </c>
      <c r="H1225" s="138">
        <f t="shared" si="119"/>
        <v>0</v>
      </c>
      <c r="I1225" s="138">
        <f t="shared" si="120"/>
        <v>0</v>
      </c>
      <c r="J1225" s="108"/>
    </row>
    <row r="1226" spans="1:10" s="16" customFormat="1" ht="25.5" outlineLevel="3">
      <c r="A1226" s="91"/>
      <c r="B1226" s="35"/>
      <c r="C1226" s="139" t="s">
        <v>574</v>
      </c>
      <c r="D1226" s="136" t="s">
        <v>28</v>
      </c>
      <c r="E1226" s="137">
        <v>3</v>
      </c>
      <c r="F1226" s="232">
        <v>0</v>
      </c>
      <c r="G1226" s="232">
        <v>0</v>
      </c>
      <c r="H1226" s="138">
        <f t="shared" si="119"/>
        <v>0</v>
      </c>
      <c r="I1226" s="138">
        <f t="shared" si="120"/>
        <v>0</v>
      </c>
      <c r="J1226" s="108"/>
    </row>
    <row r="1227" spans="1:10" s="16" customFormat="1" ht="25.5" outlineLevel="3">
      <c r="A1227" s="91"/>
      <c r="B1227" s="35"/>
      <c r="C1227" s="112" t="s">
        <v>148</v>
      </c>
      <c r="D1227" s="136"/>
      <c r="E1227" s="137"/>
      <c r="F1227" s="232">
        <v>0</v>
      </c>
      <c r="G1227" s="232">
        <v>0</v>
      </c>
      <c r="H1227" s="138"/>
      <c r="I1227" s="138"/>
      <c r="J1227" s="108"/>
    </row>
    <row r="1228" spans="1:10" s="16" customFormat="1" ht="25.5" outlineLevel="3">
      <c r="A1228" s="91"/>
      <c r="B1228" s="35"/>
      <c r="C1228" s="142" t="s">
        <v>645</v>
      </c>
      <c r="D1228" s="136" t="s">
        <v>28</v>
      </c>
      <c r="E1228" s="137">
        <v>2</v>
      </c>
      <c r="F1228" s="232">
        <v>0</v>
      </c>
      <c r="G1228" s="232">
        <v>0</v>
      </c>
      <c r="H1228" s="138">
        <f>G1228+F1228</f>
        <v>0</v>
      </c>
      <c r="I1228" s="138">
        <f>H1228*E1228</f>
        <v>0</v>
      </c>
      <c r="J1228" s="108"/>
    </row>
    <row r="1229" spans="1:10" s="16" customFormat="1" ht="25.5" outlineLevel="3">
      <c r="A1229" s="91"/>
      <c r="B1229" s="35"/>
      <c r="C1229" s="142" t="s">
        <v>639</v>
      </c>
      <c r="D1229" s="136" t="s">
        <v>28</v>
      </c>
      <c r="E1229" s="137">
        <v>1</v>
      </c>
      <c r="F1229" s="232">
        <v>0</v>
      </c>
      <c r="G1229" s="232">
        <v>0</v>
      </c>
      <c r="H1229" s="138">
        <f>G1229+F1229</f>
        <v>0</v>
      </c>
      <c r="I1229" s="138">
        <f>H1229*E1229</f>
        <v>0</v>
      </c>
      <c r="J1229" s="108"/>
    </row>
    <row r="1230" spans="1:10" s="16" customFormat="1" ht="25.5" outlineLevel="3">
      <c r="A1230" s="91"/>
      <c r="B1230" s="35"/>
      <c r="C1230" s="144" t="s">
        <v>646</v>
      </c>
      <c r="D1230" s="136"/>
      <c r="E1230" s="137"/>
      <c r="F1230" s="232">
        <v>0</v>
      </c>
      <c r="G1230" s="232">
        <v>0</v>
      </c>
      <c r="H1230" s="138"/>
      <c r="I1230" s="138"/>
      <c r="J1230" s="108"/>
    </row>
    <row r="1231" spans="1:10" s="16" customFormat="1" ht="25.5" outlineLevel="3">
      <c r="A1231" s="91"/>
      <c r="B1231" s="35"/>
      <c r="C1231" s="142" t="s">
        <v>265</v>
      </c>
      <c r="D1231" s="136" t="s">
        <v>28</v>
      </c>
      <c r="E1231" s="137">
        <v>2</v>
      </c>
      <c r="F1231" s="232">
        <v>0</v>
      </c>
      <c r="G1231" s="232">
        <v>0</v>
      </c>
      <c r="H1231" s="138">
        <f t="shared" ref="H1231:H1248" si="121">G1231+F1231</f>
        <v>0</v>
      </c>
      <c r="I1231" s="138">
        <f t="shared" ref="I1231:I1248" si="122">H1231*E1231</f>
        <v>0</v>
      </c>
      <c r="J1231" s="108"/>
    </row>
    <row r="1232" spans="1:10" s="16" customFormat="1" ht="25.5" outlineLevel="3">
      <c r="A1232" s="91"/>
      <c r="B1232" s="35"/>
      <c r="C1232" s="139" t="s">
        <v>266</v>
      </c>
      <c r="D1232" s="136" t="s">
        <v>28</v>
      </c>
      <c r="E1232" s="137">
        <v>2</v>
      </c>
      <c r="F1232" s="232">
        <v>0</v>
      </c>
      <c r="G1232" s="232">
        <v>0</v>
      </c>
      <c r="H1232" s="138">
        <f t="shared" si="121"/>
        <v>0</v>
      </c>
      <c r="I1232" s="138">
        <f t="shared" si="122"/>
        <v>0</v>
      </c>
      <c r="J1232" s="108"/>
    </row>
    <row r="1233" spans="1:10" s="16" customFormat="1" ht="25.5" outlineLevel="3">
      <c r="A1233" s="91"/>
      <c r="B1233" s="35"/>
      <c r="C1233" s="139" t="s">
        <v>1744</v>
      </c>
      <c r="D1233" s="136" t="s">
        <v>28</v>
      </c>
      <c r="E1233" s="137">
        <v>2</v>
      </c>
      <c r="F1233" s="232">
        <v>0</v>
      </c>
      <c r="G1233" s="232">
        <v>0</v>
      </c>
      <c r="H1233" s="138">
        <f t="shared" si="121"/>
        <v>0</v>
      </c>
      <c r="I1233" s="138">
        <f t="shared" si="122"/>
        <v>0</v>
      </c>
      <c r="J1233" s="108"/>
    </row>
    <row r="1234" spans="1:10" s="16" customFormat="1" ht="25.5" outlineLevel="3">
      <c r="A1234" s="91"/>
      <c r="B1234" s="35"/>
      <c r="C1234" s="129" t="s">
        <v>1745</v>
      </c>
      <c r="D1234" s="136" t="s">
        <v>38</v>
      </c>
      <c r="E1234" s="140">
        <v>1</v>
      </c>
      <c r="F1234" s="232">
        <v>0</v>
      </c>
      <c r="G1234" s="232">
        <v>0</v>
      </c>
      <c r="H1234" s="138">
        <f t="shared" si="121"/>
        <v>0</v>
      </c>
      <c r="I1234" s="138">
        <f t="shared" si="122"/>
        <v>0</v>
      </c>
      <c r="J1234" s="108"/>
    </row>
    <row r="1235" spans="1:10" s="16" customFormat="1" ht="25.5" outlineLevel="3">
      <c r="A1235" s="91"/>
      <c r="B1235" s="35"/>
      <c r="C1235" s="141" t="s">
        <v>1436</v>
      </c>
      <c r="D1235" s="136" t="s">
        <v>38</v>
      </c>
      <c r="E1235" s="137">
        <v>1</v>
      </c>
      <c r="F1235" s="232">
        <v>0</v>
      </c>
      <c r="G1235" s="232">
        <v>0</v>
      </c>
      <c r="H1235" s="138">
        <f t="shared" si="121"/>
        <v>0</v>
      </c>
      <c r="I1235" s="138">
        <f t="shared" si="122"/>
        <v>0</v>
      </c>
      <c r="J1235" s="108"/>
    </row>
    <row r="1236" spans="1:10" s="16" customFormat="1" ht="25.5" outlineLevel="3">
      <c r="A1236" s="91"/>
      <c r="B1236" s="35">
        <f>MAXA(B$5:B1235)+1</f>
        <v>559</v>
      </c>
      <c r="C1236" s="146" t="s">
        <v>1701</v>
      </c>
      <c r="D1236" s="136" t="s">
        <v>38</v>
      </c>
      <c r="E1236" s="137">
        <v>1</v>
      </c>
      <c r="F1236" s="232">
        <v>17418375</v>
      </c>
      <c r="G1236" s="232">
        <v>3334800</v>
      </c>
      <c r="H1236" s="138">
        <f t="shared" si="121"/>
        <v>20753175</v>
      </c>
      <c r="I1236" s="138">
        <f t="shared" si="122"/>
        <v>20753175</v>
      </c>
      <c r="J1236" s="108"/>
    </row>
    <row r="1237" spans="1:10" s="16" customFormat="1" ht="25.5" outlineLevel="3">
      <c r="A1237" s="91"/>
      <c r="B1237" s="35">
        <f>MAXA(B$5:B1236)+1</f>
        <v>560</v>
      </c>
      <c r="C1237" s="146" t="s">
        <v>1747</v>
      </c>
      <c r="D1237" s="136" t="s">
        <v>28</v>
      </c>
      <c r="E1237" s="137">
        <v>2</v>
      </c>
      <c r="F1237" s="232">
        <v>3070279</v>
      </c>
      <c r="G1237" s="232">
        <v>521063</v>
      </c>
      <c r="H1237" s="138">
        <f t="shared" si="121"/>
        <v>3591342</v>
      </c>
      <c r="I1237" s="138">
        <f t="shared" si="122"/>
        <v>7182684</v>
      </c>
      <c r="J1237" s="108"/>
    </row>
    <row r="1238" spans="1:10" s="16" customFormat="1" ht="25.5" outlineLevel="3">
      <c r="A1238" s="91"/>
      <c r="B1238" s="35">
        <f>MAXA(B$5:B1237)+1</f>
        <v>561</v>
      </c>
      <c r="C1238" s="146" t="s">
        <v>1748</v>
      </c>
      <c r="D1238" s="136" t="s">
        <v>28</v>
      </c>
      <c r="E1238" s="137">
        <v>2</v>
      </c>
      <c r="F1238" s="232">
        <v>2403736</v>
      </c>
      <c r="G1238" s="232">
        <v>416850</v>
      </c>
      <c r="H1238" s="138">
        <f t="shared" si="121"/>
        <v>2820586</v>
      </c>
      <c r="I1238" s="138">
        <f t="shared" si="122"/>
        <v>5641172</v>
      </c>
      <c r="J1238" s="108"/>
    </row>
    <row r="1239" spans="1:10" s="16" customFormat="1" ht="25.5" outlineLevel="3">
      <c r="A1239" s="91"/>
      <c r="B1239" s="35">
        <f>MAXA(B$5:B1238)+1</f>
        <v>562</v>
      </c>
      <c r="C1239" s="146" t="s">
        <v>653</v>
      </c>
      <c r="D1239" s="136" t="s">
        <v>28</v>
      </c>
      <c r="E1239" s="137">
        <v>2</v>
      </c>
      <c r="F1239" s="232">
        <v>3834365</v>
      </c>
      <c r="G1239" s="232">
        <v>521063</v>
      </c>
      <c r="H1239" s="138">
        <f t="shared" si="121"/>
        <v>4355428</v>
      </c>
      <c r="I1239" s="138">
        <f t="shared" si="122"/>
        <v>8710856</v>
      </c>
      <c r="J1239" s="108"/>
    </row>
    <row r="1240" spans="1:10" s="16" customFormat="1" ht="25.5" outlineLevel="3">
      <c r="A1240" s="91"/>
      <c r="B1240" s="35">
        <f>MAXA(B$5:B1239)+1</f>
        <v>563</v>
      </c>
      <c r="C1240" s="146" t="s">
        <v>654</v>
      </c>
      <c r="D1240" s="136" t="s">
        <v>28</v>
      </c>
      <c r="E1240" s="137">
        <v>2</v>
      </c>
      <c r="F1240" s="232">
        <v>2848485</v>
      </c>
      <c r="G1240" s="232">
        <v>416850</v>
      </c>
      <c r="H1240" s="138">
        <f t="shared" si="121"/>
        <v>3265335</v>
      </c>
      <c r="I1240" s="138">
        <f t="shared" si="122"/>
        <v>6530670</v>
      </c>
      <c r="J1240" s="108"/>
    </row>
    <row r="1241" spans="1:10" s="16" customFormat="1" ht="25.5" outlineLevel="3">
      <c r="A1241" s="91"/>
      <c r="B1241" s="35">
        <f>MAXA(B$5:B1240)+1</f>
        <v>564</v>
      </c>
      <c r="C1241" s="146" t="s">
        <v>656</v>
      </c>
      <c r="D1241" s="136" t="s">
        <v>28</v>
      </c>
      <c r="E1241" s="137">
        <v>2</v>
      </c>
      <c r="F1241" s="232">
        <v>1429468</v>
      </c>
      <c r="G1241" s="232">
        <v>521063</v>
      </c>
      <c r="H1241" s="138">
        <f t="shared" si="121"/>
        <v>1950531</v>
      </c>
      <c r="I1241" s="138">
        <f t="shared" si="122"/>
        <v>3901062</v>
      </c>
      <c r="J1241" s="108"/>
    </row>
    <row r="1242" spans="1:10" s="16" customFormat="1" ht="25.5" outlineLevel="3">
      <c r="A1242" s="91"/>
      <c r="B1242" s="35">
        <f>MAXA(B$5:B1241)+1</f>
        <v>565</v>
      </c>
      <c r="C1242" s="146" t="s">
        <v>657</v>
      </c>
      <c r="D1242" s="136" t="s">
        <v>28</v>
      </c>
      <c r="E1242" s="137">
        <v>2</v>
      </c>
      <c r="F1242" s="232">
        <v>1153096</v>
      </c>
      <c r="G1242" s="232">
        <v>416850</v>
      </c>
      <c r="H1242" s="138">
        <f t="shared" si="121"/>
        <v>1569946</v>
      </c>
      <c r="I1242" s="138">
        <f t="shared" si="122"/>
        <v>3139892</v>
      </c>
      <c r="J1242" s="108"/>
    </row>
    <row r="1243" spans="1:10" s="16" customFormat="1" ht="25.5" outlineLevel="3">
      <c r="A1243" s="91"/>
      <c r="B1243" s="35">
        <f>MAXA(B$5:B1242)+1</f>
        <v>566</v>
      </c>
      <c r="C1243" s="146" t="s">
        <v>1749</v>
      </c>
      <c r="D1243" s="230" t="s">
        <v>25</v>
      </c>
      <c r="E1243" s="137">
        <v>62</v>
      </c>
      <c r="F1243" s="232">
        <v>76921</v>
      </c>
      <c r="G1243" s="232">
        <v>78159</v>
      </c>
      <c r="H1243" s="138">
        <f t="shared" si="121"/>
        <v>155080</v>
      </c>
      <c r="I1243" s="138">
        <f t="shared" si="122"/>
        <v>9614960</v>
      </c>
      <c r="J1243" s="108"/>
    </row>
    <row r="1244" spans="1:10" s="16" customFormat="1" ht="25.5" outlineLevel="3">
      <c r="A1244" s="91"/>
      <c r="B1244" s="35">
        <f>MAXA(B$5:B1243)+1</f>
        <v>567</v>
      </c>
      <c r="C1244" s="146" t="s">
        <v>1750</v>
      </c>
      <c r="D1244" s="136" t="s">
        <v>38</v>
      </c>
      <c r="E1244" s="137">
        <v>1</v>
      </c>
      <c r="F1244" s="232">
        <v>2146088</v>
      </c>
      <c r="G1244" s="232">
        <v>770390</v>
      </c>
      <c r="H1244" s="138">
        <f t="shared" si="121"/>
        <v>2916478</v>
      </c>
      <c r="I1244" s="138">
        <f t="shared" si="122"/>
        <v>2916478</v>
      </c>
      <c r="J1244" s="108"/>
    </row>
    <row r="1245" spans="1:10" s="16" customFormat="1" ht="25.5" outlineLevel="3">
      <c r="A1245" s="91"/>
      <c r="B1245" s="35">
        <f>MAXA(B$5:B1244)+1</f>
        <v>568</v>
      </c>
      <c r="C1245" s="146" t="s">
        <v>1739</v>
      </c>
      <c r="D1245" s="136" t="s">
        <v>38</v>
      </c>
      <c r="E1245" s="137">
        <v>1</v>
      </c>
      <c r="F1245" s="232">
        <v>1383034</v>
      </c>
      <c r="G1245" s="232">
        <v>496474</v>
      </c>
      <c r="H1245" s="138">
        <f t="shared" si="121"/>
        <v>1879508</v>
      </c>
      <c r="I1245" s="138">
        <f t="shared" si="122"/>
        <v>1879508</v>
      </c>
      <c r="J1245" s="108"/>
    </row>
    <row r="1246" spans="1:10" s="16" customFormat="1" ht="25.5" outlineLevel="3">
      <c r="A1246" s="91"/>
      <c r="B1246" s="35">
        <f>MAXA(B$5:B1245)+1</f>
        <v>569</v>
      </c>
      <c r="C1246" s="146" t="s">
        <v>1751</v>
      </c>
      <c r="D1246" s="136" t="s">
        <v>28</v>
      </c>
      <c r="E1246" s="137">
        <v>2</v>
      </c>
      <c r="F1246" s="232">
        <v>2322450</v>
      </c>
      <c r="G1246" s="232">
        <v>312638</v>
      </c>
      <c r="H1246" s="138">
        <f t="shared" si="121"/>
        <v>2635088</v>
      </c>
      <c r="I1246" s="138">
        <f t="shared" si="122"/>
        <v>5270176</v>
      </c>
      <c r="J1246" s="108"/>
    </row>
    <row r="1247" spans="1:10" s="16" customFormat="1" ht="25.5" outlineLevel="3">
      <c r="A1247" s="91"/>
      <c r="B1247" s="35">
        <f>MAXA(B$5:B1246)+1</f>
        <v>570</v>
      </c>
      <c r="C1247" s="146" t="s">
        <v>1752</v>
      </c>
      <c r="D1247" s="136" t="s">
        <v>32</v>
      </c>
      <c r="E1247" s="137">
        <v>10</v>
      </c>
      <c r="F1247" s="232">
        <v>0</v>
      </c>
      <c r="G1247" s="232">
        <v>93791</v>
      </c>
      <c r="H1247" s="138">
        <f t="shared" si="121"/>
        <v>93791</v>
      </c>
      <c r="I1247" s="138">
        <f t="shared" si="122"/>
        <v>937910</v>
      </c>
      <c r="J1247" s="108"/>
    </row>
    <row r="1248" spans="1:10" s="16" customFormat="1" ht="25.5" outlineLevel="3">
      <c r="A1248" s="91"/>
      <c r="B1248" s="35">
        <f>MAXA(B$5:B1247)+1</f>
        <v>571</v>
      </c>
      <c r="C1248" s="146" t="s">
        <v>828</v>
      </c>
      <c r="D1248" s="136" t="s">
        <v>38</v>
      </c>
      <c r="E1248" s="137">
        <v>1</v>
      </c>
      <c r="F1248" s="232">
        <v>11612250</v>
      </c>
      <c r="G1248" s="232">
        <v>4168500</v>
      </c>
      <c r="H1248" s="138">
        <f t="shared" si="121"/>
        <v>15780750</v>
      </c>
      <c r="I1248" s="138">
        <f t="shared" si="122"/>
        <v>15780750</v>
      </c>
      <c r="J1248" s="108"/>
    </row>
    <row r="1249" spans="1:10" s="110" customFormat="1" ht="27" outlineLevel="3">
      <c r="A1249" s="109"/>
      <c r="B1249" s="106" t="s">
        <v>321</v>
      </c>
      <c r="C1249" s="104" t="s">
        <v>1753</v>
      </c>
      <c r="D1249" s="348"/>
      <c r="E1249" s="130"/>
      <c r="F1249" s="232">
        <v>0</v>
      </c>
      <c r="G1249" s="232">
        <v>0</v>
      </c>
      <c r="H1249" s="326"/>
      <c r="I1249" s="180">
        <f>SUBTOTAL(9,I1250:I1285)</f>
        <v>398717578</v>
      </c>
      <c r="J1249" s="107"/>
    </row>
    <row r="1250" spans="1:10" s="125" customFormat="1" ht="25.5" outlineLevel="3">
      <c r="A1250" s="124"/>
      <c r="B1250" s="131"/>
      <c r="C1250" s="143" t="s">
        <v>1754</v>
      </c>
      <c r="D1250" s="394"/>
      <c r="E1250" s="373"/>
      <c r="F1250" s="232">
        <v>0</v>
      </c>
      <c r="G1250" s="232">
        <v>0</v>
      </c>
      <c r="H1250" s="374"/>
      <c r="I1250" s="374"/>
      <c r="J1250" s="116"/>
    </row>
    <row r="1251" spans="1:10" s="16" customFormat="1" ht="25.5" outlineLevel="3">
      <c r="A1251" s="91"/>
      <c r="B1251" s="35">
        <f>MAXA(B$5:B1250)+1</f>
        <v>572</v>
      </c>
      <c r="C1251" s="146" t="s">
        <v>1755</v>
      </c>
      <c r="D1251" s="230" t="s">
        <v>25</v>
      </c>
      <c r="E1251" s="137">
        <v>18</v>
      </c>
      <c r="F1251" s="232">
        <v>290957</v>
      </c>
      <c r="G1251" s="232">
        <v>156319</v>
      </c>
      <c r="H1251" s="138">
        <f t="shared" ref="H1251:H1276" si="123">G1251+F1251</f>
        <v>447276</v>
      </c>
      <c r="I1251" s="138">
        <f t="shared" ref="I1251:I1276" si="124">H1251*E1251</f>
        <v>8050968</v>
      </c>
      <c r="J1251" s="108"/>
    </row>
    <row r="1252" spans="1:10" s="16" customFormat="1" ht="25.5" outlineLevel="3">
      <c r="A1252" s="91"/>
      <c r="B1252" s="35">
        <f>MAXA(B$5:B1251)+1</f>
        <v>573</v>
      </c>
      <c r="C1252" s="146" t="s">
        <v>1724</v>
      </c>
      <c r="D1252" s="230" t="s">
        <v>25</v>
      </c>
      <c r="E1252" s="137">
        <v>89</v>
      </c>
      <c r="F1252" s="232">
        <v>153232</v>
      </c>
      <c r="G1252" s="232">
        <v>125055</v>
      </c>
      <c r="H1252" s="138">
        <f t="shared" si="123"/>
        <v>278287</v>
      </c>
      <c r="I1252" s="138">
        <f t="shared" si="124"/>
        <v>24767543</v>
      </c>
      <c r="J1252" s="108"/>
    </row>
    <row r="1253" spans="1:10" s="16" customFormat="1" ht="25.5" outlineLevel="3">
      <c r="A1253" s="91"/>
      <c r="B1253" s="35">
        <f>MAXA(B$5:B1252)+1</f>
        <v>574</v>
      </c>
      <c r="C1253" s="146" t="s">
        <v>1725</v>
      </c>
      <c r="D1253" s="230" t="s">
        <v>25</v>
      </c>
      <c r="E1253" s="137">
        <v>250</v>
      </c>
      <c r="F1253" s="232">
        <v>75019</v>
      </c>
      <c r="G1253" s="232">
        <v>62528</v>
      </c>
      <c r="H1253" s="138">
        <f t="shared" si="123"/>
        <v>137547</v>
      </c>
      <c r="I1253" s="138">
        <f t="shared" si="124"/>
        <v>34386750</v>
      </c>
      <c r="J1253" s="108"/>
    </row>
    <row r="1254" spans="1:10" s="16" customFormat="1" ht="25.5" outlineLevel="3">
      <c r="A1254" s="91"/>
      <c r="B1254" s="35">
        <f>MAXA(B$5:B1253)+1</f>
        <v>575</v>
      </c>
      <c r="C1254" s="146" t="s">
        <v>1726</v>
      </c>
      <c r="D1254" s="230" t="s">
        <v>25</v>
      </c>
      <c r="E1254" s="137">
        <f>180-15+32</f>
        <v>197</v>
      </c>
      <c r="F1254" s="232">
        <v>58297</v>
      </c>
      <c r="G1254" s="232">
        <v>46896</v>
      </c>
      <c r="H1254" s="138">
        <f t="shared" si="123"/>
        <v>105193</v>
      </c>
      <c r="I1254" s="138">
        <f t="shared" si="124"/>
        <v>20723021</v>
      </c>
      <c r="J1254" s="108"/>
    </row>
    <row r="1255" spans="1:10" s="16" customFormat="1" ht="25.5" outlineLevel="3">
      <c r="A1255" s="91"/>
      <c r="B1255" s="35">
        <f>MAXA(B$5:B1254)+1</f>
        <v>576</v>
      </c>
      <c r="C1255" s="146" t="s">
        <v>1728</v>
      </c>
      <c r="D1255" s="230" t="s">
        <v>25</v>
      </c>
      <c r="E1255" s="137">
        <f>171+25+29</f>
        <v>225</v>
      </c>
      <c r="F1255" s="232">
        <v>32075</v>
      </c>
      <c r="G1255" s="232">
        <v>36474</v>
      </c>
      <c r="H1255" s="138">
        <f t="shared" si="123"/>
        <v>68549</v>
      </c>
      <c r="I1255" s="138">
        <f t="shared" si="124"/>
        <v>15423525</v>
      </c>
      <c r="J1255" s="108"/>
    </row>
    <row r="1256" spans="1:10" s="16" customFormat="1" ht="25.5" outlineLevel="3">
      <c r="A1256" s="91"/>
      <c r="B1256" s="35">
        <f>MAXA(B$5:B1255)+1</f>
        <v>577</v>
      </c>
      <c r="C1256" s="146" t="s">
        <v>1756</v>
      </c>
      <c r="D1256" s="230" t="s">
        <v>25</v>
      </c>
      <c r="E1256" s="137">
        <v>2</v>
      </c>
      <c r="F1256" s="232">
        <v>19837</v>
      </c>
      <c r="G1256" s="232">
        <v>33348</v>
      </c>
      <c r="H1256" s="138">
        <f t="shared" si="123"/>
        <v>53185</v>
      </c>
      <c r="I1256" s="138">
        <f t="shared" si="124"/>
        <v>106370</v>
      </c>
      <c r="J1256" s="108"/>
    </row>
    <row r="1257" spans="1:10" s="16" customFormat="1" ht="25.5" outlineLevel="3">
      <c r="A1257" s="91"/>
      <c r="B1257" s="35">
        <f>MAXA(B$5:B1256)+1</f>
        <v>578</v>
      </c>
      <c r="C1257" s="146" t="s">
        <v>1757</v>
      </c>
      <c r="D1257" s="230" t="s">
        <v>25</v>
      </c>
      <c r="E1257" s="137">
        <f>22+14</f>
        <v>36</v>
      </c>
      <c r="F1257" s="232">
        <v>16190</v>
      </c>
      <c r="G1257" s="232">
        <v>31264</v>
      </c>
      <c r="H1257" s="138">
        <f t="shared" si="123"/>
        <v>47454</v>
      </c>
      <c r="I1257" s="138">
        <f t="shared" si="124"/>
        <v>1708344</v>
      </c>
      <c r="J1257" s="108"/>
    </row>
    <row r="1258" spans="1:10" s="16" customFormat="1" ht="25.5" outlineLevel="3">
      <c r="A1258" s="91"/>
      <c r="B1258" s="35">
        <f>MAXA(B$5:B1257)+1</f>
        <v>579</v>
      </c>
      <c r="C1258" s="146" t="s">
        <v>1758</v>
      </c>
      <c r="D1258" s="230" t="s">
        <v>25</v>
      </c>
      <c r="E1258" s="137">
        <v>6</v>
      </c>
      <c r="F1258" s="232">
        <v>11401</v>
      </c>
      <c r="G1258" s="232">
        <v>31264</v>
      </c>
      <c r="H1258" s="138">
        <f t="shared" si="123"/>
        <v>42665</v>
      </c>
      <c r="I1258" s="138">
        <f t="shared" si="124"/>
        <v>255990</v>
      </c>
      <c r="J1258" s="108"/>
    </row>
    <row r="1259" spans="1:10" s="16" customFormat="1" ht="25.5" outlineLevel="3">
      <c r="A1259" s="91"/>
      <c r="B1259" s="35">
        <f>MAXA(B$5:B1258)+1</f>
        <v>580</v>
      </c>
      <c r="C1259" s="146" t="s">
        <v>1759</v>
      </c>
      <c r="D1259" s="230" t="s">
        <v>25</v>
      </c>
      <c r="E1259" s="137">
        <v>18</v>
      </c>
      <c r="F1259" s="232">
        <v>120898</v>
      </c>
      <c r="G1259" s="232">
        <v>89771</v>
      </c>
      <c r="H1259" s="138">
        <f t="shared" si="123"/>
        <v>210669</v>
      </c>
      <c r="I1259" s="138">
        <f t="shared" si="124"/>
        <v>3792042</v>
      </c>
      <c r="J1259" s="108"/>
    </row>
    <row r="1260" spans="1:10" s="16" customFormat="1" ht="25.5" outlineLevel="3">
      <c r="A1260" s="91"/>
      <c r="B1260" s="35">
        <f>MAXA(B$5:B1259)+1</f>
        <v>581</v>
      </c>
      <c r="C1260" s="146" t="s">
        <v>1760</v>
      </c>
      <c r="D1260" s="230" t="s">
        <v>25</v>
      </c>
      <c r="E1260" s="137">
        <f>309+18</f>
        <v>327</v>
      </c>
      <c r="F1260" s="232">
        <v>74390</v>
      </c>
      <c r="G1260" s="232">
        <v>65172</v>
      </c>
      <c r="H1260" s="138">
        <f t="shared" si="123"/>
        <v>139562</v>
      </c>
      <c r="I1260" s="138">
        <f t="shared" si="124"/>
        <v>45636774</v>
      </c>
      <c r="J1260" s="108"/>
    </row>
    <row r="1261" spans="1:10" s="16" customFormat="1" ht="25.5" outlineLevel="3">
      <c r="A1261" s="91"/>
      <c r="B1261" s="35">
        <f>MAXA(B$5:B1260)+1</f>
        <v>582</v>
      </c>
      <c r="C1261" s="146" t="s">
        <v>1761</v>
      </c>
      <c r="D1261" s="230" t="s">
        <v>25</v>
      </c>
      <c r="E1261" s="137">
        <v>30</v>
      </c>
      <c r="F1261" s="232">
        <v>43090</v>
      </c>
      <c r="G1261" s="232">
        <v>63622</v>
      </c>
      <c r="H1261" s="138">
        <f t="shared" si="123"/>
        <v>106712</v>
      </c>
      <c r="I1261" s="138">
        <f t="shared" si="124"/>
        <v>3201360</v>
      </c>
      <c r="J1261" s="108"/>
    </row>
    <row r="1262" spans="1:10" s="16" customFormat="1" ht="25.5" outlineLevel="3">
      <c r="A1262" s="91"/>
      <c r="B1262" s="35">
        <f>MAXA(B$5:B1261)+1</f>
        <v>583</v>
      </c>
      <c r="C1262" s="146" t="s">
        <v>673</v>
      </c>
      <c r="D1262" s="136" t="s">
        <v>38</v>
      </c>
      <c r="E1262" s="137">
        <v>1</v>
      </c>
      <c r="F1262" s="232">
        <v>23224500</v>
      </c>
      <c r="G1262" s="232">
        <v>8337000</v>
      </c>
      <c r="H1262" s="138">
        <f t="shared" si="123"/>
        <v>31561500</v>
      </c>
      <c r="I1262" s="138">
        <f t="shared" si="124"/>
        <v>31561500</v>
      </c>
      <c r="J1262" s="108"/>
    </row>
    <row r="1263" spans="1:10" s="16" customFormat="1" ht="25.5" outlineLevel="3">
      <c r="A1263" s="91"/>
      <c r="B1263" s="35">
        <f>MAXA(B$5:B1262)+1</f>
        <v>584</v>
      </c>
      <c r="C1263" s="146" t="s">
        <v>1733</v>
      </c>
      <c r="D1263" s="136" t="s">
        <v>38</v>
      </c>
      <c r="E1263" s="137">
        <v>1</v>
      </c>
      <c r="F1263" s="232">
        <v>34783469</v>
      </c>
      <c r="G1263" s="232">
        <v>12486373</v>
      </c>
      <c r="H1263" s="138">
        <f t="shared" si="123"/>
        <v>47269842</v>
      </c>
      <c r="I1263" s="138">
        <f t="shared" si="124"/>
        <v>47269842</v>
      </c>
      <c r="J1263" s="108"/>
    </row>
    <row r="1264" spans="1:10" s="16" customFormat="1" ht="25.5" outlineLevel="3">
      <c r="A1264" s="91"/>
      <c r="B1264" s="35">
        <f>MAXA(B$5:B1263)+1</f>
        <v>585</v>
      </c>
      <c r="C1264" s="146" t="s">
        <v>1734</v>
      </c>
      <c r="D1264" s="136" t="s">
        <v>1509</v>
      </c>
      <c r="E1264" s="137">
        <v>8</v>
      </c>
      <c r="F1264" s="232">
        <v>174184</v>
      </c>
      <c r="G1264" s="232">
        <v>26053</v>
      </c>
      <c r="H1264" s="138">
        <f t="shared" si="123"/>
        <v>200237</v>
      </c>
      <c r="I1264" s="138">
        <f t="shared" si="124"/>
        <v>1601896</v>
      </c>
      <c r="J1264" s="108"/>
    </row>
    <row r="1265" spans="1:10" s="16" customFormat="1" ht="25.5" outlineLevel="3">
      <c r="A1265" s="91"/>
      <c r="B1265" s="35">
        <f>MAXA(B$5:B1264)+1</f>
        <v>586</v>
      </c>
      <c r="C1265" s="146" t="s">
        <v>1762</v>
      </c>
      <c r="D1265" s="230" t="s">
        <v>25</v>
      </c>
      <c r="E1265" s="137">
        <v>25</v>
      </c>
      <c r="F1265" s="232">
        <v>111847</v>
      </c>
      <c r="G1265" s="232">
        <v>88581</v>
      </c>
      <c r="H1265" s="138">
        <f t="shared" si="123"/>
        <v>200428</v>
      </c>
      <c r="I1265" s="138">
        <f t="shared" si="124"/>
        <v>5010700</v>
      </c>
      <c r="J1265" s="108"/>
    </row>
    <row r="1266" spans="1:10" s="16" customFormat="1" ht="25.5" outlineLevel="3">
      <c r="A1266" s="91"/>
      <c r="B1266" s="35">
        <f>MAXA(B$5:B1265)+1</f>
        <v>587</v>
      </c>
      <c r="C1266" s="146" t="s">
        <v>1750</v>
      </c>
      <c r="D1266" s="136" t="s">
        <v>38</v>
      </c>
      <c r="E1266" s="137">
        <v>1</v>
      </c>
      <c r="F1266" s="232">
        <v>1258277</v>
      </c>
      <c r="G1266" s="232">
        <v>451689</v>
      </c>
      <c r="H1266" s="138">
        <f t="shared" si="123"/>
        <v>1709966</v>
      </c>
      <c r="I1266" s="138">
        <f t="shared" si="124"/>
        <v>1709966</v>
      </c>
      <c r="J1266" s="108"/>
    </row>
    <row r="1267" spans="1:10" s="16" customFormat="1" ht="25.5" outlineLevel="3">
      <c r="A1267" s="91"/>
      <c r="B1267" s="35">
        <f>MAXA(B$5:B1266)+1</f>
        <v>588</v>
      </c>
      <c r="C1267" s="146" t="s">
        <v>1763</v>
      </c>
      <c r="D1267" s="136" t="s">
        <v>28</v>
      </c>
      <c r="E1267" s="137">
        <v>1</v>
      </c>
      <c r="F1267" s="232">
        <v>4064288</v>
      </c>
      <c r="G1267" s="232">
        <v>677381</v>
      </c>
      <c r="H1267" s="138">
        <f t="shared" si="123"/>
        <v>4741669</v>
      </c>
      <c r="I1267" s="138">
        <f t="shared" si="124"/>
        <v>4741669</v>
      </c>
      <c r="J1267" s="108"/>
    </row>
    <row r="1268" spans="1:10" s="16" customFormat="1" ht="25.5" outlineLevel="3">
      <c r="A1268" s="91"/>
      <c r="B1268" s="35">
        <f>MAXA(B$5:B1267)+1</f>
        <v>589</v>
      </c>
      <c r="C1268" s="146" t="s">
        <v>1764</v>
      </c>
      <c r="D1268" s="136" t="s">
        <v>28</v>
      </c>
      <c r="E1268" s="137">
        <v>1</v>
      </c>
      <c r="F1268" s="232">
        <v>3483675</v>
      </c>
      <c r="G1268" s="232">
        <v>364744</v>
      </c>
      <c r="H1268" s="138">
        <f t="shared" si="123"/>
        <v>3848419</v>
      </c>
      <c r="I1268" s="138">
        <f t="shared" si="124"/>
        <v>3848419</v>
      </c>
      <c r="J1268" s="108"/>
    </row>
    <row r="1269" spans="1:10" s="16" customFormat="1" ht="25.5" outlineLevel="3">
      <c r="A1269" s="91"/>
      <c r="B1269" s="35">
        <f>MAXA(B$5:B1268)+1</f>
        <v>590</v>
      </c>
      <c r="C1269" s="146" t="s">
        <v>1765</v>
      </c>
      <c r="D1269" s="136" t="s">
        <v>28</v>
      </c>
      <c r="E1269" s="137">
        <v>1</v>
      </c>
      <c r="F1269" s="232">
        <v>3251430</v>
      </c>
      <c r="G1269" s="232">
        <v>364744</v>
      </c>
      <c r="H1269" s="138">
        <f t="shared" si="123"/>
        <v>3616174</v>
      </c>
      <c r="I1269" s="138">
        <f t="shared" si="124"/>
        <v>3616174</v>
      </c>
      <c r="J1269" s="108"/>
    </row>
    <row r="1270" spans="1:10" s="16" customFormat="1" ht="25.5" outlineLevel="3">
      <c r="A1270" s="91"/>
      <c r="B1270" s="35">
        <f>MAXA(B$5:B1269)+1</f>
        <v>591</v>
      </c>
      <c r="C1270" s="146" t="s">
        <v>1720</v>
      </c>
      <c r="D1270" s="136" t="s">
        <v>28</v>
      </c>
      <c r="E1270" s="137">
        <v>1</v>
      </c>
      <c r="F1270" s="232">
        <v>2322450</v>
      </c>
      <c r="G1270" s="232">
        <v>312638</v>
      </c>
      <c r="H1270" s="138">
        <f t="shared" si="123"/>
        <v>2635088</v>
      </c>
      <c r="I1270" s="138">
        <f t="shared" si="124"/>
        <v>2635088</v>
      </c>
      <c r="J1270" s="108"/>
    </row>
    <row r="1271" spans="1:10" s="16" customFormat="1" ht="25.5" outlineLevel="3">
      <c r="A1271" s="91"/>
      <c r="B1271" s="35">
        <f>MAXA(B$5:B1270)+1</f>
        <v>592</v>
      </c>
      <c r="C1271" s="146" t="s">
        <v>1739</v>
      </c>
      <c r="D1271" s="136" t="s">
        <v>38</v>
      </c>
      <c r="E1271" s="137">
        <v>1</v>
      </c>
      <c r="F1271" s="232">
        <v>26129966</v>
      </c>
      <c r="G1271" s="232">
        <v>9379988</v>
      </c>
      <c r="H1271" s="138">
        <f t="shared" si="123"/>
        <v>35509954</v>
      </c>
      <c r="I1271" s="138">
        <f t="shared" si="124"/>
        <v>35509954</v>
      </c>
      <c r="J1271" s="108"/>
    </row>
    <row r="1272" spans="1:10" s="16" customFormat="1" ht="25.5" outlineLevel="3">
      <c r="A1272" s="91"/>
      <c r="B1272" s="35">
        <f>MAXA(B$5:B1271)+1</f>
        <v>593</v>
      </c>
      <c r="C1272" s="146" t="s">
        <v>1736</v>
      </c>
      <c r="D1272" s="136" t="s">
        <v>28</v>
      </c>
      <c r="E1272" s="137">
        <f>2+2</f>
        <v>4</v>
      </c>
      <c r="F1272" s="232">
        <v>150959</v>
      </c>
      <c r="G1272" s="232">
        <v>125055</v>
      </c>
      <c r="H1272" s="138">
        <f t="shared" si="123"/>
        <v>276014</v>
      </c>
      <c r="I1272" s="138">
        <f t="shared" si="124"/>
        <v>1104056</v>
      </c>
      <c r="J1272" s="108"/>
    </row>
    <row r="1273" spans="1:10" s="16" customFormat="1" ht="25.5" outlineLevel="3">
      <c r="A1273" s="91"/>
      <c r="B1273" s="35">
        <f>MAXA(B$5:B1272)+1</f>
        <v>594</v>
      </c>
      <c r="C1273" s="146" t="s">
        <v>1737</v>
      </c>
      <c r="D1273" s="136" t="s">
        <v>28</v>
      </c>
      <c r="E1273" s="137">
        <f>21+10+5</f>
        <v>36</v>
      </c>
      <c r="F1273" s="232">
        <v>232245</v>
      </c>
      <c r="G1273" s="232">
        <v>156319</v>
      </c>
      <c r="H1273" s="138">
        <f t="shared" si="123"/>
        <v>388564</v>
      </c>
      <c r="I1273" s="138">
        <f t="shared" si="124"/>
        <v>13988304</v>
      </c>
      <c r="J1273" s="108"/>
    </row>
    <row r="1274" spans="1:10" s="16" customFormat="1" ht="25.5" outlineLevel="3">
      <c r="A1274" s="91"/>
      <c r="B1274" s="35">
        <f>MAXA(B$5:B1273)+1</f>
        <v>595</v>
      </c>
      <c r="C1274" s="146" t="s">
        <v>1766</v>
      </c>
      <c r="D1274" s="136" t="s">
        <v>28</v>
      </c>
      <c r="E1274" s="137">
        <f>+E1272</f>
        <v>4</v>
      </c>
      <c r="F1274" s="232">
        <v>30706</v>
      </c>
      <c r="G1274" s="232">
        <v>15632</v>
      </c>
      <c r="H1274" s="138">
        <f t="shared" si="123"/>
        <v>46338</v>
      </c>
      <c r="I1274" s="138">
        <f t="shared" si="124"/>
        <v>185352</v>
      </c>
      <c r="J1274" s="108"/>
    </row>
    <row r="1275" spans="1:10" s="16" customFormat="1" ht="25.5" outlineLevel="3">
      <c r="A1275" s="91"/>
      <c r="B1275" s="35">
        <f>MAXA(B$5:B1274)+1</f>
        <v>596</v>
      </c>
      <c r="C1275" s="146" t="s">
        <v>1767</v>
      </c>
      <c r="D1275" s="136" t="s">
        <v>28</v>
      </c>
      <c r="E1275" s="137">
        <f>+E1273</f>
        <v>36</v>
      </c>
      <c r="F1275" s="232">
        <v>76160</v>
      </c>
      <c r="G1275" s="232">
        <v>46896</v>
      </c>
      <c r="H1275" s="138">
        <f t="shared" si="123"/>
        <v>123056</v>
      </c>
      <c r="I1275" s="138">
        <f t="shared" si="124"/>
        <v>4430016</v>
      </c>
      <c r="J1275" s="108"/>
    </row>
    <row r="1276" spans="1:10" s="16" customFormat="1" ht="25.5" outlineLevel="3">
      <c r="A1276" s="91"/>
      <c r="B1276" s="35">
        <f>MAXA(B$5:B1275)+1</f>
        <v>597</v>
      </c>
      <c r="C1276" s="146" t="s">
        <v>840</v>
      </c>
      <c r="D1276" s="136" t="s">
        <v>38</v>
      </c>
      <c r="E1276" s="137">
        <v>1</v>
      </c>
      <c r="F1276" s="232">
        <v>11612250</v>
      </c>
      <c r="G1276" s="232">
        <v>5210625</v>
      </c>
      <c r="H1276" s="138">
        <f t="shared" si="123"/>
        <v>16822875</v>
      </c>
      <c r="I1276" s="138">
        <f t="shared" si="124"/>
        <v>16822875</v>
      </c>
      <c r="J1276" s="108"/>
    </row>
    <row r="1277" spans="1:10" s="16" customFormat="1" ht="25.5" outlineLevel="3">
      <c r="A1277" s="91"/>
      <c r="B1277" s="132"/>
      <c r="C1277" s="395" t="s">
        <v>1768</v>
      </c>
      <c r="D1277" s="396"/>
      <c r="E1277" s="373"/>
      <c r="F1277" s="232">
        <v>0</v>
      </c>
      <c r="G1277" s="232">
        <v>0</v>
      </c>
      <c r="H1277" s="374"/>
      <c r="I1277" s="374"/>
      <c r="J1277" s="116"/>
    </row>
    <row r="1278" spans="1:10" s="16" customFormat="1" ht="25.5" outlineLevel="3">
      <c r="A1278" s="91"/>
      <c r="B1278" s="35">
        <f>MAXA(B$5:B1277)+1</f>
        <v>598</v>
      </c>
      <c r="C1278" s="146" t="s">
        <v>1726</v>
      </c>
      <c r="D1278" s="230" t="s">
        <v>25</v>
      </c>
      <c r="E1278" s="137">
        <v>48</v>
      </c>
      <c r="F1278" s="232">
        <v>58297</v>
      </c>
      <c r="G1278" s="232">
        <v>46896</v>
      </c>
      <c r="H1278" s="138">
        <f t="shared" ref="H1278:H1285" si="125">G1278+F1278</f>
        <v>105193</v>
      </c>
      <c r="I1278" s="138">
        <f t="shared" ref="I1278:I1285" si="126">H1278*E1278</f>
        <v>5049264</v>
      </c>
      <c r="J1278" s="108"/>
    </row>
    <row r="1279" spans="1:10" s="16" customFormat="1" ht="25.5" outlineLevel="3">
      <c r="A1279" s="91"/>
      <c r="B1279" s="35">
        <f>MAXA(B$5:B1278)+1</f>
        <v>599</v>
      </c>
      <c r="C1279" s="146" t="s">
        <v>1728</v>
      </c>
      <c r="D1279" s="230" t="s">
        <v>25</v>
      </c>
      <c r="E1279" s="137">
        <v>214</v>
      </c>
      <c r="F1279" s="232">
        <v>32075</v>
      </c>
      <c r="G1279" s="232">
        <v>36474</v>
      </c>
      <c r="H1279" s="138">
        <f t="shared" si="125"/>
        <v>68549</v>
      </c>
      <c r="I1279" s="138">
        <f t="shared" si="126"/>
        <v>14669486</v>
      </c>
      <c r="J1279" s="108"/>
    </row>
    <row r="1280" spans="1:10" s="16" customFormat="1" ht="25.5" outlineLevel="3">
      <c r="A1280" s="91"/>
      <c r="B1280" s="35">
        <f>MAXA(B$5:B1279)+1</f>
        <v>600</v>
      </c>
      <c r="C1280" s="146" t="s">
        <v>673</v>
      </c>
      <c r="D1280" s="136" t="s">
        <v>38</v>
      </c>
      <c r="E1280" s="137">
        <v>1</v>
      </c>
      <c r="F1280" s="232">
        <v>11612250</v>
      </c>
      <c r="G1280" s="232">
        <v>4168500</v>
      </c>
      <c r="H1280" s="138">
        <f t="shared" si="125"/>
        <v>15780750</v>
      </c>
      <c r="I1280" s="138">
        <f t="shared" si="126"/>
        <v>15780750</v>
      </c>
      <c r="J1280" s="108"/>
    </row>
    <row r="1281" spans="1:15" s="16" customFormat="1" ht="25.5" outlineLevel="3">
      <c r="A1281" s="91"/>
      <c r="B1281" s="35">
        <f>MAXA(B$5:B1280)+1</f>
        <v>601</v>
      </c>
      <c r="C1281" s="146" t="s">
        <v>1733</v>
      </c>
      <c r="D1281" s="136" t="s">
        <v>38</v>
      </c>
      <c r="E1281" s="137">
        <v>1</v>
      </c>
      <c r="F1281" s="232">
        <v>4348072</v>
      </c>
      <c r="G1281" s="232">
        <v>1560846</v>
      </c>
      <c r="H1281" s="138">
        <f t="shared" si="125"/>
        <v>5908918</v>
      </c>
      <c r="I1281" s="138">
        <f t="shared" si="126"/>
        <v>5908918</v>
      </c>
      <c r="J1281" s="108"/>
    </row>
    <row r="1282" spans="1:15" s="16" customFormat="1" ht="25.5" outlineLevel="3">
      <c r="A1282" s="91"/>
      <c r="B1282" s="35">
        <f>MAXA(B$5:B1281)+1</f>
        <v>602</v>
      </c>
      <c r="C1282" s="146" t="s">
        <v>1734</v>
      </c>
      <c r="D1282" s="136" t="s">
        <v>1509</v>
      </c>
      <c r="E1282" s="137">
        <v>10</v>
      </c>
      <c r="F1282" s="232">
        <v>174184</v>
      </c>
      <c r="G1282" s="232">
        <v>26053</v>
      </c>
      <c r="H1282" s="138">
        <f t="shared" si="125"/>
        <v>200237</v>
      </c>
      <c r="I1282" s="138">
        <f t="shared" si="126"/>
        <v>2002370</v>
      </c>
      <c r="J1282" s="108"/>
    </row>
    <row r="1283" spans="1:15" s="16" customFormat="1" ht="25.5" outlineLevel="3">
      <c r="A1283" s="91"/>
      <c r="B1283" s="35">
        <f>MAXA(B$5:B1282)+1</f>
        <v>603</v>
      </c>
      <c r="C1283" s="146" t="s">
        <v>1739</v>
      </c>
      <c r="D1283" s="136" t="s">
        <v>38</v>
      </c>
      <c r="E1283" s="137">
        <v>1</v>
      </c>
      <c r="F1283" s="232">
        <v>5472908</v>
      </c>
      <c r="G1283" s="232">
        <v>1964634</v>
      </c>
      <c r="H1283" s="138">
        <f t="shared" si="125"/>
        <v>7437542</v>
      </c>
      <c r="I1283" s="138">
        <f t="shared" si="126"/>
        <v>7437542</v>
      </c>
      <c r="J1283" s="108"/>
    </row>
    <row r="1284" spans="1:15" s="16" customFormat="1" ht="25.5" outlineLevel="3">
      <c r="A1284" s="91"/>
      <c r="B1284" s="35">
        <f>MAXA(B$5:B1283)+1</f>
        <v>604</v>
      </c>
      <c r="C1284" s="146" t="s">
        <v>1041</v>
      </c>
      <c r="D1284" s="136" t="s">
        <v>38</v>
      </c>
      <c r="E1284" s="137">
        <v>1</v>
      </c>
      <c r="F1284" s="232">
        <v>5806125</v>
      </c>
      <c r="G1284" s="232">
        <v>2084250</v>
      </c>
      <c r="H1284" s="138">
        <f t="shared" si="125"/>
        <v>7890375</v>
      </c>
      <c r="I1284" s="138">
        <f t="shared" si="126"/>
        <v>7890375</v>
      </c>
      <c r="J1284" s="108"/>
    </row>
    <row r="1285" spans="1:15" s="16" customFormat="1" ht="25.5" outlineLevel="3">
      <c r="A1285" s="91"/>
      <c r="B1285" s="35">
        <f>MAXA(B$5:B1284)+1</f>
        <v>605</v>
      </c>
      <c r="C1285" s="146" t="s">
        <v>1769</v>
      </c>
      <c r="D1285" s="136" t="s">
        <v>38</v>
      </c>
      <c r="E1285" s="137">
        <v>1</v>
      </c>
      <c r="F1285" s="232">
        <v>5806125</v>
      </c>
      <c r="G1285" s="232">
        <v>2084250</v>
      </c>
      <c r="H1285" s="138">
        <f t="shared" si="125"/>
        <v>7890375</v>
      </c>
      <c r="I1285" s="138">
        <f t="shared" si="126"/>
        <v>7890375</v>
      </c>
      <c r="J1285" s="108"/>
    </row>
    <row r="1286" spans="1:15" s="16" customFormat="1" ht="26.25" outlineLevel="2">
      <c r="A1286" s="91"/>
      <c r="B1286" s="30" t="s">
        <v>430</v>
      </c>
      <c r="C1286" s="104" t="s">
        <v>564</v>
      </c>
      <c r="D1286" s="212"/>
      <c r="E1286" s="105"/>
      <c r="F1286" s="232">
        <v>0</v>
      </c>
      <c r="G1286" s="232">
        <v>0</v>
      </c>
      <c r="H1286" s="276"/>
      <c r="I1286" s="180">
        <f>SUBTOTAL(9,I1287:I1287)</f>
        <v>54488250</v>
      </c>
      <c r="J1286" s="48"/>
      <c r="M1286" s="33" t="s">
        <v>430</v>
      </c>
      <c r="N1286" s="16" t="s">
        <v>430</v>
      </c>
    </row>
    <row r="1287" spans="1:15" s="16" customFormat="1" ht="25.5" outlineLevel="3">
      <c r="A1287" s="91"/>
      <c r="B1287" s="30"/>
      <c r="C1287" s="123" t="s">
        <v>1670</v>
      </c>
      <c r="D1287" s="136" t="s">
        <v>38</v>
      </c>
      <c r="E1287" s="133">
        <v>1</v>
      </c>
      <c r="F1287" s="232">
        <v>23224500</v>
      </c>
      <c r="G1287" s="232">
        <v>31263750</v>
      </c>
      <c r="H1287" s="138">
        <f>G1287+F1287</f>
        <v>54488250</v>
      </c>
      <c r="I1287" s="138">
        <f>H1287*E1287</f>
        <v>54488250</v>
      </c>
      <c r="J1287" s="48"/>
    </row>
    <row r="1288" spans="1:15" s="16" customFormat="1" ht="26.25" outlineLevel="1">
      <c r="A1288" s="91"/>
      <c r="B1288" s="28" t="s">
        <v>703</v>
      </c>
      <c r="C1288" s="155" t="s">
        <v>704</v>
      </c>
      <c r="D1288" s="221"/>
      <c r="E1288" s="345"/>
      <c r="F1288" s="232">
        <v>0</v>
      </c>
      <c r="G1288" s="232">
        <v>0</v>
      </c>
      <c r="H1288" s="397"/>
      <c r="I1288" s="224">
        <f>SUBTOTAL(9,I1289:I2333)</f>
        <v>43282086738</v>
      </c>
      <c r="J1288" s="103"/>
      <c r="M1288" s="33" t="s">
        <v>703</v>
      </c>
      <c r="O1288" s="16" t="s">
        <v>703</v>
      </c>
    </row>
    <row r="1289" spans="1:15" s="16" customFormat="1" ht="27" outlineLevel="2">
      <c r="A1289" s="91"/>
      <c r="B1289" s="30" t="s">
        <v>20</v>
      </c>
      <c r="C1289" s="104" t="s">
        <v>705</v>
      </c>
      <c r="D1289" s="212"/>
      <c r="E1289" s="105"/>
      <c r="F1289" s="232">
        <v>0</v>
      </c>
      <c r="G1289" s="232">
        <v>0</v>
      </c>
      <c r="H1289" s="183"/>
      <c r="I1289" s="180">
        <f>SUBTOTAL(9,I1290:I1410)</f>
        <v>6430564622</v>
      </c>
      <c r="J1289" s="48"/>
      <c r="M1289" s="33" t="s">
        <v>20</v>
      </c>
      <c r="N1289" s="16" t="s">
        <v>20</v>
      </c>
    </row>
    <row r="1290" spans="1:15" s="16" customFormat="1" ht="26.25" outlineLevel="3">
      <c r="A1290" s="91"/>
      <c r="B1290" s="38" t="s">
        <v>22</v>
      </c>
      <c r="C1290" s="366" t="s">
        <v>1770</v>
      </c>
      <c r="D1290" s="363"/>
      <c r="E1290" s="352"/>
      <c r="F1290" s="232">
        <v>0</v>
      </c>
      <c r="G1290" s="232">
        <v>0</v>
      </c>
      <c r="H1290" s="183"/>
      <c r="I1290" s="183"/>
      <c r="J1290" s="48"/>
    </row>
    <row r="1291" spans="1:15" s="16" customFormat="1" ht="25.5" outlineLevel="3">
      <c r="A1291" s="91"/>
      <c r="B1291" s="35">
        <f>MAXA(B$5:B1290)+1</f>
        <v>606</v>
      </c>
      <c r="C1291" s="364" t="s">
        <v>1771</v>
      </c>
      <c r="D1291" s="136" t="s">
        <v>28</v>
      </c>
      <c r="E1291" s="137">
        <v>2</v>
      </c>
      <c r="F1291" s="232">
        <v>95858738</v>
      </c>
      <c r="G1291" s="232">
        <v>3751650</v>
      </c>
      <c r="H1291" s="138">
        <f t="shared" ref="H1291:H1319" si="127">G1291+F1291</f>
        <v>99610388</v>
      </c>
      <c r="I1291" s="138">
        <f t="shared" ref="I1291:I1319" si="128">H1291*E1291</f>
        <v>199220776</v>
      </c>
      <c r="J1291" s="48"/>
    </row>
    <row r="1292" spans="1:15" s="16" customFormat="1" ht="25.5" outlineLevel="3">
      <c r="A1292" s="91"/>
      <c r="B1292" s="35">
        <f>MAXA(B$5:B1291)+1</f>
        <v>607</v>
      </c>
      <c r="C1292" s="364" t="s">
        <v>1772</v>
      </c>
      <c r="D1292" s="136" t="s">
        <v>28</v>
      </c>
      <c r="E1292" s="137">
        <v>2</v>
      </c>
      <c r="F1292" s="232">
        <v>85113505</v>
      </c>
      <c r="G1292" s="232">
        <v>3751650</v>
      </c>
      <c r="H1292" s="138">
        <f t="shared" si="127"/>
        <v>88865155</v>
      </c>
      <c r="I1292" s="138">
        <f t="shared" si="128"/>
        <v>177730310</v>
      </c>
      <c r="J1292" s="48"/>
    </row>
    <row r="1293" spans="1:15" s="16" customFormat="1" ht="25.5" outlineLevel="3">
      <c r="A1293" s="91"/>
      <c r="B1293" s="35">
        <f>MAXA(B$5:B1292)+1</f>
        <v>608</v>
      </c>
      <c r="C1293" s="364" t="s">
        <v>1773</v>
      </c>
      <c r="D1293" s="136" t="s">
        <v>28</v>
      </c>
      <c r="E1293" s="137">
        <v>1</v>
      </c>
      <c r="F1293" s="232">
        <v>19307812</v>
      </c>
      <c r="G1293" s="232">
        <v>1500660</v>
      </c>
      <c r="H1293" s="138">
        <f t="shared" si="127"/>
        <v>20808472</v>
      </c>
      <c r="I1293" s="138">
        <f t="shared" si="128"/>
        <v>20808472</v>
      </c>
      <c r="J1293" s="48"/>
    </row>
    <row r="1294" spans="1:15" s="16" customFormat="1" ht="25.5" outlineLevel="3">
      <c r="A1294" s="91"/>
      <c r="B1294" s="35">
        <f>MAXA(B$5:B1293)+1</f>
        <v>609</v>
      </c>
      <c r="C1294" s="364" t="s">
        <v>1774</v>
      </c>
      <c r="D1294" s="136" t="s">
        <v>28</v>
      </c>
      <c r="E1294" s="137">
        <v>1</v>
      </c>
      <c r="F1294" s="232">
        <v>10032859</v>
      </c>
      <c r="G1294" s="232">
        <v>750330</v>
      </c>
      <c r="H1294" s="138">
        <f t="shared" si="127"/>
        <v>10783189</v>
      </c>
      <c r="I1294" s="138">
        <f t="shared" si="128"/>
        <v>10783189</v>
      </c>
      <c r="J1294" s="48"/>
    </row>
    <row r="1295" spans="1:15" s="16" customFormat="1" ht="25.5" outlineLevel="3">
      <c r="A1295" s="91"/>
      <c r="B1295" s="35">
        <f>MAXA(B$5:B1294)+1</f>
        <v>610</v>
      </c>
      <c r="C1295" s="364" t="s">
        <v>1775</v>
      </c>
      <c r="D1295" s="136" t="s">
        <v>28</v>
      </c>
      <c r="E1295" s="137">
        <v>8</v>
      </c>
      <c r="F1295" s="232">
        <v>10997759</v>
      </c>
      <c r="G1295" s="232">
        <v>1250550</v>
      </c>
      <c r="H1295" s="138">
        <f t="shared" si="127"/>
        <v>12248309</v>
      </c>
      <c r="I1295" s="138">
        <f t="shared" si="128"/>
        <v>97986472</v>
      </c>
      <c r="J1295" s="48"/>
    </row>
    <row r="1296" spans="1:15" s="16" customFormat="1" ht="25.5" outlineLevel="3">
      <c r="A1296" s="91"/>
      <c r="B1296" s="35">
        <f>MAXA(B$5:B1295)+1</f>
        <v>611</v>
      </c>
      <c r="C1296" s="364" t="s">
        <v>1776</v>
      </c>
      <c r="D1296" s="136" t="s">
        <v>28</v>
      </c>
      <c r="E1296" s="137">
        <v>1</v>
      </c>
      <c r="F1296" s="232">
        <v>32604838</v>
      </c>
      <c r="G1296" s="232">
        <v>2501100</v>
      </c>
      <c r="H1296" s="138">
        <f t="shared" si="127"/>
        <v>35105938</v>
      </c>
      <c r="I1296" s="138">
        <f t="shared" si="128"/>
        <v>35105938</v>
      </c>
      <c r="J1296" s="48"/>
    </row>
    <row r="1297" spans="1:10" s="16" customFormat="1" ht="25.5" outlineLevel="3">
      <c r="A1297" s="91"/>
      <c r="B1297" s="35">
        <f>MAXA(B$5:B1296)+1</f>
        <v>612</v>
      </c>
      <c r="C1297" s="364" t="s">
        <v>1777</v>
      </c>
      <c r="D1297" s="136" t="s">
        <v>28</v>
      </c>
      <c r="E1297" s="137">
        <v>1</v>
      </c>
      <c r="F1297" s="232">
        <v>10790737</v>
      </c>
      <c r="G1297" s="232">
        <v>750330</v>
      </c>
      <c r="H1297" s="138">
        <f t="shared" si="127"/>
        <v>11541067</v>
      </c>
      <c r="I1297" s="138">
        <f t="shared" si="128"/>
        <v>11541067</v>
      </c>
      <c r="J1297" s="48"/>
    </row>
    <row r="1298" spans="1:10" s="16" customFormat="1" ht="25.5" outlineLevel="3">
      <c r="A1298" s="91"/>
      <c r="B1298" s="35">
        <f>MAXA(B$5:B1297)+1</f>
        <v>613</v>
      </c>
      <c r="C1298" s="364" t="s">
        <v>1778</v>
      </c>
      <c r="D1298" s="136" t="s">
        <v>28</v>
      </c>
      <c r="E1298" s="137">
        <v>19</v>
      </c>
      <c r="F1298" s="232">
        <v>10997759</v>
      </c>
      <c r="G1298" s="232">
        <v>1250550</v>
      </c>
      <c r="H1298" s="138">
        <f t="shared" si="127"/>
        <v>12248309</v>
      </c>
      <c r="I1298" s="138">
        <f t="shared" si="128"/>
        <v>232717871</v>
      </c>
      <c r="J1298" s="48"/>
    </row>
    <row r="1299" spans="1:10" s="16" customFormat="1" ht="25.5" outlineLevel="3">
      <c r="A1299" s="91"/>
      <c r="B1299" s="35">
        <f>MAXA(B$5:B1298)+1</f>
        <v>614</v>
      </c>
      <c r="C1299" s="364" t="s">
        <v>1779</v>
      </c>
      <c r="D1299" s="136" t="s">
        <v>28</v>
      </c>
      <c r="E1299" s="137">
        <v>1</v>
      </c>
      <c r="F1299" s="232">
        <v>10790737</v>
      </c>
      <c r="G1299" s="232">
        <v>750330</v>
      </c>
      <c r="H1299" s="138">
        <f t="shared" si="127"/>
        <v>11541067</v>
      </c>
      <c r="I1299" s="138">
        <f t="shared" si="128"/>
        <v>11541067</v>
      </c>
      <c r="J1299" s="48"/>
    </row>
    <row r="1300" spans="1:10" s="16" customFormat="1" ht="25.5" outlineLevel="3">
      <c r="A1300" s="91"/>
      <c r="B1300" s="35">
        <f>MAXA(B$5:B1299)+1</f>
        <v>615</v>
      </c>
      <c r="C1300" s="364" t="s">
        <v>1780</v>
      </c>
      <c r="D1300" s="136" t="s">
        <v>28</v>
      </c>
      <c r="E1300" s="137">
        <v>12</v>
      </c>
      <c r="F1300" s="232">
        <v>10997759</v>
      </c>
      <c r="G1300" s="232">
        <v>1250550</v>
      </c>
      <c r="H1300" s="138">
        <f t="shared" si="127"/>
        <v>12248309</v>
      </c>
      <c r="I1300" s="138">
        <f t="shared" si="128"/>
        <v>146979708</v>
      </c>
      <c r="J1300" s="48"/>
    </row>
    <row r="1301" spans="1:10" s="16" customFormat="1" ht="25.5" outlineLevel="3">
      <c r="A1301" s="91"/>
      <c r="B1301" s="35">
        <f>MAXA(B$5:B1300)+1</f>
        <v>616</v>
      </c>
      <c r="C1301" s="364" t="s">
        <v>1781</v>
      </c>
      <c r="D1301" s="136" t="s">
        <v>28</v>
      </c>
      <c r="E1301" s="137">
        <v>10</v>
      </c>
      <c r="F1301" s="232">
        <v>26973895</v>
      </c>
      <c r="G1301" s="232">
        <v>1250550</v>
      </c>
      <c r="H1301" s="138">
        <f t="shared" si="127"/>
        <v>28224445</v>
      </c>
      <c r="I1301" s="138">
        <f t="shared" si="128"/>
        <v>282244450</v>
      </c>
      <c r="J1301" s="48"/>
    </row>
    <row r="1302" spans="1:10" s="16" customFormat="1" ht="25.5" outlineLevel="3">
      <c r="A1302" s="91"/>
      <c r="B1302" s="35">
        <f>MAXA(B$5:B1301)+1</f>
        <v>617</v>
      </c>
      <c r="C1302" s="364" t="s">
        <v>1782</v>
      </c>
      <c r="D1302" s="136" t="s">
        <v>28</v>
      </c>
      <c r="E1302" s="137">
        <v>1</v>
      </c>
      <c r="F1302" s="232">
        <v>10790737</v>
      </c>
      <c r="G1302" s="232">
        <v>750330</v>
      </c>
      <c r="H1302" s="138">
        <f t="shared" si="127"/>
        <v>11541067</v>
      </c>
      <c r="I1302" s="138">
        <f t="shared" si="128"/>
        <v>11541067</v>
      </c>
      <c r="J1302" s="48"/>
    </row>
    <row r="1303" spans="1:10" s="16" customFormat="1" ht="25.5" outlineLevel="3">
      <c r="A1303" s="91"/>
      <c r="B1303" s="35">
        <f>MAXA(B$5:B1302)+1</f>
        <v>618</v>
      </c>
      <c r="C1303" s="364" t="s">
        <v>1783</v>
      </c>
      <c r="D1303" s="136" t="s">
        <v>28</v>
      </c>
      <c r="E1303" s="137">
        <v>12</v>
      </c>
      <c r="F1303" s="232">
        <v>10997759</v>
      </c>
      <c r="G1303" s="232">
        <v>1250550</v>
      </c>
      <c r="H1303" s="138">
        <f t="shared" si="127"/>
        <v>12248309</v>
      </c>
      <c r="I1303" s="138">
        <f t="shared" si="128"/>
        <v>146979708</v>
      </c>
      <c r="J1303" s="48"/>
    </row>
    <row r="1304" spans="1:10" s="16" customFormat="1" ht="25.5" outlineLevel="3">
      <c r="A1304" s="91"/>
      <c r="B1304" s="35">
        <f>MAXA(B$5:B1303)+1</f>
        <v>619</v>
      </c>
      <c r="C1304" s="364" t="s">
        <v>1784</v>
      </c>
      <c r="D1304" s="136" t="s">
        <v>28</v>
      </c>
      <c r="E1304" s="137">
        <v>1</v>
      </c>
      <c r="F1304" s="232">
        <v>25906214</v>
      </c>
      <c r="G1304" s="232">
        <v>1875825</v>
      </c>
      <c r="H1304" s="138">
        <f t="shared" si="127"/>
        <v>27782039</v>
      </c>
      <c r="I1304" s="138">
        <f t="shared" si="128"/>
        <v>27782039</v>
      </c>
      <c r="J1304" s="48"/>
    </row>
    <row r="1305" spans="1:10" s="16" customFormat="1" ht="25.5" outlineLevel="3">
      <c r="A1305" s="91"/>
      <c r="B1305" s="35">
        <f>MAXA(B$5:B1304)+1</f>
        <v>620</v>
      </c>
      <c r="C1305" s="364" t="s">
        <v>1785</v>
      </c>
      <c r="D1305" s="136" t="s">
        <v>28</v>
      </c>
      <c r="E1305" s="137">
        <v>1</v>
      </c>
      <c r="F1305" s="232">
        <v>35547219</v>
      </c>
      <c r="G1305" s="232">
        <v>2751210</v>
      </c>
      <c r="H1305" s="138">
        <f t="shared" si="127"/>
        <v>38298429</v>
      </c>
      <c r="I1305" s="138">
        <f t="shared" si="128"/>
        <v>38298429</v>
      </c>
      <c r="J1305" s="48"/>
    </row>
    <row r="1306" spans="1:10" s="16" customFormat="1" ht="25.5" outlineLevel="3">
      <c r="A1306" s="91"/>
      <c r="B1306" s="35">
        <f>MAXA(B$5:B1305)+1</f>
        <v>621</v>
      </c>
      <c r="C1306" s="364" t="s">
        <v>1786</v>
      </c>
      <c r="D1306" s="136" t="s">
        <v>28</v>
      </c>
      <c r="E1306" s="137">
        <v>1</v>
      </c>
      <c r="F1306" s="232">
        <v>34205192</v>
      </c>
      <c r="G1306" s="232">
        <v>2501100</v>
      </c>
      <c r="H1306" s="138">
        <f t="shared" si="127"/>
        <v>36706292</v>
      </c>
      <c r="I1306" s="138">
        <f t="shared" si="128"/>
        <v>36706292</v>
      </c>
      <c r="J1306" s="48"/>
    </row>
    <row r="1307" spans="1:10" s="16" customFormat="1" ht="25.5" outlineLevel="3">
      <c r="A1307" s="91"/>
      <c r="B1307" s="35">
        <f>MAXA(B$5:B1306)+1</f>
        <v>622</v>
      </c>
      <c r="C1307" s="364" t="s">
        <v>1787</v>
      </c>
      <c r="D1307" s="136" t="s">
        <v>28</v>
      </c>
      <c r="E1307" s="137">
        <v>1</v>
      </c>
      <c r="F1307" s="232">
        <v>57543124</v>
      </c>
      <c r="G1307" s="232">
        <v>3126375</v>
      </c>
      <c r="H1307" s="138">
        <f t="shared" si="127"/>
        <v>60669499</v>
      </c>
      <c r="I1307" s="138">
        <f t="shared" si="128"/>
        <v>60669499</v>
      </c>
      <c r="J1307" s="48"/>
    </row>
    <row r="1308" spans="1:10" s="16" customFormat="1" ht="25.5" outlineLevel="3">
      <c r="A1308" s="91"/>
      <c r="B1308" s="35">
        <f>MAXA(B$5:B1307)+1</f>
        <v>623</v>
      </c>
      <c r="C1308" s="364" t="s">
        <v>1788</v>
      </c>
      <c r="D1308" s="136" t="s">
        <v>28</v>
      </c>
      <c r="E1308" s="137">
        <v>2</v>
      </c>
      <c r="F1308" s="232">
        <v>19230245</v>
      </c>
      <c r="G1308" s="232">
        <v>1375605</v>
      </c>
      <c r="H1308" s="138">
        <f t="shared" si="127"/>
        <v>20605850</v>
      </c>
      <c r="I1308" s="138">
        <f t="shared" si="128"/>
        <v>41211700</v>
      </c>
      <c r="J1308" s="48"/>
    </row>
    <row r="1309" spans="1:10" s="16" customFormat="1" ht="25.5" outlineLevel="3">
      <c r="A1309" s="91"/>
      <c r="B1309" s="35">
        <f>MAXA(B$5:B1308)+1</f>
        <v>624</v>
      </c>
      <c r="C1309" s="364" t="s">
        <v>1789</v>
      </c>
      <c r="D1309" s="136" t="s">
        <v>28</v>
      </c>
      <c r="E1309" s="137">
        <v>1</v>
      </c>
      <c r="F1309" s="232">
        <v>16942571</v>
      </c>
      <c r="G1309" s="232">
        <v>1250550</v>
      </c>
      <c r="H1309" s="138">
        <f t="shared" si="127"/>
        <v>18193121</v>
      </c>
      <c r="I1309" s="138">
        <f t="shared" si="128"/>
        <v>18193121</v>
      </c>
      <c r="J1309" s="48"/>
    </row>
    <row r="1310" spans="1:10" s="16" customFormat="1" ht="25.5" outlineLevel="3">
      <c r="A1310" s="91"/>
      <c r="B1310" s="35">
        <f>MAXA(B$5:B1309)+1</f>
        <v>625</v>
      </c>
      <c r="C1310" s="364" t="s">
        <v>1790</v>
      </c>
      <c r="D1310" s="136" t="s">
        <v>28</v>
      </c>
      <c r="E1310" s="137">
        <v>1</v>
      </c>
      <c r="F1310" s="232">
        <v>6119511</v>
      </c>
      <c r="G1310" s="232">
        <v>437693</v>
      </c>
      <c r="H1310" s="138">
        <f t="shared" si="127"/>
        <v>6557204</v>
      </c>
      <c r="I1310" s="138">
        <f t="shared" si="128"/>
        <v>6557204</v>
      </c>
      <c r="J1310" s="48"/>
    </row>
    <row r="1311" spans="1:10" s="16" customFormat="1" ht="25.5" outlineLevel="3">
      <c r="A1311" s="91"/>
      <c r="B1311" s="35">
        <f>MAXA(B$5:B1310)+1</f>
        <v>626</v>
      </c>
      <c r="C1311" s="398" t="s">
        <v>736</v>
      </c>
      <c r="D1311" s="136" t="s">
        <v>28</v>
      </c>
      <c r="E1311" s="137">
        <v>51</v>
      </c>
      <c r="F1311" s="232">
        <v>1097185</v>
      </c>
      <c r="G1311" s="232">
        <v>625275</v>
      </c>
      <c r="H1311" s="138">
        <f t="shared" si="127"/>
        <v>1722460</v>
      </c>
      <c r="I1311" s="138">
        <f t="shared" si="128"/>
        <v>87845460</v>
      </c>
      <c r="J1311" s="48"/>
    </row>
    <row r="1312" spans="1:10" s="16" customFormat="1" ht="25.5" outlineLevel="3">
      <c r="A1312" s="91"/>
      <c r="B1312" s="35">
        <f>MAXA(B$5:B1311)+1</f>
        <v>627</v>
      </c>
      <c r="C1312" s="399" t="s">
        <v>1791</v>
      </c>
      <c r="D1312" s="136" t="s">
        <v>38</v>
      </c>
      <c r="E1312" s="137">
        <v>1</v>
      </c>
      <c r="F1312" s="232">
        <v>20458522</v>
      </c>
      <c r="G1312" s="232">
        <v>4277179</v>
      </c>
      <c r="H1312" s="138">
        <f t="shared" si="127"/>
        <v>24735701</v>
      </c>
      <c r="I1312" s="138">
        <f t="shared" si="128"/>
        <v>24735701</v>
      </c>
      <c r="J1312" s="48"/>
    </row>
    <row r="1313" spans="1:10" s="16" customFormat="1" ht="25.5" outlineLevel="3">
      <c r="A1313" s="91"/>
      <c r="B1313" s="35">
        <f>MAXA(B$5:B1312)+1</f>
        <v>628</v>
      </c>
      <c r="C1313" s="399" t="s">
        <v>738</v>
      </c>
      <c r="D1313" s="136" t="s">
        <v>38</v>
      </c>
      <c r="E1313" s="137">
        <v>1</v>
      </c>
      <c r="F1313" s="232">
        <v>118104484</v>
      </c>
      <c r="G1313" s="232">
        <v>22119903</v>
      </c>
      <c r="H1313" s="138">
        <f t="shared" si="127"/>
        <v>140224387</v>
      </c>
      <c r="I1313" s="138">
        <f t="shared" si="128"/>
        <v>140224387</v>
      </c>
      <c r="J1313" s="48"/>
    </row>
    <row r="1314" spans="1:10" s="16" customFormat="1" ht="25.5" outlineLevel="3">
      <c r="A1314" s="91"/>
      <c r="B1314" s="35">
        <f>MAXA(B$5:B1313)+1</f>
        <v>629</v>
      </c>
      <c r="C1314" s="399" t="s">
        <v>739</v>
      </c>
      <c r="D1314" s="136" t="s">
        <v>28</v>
      </c>
      <c r="E1314" s="137">
        <v>2</v>
      </c>
      <c r="F1314" s="232">
        <v>4465607</v>
      </c>
      <c r="G1314" s="232">
        <v>312638</v>
      </c>
      <c r="H1314" s="138">
        <f t="shared" si="127"/>
        <v>4778245</v>
      </c>
      <c r="I1314" s="138">
        <f t="shared" si="128"/>
        <v>9556490</v>
      </c>
      <c r="J1314" s="48"/>
    </row>
    <row r="1315" spans="1:10" s="16" customFormat="1" ht="25.5" outlineLevel="3">
      <c r="A1315" s="91"/>
      <c r="B1315" s="35">
        <f>MAXA(B$5:B1314)+1</f>
        <v>630</v>
      </c>
      <c r="C1315" s="399" t="s">
        <v>740</v>
      </c>
      <c r="D1315" s="136" t="s">
        <v>28</v>
      </c>
      <c r="E1315" s="137">
        <v>2</v>
      </c>
      <c r="F1315" s="232">
        <v>4735894</v>
      </c>
      <c r="G1315" s="232">
        <v>312638</v>
      </c>
      <c r="H1315" s="138">
        <f t="shared" si="127"/>
        <v>5048532</v>
      </c>
      <c r="I1315" s="138">
        <f t="shared" si="128"/>
        <v>10097064</v>
      </c>
      <c r="J1315" s="48"/>
    </row>
    <row r="1316" spans="1:10" s="16" customFormat="1" ht="25.5" outlineLevel="3">
      <c r="A1316" s="91"/>
      <c r="B1316" s="35">
        <f>MAXA(B$5:B1315)+1</f>
        <v>631</v>
      </c>
      <c r="C1316" s="399" t="s">
        <v>1792</v>
      </c>
      <c r="D1316" s="136" t="s">
        <v>28</v>
      </c>
      <c r="E1316" s="137">
        <v>6</v>
      </c>
      <c r="F1316" s="232">
        <v>3794297</v>
      </c>
      <c r="G1316" s="232">
        <v>312638</v>
      </c>
      <c r="H1316" s="138">
        <f t="shared" si="127"/>
        <v>4106935</v>
      </c>
      <c r="I1316" s="138">
        <f t="shared" si="128"/>
        <v>24641610</v>
      </c>
      <c r="J1316" s="48"/>
    </row>
    <row r="1317" spans="1:10" s="16" customFormat="1" ht="25.5" outlineLevel="3">
      <c r="A1317" s="91"/>
      <c r="B1317" s="35">
        <f>MAXA(B$5:B1316)+1</f>
        <v>632</v>
      </c>
      <c r="C1317" s="399" t="s">
        <v>1793</v>
      </c>
      <c r="D1317" s="136" t="s">
        <v>28</v>
      </c>
      <c r="E1317" s="137">
        <v>1</v>
      </c>
      <c r="F1317" s="232">
        <v>2003113</v>
      </c>
      <c r="G1317" s="232">
        <v>625275</v>
      </c>
      <c r="H1317" s="138">
        <f t="shared" si="127"/>
        <v>2628388</v>
      </c>
      <c r="I1317" s="138">
        <f t="shared" si="128"/>
        <v>2628388</v>
      </c>
      <c r="J1317" s="48"/>
    </row>
    <row r="1318" spans="1:10" s="16" customFormat="1" ht="38.25" outlineLevel="3">
      <c r="A1318" s="91"/>
      <c r="B1318" s="35">
        <f>MAXA(B$5:B1317)+1</f>
        <v>633</v>
      </c>
      <c r="C1318" s="399" t="s">
        <v>1794</v>
      </c>
      <c r="D1318" s="136" t="s">
        <v>38</v>
      </c>
      <c r="E1318" s="137">
        <v>1</v>
      </c>
      <c r="F1318" s="232">
        <v>47968550</v>
      </c>
      <c r="G1318" s="232">
        <v>12505500</v>
      </c>
      <c r="H1318" s="138">
        <f t="shared" si="127"/>
        <v>60474050</v>
      </c>
      <c r="I1318" s="138">
        <f t="shared" si="128"/>
        <v>60474050</v>
      </c>
      <c r="J1318" s="48"/>
    </row>
    <row r="1319" spans="1:10" s="16" customFormat="1" ht="25.5" outlineLevel="3">
      <c r="A1319" s="91"/>
      <c r="B1319" s="35">
        <f>MAXA(B$5:B1318)+1</f>
        <v>634</v>
      </c>
      <c r="C1319" s="165" t="s">
        <v>1622</v>
      </c>
      <c r="D1319" s="136" t="s">
        <v>38</v>
      </c>
      <c r="E1319" s="137">
        <v>1</v>
      </c>
      <c r="F1319" s="232">
        <v>113333019</v>
      </c>
      <c r="G1319" s="232">
        <v>0</v>
      </c>
      <c r="H1319" s="138">
        <f t="shared" si="127"/>
        <v>113333019</v>
      </c>
      <c r="I1319" s="138">
        <f t="shared" si="128"/>
        <v>113333019</v>
      </c>
      <c r="J1319" s="48"/>
    </row>
    <row r="1320" spans="1:10" s="16" customFormat="1" ht="27" outlineLevel="3">
      <c r="A1320" s="91"/>
      <c r="B1320" s="38" t="s">
        <v>39</v>
      </c>
      <c r="C1320" s="366" t="s">
        <v>743</v>
      </c>
      <c r="D1320" s="363"/>
      <c r="E1320" s="352"/>
      <c r="F1320" s="232">
        <v>0</v>
      </c>
      <c r="G1320" s="232">
        <v>0</v>
      </c>
      <c r="H1320" s="183"/>
      <c r="I1320" s="183"/>
      <c r="J1320" s="48"/>
    </row>
    <row r="1321" spans="1:10" s="16" customFormat="1" ht="25.5" outlineLevel="3">
      <c r="A1321" s="91"/>
      <c r="B1321" s="35">
        <f>MAXA(B$5:B1320)+1</f>
        <v>635</v>
      </c>
      <c r="C1321" s="399" t="s">
        <v>1795</v>
      </c>
      <c r="D1321" s="136" t="s">
        <v>745</v>
      </c>
      <c r="E1321" s="137">
        <v>231</v>
      </c>
      <c r="F1321" s="232">
        <v>1344906</v>
      </c>
      <c r="G1321" s="232">
        <v>212594</v>
      </c>
      <c r="H1321" s="138">
        <f t="shared" ref="H1321:H1340" si="129">G1321+F1321</f>
        <v>1557500</v>
      </c>
      <c r="I1321" s="138">
        <f t="shared" ref="I1321:I1340" si="130">H1321*E1321</f>
        <v>359782500</v>
      </c>
      <c r="J1321" s="48"/>
    </row>
    <row r="1322" spans="1:10" s="16" customFormat="1" ht="25.5" outlineLevel="3">
      <c r="A1322" s="91"/>
      <c r="B1322" s="35">
        <f>MAXA(B$5:B1321)+1</f>
        <v>636</v>
      </c>
      <c r="C1322" s="400" t="s">
        <v>1796</v>
      </c>
      <c r="D1322" s="136" t="s">
        <v>745</v>
      </c>
      <c r="E1322" s="137">
        <v>397</v>
      </c>
      <c r="F1322" s="232">
        <v>821921</v>
      </c>
      <c r="G1322" s="232">
        <v>206341</v>
      </c>
      <c r="H1322" s="138">
        <f t="shared" si="129"/>
        <v>1028262</v>
      </c>
      <c r="I1322" s="138">
        <f t="shared" si="130"/>
        <v>408220014</v>
      </c>
      <c r="J1322" s="48"/>
    </row>
    <row r="1323" spans="1:10" s="16" customFormat="1" ht="25.5" outlineLevel="3">
      <c r="A1323" s="91"/>
      <c r="B1323" s="35">
        <f>MAXA(B$5:B1322)+1</f>
        <v>637</v>
      </c>
      <c r="C1323" s="399" t="s">
        <v>1797</v>
      </c>
      <c r="D1323" s="136" t="s">
        <v>745</v>
      </c>
      <c r="E1323" s="137">
        <v>425</v>
      </c>
      <c r="F1323" s="232">
        <v>821921</v>
      </c>
      <c r="G1323" s="232">
        <v>200088</v>
      </c>
      <c r="H1323" s="138">
        <f t="shared" si="129"/>
        <v>1022009</v>
      </c>
      <c r="I1323" s="138">
        <f t="shared" si="130"/>
        <v>434353825</v>
      </c>
      <c r="J1323" s="48"/>
    </row>
    <row r="1324" spans="1:10" s="16" customFormat="1" ht="25.5" outlineLevel="3">
      <c r="A1324" s="91"/>
      <c r="B1324" s="35">
        <f>MAXA(B$5:B1323)+1</f>
        <v>638</v>
      </c>
      <c r="C1324" s="399" t="s">
        <v>1798</v>
      </c>
      <c r="D1324" s="136" t="s">
        <v>745</v>
      </c>
      <c r="E1324" s="137">
        <v>776</v>
      </c>
      <c r="F1324" s="232">
        <v>821921</v>
      </c>
      <c r="G1324" s="232">
        <v>200088</v>
      </c>
      <c r="H1324" s="138">
        <f t="shared" si="129"/>
        <v>1022009</v>
      </c>
      <c r="I1324" s="138">
        <f t="shared" si="130"/>
        <v>793078984</v>
      </c>
      <c r="J1324" s="48"/>
    </row>
    <row r="1325" spans="1:10" s="16" customFormat="1" ht="25.5" outlineLevel="3">
      <c r="A1325" s="91"/>
      <c r="B1325" s="35">
        <f>MAXA(B$5:B1324)+1</f>
        <v>639</v>
      </c>
      <c r="C1325" s="297" t="s">
        <v>747</v>
      </c>
      <c r="D1325" s="230" t="s">
        <v>745</v>
      </c>
      <c r="E1325" s="137">
        <f>118-48</f>
        <v>70</v>
      </c>
      <c r="F1325" s="232">
        <v>1022412</v>
      </c>
      <c r="G1325" s="232">
        <v>168824</v>
      </c>
      <c r="H1325" s="138">
        <f t="shared" si="129"/>
        <v>1191236</v>
      </c>
      <c r="I1325" s="138">
        <f t="shared" si="130"/>
        <v>83386520</v>
      </c>
      <c r="J1325" s="48"/>
    </row>
    <row r="1326" spans="1:10" s="16" customFormat="1" ht="25.5" outlineLevel="3">
      <c r="A1326" s="91"/>
      <c r="B1326" s="35">
        <f>MAXA(B$5:B1325)+1</f>
        <v>640</v>
      </c>
      <c r="C1326" s="297" t="s">
        <v>748</v>
      </c>
      <c r="D1326" s="230" t="s">
        <v>745</v>
      </c>
      <c r="E1326" s="137">
        <v>19</v>
      </c>
      <c r="F1326" s="232">
        <v>969664</v>
      </c>
      <c r="G1326" s="232">
        <v>162572</v>
      </c>
      <c r="H1326" s="138">
        <f t="shared" si="129"/>
        <v>1132236</v>
      </c>
      <c r="I1326" s="138">
        <f t="shared" si="130"/>
        <v>21512484</v>
      </c>
      <c r="J1326" s="48"/>
    </row>
    <row r="1327" spans="1:10" s="16" customFormat="1" ht="25.5" outlineLevel="3">
      <c r="A1327" s="91"/>
      <c r="B1327" s="35">
        <f>MAXA(B$5:B1326)+1</f>
        <v>641</v>
      </c>
      <c r="C1327" s="399" t="s">
        <v>749</v>
      </c>
      <c r="D1327" s="136" t="s">
        <v>745</v>
      </c>
      <c r="E1327" s="137">
        <v>557</v>
      </c>
      <c r="F1327" s="232">
        <v>423800</v>
      </c>
      <c r="G1327" s="232">
        <v>150066</v>
      </c>
      <c r="H1327" s="138">
        <f t="shared" si="129"/>
        <v>573866</v>
      </c>
      <c r="I1327" s="138">
        <f t="shared" si="130"/>
        <v>319643362</v>
      </c>
      <c r="J1327" s="48"/>
    </row>
    <row r="1328" spans="1:10" s="16" customFormat="1" ht="25.5" outlineLevel="3">
      <c r="A1328" s="91"/>
      <c r="B1328" s="35">
        <f>MAXA(B$5:B1327)+1</f>
        <v>642</v>
      </c>
      <c r="C1328" s="400" t="s">
        <v>1799</v>
      </c>
      <c r="D1328" s="136" t="s">
        <v>745</v>
      </c>
      <c r="E1328" s="137">
        <f>351+48</f>
        <v>399</v>
      </c>
      <c r="F1328" s="232">
        <v>296779</v>
      </c>
      <c r="G1328" s="232">
        <v>125055</v>
      </c>
      <c r="H1328" s="138">
        <f t="shared" si="129"/>
        <v>421834</v>
      </c>
      <c r="I1328" s="138">
        <f t="shared" si="130"/>
        <v>168311766</v>
      </c>
      <c r="J1328" s="48"/>
    </row>
    <row r="1329" spans="1:10" s="16" customFormat="1" ht="25.5" outlineLevel="3">
      <c r="A1329" s="91"/>
      <c r="B1329" s="35">
        <f>MAXA(B$5:B1328)+1</f>
        <v>643</v>
      </c>
      <c r="C1329" s="399" t="s">
        <v>751</v>
      </c>
      <c r="D1329" s="136" t="s">
        <v>745</v>
      </c>
      <c r="E1329" s="137">
        <v>380</v>
      </c>
      <c r="F1329" s="232">
        <v>244031</v>
      </c>
      <c r="G1329" s="232">
        <v>118802</v>
      </c>
      <c r="H1329" s="138">
        <f t="shared" si="129"/>
        <v>362833</v>
      </c>
      <c r="I1329" s="138">
        <f t="shared" si="130"/>
        <v>137876540</v>
      </c>
      <c r="J1329" s="48"/>
    </row>
    <row r="1330" spans="1:10" s="16" customFormat="1" ht="25.5" outlineLevel="3">
      <c r="A1330" s="91"/>
      <c r="B1330" s="35">
        <f>MAXA(B$5:B1329)+1</f>
        <v>644</v>
      </c>
      <c r="C1330" s="401" t="s">
        <v>1800</v>
      </c>
      <c r="D1330" s="136" t="s">
        <v>745</v>
      </c>
      <c r="E1330" s="137">
        <v>129</v>
      </c>
      <c r="F1330" s="232">
        <v>278433</v>
      </c>
      <c r="G1330" s="232">
        <v>87539</v>
      </c>
      <c r="H1330" s="138">
        <f t="shared" si="129"/>
        <v>365972</v>
      </c>
      <c r="I1330" s="138">
        <f t="shared" si="130"/>
        <v>47210388</v>
      </c>
      <c r="J1330" s="48"/>
    </row>
    <row r="1331" spans="1:10" s="16" customFormat="1" ht="25.5" outlineLevel="3">
      <c r="A1331" s="91"/>
      <c r="B1331" s="35">
        <f>MAXA(B$5:B1330)+1</f>
        <v>645</v>
      </c>
      <c r="C1331" s="401" t="s">
        <v>753</v>
      </c>
      <c r="D1331" s="136" t="s">
        <v>745</v>
      </c>
      <c r="E1331" s="137">
        <v>129</v>
      </c>
      <c r="F1331" s="232">
        <v>168966</v>
      </c>
      <c r="G1331" s="232">
        <v>62528</v>
      </c>
      <c r="H1331" s="138">
        <f t="shared" si="129"/>
        <v>231494</v>
      </c>
      <c r="I1331" s="138">
        <f t="shared" si="130"/>
        <v>29862726</v>
      </c>
      <c r="J1331" s="48"/>
    </row>
    <row r="1332" spans="1:10" s="16" customFormat="1" ht="25.5" outlineLevel="3">
      <c r="A1332" s="91"/>
      <c r="B1332" s="35">
        <f>MAXA(B$5:B1331)+1</f>
        <v>646</v>
      </c>
      <c r="C1332" s="401" t="s">
        <v>1801</v>
      </c>
      <c r="D1332" s="136" t="s">
        <v>745</v>
      </c>
      <c r="E1332" s="137">
        <v>129</v>
      </c>
      <c r="F1332" s="232">
        <v>24037</v>
      </c>
      <c r="G1332" s="232">
        <v>8754</v>
      </c>
      <c r="H1332" s="138">
        <f t="shared" si="129"/>
        <v>32791</v>
      </c>
      <c r="I1332" s="138">
        <f t="shared" si="130"/>
        <v>4230039</v>
      </c>
      <c r="J1332" s="48"/>
    </row>
    <row r="1333" spans="1:10" s="16" customFormat="1" ht="25.5" outlineLevel="3">
      <c r="A1333" s="91"/>
      <c r="B1333" s="35">
        <f>MAXA(B$5:B1332)+1</f>
        <v>647</v>
      </c>
      <c r="C1333" s="401" t="s">
        <v>755</v>
      </c>
      <c r="D1333" s="136" t="s">
        <v>745</v>
      </c>
      <c r="E1333" s="137">
        <v>9</v>
      </c>
      <c r="F1333" s="232">
        <v>85466</v>
      </c>
      <c r="G1333" s="232">
        <v>31264</v>
      </c>
      <c r="H1333" s="138">
        <f t="shared" si="129"/>
        <v>116730</v>
      </c>
      <c r="I1333" s="138">
        <f t="shared" si="130"/>
        <v>1050570</v>
      </c>
      <c r="J1333" s="48"/>
    </row>
    <row r="1334" spans="1:10" s="16" customFormat="1" ht="25.5" outlineLevel="3">
      <c r="A1334" s="91"/>
      <c r="B1334" s="35">
        <f>MAXA(B$5:B1333)+1</f>
        <v>648</v>
      </c>
      <c r="C1334" s="401" t="s">
        <v>756</v>
      </c>
      <c r="D1334" s="136" t="s">
        <v>745</v>
      </c>
      <c r="E1334" s="137">
        <v>11</v>
      </c>
      <c r="F1334" s="232">
        <v>154907</v>
      </c>
      <c r="G1334" s="232">
        <v>62528</v>
      </c>
      <c r="H1334" s="138">
        <f t="shared" si="129"/>
        <v>217435</v>
      </c>
      <c r="I1334" s="138">
        <f t="shared" si="130"/>
        <v>2391785</v>
      </c>
      <c r="J1334" s="48"/>
    </row>
    <row r="1335" spans="1:10" s="16" customFormat="1" ht="38.25" outlineLevel="3">
      <c r="A1335" s="91"/>
      <c r="B1335" s="35">
        <f>MAXA(B$5:B1334)+1</f>
        <v>649</v>
      </c>
      <c r="C1335" s="401" t="s">
        <v>1802</v>
      </c>
      <c r="D1335" s="136" t="s">
        <v>745</v>
      </c>
      <c r="E1335" s="137">
        <v>231</v>
      </c>
      <c r="F1335" s="232">
        <v>249276</v>
      </c>
      <c r="G1335" s="232">
        <v>83866</v>
      </c>
      <c r="H1335" s="138">
        <f t="shared" si="129"/>
        <v>333142</v>
      </c>
      <c r="I1335" s="138">
        <f t="shared" si="130"/>
        <v>76955802</v>
      </c>
      <c r="J1335" s="48"/>
    </row>
    <row r="1336" spans="1:10" s="16" customFormat="1" ht="25.5" outlineLevel="3">
      <c r="A1336" s="91"/>
      <c r="B1336" s="35">
        <f>MAXA(B$5:B1335)+1</f>
        <v>650</v>
      </c>
      <c r="C1336" s="399" t="s">
        <v>757</v>
      </c>
      <c r="D1336" s="230" t="s">
        <v>25</v>
      </c>
      <c r="E1336" s="137">
        <v>220</v>
      </c>
      <c r="F1336" s="232">
        <v>20832</v>
      </c>
      <c r="G1336" s="232">
        <v>22510</v>
      </c>
      <c r="H1336" s="138">
        <f t="shared" si="129"/>
        <v>43342</v>
      </c>
      <c r="I1336" s="138">
        <f t="shared" si="130"/>
        <v>9535240</v>
      </c>
      <c r="J1336" s="48"/>
    </row>
    <row r="1337" spans="1:10" s="16" customFormat="1" ht="25.5" outlineLevel="3">
      <c r="A1337" s="91"/>
      <c r="B1337" s="35">
        <f>MAXA(B$5:B1336)+1</f>
        <v>651</v>
      </c>
      <c r="C1337" s="399" t="s">
        <v>758</v>
      </c>
      <c r="D1337" s="230" t="s">
        <v>25</v>
      </c>
      <c r="E1337" s="137">
        <v>35</v>
      </c>
      <c r="F1337" s="232">
        <v>25506</v>
      </c>
      <c r="G1337" s="232">
        <v>25011</v>
      </c>
      <c r="H1337" s="138">
        <f t="shared" si="129"/>
        <v>50517</v>
      </c>
      <c r="I1337" s="138">
        <f t="shared" si="130"/>
        <v>1768095</v>
      </c>
      <c r="J1337" s="48"/>
    </row>
    <row r="1338" spans="1:10" s="16" customFormat="1" ht="25.5" outlineLevel="3">
      <c r="A1338" s="91"/>
      <c r="B1338" s="35">
        <f>MAXA(B$5:B1337)+1</f>
        <v>652</v>
      </c>
      <c r="C1338" s="399" t="s">
        <v>759</v>
      </c>
      <c r="D1338" s="230" t="s">
        <v>25</v>
      </c>
      <c r="E1338" s="137">
        <v>23</v>
      </c>
      <c r="F1338" s="232">
        <v>34721</v>
      </c>
      <c r="G1338" s="232">
        <v>27512</v>
      </c>
      <c r="H1338" s="138">
        <f t="shared" si="129"/>
        <v>62233</v>
      </c>
      <c r="I1338" s="138">
        <f t="shared" si="130"/>
        <v>1431359</v>
      </c>
      <c r="J1338" s="48"/>
    </row>
    <row r="1339" spans="1:10" s="16" customFormat="1" ht="25.5" outlineLevel="3">
      <c r="A1339" s="91"/>
      <c r="B1339" s="35">
        <f>MAXA(B$5:B1338)+1</f>
        <v>653</v>
      </c>
      <c r="C1339" s="399" t="s">
        <v>760</v>
      </c>
      <c r="D1339" s="136" t="s">
        <v>44</v>
      </c>
      <c r="E1339" s="137">
        <v>6</v>
      </c>
      <c r="F1339" s="232">
        <v>11208918</v>
      </c>
      <c r="G1339" s="232">
        <v>4434847</v>
      </c>
      <c r="H1339" s="138">
        <f t="shared" si="129"/>
        <v>15643765</v>
      </c>
      <c r="I1339" s="138">
        <f t="shared" si="130"/>
        <v>93862590</v>
      </c>
      <c r="J1339" s="48"/>
    </row>
    <row r="1340" spans="1:10" s="16" customFormat="1" ht="25.5" outlineLevel="3">
      <c r="A1340" s="91"/>
      <c r="B1340" s="35">
        <f>MAXA(B$5:B1339)+1</f>
        <v>654</v>
      </c>
      <c r="C1340" s="146" t="s">
        <v>37</v>
      </c>
      <c r="D1340" s="136" t="s">
        <v>38</v>
      </c>
      <c r="E1340" s="137">
        <v>1</v>
      </c>
      <c r="F1340" s="232">
        <v>156722002</v>
      </c>
      <c r="G1340" s="232">
        <v>28129590</v>
      </c>
      <c r="H1340" s="138">
        <f t="shared" si="129"/>
        <v>184851592</v>
      </c>
      <c r="I1340" s="138">
        <f t="shared" si="130"/>
        <v>184851592</v>
      </c>
      <c r="J1340" s="48"/>
    </row>
    <row r="1341" spans="1:10" s="16" customFormat="1" ht="25.5" outlineLevel="3">
      <c r="A1341" s="91"/>
      <c r="B1341" s="35"/>
      <c r="C1341" s="401" t="s">
        <v>996</v>
      </c>
      <c r="D1341" s="136" t="s">
        <v>38</v>
      </c>
      <c r="E1341" s="137">
        <v>1</v>
      </c>
      <c r="F1341" s="232">
        <v>0</v>
      </c>
      <c r="G1341" s="232">
        <v>0</v>
      </c>
      <c r="H1341" s="183"/>
      <c r="I1341" s="183"/>
      <c r="J1341" s="48"/>
    </row>
    <row r="1342" spans="1:10" s="16" customFormat="1" ht="25.5" outlineLevel="3">
      <c r="A1342" s="91"/>
      <c r="B1342" s="35">
        <f>MAXA(B$5:B1341)+1</f>
        <v>655</v>
      </c>
      <c r="C1342" s="139" t="s">
        <v>1803</v>
      </c>
      <c r="D1342" s="230" t="s">
        <v>25</v>
      </c>
      <c r="E1342" s="137">
        <v>20</v>
      </c>
      <c r="F1342" s="232">
        <v>270287</v>
      </c>
      <c r="G1342" s="232">
        <v>50622</v>
      </c>
      <c r="H1342" s="138">
        <f t="shared" ref="H1342:H1350" si="131">G1342+F1342</f>
        <v>320909</v>
      </c>
      <c r="I1342" s="138">
        <f t="shared" ref="I1342:I1350" si="132">H1342*E1342</f>
        <v>6418180</v>
      </c>
      <c r="J1342" s="48"/>
    </row>
    <row r="1343" spans="1:10" s="16" customFormat="1" ht="25.5" outlineLevel="3">
      <c r="A1343" s="91"/>
      <c r="B1343" s="35">
        <f>MAXA(B$5:B1342)+1</f>
        <v>656</v>
      </c>
      <c r="C1343" s="139" t="s">
        <v>1804</v>
      </c>
      <c r="D1343" s="230" t="s">
        <v>25</v>
      </c>
      <c r="E1343" s="137">
        <v>560</v>
      </c>
      <c r="F1343" s="232">
        <v>134520</v>
      </c>
      <c r="G1343" s="232">
        <v>25194</v>
      </c>
      <c r="H1343" s="138">
        <f t="shared" si="131"/>
        <v>159714</v>
      </c>
      <c r="I1343" s="138">
        <f t="shared" si="132"/>
        <v>89439840</v>
      </c>
      <c r="J1343" s="48"/>
    </row>
    <row r="1344" spans="1:10" s="16" customFormat="1" ht="25.5" outlineLevel="3">
      <c r="A1344" s="91"/>
      <c r="B1344" s="35">
        <f>MAXA(B$5:B1343)+1</f>
        <v>657</v>
      </c>
      <c r="C1344" s="139" t="s">
        <v>763</v>
      </c>
      <c r="D1344" s="230" t="s">
        <v>25</v>
      </c>
      <c r="E1344" s="137">
        <v>18</v>
      </c>
      <c r="F1344" s="232">
        <v>79857</v>
      </c>
      <c r="G1344" s="232">
        <v>14957</v>
      </c>
      <c r="H1344" s="138">
        <f t="shared" si="131"/>
        <v>94814</v>
      </c>
      <c r="I1344" s="138">
        <f t="shared" si="132"/>
        <v>1706652</v>
      </c>
      <c r="J1344" s="48"/>
    </row>
    <row r="1345" spans="1:10" s="16" customFormat="1" ht="25.5" outlineLevel="3">
      <c r="A1345" s="91"/>
      <c r="B1345" s="35">
        <f>MAXA(B$5:B1344)+1</f>
        <v>658</v>
      </c>
      <c r="C1345" s="139" t="s">
        <v>764</v>
      </c>
      <c r="D1345" s="230" t="s">
        <v>25</v>
      </c>
      <c r="E1345" s="137">
        <v>288</v>
      </c>
      <c r="F1345" s="232">
        <v>45359</v>
      </c>
      <c r="G1345" s="232">
        <v>8495</v>
      </c>
      <c r="H1345" s="138">
        <f t="shared" si="131"/>
        <v>53854</v>
      </c>
      <c r="I1345" s="138">
        <f t="shared" si="132"/>
        <v>15509952</v>
      </c>
      <c r="J1345" s="48"/>
    </row>
    <row r="1346" spans="1:10" s="16" customFormat="1" ht="25.5" outlineLevel="3">
      <c r="A1346" s="91"/>
      <c r="B1346" s="35">
        <f>MAXA(B$5:B1345)+1</f>
        <v>659</v>
      </c>
      <c r="C1346" s="402" t="s">
        <v>765</v>
      </c>
      <c r="D1346" s="230" t="s">
        <v>25</v>
      </c>
      <c r="E1346" s="137">
        <v>860</v>
      </c>
      <c r="F1346" s="232">
        <v>24438</v>
      </c>
      <c r="G1346" s="232">
        <v>4577</v>
      </c>
      <c r="H1346" s="138">
        <f t="shared" si="131"/>
        <v>29015</v>
      </c>
      <c r="I1346" s="138">
        <f t="shared" si="132"/>
        <v>24952900</v>
      </c>
      <c r="J1346" s="48"/>
    </row>
    <row r="1347" spans="1:10" s="16" customFormat="1" ht="25.5" outlineLevel="3">
      <c r="A1347" s="91"/>
      <c r="B1347" s="35">
        <f>MAXA(B$5:B1346)+1</f>
        <v>660</v>
      </c>
      <c r="C1347" s="402" t="s">
        <v>766</v>
      </c>
      <c r="D1347" s="230" t="s">
        <v>25</v>
      </c>
      <c r="E1347" s="137">
        <v>8</v>
      </c>
      <c r="F1347" s="232">
        <v>17761</v>
      </c>
      <c r="G1347" s="232">
        <v>3326</v>
      </c>
      <c r="H1347" s="138">
        <f t="shared" si="131"/>
        <v>21087</v>
      </c>
      <c r="I1347" s="138">
        <f t="shared" si="132"/>
        <v>168696</v>
      </c>
      <c r="J1347" s="48"/>
    </row>
    <row r="1348" spans="1:10" s="16" customFormat="1" ht="25.5" outlineLevel="3">
      <c r="A1348" s="91"/>
      <c r="B1348" s="35">
        <f>MAXA(B$5:B1347)+1</f>
        <v>661</v>
      </c>
      <c r="C1348" s="402" t="s">
        <v>767</v>
      </c>
      <c r="D1348" s="230" t="s">
        <v>25</v>
      </c>
      <c r="E1348" s="137">
        <v>1032</v>
      </c>
      <c r="F1348" s="232">
        <v>11084</v>
      </c>
      <c r="G1348" s="232">
        <v>2076</v>
      </c>
      <c r="H1348" s="138">
        <f t="shared" si="131"/>
        <v>13160</v>
      </c>
      <c r="I1348" s="138">
        <f t="shared" si="132"/>
        <v>13581120</v>
      </c>
      <c r="J1348" s="48"/>
    </row>
    <row r="1349" spans="1:10" s="16" customFormat="1" ht="25.5" outlineLevel="3">
      <c r="A1349" s="91"/>
      <c r="B1349" s="35">
        <f>MAXA(B$5:B1348)+1</f>
        <v>662</v>
      </c>
      <c r="C1349" s="401" t="s">
        <v>768</v>
      </c>
      <c r="D1349" s="136" t="s">
        <v>28</v>
      </c>
      <c r="E1349" s="137">
        <v>9202</v>
      </c>
      <c r="F1349" s="232">
        <v>46449</v>
      </c>
      <c r="G1349" s="232">
        <v>10421</v>
      </c>
      <c r="H1349" s="138">
        <f t="shared" si="131"/>
        <v>56870</v>
      </c>
      <c r="I1349" s="138">
        <f t="shared" si="132"/>
        <v>523317740</v>
      </c>
      <c r="J1349" s="48"/>
    </row>
    <row r="1350" spans="1:10" s="16" customFormat="1" ht="25.5" outlineLevel="3">
      <c r="A1350" s="91"/>
      <c r="B1350" s="35">
        <f>MAXA(B$5:B1349)+1</f>
        <v>663</v>
      </c>
      <c r="C1350" s="146" t="s">
        <v>320</v>
      </c>
      <c r="D1350" s="136" t="s">
        <v>38</v>
      </c>
      <c r="E1350" s="137">
        <v>1</v>
      </c>
      <c r="F1350" s="232">
        <v>26761097</v>
      </c>
      <c r="G1350" s="232">
        <v>9606548</v>
      </c>
      <c r="H1350" s="138">
        <f t="shared" si="131"/>
        <v>36367645</v>
      </c>
      <c r="I1350" s="138">
        <f t="shared" si="132"/>
        <v>36367645</v>
      </c>
      <c r="J1350" s="48"/>
    </row>
    <row r="1351" spans="1:10" s="16" customFormat="1" ht="27" outlineLevel="3">
      <c r="A1351" s="91"/>
      <c r="B1351" s="38" t="s">
        <v>61</v>
      </c>
      <c r="C1351" s="164" t="s">
        <v>769</v>
      </c>
      <c r="D1351" s="363"/>
      <c r="E1351" s="352"/>
      <c r="F1351" s="232">
        <v>0</v>
      </c>
      <c r="G1351" s="232">
        <v>0</v>
      </c>
      <c r="H1351" s="183"/>
      <c r="I1351" s="183"/>
      <c r="J1351" s="48"/>
    </row>
    <row r="1352" spans="1:10" s="16" customFormat="1" ht="25.5" outlineLevel="3">
      <c r="A1352" s="91"/>
      <c r="B1352" s="35"/>
      <c r="C1352" s="139" t="s">
        <v>1805</v>
      </c>
      <c r="D1352" s="136"/>
      <c r="E1352" s="137"/>
      <c r="F1352" s="232">
        <v>0</v>
      </c>
      <c r="G1352" s="232">
        <v>0</v>
      </c>
      <c r="H1352" s="183"/>
      <c r="I1352" s="183"/>
      <c r="J1352" s="48"/>
    </row>
    <row r="1353" spans="1:10" s="16" customFormat="1" ht="25.5" outlineLevel="3">
      <c r="A1353" s="91"/>
      <c r="B1353" s="35">
        <f>MAXA(B$5:B1352)+1</f>
        <v>664</v>
      </c>
      <c r="C1353" s="364" t="s">
        <v>1806</v>
      </c>
      <c r="D1353" s="136" t="s">
        <v>44</v>
      </c>
      <c r="E1353" s="137">
        <v>1</v>
      </c>
      <c r="F1353" s="232">
        <v>1335943</v>
      </c>
      <c r="G1353" s="232">
        <v>237605</v>
      </c>
      <c r="H1353" s="138">
        <f t="shared" ref="H1353:H1358" si="133">G1353+F1353</f>
        <v>1573548</v>
      </c>
      <c r="I1353" s="138">
        <f t="shared" ref="I1353:I1358" si="134">H1353*E1353</f>
        <v>1573548</v>
      </c>
      <c r="J1353" s="48"/>
    </row>
    <row r="1354" spans="1:10" s="16" customFormat="1" ht="25.5" outlineLevel="3">
      <c r="A1354" s="91"/>
      <c r="B1354" s="35">
        <f>MAXA(B$5:B1353)+1</f>
        <v>665</v>
      </c>
      <c r="C1354" s="364" t="s">
        <v>1807</v>
      </c>
      <c r="D1354" s="136" t="s">
        <v>44</v>
      </c>
      <c r="E1354" s="137">
        <v>34</v>
      </c>
      <c r="F1354" s="232">
        <v>1024526</v>
      </c>
      <c r="G1354" s="232">
        <v>212594</v>
      </c>
      <c r="H1354" s="138">
        <f t="shared" si="133"/>
        <v>1237120</v>
      </c>
      <c r="I1354" s="138">
        <f t="shared" si="134"/>
        <v>42062080</v>
      </c>
      <c r="J1354" s="48"/>
    </row>
    <row r="1355" spans="1:10" s="16" customFormat="1" ht="25.5" outlineLevel="3">
      <c r="A1355" s="91"/>
      <c r="B1355" s="35">
        <f>MAXA(B$5:B1354)+1</f>
        <v>666</v>
      </c>
      <c r="C1355" s="364" t="s">
        <v>775</v>
      </c>
      <c r="D1355" s="136" t="s">
        <v>44</v>
      </c>
      <c r="E1355" s="137">
        <v>2</v>
      </c>
      <c r="F1355" s="232">
        <v>467660</v>
      </c>
      <c r="G1355" s="232">
        <v>137561</v>
      </c>
      <c r="H1355" s="138">
        <f t="shared" si="133"/>
        <v>605221</v>
      </c>
      <c r="I1355" s="138">
        <f t="shared" si="134"/>
        <v>1210442</v>
      </c>
      <c r="J1355" s="48"/>
    </row>
    <row r="1356" spans="1:10" s="16" customFormat="1" ht="25.5" outlineLevel="3">
      <c r="A1356" s="91"/>
      <c r="B1356" s="35">
        <f>MAXA(B$5:B1355)+1</f>
        <v>667</v>
      </c>
      <c r="C1356" s="364" t="s">
        <v>776</v>
      </c>
      <c r="D1356" s="136" t="s">
        <v>44</v>
      </c>
      <c r="E1356" s="137">
        <v>9</v>
      </c>
      <c r="F1356" s="232">
        <v>390206</v>
      </c>
      <c r="G1356" s="232">
        <v>125055</v>
      </c>
      <c r="H1356" s="138">
        <f t="shared" si="133"/>
        <v>515261</v>
      </c>
      <c r="I1356" s="138">
        <f t="shared" si="134"/>
        <v>4637349</v>
      </c>
      <c r="J1356" s="48"/>
    </row>
    <row r="1357" spans="1:10" s="16" customFormat="1" ht="25.5" outlineLevel="3">
      <c r="A1357" s="91"/>
      <c r="B1357" s="35">
        <f>MAXA(B$5:B1356)+1</f>
        <v>668</v>
      </c>
      <c r="C1357" s="364" t="s">
        <v>1808</v>
      </c>
      <c r="D1357" s="136" t="s">
        <v>44</v>
      </c>
      <c r="E1357" s="137">
        <v>1</v>
      </c>
      <c r="F1357" s="232">
        <v>335054</v>
      </c>
      <c r="G1357" s="232">
        <v>112550</v>
      </c>
      <c r="H1357" s="138">
        <f t="shared" si="133"/>
        <v>447604</v>
      </c>
      <c r="I1357" s="138">
        <f t="shared" si="134"/>
        <v>447604</v>
      </c>
      <c r="J1357" s="48"/>
    </row>
    <row r="1358" spans="1:10" s="16" customFormat="1" ht="25.5" outlineLevel="3">
      <c r="A1358" s="91"/>
      <c r="B1358" s="35">
        <f>MAXA(B$5:B1357)+1</f>
        <v>669</v>
      </c>
      <c r="C1358" s="364" t="s">
        <v>1809</v>
      </c>
      <c r="D1358" s="136" t="s">
        <v>44</v>
      </c>
      <c r="E1358" s="137">
        <v>102</v>
      </c>
      <c r="F1358" s="232">
        <v>269085</v>
      </c>
      <c r="G1358" s="232">
        <v>100044</v>
      </c>
      <c r="H1358" s="138">
        <f t="shared" si="133"/>
        <v>369129</v>
      </c>
      <c r="I1358" s="138">
        <f t="shared" si="134"/>
        <v>37651158</v>
      </c>
      <c r="J1358" s="48"/>
    </row>
    <row r="1359" spans="1:10" s="16" customFormat="1" ht="25.5" outlineLevel="3">
      <c r="A1359" s="91"/>
      <c r="B1359" s="58"/>
      <c r="C1359" s="139" t="s">
        <v>1810</v>
      </c>
      <c r="D1359" s="403"/>
      <c r="E1359" s="137"/>
      <c r="F1359" s="232">
        <v>0</v>
      </c>
      <c r="G1359" s="232">
        <v>0</v>
      </c>
      <c r="H1359" s="183"/>
      <c r="I1359" s="183"/>
      <c r="J1359" s="48"/>
    </row>
    <row r="1360" spans="1:10" s="16" customFormat="1" ht="25.5" outlineLevel="3">
      <c r="A1360" s="91"/>
      <c r="B1360" s="35">
        <f>MAXA(B$5:B1359)+1</f>
        <v>670</v>
      </c>
      <c r="C1360" s="364" t="s">
        <v>1811</v>
      </c>
      <c r="D1360" s="136" t="s">
        <v>44</v>
      </c>
      <c r="E1360" s="137">
        <v>8</v>
      </c>
      <c r="F1360" s="232">
        <v>1587133</v>
      </c>
      <c r="G1360" s="232">
        <v>262616</v>
      </c>
      <c r="H1360" s="138">
        <f>G1360+F1360</f>
        <v>1849749</v>
      </c>
      <c r="I1360" s="138">
        <f>H1360*E1360</f>
        <v>14797992</v>
      </c>
      <c r="J1360" s="48"/>
    </row>
    <row r="1361" spans="1:10" s="16" customFormat="1" ht="25.5" outlineLevel="3">
      <c r="A1361" s="91"/>
      <c r="B1361" s="35">
        <f>MAXA(B$5:B1360)+1</f>
        <v>671</v>
      </c>
      <c r="C1361" s="364" t="s">
        <v>1812</v>
      </c>
      <c r="D1361" s="136" t="s">
        <v>44</v>
      </c>
      <c r="E1361" s="137">
        <v>2</v>
      </c>
      <c r="F1361" s="232">
        <v>1942352</v>
      </c>
      <c r="G1361" s="232">
        <v>412682</v>
      </c>
      <c r="H1361" s="138">
        <f>G1361+F1361</f>
        <v>2355034</v>
      </c>
      <c r="I1361" s="138">
        <f>H1361*E1361</f>
        <v>4710068</v>
      </c>
      <c r="J1361" s="48"/>
    </row>
    <row r="1362" spans="1:10" s="16" customFormat="1" ht="25.5" outlineLevel="3">
      <c r="A1362" s="91"/>
      <c r="B1362" s="35">
        <f>MAXA(B$5:B1361)+1</f>
        <v>672</v>
      </c>
      <c r="C1362" s="364" t="s">
        <v>1813</v>
      </c>
      <c r="D1362" s="136" t="s">
        <v>44</v>
      </c>
      <c r="E1362" s="137">
        <v>3</v>
      </c>
      <c r="F1362" s="232">
        <v>1335943</v>
      </c>
      <c r="G1362" s="232">
        <v>237605</v>
      </c>
      <c r="H1362" s="138">
        <f>G1362+F1362</f>
        <v>1573548</v>
      </c>
      <c r="I1362" s="138">
        <f>H1362*E1362</f>
        <v>4720644</v>
      </c>
      <c r="J1362" s="48"/>
    </row>
    <row r="1363" spans="1:10" s="16" customFormat="1" ht="25.5" outlineLevel="3">
      <c r="A1363" s="91"/>
      <c r="B1363" s="35">
        <f>MAXA(B$5:B1362)+1</f>
        <v>673</v>
      </c>
      <c r="C1363" s="364" t="s">
        <v>1814</v>
      </c>
      <c r="D1363" s="136" t="s">
        <v>44</v>
      </c>
      <c r="E1363" s="137">
        <v>6</v>
      </c>
      <c r="F1363" s="232">
        <v>853059</v>
      </c>
      <c r="G1363" s="232">
        <v>187583</v>
      </c>
      <c r="H1363" s="138">
        <f>G1363+F1363</f>
        <v>1040642</v>
      </c>
      <c r="I1363" s="138">
        <f>H1363*E1363</f>
        <v>6243852</v>
      </c>
      <c r="J1363" s="48"/>
    </row>
    <row r="1364" spans="1:10" s="16" customFormat="1" ht="25.5" outlineLevel="3">
      <c r="A1364" s="91"/>
      <c r="B1364" s="35"/>
      <c r="C1364" s="364" t="s">
        <v>1815</v>
      </c>
      <c r="D1364" s="136"/>
      <c r="E1364" s="137"/>
      <c r="F1364" s="232">
        <v>0</v>
      </c>
      <c r="G1364" s="232">
        <v>0</v>
      </c>
      <c r="H1364" s="183"/>
      <c r="I1364" s="183"/>
      <c r="J1364" s="48"/>
    </row>
    <row r="1365" spans="1:10" s="16" customFormat="1" ht="25.5" outlineLevel="3">
      <c r="A1365" s="91"/>
      <c r="B1365" s="35">
        <f>MAXA(B$5:B1364)+1</f>
        <v>674</v>
      </c>
      <c r="C1365" s="364" t="s">
        <v>1816</v>
      </c>
      <c r="D1365" s="136" t="s">
        <v>28</v>
      </c>
      <c r="E1365" s="137">
        <v>3</v>
      </c>
      <c r="F1365" s="232">
        <v>4434892</v>
      </c>
      <c r="G1365" s="232">
        <v>875385</v>
      </c>
      <c r="H1365" s="138">
        <f>G1365+F1365</f>
        <v>5310277</v>
      </c>
      <c r="I1365" s="138">
        <f>H1365*E1365</f>
        <v>15930831</v>
      </c>
      <c r="J1365" s="48"/>
    </row>
    <row r="1366" spans="1:10" s="16" customFormat="1" ht="25.5" outlineLevel="3">
      <c r="A1366" s="91"/>
      <c r="B1366" s="35"/>
      <c r="C1366" s="139" t="s">
        <v>1817</v>
      </c>
      <c r="D1366" s="136"/>
      <c r="E1366" s="137"/>
      <c r="F1366" s="232">
        <v>0</v>
      </c>
      <c r="G1366" s="232">
        <v>0</v>
      </c>
      <c r="H1366" s="183"/>
      <c r="I1366" s="183"/>
      <c r="J1366" s="48"/>
    </row>
    <row r="1367" spans="1:10" s="16" customFormat="1" ht="25.5" outlineLevel="3">
      <c r="A1367" s="91"/>
      <c r="B1367" s="35">
        <f>MAXA(B$5:B1366)+1</f>
        <v>675</v>
      </c>
      <c r="C1367" s="364" t="s">
        <v>1818</v>
      </c>
      <c r="D1367" s="136" t="s">
        <v>44</v>
      </c>
      <c r="E1367" s="137">
        <v>1</v>
      </c>
      <c r="F1367" s="232">
        <v>4133624</v>
      </c>
      <c r="G1367" s="232">
        <v>425187</v>
      </c>
      <c r="H1367" s="138">
        <f>G1367+F1367</f>
        <v>4558811</v>
      </c>
      <c r="I1367" s="138">
        <f>H1367*E1367</f>
        <v>4558811</v>
      </c>
      <c r="J1367" s="48"/>
    </row>
    <row r="1368" spans="1:10" s="16" customFormat="1" ht="25.5" outlineLevel="3">
      <c r="A1368" s="91"/>
      <c r="B1368" s="35"/>
      <c r="C1368" s="364" t="s">
        <v>1819</v>
      </c>
      <c r="D1368" s="136"/>
      <c r="E1368" s="137"/>
      <c r="F1368" s="232">
        <v>0</v>
      </c>
      <c r="G1368" s="232">
        <v>0</v>
      </c>
      <c r="H1368" s="183"/>
      <c r="I1368" s="183"/>
      <c r="J1368" s="48"/>
    </row>
    <row r="1369" spans="1:10" s="16" customFormat="1" ht="25.5" outlineLevel="3">
      <c r="A1369" s="91"/>
      <c r="B1369" s="35">
        <f>MAXA(B$5:B1368)+1</f>
        <v>676</v>
      </c>
      <c r="C1369" s="364" t="s">
        <v>1820</v>
      </c>
      <c r="D1369" s="136" t="s">
        <v>28</v>
      </c>
      <c r="E1369" s="137">
        <v>1</v>
      </c>
      <c r="F1369" s="232">
        <v>3413305</v>
      </c>
      <c r="G1369" s="232">
        <v>306385</v>
      </c>
      <c r="H1369" s="138">
        <f t="shared" ref="H1369:H1378" si="135">G1369+F1369</f>
        <v>3719690</v>
      </c>
      <c r="I1369" s="138">
        <f t="shared" ref="I1369:I1378" si="136">H1369*E1369</f>
        <v>3719690</v>
      </c>
      <c r="J1369" s="48"/>
    </row>
    <row r="1370" spans="1:10" s="16" customFormat="1" ht="25.5" outlineLevel="3">
      <c r="A1370" s="91"/>
      <c r="B1370" s="35">
        <f>MAXA(B$5:B1369)+1</f>
        <v>677</v>
      </c>
      <c r="C1370" s="364" t="s">
        <v>797</v>
      </c>
      <c r="D1370" s="136" t="s">
        <v>28</v>
      </c>
      <c r="E1370" s="137">
        <v>1</v>
      </c>
      <c r="F1370" s="232">
        <v>1026395</v>
      </c>
      <c r="G1370" s="232">
        <v>250110</v>
      </c>
      <c r="H1370" s="138">
        <f t="shared" si="135"/>
        <v>1276505</v>
      </c>
      <c r="I1370" s="138">
        <f t="shared" si="136"/>
        <v>1276505</v>
      </c>
      <c r="J1370" s="48"/>
    </row>
    <row r="1371" spans="1:10" s="16" customFormat="1" ht="25.5" outlineLevel="3">
      <c r="A1371" s="91"/>
      <c r="B1371" s="35">
        <f>MAXA(B$5:B1370)+1</f>
        <v>678</v>
      </c>
      <c r="C1371" s="364" t="s">
        <v>1821</v>
      </c>
      <c r="D1371" s="136" t="s">
        <v>28</v>
      </c>
      <c r="E1371" s="137">
        <v>2</v>
      </c>
      <c r="F1371" s="232">
        <v>1460403</v>
      </c>
      <c r="G1371" s="232">
        <v>250110</v>
      </c>
      <c r="H1371" s="138">
        <f t="shared" si="135"/>
        <v>1710513</v>
      </c>
      <c r="I1371" s="138">
        <f t="shared" si="136"/>
        <v>3421026</v>
      </c>
      <c r="J1371" s="48"/>
    </row>
    <row r="1372" spans="1:10" s="16" customFormat="1" ht="25.5" outlineLevel="3">
      <c r="A1372" s="91"/>
      <c r="B1372" s="35">
        <f>MAXA(B$5:B1371)+1</f>
        <v>679</v>
      </c>
      <c r="C1372" s="364" t="s">
        <v>794</v>
      </c>
      <c r="D1372" s="136" t="s">
        <v>28</v>
      </c>
      <c r="E1372" s="137">
        <v>15</v>
      </c>
      <c r="F1372" s="232">
        <v>1293343</v>
      </c>
      <c r="G1372" s="232">
        <v>250110</v>
      </c>
      <c r="H1372" s="138">
        <f t="shared" si="135"/>
        <v>1543453</v>
      </c>
      <c r="I1372" s="138">
        <f t="shared" si="136"/>
        <v>23151795</v>
      </c>
      <c r="J1372" s="48"/>
    </row>
    <row r="1373" spans="1:10" s="16" customFormat="1" ht="25.5" outlineLevel="3">
      <c r="A1373" s="91"/>
      <c r="B1373" s="35">
        <f>MAXA(B$5:B1372)+1</f>
        <v>680</v>
      </c>
      <c r="C1373" s="364" t="s">
        <v>1822</v>
      </c>
      <c r="D1373" s="136" t="s">
        <v>28</v>
      </c>
      <c r="E1373" s="137">
        <v>3</v>
      </c>
      <c r="F1373" s="232">
        <v>1646559</v>
      </c>
      <c r="G1373" s="232">
        <v>250110</v>
      </c>
      <c r="H1373" s="138">
        <f t="shared" si="135"/>
        <v>1896669</v>
      </c>
      <c r="I1373" s="138">
        <f t="shared" si="136"/>
        <v>5690007</v>
      </c>
      <c r="J1373" s="48"/>
    </row>
    <row r="1374" spans="1:10" s="16" customFormat="1" ht="25.5" outlineLevel="3">
      <c r="A1374" s="91"/>
      <c r="B1374" s="35">
        <f>MAXA(B$5:B1373)+1</f>
        <v>681</v>
      </c>
      <c r="C1374" s="364" t="s">
        <v>1823</v>
      </c>
      <c r="D1374" s="136" t="s">
        <v>28</v>
      </c>
      <c r="E1374" s="137">
        <v>4</v>
      </c>
      <c r="F1374" s="232">
        <v>2923210</v>
      </c>
      <c r="G1374" s="232">
        <v>275121</v>
      </c>
      <c r="H1374" s="138">
        <f t="shared" si="135"/>
        <v>3198331</v>
      </c>
      <c r="I1374" s="138">
        <f t="shared" si="136"/>
        <v>12793324</v>
      </c>
      <c r="J1374" s="48"/>
    </row>
    <row r="1375" spans="1:10" s="16" customFormat="1" ht="25.5" outlineLevel="3">
      <c r="A1375" s="91"/>
      <c r="B1375" s="35">
        <f>MAXA(B$5:B1374)+1</f>
        <v>682</v>
      </c>
      <c r="C1375" s="364" t="s">
        <v>1824</v>
      </c>
      <c r="D1375" s="136" t="s">
        <v>28</v>
      </c>
      <c r="E1375" s="137">
        <v>1</v>
      </c>
      <c r="F1375" s="232">
        <v>2258310</v>
      </c>
      <c r="G1375" s="232">
        <v>250110</v>
      </c>
      <c r="H1375" s="138">
        <f t="shared" si="135"/>
        <v>2508420</v>
      </c>
      <c r="I1375" s="138">
        <f t="shared" si="136"/>
        <v>2508420</v>
      </c>
      <c r="J1375" s="48"/>
    </row>
    <row r="1376" spans="1:10" s="16" customFormat="1" ht="25.5" outlineLevel="3">
      <c r="A1376" s="91"/>
      <c r="B1376" s="35">
        <f>MAXA(B$5:B1375)+1</f>
        <v>683</v>
      </c>
      <c r="C1376" s="364" t="s">
        <v>1825</v>
      </c>
      <c r="D1376" s="136" t="s">
        <v>28</v>
      </c>
      <c r="E1376" s="137">
        <v>1</v>
      </c>
      <c r="F1376" s="232">
        <v>2114086</v>
      </c>
      <c r="G1376" s="232">
        <v>250110</v>
      </c>
      <c r="H1376" s="138">
        <f t="shared" si="135"/>
        <v>2364196</v>
      </c>
      <c r="I1376" s="138">
        <f t="shared" si="136"/>
        <v>2364196</v>
      </c>
      <c r="J1376" s="48"/>
    </row>
    <row r="1377" spans="1:10" s="16" customFormat="1" ht="25.5" outlineLevel="3">
      <c r="A1377" s="91"/>
      <c r="B1377" s="35">
        <f>MAXA(B$5:B1376)+1</f>
        <v>684</v>
      </c>
      <c r="C1377" s="364" t="s">
        <v>1826</v>
      </c>
      <c r="D1377" s="136" t="s">
        <v>28</v>
      </c>
      <c r="E1377" s="137">
        <v>2</v>
      </c>
      <c r="F1377" s="232">
        <v>1876516</v>
      </c>
      <c r="G1377" s="232">
        <v>250110</v>
      </c>
      <c r="H1377" s="138">
        <f t="shared" si="135"/>
        <v>2126626</v>
      </c>
      <c r="I1377" s="138">
        <f t="shared" si="136"/>
        <v>4253252</v>
      </c>
      <c r="J1377" s="48"/>
    </row>
    <row r="1378" spans="1:10" s="16" customFormat="1" ht="25.5" outlineLevel="3">
      <c r="A1378" s="91"/>
      <c r="B1378" s="35">
        <f>MAXA(B$5:B1377)+1</f>
        <v>685</v>
      </c>
      <c r="C1378" s="364" t="s">
        <v>1827</v>
      </c>
      <c r="D1378" s="136" t="s">
        <v>28</v>
      </c>
      <c r="E1378" s="137">
        <v>1</v>
      </c>
      <c r="F1378" s="232">
        <v>2724100</v>
      </c>
      <c r="G1378" s="232">
        <v>275121</v>
      </c>
      <c r="H1378" s="138">
        <f t="shared" si="135"/>
        <v>2999221</v>
      </c>
      <c r="I1378" s="138">
        <f t="shared" si="136"/>
        <v>2999221</v>
      </c>
      <c r="J1378" s="48"/>
    </row>
    <row r="1379" spans="1:10" s="16" customFormat="1" ht="25.5" outlineLevel="3">
      <c r="A1379" s="91"/>
      <c r="B1379" s="58"/>
      <c r="C1379" s="364" t="s">
        <v>1828</v>
      </c>
      <c r="D1379" s="403"/>
      <c r="E1379" s="137"/>
      <c r="F1379" s="232">
        <v>0</v>
      </c>
      <c r="G1379" s="232">
        <v>0</v>
      </c>
      <c r="H1379" s="183"/>
      <c r="I1379" s="183"/>
      <c r="J1379" s="48"/>
    </row>
    <row r="1380" spans="1:10" s="16" customFormat="1" ht="25.5" outlineLevel="3">
      <c r="A1380" s="91"/>
      <c r="B1380" s="35">
        <f>MAXA(B$5:B1379)+1</f>
        <v>686</v>
      </c>
      <c r="C1380" s="364" t="s">
        <v>1829</v>
      </c>
      <c r="D1380" s="136" t="s">
        <v>44</v>
      </c>
      <c r="E1380" s="137">
        <v>1</v>
      </c>
      <c r="F1380" s="232">
        <v>616959</v>
      </c>
      <c r="G1380" s="232">
        <v>287627</v>
      </c>
      <c r="H1380" s="138">
        <f t="shared" ref="H1380:H1385" si="137">G1380+F1380</f>
        <v>904586</v>
      </c>
      <c r="I1380" s="138">
        <f t="shared" ref="I1380:I1385" si="138">H1380*E1380</f>
        <v>904586</v>
      </c>
      <c r="J1380" s="48"/>
    </row>
    <row r="1381" spans="1:10" s="16" customFormat="1" ht="25.5" outlineLevel="3">
      <c r="A1381" s="91"/>
      <c r="B1381" s="35">
        <f>MAXA(B$5:B1380)+1</f>
        <v>687</v>
      </c>
      <c r="C1381" s="364" t="s">
        <v>1830</v>
      </c>
      <c r="D1381" s="136" t="s">
        <v>44</v>
      </c>
      <c r="E1381" s="137">
        <v>2</v>
      </c>
      <c r="F1381" s="232">
        <v>418918</v>
      </c>
      <c r="G1381" s="232">
        <v>237605</v>
      </c>
      <c r="H1381" s="138">
        <f t="shared" si="137"/>
        <v>656523</v>
      </c>
      <c r="I1381" s="138">
        <f t="shared" si="138"/>
        <v>1313046</v>
      </c>
      <c r="J1381" s="48"/>
    </row>
    <row r="1382" spans="1:10" s="16" customFormat="1" ht="25.5" outlineLevel="3">
      <c r="A1382" s="91"/>
      <c r="B1382" s="35">
        <f>MAXA(B$5:B1381)+1</f>
        <v>688</v>
      </c>
      <c r="C1382" s="364" t="s">
        <v>1831</v>
      </c>
      <c r="D1382" s="136" t="s">
        <v>44</v>
      </c>
      <c r="E1382" s="137">
        <v>1</v>
      </c>
      <c r="F1382" s="232">
        <v>283774</v>
      </c>
      <c r="G1382" s="232">
        <v>162572</v>
      </c>
      <c r="H1382" s="138">
        <f t="shared" si="137"/>
        <v>446346</v>
      </c>
      <c r="I1382" s="138">
        <f t="shared" si="138"/>
        <v>446346</v>
      </c>
      <c r="J1382" s="48"/>
    </row>
    <row r="1383" spans="1:10" s="16" customFormat="1" ht="25.5" outlineLevel="3">
      <c r="A1383" s="91"/>
      <c r="B1383" s="35">
        <f>MAXA(B$5:B1382)+1</f>
        <v>689</v>
      </c>
      <c r="C1383" s="364" t="s">
        <v>1832</v>
      </c>
      <c r="D1383" s="136" t="s">
        <v>44</v>
      </c>
      <c r="E1383" s="137">
        <v>1</v>
      </c>
      <c r="F1383" s="232">
        <v>214600</v>
      </c>
      <c r="G1383" s="232">
        <v>118802</v>
      </c>
      <c r="H1383" s="138">
        <f t="shared" si="137"/>
        <v>333402</v>
      </c>
      <c r="I1383" s="138">
        <f t="shared" si="138"/>
        <v>333402</v>
      </c>
      <c r="J1383" s="48"/>
    </row>
    <row r="1384" spans="1:10" s="16" customFormat="1" ht="25.5" outlineLevel="3">
      <c r="A1384" s="91"/>
      <c r="B1384" s="35">
        <f>MAXA(B$5:B1383)+1</f>
        <v>690</v>
      </c>
      <c r="C1384" s="364" t="s">
        <v>1833</v>
      </c>
      <c r="D1384" s="136" t="s">
        <v>44</v>
      </c>
      <c r="E1384" s="137">
        <v>3</v>
      </c>
      <c r="F1384" s="232">
        <v>279100</v>
      </c>
      <c r="G1384" s="232">
        <v>150066</v>
      </c>
      <c r="H1384" s="138">
        <f t="shared" si="137"/>
        <v>429166</v>
      </c>
      <c r="I1384" s="138">
        <f t="shared" si="138"/>
        <v>1287498</v>
      </c>
      <c r="J1384" s="48"/>
    </row>
    <row r="1385" spans="1:10" s="16" customFormat="1" ht="25.5" outlineLevel="3">
      <c r="A1385" s="91"/>
      <c r="B1385" s="35">
        <f>MAXA(B$5:B1384)+1</f>
        <v>691</v>
      </c>
      <c r="C1385" s="364" t="s">
        <v>1834</v>
      </c>
      <c r="D1385" s="136" t="s">
        <v>44</v>
      </c>
      <c r="E1385" s="137">
        <v>1</v>
      </c>
      <c r="F1385" s="232">
        <v>228488</v>
      </c>
      <c r="G1385" s="232">
        <v>125055</v>
      </c>
      <c r="H1385" s="138">
        <f t="shared" si="137"/>
        <v>353543</v>
      </c>
      <c r="I1385" s="138">
        <f t="shared" si="138"/>
        <v>353543</v>
      </c>
      <c r="J1385" s="48"/>
    </row>
    <row r="1386" spans="1:10" s="16" customFormat="1" ht="25.5" outlineLevel="3">
      <c r="A1386" s="91"/>
      <c r="B1386" s="35"/>
      <c r="C1386" s="364" t="s">
        <v>1835</v>
      </c>
      <c r="D1386" s="136"/>
      <c r="E1386" s="137"/>
      <c r="F1386" s="232">
        <v>0</v>
      </c>
      <c r="G1386" s="232">
        <v>0</v>
      </c>
      <c r="H1386" s="183"/>
      <c r="I1386" s="183"/>
      <c r="J1386" s="48"/>
    </row>
    <row r="1387" spans="1:10" s="16" customFormat="1" ht="25.5" outlineLevel="3">
      <c r="A1387" s="91"/>
      <c r="B1387" s="35">
        <f>MAXA(B$5:B1386)+1</f>
        <v>692</v>
      </c>
      <c r="C1387" s="364" t="s">
        <v>1836</v>
      </c>
      <c r="D1387" s="136" t="s">
        <v>28</v>
      </c>
      <c r="E1387" s="137">
        <v>1</v>
      </c>
      <c r="F1387" s="232">
        <v>3491960</v>
      </c>
      <c r="G1387" s="232">
        <v>362660</v>
      </c>
      <c r="H1387" s="138">
        <f t="shared" ref="H1387:H1394" si="139">G1387+F1387</f>
        <v>3854620</v>
      </c>
      <c r="I1387" s="138">
        <f t="shared" ref="I1387:I1394" si="140">H1387*E1387</f>
        <v>3854620</v>
      </c>
      <c r="J1387" s="48"/>
    </row>
    <row r="1388" spans="1:10" s="16" customFormat="1" ht="25.5" outlineLevel="3">
      <c r="A1388" s="91"/>
      <c r="B1388" s="35">
        <f>MAXA(B$5:B1387)+1</f>
        <v>693</v>
      </c>
      <c r="C1388" s="364" t="s">
        <v>1837</v>
      </c>
      <c r="D1388" s="136" t="s">
        <v>28</v>
      </c>
      <c r="E1388" s="137">
        <v>1</v>
      </c>
      <c r="F1388" s="232">
        <v>3174400</v>
      </c>
      <c r="G1388" s="232">
        <v>350154</v>
      </c>
      <c r="H1388" s="138">
        <f t="shared" si="139"/>
        <v>3524554</v>
      </c>
      <c r="I1388" s="138">
        <f t="shared" si="140"/>
        <v>3524554</v>
      </c>
      <c r="J1388" s="48"/>
    </row>
    <row r="1389" spans="1:10" s="16" customFormat="1" ht="25.5" outlineLevel="3">
      <c r="A1389" s="91"/>
      <c r="B1389" s="35">
        <f>MAXA(B$5:B1388)+1</f>
        <v>694</v>
      </c>
      <c r="C1389" s="364" t="s">
        <v>1838</v>
      </c>
      <c r="D1389" s="136" t="s">
        <v>28</v>
      </c>
      <c r="E1389" s="137">
        <v>1</v>
      </c>
      <c r="F1389" s="232">
        <v>2318401</v>
      </c>
      <c r="G1389" s="232">
        <v>744732</v>
      </c>
      <c r="H1389" s="138">
        <f t="shared" si="139"/>
        <v>3063133</v>
      </c>
      <c r="I1389" s="138">
        <f t="shared" si="140"/>
        <v>3063133</v>
      </c>
      <c r="J1389" s="48"/>
    </row>
    <row r="1390" spans="1:10" s="16" customFormat="1" ht="25.5" outlineLevel="3">
      <c r="A1390" s="91"/>
      <c r="B1390" s="35">
        <f>MAXA(B$5:B1389)+1</f>
        <v>695</v>
      </c>
      <c r="C1390" s="364" t="s">
        <v>1839</v>
      </c>
      <c r="D1390" s="136" t="s">
        <v>28</v>
      </c>
      <c r="E1390" s="137">
        <v>1</v>
      </c>
      <c r="F1390" s="232">
        <v>2086513</v>
      </c>
      <c r="G1390" s="232">
        <v>744732</v>
      </c>
      <c r="H1390" s="138">
        <f t="shared" si="139"/>
        <v>2831245</v>
      </c>
      <c r="I1390" s="138">
        <f t="shared" si="140"/>
        <v>2831245</v>
      </c>
      <c r="J1390" s="48"/>
    </row>
    <row r="1391" spans="1:10" s="16" customFormat="1" ht="25.5" outlineLevel="3">
      <c r="A1391" s="91"/>
      <c r="B1391" s="35">
        <f>MAXA(B$5:B1390)+1</f>
        <v>696</v>
      </c>
      <c r="C1391" s="364" t="s">
        <v>1840</v>
      </c>
      <c r="D1391" s="136" t="s">
        <v>28</v>
      </c>
      <c r="E1391" s="137">
        <v>1</v>
      </c>
      <c r="F1391" s="232">
        <v>1343021</v>
      </c>
      <c r="G1391" s="232">
        <v>175077</v>
      </c>
      <c r="H1391" s="138">
        <f t="shared" si="139"/>
        <v>1518098</v>
      </c>
      <c r="I1391" s="138">
        <f t="shared" si="140"/>
        <v>1518098</v>
      </c>
      <c r="J1391" s="48"/>
    </row>
    <row r="1392" spans="1:10" s="16" customFormat="1" ht="25.5" outlineLevel="3">
      <c r="A1392" s="91"/>
      <c r="B1392" s="35">
        <f>MAXA(B$5:B1391)+1</f>
        <v>697</v>
      </c>
      <c r="C1392" s="364" t="s">
        <v>1841</v>
      </c>
      <c r="D1392" s="136" t="s">
        <v>28</v>
      </c>
      <c r="E1392" s="137">
        <v>1</v>
      </c>
      <c r="F1392" s="232">
        <v>605608</v>
      </c>
      <c r="G1392" s="232">
        <v>112550</v>
      </c>
      <c r="H1392" s="138">
        <f t="shared" si="139"/>
        <v>718158</v>
      </c>
      <c r="I1392" s="138">
        <f t="shared" si="140"/>
        <v>718158</v>
      </c>
      <c r="J1392" s="48"/>
    </row>
    <row r="1393" spans="1:10" s="16" customFormat="1" ht="25.5" outlineLevel="3">
      <c r="A1393" s="91"/>
      <c r="B1393" s="35">
        <f>MAXA(B$5:B1392)+1</f>
        <v>698</v>
      </c>
      <c r="C1393" s="364" t="s">
        <v>1842</v>
      </c>
      <c r="D1393" s="136" t="s">
        <v>28</v>
      </c>
      <c r="E1393" s="137">
        <v>2</v>
      </c>
      <c r="F1393" s="232">
        <v>1161672</v>
      </c>
      <c r="G1393" s="232">
        <v>150066</v>
      </c>
      <c r="H1393" s="138">
        <f t="shared" si="139"/>
        <v>1311738</v>
      </c>
      <c r="I1393" s="138">
        <f t="shared" si="140"/>
        <v>2623476</v>
      </c>
      <c r="J1393" s="48"/>
    </row>
    <row r="1394" spans="1:10" s="16" customFormat="1" ht="25.5" outlineLevel="3">
      <c r="A1394" s="91"/>
      <c r="B1394" s="35">
        <f>MAXA(B$5:B1393)+1</f>
        <v>699</v>
      </c>
      <c r="C1394" s="364" t="s">
        <v>1843</v>
      </c>
      <c r="D1394" s="136" t="s">
        <v>28</v>
      </c>
      <c r="E1394" s="137">
        <v>3</v>
      </c>
      <c r="F1394" s="232">
        <v>544046</v>
      </c>
      <c r="G1394" s="232">
        <v>87539</v>
      </c>
      <c r="H1394" s="138">
        <f t="shared" si="139"/>
        <v>631585</v>
      </c>
      <c r="I1394" s="138">
        <f t="shared" si="140"/>
        <v>1894755</v>
      </c>
      <c r="J1394" s="48"/>
    </row>
    <row r="1395" spans="1:10" s="16" customFormat="1" ht="31.5" outlineLevel="3">
      <c r="A1395" s="91"/>
      <c r="B1395" s="35"/>
      <c r="C1395" s="293" t="s">
        <v>817</v>
      </c>
      <c r="D1395" s="136"/>
      <c r="E1395" s="137"/>
      <c r="F1395" s="232">
        <v>0</v>
      </c>
      <c r="G1395" s="232">
        <v>0</v>
      </c>
      <c r="H1395" s="183"/>
      <c r="I1395" s="183"/>
      <c r="J1395" s="48"/>
    </row>
    <row r="1396" spans="1:10" s="16" customFormat="1" ht="25.5" outlineLevel="3">
      <c r="A1396" s="91"/>
      <c r="B1396" s="35">
        <f>MAXA(B$5:B1395)+1</f>
        <v>700</v>
      </c>
      <c r="C1396" s="245" t="s">
        <v>818</v>
      </c>
      <c r="D1396" s="136" t="s">
        <v>44</v>
      </c>
      <c r="E1396" s="137">
        <v>2</v>
      </c>
      <c r="F1396" s="232">
        <v>6917017</v>
      </c>
      <c r="G1396" s="232">
        <v>325143</v>
      </c>
      <c r="H1396" s="138">
        <f>G1396+F1396</f>
        <v>7242160</v>
      </c>
      <c r="I1396" s="138">
        <f>H1396*E1396</f>
        <v>14484320</v>
      </c>
      <c r="J1396" s="48"/>
    </row>
    <row r="1397" spans="1:10" s="16" customFormat="1" ht="25.5" outlineLevel="3">
      <c r="A1397" s="91"/>
      <c r="B1397" s="35"/>
      <c r="C1397" s="364" t="s">
        <v>1844</v>
      </c>
      <c r="D1397" s="136"/>
      <c r="E1397" s="137"/>
      <c r="F1397" s="232">
        <v>0</v>
      </c>
      <c r="G1397" s="232">
        <v>0</v>
      </c>
      <c r="H1397" s="183"/>
      <c r="I1397" s="183"/>
      <c r="J1397" s="48"/>
    </row>
    <row r="1398" spans="1:10" s="16" customFormat="1" ht="25.5" outlineLevel="3">
      <c r="A1398" s="91"/>
      <c r="B1398" s="35">
        <f>MAXA(B$5:B1397)+1</f>
        <v>701</v>
      </c>
      <c r="C1398" s="364" t="s">
        <v>1845</v>
      </c>
      <c r="D1398" s="136" t="s">
        <v>44</v>
      </c>
      <c r="E1398" s="137">
        <v>1</v>
      </c>
      <c r="F1398" s="232">
        <v>2956595</v>
      </c>
      <c r="G1398" s="232">
        <v>437693</v>
      </c>
      <c r="H1398" s="138">
        <f>G1398+F1398</f>
        <v>3394288</v>
      </c>
      <c r="I1398" s="138">
        <f>H1398*E1398</f>
        <v>3394288</v>
      </c>
      <c r="J1398" s="48"/>
    </row>
    <row r="1399" spans="1:10" s="16" customFormat="1" ht="25.5" outlineLevel="3">
      <c r="A1399" s="91"/>
      <c r="B1399" s="35">
        <f>MAXA(B$5:B1398)+1</f>
        <v>702</v>
      </c>
      <c r="C1399" s="364" t="s">
        <v>1846</v>
      </c>
      <c r="D1399" s="136" t="s">
        <v>44</v>
      </c>
      <c r="E1399" s="137">
        <v>2</v>
      </c>
      <c r="F1399" s="232">
        <v>1942352</v>
      </c>
      <c r="G1399" s="232">
        <v>412682</v>
      </c>
      <c r="H1399" s="138">
        <f>G1399+F1399</f>
        <v>2355034</v>
      </c>
      <c r="I1399" s="138">
        <f>H1399*E1399</f>
        <v>4710068</v>
      </c>
      <c r="J1399" s="48"/>
    </row>
    <row r="1400" spans="1:10" s="16" customFormat="1" ht="25.5" outlineLevel="3">
      <c r="A1400" s="91"/>
      <c r="B1400" s="35">
        <f>MAXA(B$5:B1399)+1</f>
        <v>703</v>
      </c>
      <c r="C1400" s="364" t="s">
        <v>1847</v>
      </c>
      <c r="D1400" s="136" t="s">
        <v>44</v>
      </c>
      <c r="E1400" s="137">
        <v>1</v>
      </c>
      <c r="F1400" s="232">
        <v>747562</v>
      </c>
      <c r="G1400" s="232">
        <v>175077</v>
      </c>
      <c r="H1400" s="138">
        <f>G1400+F1400</f>
        <v>922639</v>
      </c>
      <c r="I1400" s="138">
        <f>H1400*E1400</f>
        <v>922639</v>
      </c>
      <c r="J1400" s="48"/>
    </row>
    <row r="1401" spans="1:10" s="16" customFormat="1" ht="31.5" outlineLevel="3">
      <c r="A1401" s="91"/>
      <c r="B1401" s="35"/>
      <c r="C1401" s="293" t="s">
        <v>825</v>
      </c>
      <c r="D1401" s="136"/>
      <c r="E1401" s="137"/>
      <c r="F1401" s="232">
        <v>0</v>
      </c>
      <c r="G1401" s="232">
        <v>0</v>
      </c>
      <c r="H1401" s="183"/>
      <c r="I1401" s="183"/>
      <c r="J1401" s="48"/>
    </row>
    <row r="1402" spans="1:10" s="16" customFormat="1" ht="25.5" outlineLevel="3">
      <c r="A1402" s="91"/>
      <c r="B1402" s="35">
        <f>MAXA(B$5:B1401)+1</f>
        <v>704</v>
      </c>
      <c r="C1402" s="364" t="s">
        <v>1848</v>
      </c>
      <c r="D1402" s="136" t="s">
        <v>44</v>
      </c>
      <c r="E1402" s="137">
        <v>1</v>
      </c>
      <c r="F1402" s="232">
        <v>15549767</v>
      </c>
      <c r="G1402" s="232">
        <v>581506</v>
      </c>
      <c r="H1402" s="138">
        <f t="shared" ref="H1402:H1410" si="141">G1402+F1402</f>
        <v>16131273</v>
      </c>
      <c r="I1402" s="138">
        <f t="shared" ref="I1402:I1410" si="142">H1402*E1402</f>
        <v>16131273</v>
      </c>
      <c r="J1402" s="48"/>
    </row>
    <row r="1403" spans="1:10" s="16" customFormat="1" ht="25.5" outlineLevel="3">
      <c r="A1403" s="91"/>
      <c r="B1403" s="35">
        <f>MAXA(B$5:B1402)+1</f>
        <v>705</v>
      </c>
      <c r="C1403" s="364" t="s">
        <v>1849</v>
      </c>
      <c r="D1403" s="136" t="s">
        <v>44</v>
      </c>
      <c r="E1403" s="137">
        <v>2</v>
      </c>
      <c r="F1403" s="232">
        <v>13260609</v>
      </c>
      <c r="G1403" s="232">
        <v>512726</v>
      </c>
      <c r="H1403" s="138">
        <f t="shared" si="141"/>
        <v>13773335</v>
      </c>
      <c r="I1403" s="138">
        <f t="shared" si="142"/>
        <v>27546670</v>
      </c>
      <c r="J1403" s="48"/>
    </row>
    <row r="1404" spans="1:10" s="16" customFormat="1" ht="25.5" outlineLevel="3">
      <c r="A1404" s="91"/>
      <c r="B1404" s="35">
        <f>MAXA(B$5:B1403)+1</f>
        <v>706</v>
      </c>
      <c r="C1404" s="364" t="s">
        <v>1850</v>
      </c>
      <c r="D1404" s="136" t="s">
        <v>44</v>
      </c>
      <c r="E1404" s="137">
        <v>1</v>
      </c>
      <c r="F1404" s="232">
        <v>10449039</v>
      </c>
      <c r="G1404" s="232">
        <v>443945</v>
      </c>
      <c r="H1404" s="138">
        <f t="shared" si="141"/>
        <v>10892984</v>
      </c>
      <c r="I1404" s="138">
        <f t="shared" si="142"/>
        <v>10892984</v>
      </c>
      <c r="J1404" s="48"/>
    </row>
    <row r="1405" spans="1:10" s="16" customFormat="1" ht="25.5" outlineLevel="3">
      <c r="A1405" s="91"/>
      <c r="B1405" s="35">
        <f>MAXA(B$5:B1404)+1</f>
        <v>707</v>
      </c>
      <c r="C1405" s="364" t="s">
        <v>1851</v>
      </c>
      <c r="D1405" s="136" t="s">
        <v>44</v>
      </c>
      <c r="E1405" s="137">
        <v>2</v>
      </c>
      <c r="F1405" s="232">
        <v>9961214</v>
      </c>
      <c r="G1405" s="232">
        <v>412682</v>
      </c>
      <c r="H1405" s="138">
        <f t="shared" si="141"/>
        <v>10373896</v>
      </c>
      <c r="I1405" s="138">
        <f t="shared" si="142"/>
        <v>20747792</v>
      </c>
      <c r="J1405" s="48"/>
    </row>
    <row r="1406" spans="1:10" s="16" customFormat="1" ht="25.5" outlineLevel="3">
      <c r="A1406" s="91"/>
      <c r="B1406" s="35">
        <f>MAXA(B$5:B1405)+1</f>
        <v>708</v>
      </c>
      <c r="C1406" s="364" t="s">
        <v>1852</v>
      </c>
      <c r="D1406" s="136" t="s">
        <v>44</v>
      </c>
      <c r="E1406" s="137">
        <v>4</v>
      </c>
      <c r="F1406" s="232">
        <v>9393399</v>
      </c>
      <c r="G1406" s="232">
        <v>387671</v>
      </c>
      <c r="H1406" s="138">
        <f t="shared" si="141"/>
        <v>9781070</v>
      </c>
      <c r="I1406" s="138">
        <f t="shared" si="142"/>
        <v>39124280</v>
      </c>
      <c r="J1406" s="48"/>
    </row>
    <row r="1407" spans="1:10" s="16" customFormat="1" ht="25.5" outlineLevel="3">
      <c r="A1407" s="91"/>
      <c r="B1407" s="35">
        <f>MAXA(B$5:B1406)+1</f>
        <v>709</v>
      </c>
      <c r="C1407" s="364" t="s">
        <v>1853</v>
      </c>
      <c r="D1407" s="136" t="s">
        <v>44</v>
      </c>
      <c r="E1407" s="137">
        <v>1</v>
      </c>
      <c r="F1407" s="232">
        <v>9281358</v>
      </c>
      <c r="G1407" s="232">
        <v>375165</v>
      </c>
      <c r="H1407" s="138">
        <f t="shared" si="141"/>
        <v>9656523</v>
      </c>
      <c r="I1407" s="138">
        <f t="shared" si="142"/>
        <v>9656523</v>
      </c>
      <c r="J1407" s="48"/>
    </row>
    <row r="1408" spans="1:10" s="16" customFormat="1" ht="25.5" outlineLevel="3">
      <c r="A1408" s="91"/>
      <c r="B1408" s="35">
        <f>MAXA(B$5:B1407)+1</f>
        <v>710</v>
      </c>
      <c r="C1408" s="146" t="s">
        <v>37</v>
      </c>
      <c r="D1408" s="136" t="s">
        <v>38</v>
      </c>
      <c r="E1408" s="137">
        <v>1</v>
      </c>
      <c r="F1408" s="232">
        <v>34246850</v>
      </c>
      <c r="G1408" s="232">
        <v>6146871</v>
      </c>
      <c r="H1408" s="138">
        <f t="shared" si="141"/>
        <v>40393721</v>
      </c>
      <c r="I1408" s="138">
        <f t="shared" si="142"/>
        <v>40393721</v>
      </c>
      <c r="J1408" s="48"/>
    </row>
    <row r="1409" spans="1:14" s="16" customFormat="1" ht="25.5" outlineLevel="3">
      <c r="A1409" s="91"/>
      <c r="B1409" s="35">
        <f>MAXA(B$5:B1408)+1</f>
        <v>711</v>
      </c>
      <c r="C1409" s="297" t="s">
        <v>827</v>
      </c>
      <c r="D1409" s="136" t="s">
        <v>38</v>
      </c>
      <c r="E1409" s="137">
        <v>1</v>
      </c>
      <c r="F1409" s="232">
        <v>24156622</v>
      </c>
      <c r="G1409" s="232">
        <v>10242005</v>
      </c>
      <c r="H1409" s="138">
        <f t="shared" si="141"/>
        <v>34398627</v>
      </c>
      <c r="I1409" s="138">
        <f t="shared" si="142"/>
        <v>34398627</v>
      </c>
      <c r="J1409" s="48"/>
    </row>
    <row r="1410" spans="1:14" s="16" customFormat="1" ht="25.5" outlineLevel="3">
      <c r="A1410" s="91"/>
      <c r="B1410" s="35">
        <f>MAXA(B$5:B1409)+1</f>
        <v>712</v>
      </c>
      <c r="C1410" s="146" t="s">
        <v>840</v>
      </c>
      <c r="D1410" s="136" t="s">
        <v>38</v>
      </c>
      <c r="E1410" s="137">
        <v>1</v>
      </c>
      <c r="F1410" s="232">
        <v>3272361</v>
      </c>
      <c r="G1410" s="232">
        <v>587347</v>
      </c>
      <c r="H1410" s="138">
        <f t="shared" si="141"/>
        <v>3859708</v>
      </c>
      <c r="I1410" s="138">
        <f t="shared" si="142"/>
        <v>3859708</v>
      </c>
      <c r="J1410" s="48"/>
    </row>
    <row r="1411" spans="1:14" s="16" customFormat="1" ht="26.25" outlineLevel="2">
      <c r="A1411" s="91"/>
      <c r="B1411" s="30" t="s">
        <v>83</v>
      </c>
      <c r="C1411" s="104" t="s">
        <v>829</v>
      </c>
      <c r="D1411" s="212"/>
      <c r="E1411" s="105"/>
      <c r="F1411" s="232">
        <v>0</v>
      </c>
      <c r="G1411" s="232">
        <v>0</v>
      </c>
      <c r="H1411" s="183"/>
      <c r="I1411" s="180">
        <f>SUBTOTAL(9,I1412:I1715)</f>
        <v>32505907159</v>
      </c>
      <c r="J1411" s="186"/>
      <c r="M1411" s="33" t="s">
        <v>83</v>
      </c>
      <c r="N1411" s="16" t="s">
        <v>83</v>
      </c>
    </row>
    <row r="1412" spans="1:14" s="16" customFormat="1" ht="27" outlineLevel="3">
      <c r="A1412" s="91"/>
      <c r="B1412" s="57" t="s">
        <v>85</v>
      </c>
      <c r="C1412" s="366" t="s">
        <v>830</v>
      </c>
      <c r="D1412" s="404"/>
      <c r="E1412" s="352"/>
      <c r="F1412" s="232">
        <v>0</v>
      </c>
      <c r="G1412" s="232">
        <v>0</v>
      </c>
      <c r="H1412" s="183"/>
      <c r="I1412" s="183"/>
      <c r="J1412" s="48"/>
    </row>
    <row r="1413" spans="1:14" s="16" customFormat="1" ht="27" outlineLevel="3">
      <c r="A1413" s="91"/>
      <c r="B1413" s="57"/>
      <c r="C1413" s="366" t="s">
        <v>1854</v>
      </c>
      <c r="D1413" s="404"/>
      <c r="E1413" s="352"/>
      <c r="F1413" s="232">
        <v>0</v>
      </c>
      <c r="G1413" s="232">
        <v>0</v>
      </c>
      <c r="H1413" s="183"/>
      <c r="I1413" s="183"/>
      <c r="J1413" s="48"/>
    </row>
    <row r="1414" spans="1:14" s="16" customFormat="1" ht="25.5" outlineLevel="3">
      <c r="A1414" s="91"/>
      <c r="B1414" s="35">
        <f>MAXA(B$5:B1413)+1</f>
        <v>713</v>
      </c>
      <c r="C1414" s="139" t="s">
        <v>1855</v>
      </c>
      <c r="D1414" s="136" t="s">
        <v>44</v>
      </c>
      <c r="E1414" s="137">
        <v>2</v>
      </c>
      <c r="F1414" s="405">
        <v>2873820191</v>
      </c>
      <c r="G1414" s="232">
        <v>100044000</v>
      </c>
      <c r="H1414" s="138">
        <f t="shared" ref="H1414:H1422" si="143">G1414+F1414</f>
        <v>2973864191</v>
      </c>
      <c r="I1414" s="138">
        <f t="shared" ref="I1414:I1422" si="144">H1414*E1414</f>
        <v>5947728382</v>
      </c>
      <c r="J1414" s="48"/>
    </row>
    <row r="1415" spans="1:14" s="16" customFormat="1" ht="25.5" outlineLevel="3">
      <c r="A1415" s="91"/>
      <c r="B1415" s="35">
        <f>MAXA(B$5:B1414)+1</f>
        <v>714</v>
      </c>
      <c r="C1415" s="139" t="s">
        <v>1856</v>
      </c>
      <c r="D1415" s="136" t="s">
        <v>44</v>
      </c>
      <c r="E1415" s="137">
        <v>2</v>
      </c>
      <c r="F1415" s="232">
        <v>109618612</v>
      </c>
      <c r="G1415" s="232">
        <v>2501100</v>
      </c>
      <c r="H1415" s="138">
        <f t="shared" si="143"/>
        <v>112119712</v>
      </c>
      <c r="I1415" s="138">
        <f t="shared" si="144"/>
        <v>224239424</v>
      </c>
      <c r="J1415" s="48"/>
    </row>
    <row r="1416" spans="1:14" s="16" customFormat="1" ht="25.5" outlineLevel="3">
      <c r="A1416" s="91"/>
      <c r="B1416" s="35">
        <f>MAXA(B$5:B1415)+1</f>
        <v>715</v>
      </c>
      <c r="C1416" s="139" t="s">
        <v>1857</v>
      </c>
      <c r="D1416" s="136" t="s">
        <v>44</v>
      </c>
      <c r="E1416" s="137">
        <v>1</v>
      </c>
      <c r="F1416" s="232">
        <v>109618612</v>
      </c>
      <c r="G1416" s="232">
        <v>2501100</v>
      </c>
      <c r="H1416" s="138">
        <f t="shared" si="143"/>
        <v>112119712</v>
      </c>
      <c r="I1416" s="138">
        <f t="shared" si="144"/>
        <v>112119712</v>
      </c>
      <c r="J1416" s="48"/>
    </row>
    <row r="1417" spans="1:14" s="16" customFormat="1" ht="25.5" outlineLevel="3">
      <c r="A1417" s="91"/>
      <c r="B1417" s="35">
        <f>MAXA(B$5:B1416)+1</f>
        <v>716</v>
      </c>
      <c r="C1417" s="139" t="s">
        <v>1858</v>
      </c>
      <c r="D1417" s="136" t="s">
        <v>44</v>
      </c>
      <c r="E1417" s="137">
        <v>2</v>
      </c>
      <c r="F1417" s="232">
        <v>97702657</v>
      </c>
      <c r="G1417" s="232">
        <v>2501100</v>
      </c>
      <c r="H1417" s="138">
        <f t="shared" si="143"/>
        <v>100203757</v>
      </c>
      <c r="I1417" s="138">
        <f t="shared" si="144"/>
        <v>200407514</v>
      </c>
      <c r="J1417" s="48"/>
    </row>
    <row r="1418" spans="1:14" s="16" customFormat="1" ht="25.5" outlineLevel="3">
      <c r="A1418" s="91"/>
      <c r="B1418" s="35">
        <f>MAXA(B$5:B1417)+1</f>
        <v>717</v>
      </c>
      <c r="C1418" s="139" t="s">
        <v>1859</v>
      </c>
      <c r="D1418" s="136" t="s">
        <v>44</v>
      </c>
      <c r="E1418" s="137">
        <v>1</v>
      </c>
      <c r="F1418" s="232">
        <v>97702657</v>
      </c>
      <c r="G1418" s="232">
        <v>2501100</v>
      </c>
      <c r="H1418" s="138">
        <f t="shared" si="143"/>
        <v>100203757</v>
      </c>
      <c r="I1418" s="138">
        <f t="shared" si="144"/>
        <v>100203757</v>
      </c>
      <c r="J1418" s="48"/>
    </row>
    <row r="1419" spans="1:14" s="16" customFormat="1" ht="25.5" outlineLevel="3">
      <c r="A1419" s="91"/>
      <c r="B1419" s="35">
        <f>MAXA(B$5:B1418)+1</f>
        <v>718</v>
      </c>
      <c r="C1419" s="139" t="s">
        <v>1860</v>
      </c>
      <c r="D1419" s="136" t="s">
        <v>44</v>
      </c>
      <c r="E1419" s="137">
        <v>2</v>
      </c>
      <c r="F1419" s="232">
        <v>332173076</v>
      </c>
      <c r="G1419" s="232">
        <v>56274750</v>
      </c>
      <c r="H1419" s="138">
        <f t="shared" si="143"/>
        <v>388447826</v>
      </c>
      <c r="I1419" s="138">
        <f t="shared" si="144"/>
        <v>776895652</v>
      </c>
      <c r="J1419" s="48"/>
    </row>
    <row r="1420" spans="1:14" s="16" customFormat="1" ht="25.5" outlineLevel="3">
      <c r="A1420" s="91"/>
      <c r="B1420" s="35">
        <f>MAXA(B$5:B1419)+1</f>
        <v>719</v>
      </c>
      <c r="C1420" s="139" t="s">
        <v>1861</v>
      </c>
      <c r="D1420" s="136" t="s">
        <v>44</v>
      </c>
      <c r="E1420" s="137">
        <v>1</v>
      </c>
      <c r="F1420" s="232">
        <v>77321308</v>
      </c>
      <c r="G1420" s="232">
        <v>1500660</v>
      </c>
      <c r="H1420" s="138">
        <f t="shared" si="143"/>
        <v>78821968</v>
      </c>
      <c r="I1420" s="138">
        <f t="shared" si="144"/>
        <v>78821968</v>
      </c>
      <c r="J1420" s="48"/>
    </row>
    <row r="1421" spans="1:14" s="16" customFormat="1" ht="25.5" outlineLevel="3">
      <c r="A1421" s="91"/>
      <c r="B1421" s="35">
        <f>MAXA(B$5:B1420)+1</f>
        <v>720</v>
      </c>
      <c r="C1421" s="139" t="s">
        <v>1862</v>
      </c>
      <c r="D1421" s="136" t="s">
        <v>44</v>
      </c>
      <c r="E1421" s="137">
        <v>2</v>
      </c>
      <c r="F1421" s="232">
        <v>328937923</v>
      </c>
      <c r="G1421" s="232">
        <v>65787585</v>
      </c>
      <c r="H1421" s="138">
        <f t="shared" si="143"/>
        <v>394725508</v>
      </c>
      <c r="I1421" s="138">
        <f t="shared" si="144"/>
        <v>789451016</v>
      </c>
      <c r="J1421" s="48"/>
    </row>
    <row r="1422" spans="1:14" s="16" customFormat="1" ht="25.5" outlineLevel="3">
      <c r="A1422" s="91"/>
      <c r="B1422" s="35">
        <f>MAXA(B$5:B1421)+1</f>
        <v>721</v>
      </c>
      <c r="C1422" s="146" t="s">
        <v>840</v>
      </c>
      <c r="D1422" s="136" t="s">
        <v>38</v>
      </c>
      <c r="E1422" s="137">
        <v>1</v>
      </c>
      <c r="F1422" s="232">
        <v>0</v>
      </c>
      <c r="G1422" s="232">
        <v>19235022</v>
      </c>
      <c r="H1422" s="138">
        <f t="shared" si="143"/>
        <v>19235022</v>
      </c>
      <c r="I1422" s="138">
        <f t="shared" si="144"/>
        <v>19235022</v>
      </c>
      <c r="J1422" s="48"/>
    </row>
    <row r="1423" spans="1:14" s="16" customFormat="1" ht="54" outlineLevel="3">
      <c r="A1423" s="91"/>
      <c r="B1423" s="57"/>
      <c r="C1423" s="366" t="s">
        <v>1863</v>
      </c>
      <c r="D1423" s="404"/>
      <c r="E1423" s="352"/>
      <c r="F1423" s="232">
        <v>0</v>
      </c>
      <c r="G1423" s="232">
        <v>0</v>
      </c>
      <c r="H1423" s="183"/>
      <c r="I1423" s="183"/>
      <c r="J1423" s="48"/>
    </row>
    <row r="1424" spans="1:14" s="16" customFormat="1" ht="25.5" outlineLevel="3">
      <c r="A1424" s="91"/>
      <c r="B1424" s="35">
        <f>MAXA(B$5:B1423)+1</f>
        <v>722</v>
      </c>
      <c r="C1424" s="139" t="s">
        <v>1864</v>
      </c>
      <c r="D1424" s="136" t="s">
        <v>44</v>
      </c>
      <c r="E1424" s="137">
        <v>1</v>
      </c>
      <c r="F1424" s="253">
        <v>508935374.99999994</v>
      </c>
      <c r="G1424" s="232">
        <v>18758250</v>
      </c>
      <c r="H1424" s="138">
        <f t="shared" ref="H1424:H1487" si="145">G1424+F1424</f>
        <v>527693624.99999994</v>
      </c>
      <c r="I1424" s="138">
        <f t="shared" ref="I1424:I1455" si="146">H1424*E1424</f>
        <v>527693624.99999994</v>
      </c>
      <c r="J1424" s="48"/>
    </row>
    <row r="1425" spans="1:10" s="16" customFormat="1" ht="25.5" outlineLevel="3">
      <c r="A1425" s="91"/>
      <c r="B1425" s="35">
        <f>MAXA(B$5:B1424)+1</f>
        <v>723</v>
      </c>
      <c r="C1425" s="139" t="s">
        <v>1865</v>
      </c>
      <c r="D1425" s="136" t="s">
        <v>44</v>
      </c>
      <c r="E1425" s="137">
        <v>1</v>
      </c>
      <c r="F1425" s="253">
        <v>633247155</v>
      </c>
      <c r="G1425" s="232">
        <v>18758250</v>
      </c>
      <c r="H1425" s="138">
        <f t="shared" si="145"/>
        <v>652005405</v>
      </c>
      <c r="I1425" s="138">
        <f t="shared" si="146"/>
        <v>652005405</v>
      </c>
      <c r="J1425" s="48"/>
    </row>
    <row r="1426" spans="1:10" s="16" customFormat="1" ht="25.5" outlineLevel="3">
      <c r="A1426" s="91"/>
      <c r="B1426" s="35">
        <f>MAXA(B$5:B1425)+1</f>
        <v>724</v>
      </c>
      <c r="C1426" s="139" t="s">
        <v>1866</v>
      </c>
      <c r="D1426" s="136" t="s">
        <v>44</v>
      </c>
      <c r="E1426" s="137">
        <v>1</v>
      </c>
      <c r="F1426" s="253">
        <v>9825255</v>
      </c>
      <c r="G1426" s="232">
        <v>750330</v>
      </c>
      <c r="H1426" s="138">
        <f t="shared" si="145"/>
        <v>10575585</v>
      </c>
      <c r="I1426" s="138">
        <f t="shared" si="146"/>
        <v>10575585</v>
      </c>
      <c r="J1426" s="48"/>
    </row>
    <row r="1427" spans="1:10" s="16" customFormat="1" ht="25.5" outlineLevel="3">
      <c r="A1427" s="91"/>
      <c r="B1427" s="35">
        <f>MAXA(B$5:B1426)+1</f>
        <v>725</v>
      </c>
      <c r="C1427" s="139" t="s">
        <v>1867</v>
      </c>
      <c r="D1427" s="136" t="s">
        <v>44</v>
      </c>
      <c r="E1427" s="137">
        <v>1</v>
      </c>
      <c r="F1427" s="253">
        <v>9825255</v>
      </c>
      <c r="G1427" s="232">
        <v>625275</v>
      </c>
      <c r="H1427" s="138">
        <f t="shared" si="145"/>
        <v>10450530</v>
      </c>
      <c r="I1427" s="138">
        <f t="shared" si="146"/>
        <v>10450530</v>
      </c>
      <c r="J1427" s="48"/>
    </row>
    <row r="1428" spans="1:10" s="16" customFormat="1" ht="25.5" outlineLevel="3">
      <c r="A1428" s="91"/>
      <c r="B1428" s="35">
        <f>MAXA(B$5:B1427)+1</f>
        <v>726</v>
      </c>
      <c r="C1428" s="139" t="s">
        <v>1868</v>
      </c>
      <c r="D1428" s="136" t="s">
        <v>44</v>
      </c>
      <c r="E1428" s="137">
        <v>2</v>
      </c>
      <c r="F1428" s="253">
        <v>14895719.999999998</v>
      </c>
      <c r="G1428" s="232">
        <v>812858</v>
      </c>
      <c r="H1428" s="138">
        <f t="shared" si="145"/>
        <v>15708577.999999998</v>
      </c>
      <c r="I1428" s="138">
        <f t="shared" si="146"/>
        <v>31417155.999999996</v>
      </c>
      <c r="J1428" s="48"/>
    </row>
    <row r="1429" spans="1:10" s="16" customFormat="1" ht="25.5" outlineLevel="3">
      <c r="A1429" s="91"/>
      <c r="B1429" s="35">
        <f>MAXA(B$5:B1428)+1</f>
        <v>727</v>
      </c>
      <c r="C1429" s="139" t="s">
        <v>1869</v>
      </c>
      <c r="D1429" s="136" t="s">
        <v>44</v>
      </c>
      <c r="E1429" s="137">
        <v>1</v>
      </c>
      <c r="F1429" s="253">
        <v>9825255</v>
      </c>
      <c r="G1429" s="232">
        <v>687803</v>
      </c>
      <c r="H1429" s="138">
        <f t="shared" si="145"/>
        <v>10513058</v>
      </c>
      <c r="I1429" s="138">
        <f t="shared" si="146"/>
        <v>10513058</v>
      </c>
      <c r="J1429" s="48"/>
    </row>
    <row r="1430" spans="1:10" s="16" customFormat="1" ht="25.5" outlineLevel="3">
      <c r="A1430" s="91"/>
      <c r="B1430" s="35">
        <f>MAXA(B$5:B1429)+1</f>
        <v>728</v>
      </c>
      <c r="C1430" s="139" t="s">
        <v>1870</v>
      </c>
      <c r="D1430" s="136" t="s">
        <v>44</v>
      </c>
      <c r="E1430" s="137">
        <v>1</v>
      </c>
      <c r="F1430" s="253">
        <v>9825255</v>
      </c>
      <c r="G1430" s="232">
        <v>687803</v>
      </c>
      <c r="H1430" s="138">
        <f t="shared" si="145"/>
        <v>10513058</v>
      </c>
      <c r="I1430" s="138">
        <f t="shared" si="146"/>
        <v>10513058</v>
      </c>
      <c r="J1430" s="48"/>
    </row>
    <row r="1431" spans="1:10" s="16" customFormat="1" ht="25.5" outlineLevel="3">
      <c r="A1431" s="91"/>
      <c r="B1431" s="35">
        <f>MAXA(B$5:B1430)+1</f>
        <v>729</v>
      </c>
      <c r="C1431" s="139" t="s">
        <v>1871</v>
      </c>
      <c r="D1431" s="136" t="s">
        <v>44</v>
      </c>
      <c r="E1431" s="137">
        <v>2</v>
      </c>
      <c r="F1431" s="253">
        <v>16745264.999999998</v>
      </c>
      <c r="G1431" s="232">
        <v>875385</v>
      </c>
      <c r="H1431" s="138">
        <f t="shared" si="145"/>
        <v>17620650</v>
      </c>
      <c r="I1431" s="138">
        <f t="shared" si="146"/>
        <v>35241300</v>
      </c>
      <c r="J1431" s="48"/>
    </row>
    <row r="1432" spans="1:10" s="16" customFormat="1" ht="25.5" outlineLevel="3">
      <c r="A1432" s="91"/>
      <c r="B1432" s="35">
        <f>MAXA(B$5:B1431)+1</f>
        <v>730</v>
      </c>
      <c r="C1432" s="139" t="s">
        <v>1872</v>
      </c>
      <c r="D1432" s="136" t="s">
        <v>44</v>
      </c>
      <c r="E1432" s="137">
        <v>2</v>
      </c>
      <c r="F1432" s="253">
        <v>16745264.999999998</v>
      </c>
      <c r="G1432" s="232">
        <v>875385</v>
      </c>
      <c r="H1432" s="138">
        <f t="shared" si="145"/>
        <v>17620650</v>
      </c>
      <c r="I1432" s="138">
        <f t="shared" si="146"/>
        <v>35241300</v>
      </c>
      <c r="J1432" s="48"/>
    </row>
    <row r="1433" spans="1:10" s="16" customFormat="1" ht="25.5" outlineLevel="3">
      <c r="A1433" s="91"/>
      <c r="B1433" s="35">
        <f>MAXA(B$5:B1432)+1</f>
        <v>731</v>
      </c>
      <c r="C1433" s="139" t="s">
        <v>1873</v>
      </c>
      <c r="D1433" s="136" t="s">
        <v>44</v>
      </c>
      <c r="E1433" s="137">
        <v>1</v>
      </c>
      <c r="F1433" s="253">
        <v>9825255</v>
      </c>
      <c r="G1433" s="232">
        <v>687803</v>
      </c>
      <c r="H1433" s="138">
        <f t="shared" si="145"/>
        <v>10513058</v>
      </c>
      <c r="I1433" s="138">
        <f t="shared" si="146"/>
        <v>10513058</v>
      </c>
      <c r="J1433" s="48"/>
    </row>
    <row r="1434" spans="1:10" s="16" customFormat="1" ht="25.5" outlineLevel="3">
      <c r="A1434" s="91"/>
      <c r="B1434" s="35">
        <f>MAXA(B$5:B1433)+1</f>
        <v>732</v>
      </c>
      <c r="C1434" s="139" t="s">
        <v>1874</v>
      </c>
      <c r="D1434" s="136" t="s">
        <v>44</v>
      </c>
      <c r="E1434" s="137">
        <v>1</v>
      </c>
      <c r="F1434" s="253">
        <v>9825255</v>
      </c>
      <c r="G1434" s="232">
        <v>687803</v>
      </c>
      <c r="H1434" s="138">
        <f t="shared" si="145"/>
        <v>10513058</v>
      </c>
      <c r="I1434" s="138">
        <f t="shared" si="146"/>
        <v>10513058</v>
      </c>
      <c r="J1434" s="48"/>
    </row>
    <row r="1435" spans="1:10" s="16" customFormat="1" ht="25.5" outlineLevel="3">
      <c r="A1435" s="91"/>
      <c r="B1435" s="35">
        <f>MAXA(B$5:B1434)+1</f>
        <v>733</v>
      </c>
      <c r="C1435" s="139" t="s">
        <v>1875</v>
      </c>
      <c r="D1435" s="136" t="s">
        <v>44</v>
      </c>
      <c r="E1435" s="137">
        <v>1</v>
      </c>
      <c r="F1435" s="253">
        <v>9825255</v>
      </c>
      <c r="G1435" s="232">
        <v>687803</v>
      </c>
      <c r="H1435" s="138">
        <f t="shared" si="145"/>
        <v>10513058</v>
      </c>
      <c r="I1435" s="138">
        <f t="shared" si="146"/>
        <v>10513058</v>
      </c>
      <c r="J1435" s="48"/>
    </row>
    <row r="1436" spans="1:10" s="16" customFormat="1" ht="25.5" outlineLevel="3">
      <c r="A1436" s="91"/>
      <c r="B1436" s="35">
        <f>MAXA(B$5:B1435)+1</f>
        <v>734</v>
      </c>
      <c r="C1436" s="139" t="s">
        <v>1876</v>
      </c>
      <c r="D1436" s="136" t="s">
        <v>44</v>
      </c>
      <c r="E1436" s="137">
        <v>1</v>
      </c>
      <c r="F1436" s="253">
        <v>9825255</v>
      </c>
      <c r="G1436" s="232">
        <v>687803</v>
      </c>
      <c r="H1436" s="138">
        <f t="shared" si="145"/>
        <v>10513058</v>
      </c>
      <c r="I1436" s="138">
        <f t="shared" si="146"/>
        <v>10513058</v>
      </c>
      <c r="J1436" s="48"/>
    </row>
    <row r="1437" spans="1:10" s="16" customFormat="1" ht="25.5" outlineLevel="3">
      <c r="A1437" s="91"/>
      <c r="B1437" s="35">
        <f>MAXA(B$5:B1436)+1</f>
        <v>735</v>
      </c>
      <c r="C1437" s="139" t="s">
        <v>1877</v>
      </c>
      <c r="D1437" s="136" t="s">
        <v>44</v>
      </c>
      <c r="E1437" s="137">
        <v>1</v>
      </c>
      <c r="F1437" s="253">
        <v>16745264.999999998</v>
      </c>
      <c r="G1437" s="232">
        <v>875385</v>
      </c>
      <c r="H1437" s="138">
        <f t="shared" si="145"/>
        <v>17620650</v>
      </c>
      <c r="I1437" s="138">
        <f t="shared" si="146"/>
        <v>17620650</v>
      </c>
      <c r="J1437" s="48"/>
    </row>
    <row r="1438" spans="1:10" s="16" customFormat="1" ht="25.5" outlineLevel="3">
      <c r="A1438" s="91"/>
      <c r="B1438" s="35">
        <f>MAXA(B$5:B1437)+1</f>
        <v>736</v>
      </c>
      <c r="C1438" s="139" t="s">
        <v>1878</v>
      </c>
      <c r="D1438" s="136" t="s">
        <v>44</v>
      </c>
      <c r="E1438" s="137">
        <v>3</v>
      </c>
      <c r="F1438" s="253">
        <v>17695395</v>
      </c>
      <c r="G1438" s="232">
        <v>1000440</v>
      </c>
      <c r="H1438" s="138">
        <f t="shared" si="145"/>
        <v>18695835</v>
      </c>
      <c r="I1438" s="138">
        <f t="shared" si="146"/>
        <v>56087505</v>
      </c>
      <c r="J1438" s="48"/>
    </row>
    <row r="1439" spans="1:10" s="16" customFormat="1" ht="25.5" outlineLevel="3">
      <c r="A1439" s="91"/>
      <c r="B1439" s="35">
        <f>MAXA(B$5:B1438)+1</f>
        <v>737</v>
      </c>
      <c r="C1439" s="139" t="s">
        <v>1879</v>
      </c>
      <c r="D1439" s="136" t="s">
        <v>44</v>
      </c>
      <c r="E1439" s="137">
        <v>1</v>
      </c>
      <c r="F1439" s="253">
        <v>9825255</v>
      </c>
      <c r="G1439" s="232">
        <v>687803</v>
      </c>
      <c r="H1439" s="138">
        <f t="shared" si="145"/>
        <v>10513058</v>
      </c>
      <c r="I1439" s="138">
        <f t="shared" si="146"/>
        <v>10513058</v>
      </c>
      <c r="J1439" s="48"/>
    </row>
    <row r="1440" spans="1:10" s="16" customFormat="1" ht="25.5" outlineLevel="3">
      <c r="A1440" s="91"/>
      <c r="B1440" s="35">
        <f>MAXA(B$5:B1439)+1</f>
        <v>738</v>
      </c>
      <c r="C1440" s="139" t="s">
        <v>1880</v>
      </c>
      <c r="D1440" s="136" t="s">
        <v>44</v>
      </c>
      <c r="E1440" s="137">
        <v>1</v>
      </c>
      <c r="F1440" s="253">
        <v>9825255</v>
      </c>
      <c r="G1440" s="232">
        <v>687803</v>
      </c>
      <c r="H1440" s="138">
        <f t="shared" si="145"/>
        <v>10513058</v>
      </c>
      <c r="I1440" s="138">
        <f t="shared" si="146"/>
        <v>10513058</v>
      </c>
      <c r="J1440" s="48"/>
    </row>
    <row r="1441" spans="1:10" s="16" customFormat="1" ht="25.5" outlineLevel="3">
      <c r="A1441" s="91"/>
      <c r="B1441" s="35">
        <f>MAXA(B$5:B1440)+1</f>
        <v>739</v>
      </c>
      <c r="C1441" s="139" t="s">
        <v>1881</v>
      </c>
      <c r="D1441" s="136" t="s">
        <v>44</v>
      </c>
      <c r="E1441" s="137">
        <v>1</v>
      </c>
      <c r="F1441" s="253">
        <v>16745264.999999998</v>
      </c>
      <c r="G1441" s="232">
        <v>875385</v>
      </c>
      <c r="H1441" s="138">
        <f t="shared" si="145"/>
        <v>17620650</v>
      </c>
      <c r="I1441" s="138">
        <f t="shared" si="146"/>
        <v>17620650</v>
      </c>
      <c r="J1441" s="48"/>
    </row>
    <row r="1442" spans="1:10" s="16" customFormat="1" ht="25.5" outlineLevel="3">
      <c r="A1442" s="91"/>
      <c r="B1442" s="35">
        <f>MAXA(B$5:B1441)+1</f>
        <v>740</v>
      </c>
      <c r="C1442" s="139" t="s">
        <v>1882</v>
      </c>
      <c r="D1442" s="136" t="s">
        <v>44</v>
      </c>
      <c r="E1442" s="137">
        <v>1</v>
      </c>
      <c r="F1442" s="253">
        <v>16745264.999999998</v>
      </c>
      <c r="G1442" s="232">
        <v>812858</v>
      </c>
      <c r="H1442" s="138">
        <f t="shared" si="145"/>
        <v>17558123</v>
      </c>
      <c r="I1442" s="138">
        <f t="shared" si="146"/>
        <v>17558123</v>
      </c>
      <c r="J1442" s="48"/>
    </row>
    <row r="1443" spans="1:10" s="16" customFormat="1" ht="25.5" outlineLevel="3">
      <c r="A1443" s="91"/>
      <c r="B1443" s="35">
        <f>MAXA(B$5:B1442)+1</f>
        <v>741</v>
      </c>
      <c r="C1443" s="139" t="s">
        <v>1883</v>
      </c>
      <c r="D1443" s="136" t="s">
        <v>44</v>
      </c>
      <c r="E1443" s="137">
        <v>1</v>
      </c>
      <c r="F1443" s="253">
        <v>18435420</v>
      </c>
      <c r="G1443" s="232">
        <v>1125495</v>
      </c>
      <c r="H1443" s="138">
        <f t="shared" si="145"/>
        <v>19560915</v>
      </c>
      <c r="I1443" s="138">
        <f t="shared" si="146"/>
        <v>19560915</v>
      </c>
      <c r="J1443" s="48"/>
    </row>
    <row r="1444" spans="1:10" s="16" customFormat="1" ht="25.5" outlineLevel="3">
      <c r="A1444" s="91"/>
      <c r="B1444" s="35">
        <f>MAXA(B$5:B1443)+1</f>
        <v>742</v>
      </c>
      <c r="C1444" s="139" t="s">
        <v>1884</v>
      </c>
      <c r="D1444" s="136" t="s">
        <v>44</v>
      </c>
      <c r="E1444" s="137">
        <v>1</v>
      </c>
      <c r="F1444" s="253">
        <v>12836069.999999998</v>
      </c>
      <c r="G1444" s="232">
        <v>750330</v>
      </c>
      <c r="H1444" s="138">
        <f t="shared" si="145"/>
        <v>13586399.999999998</v>
      </c>
      <c r="I1444" s="138">
        <f t="shared" si="146"/>
        <v>13586399.999999998</v>
      </c>
      <c r="J1444" s="48"/>
    </row>
    <row r="1445" spans="1:10" s="16" customFormat="1" ht="25.5" outlineLevel="3">
      <c r="A1445" s="91"/>
      <c r="B1445" s="35">
        <f>MAXA(B$5:B1444)+1</f>
        <v>743</v>
      </c>
      <c r="C1445" s="139" t="s">
        <v>1885</v>
      </c>
      <c r="D1445" s="136" t="s">
        <v>44</v>
      </c>
      <c r="E1445" s="137">
        <v>1</v>
      </c>
      <c r="F1445" s="253">
        <v>9825255</v>
      </c>
      <c r="G1445" s="232">
        <v>750330</v>
      </c>
      <c r="H1445" s="138">
        <f t="shared" si="145"/>
        <v>10575585</v>
      </c>
      <c r="I1445" s="138">
        <f t="shared" si="146"/>
        <v>10575585</v>
      </c>
      <c r="J1445" s="48"/>
    </row>
    <row r="1446" spans="1:10" s="16" customFormat="1" ht="25.5" outlineLevel="3">
      <c r="A1446" s="91"/>
      <c r="B1446" s="35">
        <f>MAXA(B$5:B1445)+1</f>
        <v>744</v>
      </c>
      <c r="C1446" s="139" t="s">
        <v>1886</v>
      </c>
      <c r="D1446" s="136" t="s">
        <v>44</v>
      </c>
      <c r="E1446" s="137">
        <v>1</v>
      </c>
      <c r="F1446" s="253">
        <v>9825255</v>
      </c>
      <c r="G1446" s="232">
        <v>687803</v>
      </c>
      <c r="H1446" s="138">
        <f t="shared" si="145"/>
        <v>10513058</v>
      </c>
      <c r="I1446" s="138">
        <f t="shared" si="146"/>
        <v>10513058</v>
      </c>
      <c r="J1446" s="48"/>
    </row>
    <row r="1447" spans="1:10" s="16" customFormat="1" ht="25.5" outlineLevel="3">
      <c r="A1447" s="91"/>
      <c r="B1447" s="35">
        <f>MAXA(B$5:B1446)+1</f>
        <v>745</v>
      </c>
      <c r="C1447" s="139" t="s">
        <v>1887</v>
      </c>
      <c r="D1447" s="136" t="s">
        <v>44</v>
      </c>
      <c r="E1447" s="137">
        <v>1</v>
      </c>
      <c r="F1447" s="253">
        <v>12836069.999999998</v>
      </c>
      <c r="G1447" s="232">
        <v>812858</v>
      </c>
      <c r="H1447" s="138">
        <f t="shared" si="145"/>
        <v>13648927.999999998</v>
      </c>
      <c r="I1447" s="138">
        <f t="shared" si="146"/>
        <v>13648927.999999998</v>
      </c>
      <c r="J1447" s="48"/>
    </row>
    <row r="1448" spans="1:10" s="16" customFormat="1" ht="25.5" outlineLevel="3">
      <c r="A1448" s="91"/>
      <c r="B1448" s="35">
        <f>MAXA(B$5:B1447)+1</f>
        <v>746</v>
      </c>
      <c r="C1448" s="139" t="s">
        <v>1888</v>
      </c>
      <c r="D1448" s="136" t="s">
        <v>44</v>
      </c>
      <c r="E1448" s="137">
        <v>3</v>
      </c>
      <c r="F1448" s="253">
        <v>17695395</v>
      </c>
      <c r="G1448" s="232">
        <v>1125495</v>
      </c>
      <c r="H1448" s="138">
        <f t="shared" si="145"/>
        <v>18820890</v>
      </c>
      <c r="I1448" s="138">
        <f t="shared" si="146"/>
        <v>56462670</v>
      </c>
      <c r="J1448" s="48"/>
    </row>
    <row r="1449" spans="1:10" s="16" customFormat="1" ht="25.5" outlineLevel="3">
      <c r="A1449" s="91"/>
      <c r="B1449" s="35">
        <f>MAXA(B$5:B1448)+1</f>
        <v>747</v>
      </c>
      <c r="C1449" s="139" t="s">
        <v>1889</v>
      </c>
      <c r="D1449" s="136" t="s">
        <v>44</v>
      </c>
      <c r="E1449" s="137">
        <v>3</v>
      </c>
      <c r="F1449" s="253">
        <v>16745264.999999998</v>
      </c>
      <c r="G1449" s="232">
        <v>1000440</v>
      </c>
      <c r="H1449" s="138">
        <f t="shared" si="145"/>
        <v>17745705</v>
      </c>
      <c r="I1449" s="138">
        <f t="shared" si="146"/>
        <v>53237115</v>
      </c>
      <c r="J1449" s="48"/>
    </row>
    <row r="1450" spans="1:10" s="16" customFormat="1" ht="25.5" outlineLevel="3">
      <c r="A1450" s="91"/>
      <c r="B1450" s="35">
        <f>MAXA(B$5:B1449)+1</f>
        <v>748</v>
      </c>
      <c r="C1450" s="139" t="s">
        <v>1890</v>
      </c>
      <c r="D1450" s="136" t="s">
        <v>44</v>
      </c>
      <c r="E1450" s="137">
        <v>1</v>
      </c>
      <c r="F1450" s="253">
        <v>12836069.999999998</v>
      </c>
      <c r="G1450" s="232">
        <v>750330</v>
      </c>
      <c r="H1450" s="138">
        <f t="shared" si="145"/>
        <v>13586399.999999998</v>
      </c>
      <c r="I1450" s="138">
        <f t="shared" si="146"/>
        <v>13586399.999999998</v>
      </c>
      <c r="J1450" s="48"/>
    </row>
    <row r="1451" spans="1:10" s="16" customFormat="1" ht="25.5" outlineLevel="3">
      <c r="A1451" s="91"/>
      <c r="B1451" s="35">
        <f>MAXA(B$5:B1450)+1</f>
        <v>749</v>
      </c>
      <c r="C1451" s="139" t="s">
        <v>1891</v>
      </c>
      <c r="D1451" s="136" t="s">
        <v>44</v>
      </c>
      <c r="E1451" s="137">
        <v>1</v>
      </c>
      <c r="F1451" s="253">
        <v>12836069.999999998</v>
      </c>
      <c r="G1451" s="232">
        <v>750330</v>
      </c>
      <c r="H1451" s="138">
        <f t="shared" si="145"/>
        <v>13586399.999999998</v>
      </c>
      <c r="I1451" s="138">
        <f t="shared" si="146"/>
        <v>13586399.999999998</v>
      </c>
      <c r="J1451" s="48"/>
    </row>
    <row r="1452" spans="1:10" s="16" customFormat="1" ht="25.5" outlineLevel="3">
      <c r="A1452" s="91"/>
      <c r="B1452" s="35">
        <f>MAXA(B$5:B1451)+1</f>
        <v>750</v>
      </c>
      <c r="C1452" s="139" t="s">
        <v>1892</v>
      </c>
      <c r="D1452" s="136" t="s">
        <v>44</v>
      </c>
      <c r="E1452" s="137">
        <v>1</v>
      </c>
      <c r="F1452" s="253">
        <v>16745264.999999998</v>
      </c>
      <c r="G1452" s="232">
        <v>1000440</v>
      </c>
      <c r="H1452" s="138">
        <f t="shared" si="145"/>
        <v>17745705</v>
      </c>
      <c r="I1452" s="138">
        <f t="shared" si="146"/>
        <v>17745705</v>
      </c>
      <c r="J1452" s="48"/>
    </row>
    <row r="1453" spans="1:10" s="16" customFormat="1" ht="25.5" outlineLevel="3">
      <c r="A1453" s="91"/>
      <c r="B1453" s="35">
        <f>MAXA(B$5:B1452)+1</f>
        <v>751</v>
      </c>
      <c r="C1453" s="139" t="s">
        <v>1893</v>
      </c>
      <c r="D1453" s="136" t="s">
        <v>44</v>
      </c>
      <c r="E1453" s="137">
        <v>1</v>
      </c>
      <c r="F1453" s="253">
        <v>16745264.999999998</v>
      </c>
      <c r="G1453" s="232">
        <v>1000440</v>
      </c>
      <c r="H1453" s="138">
        <f t="shared" si="145"/>
        <v>17745705</v>
      </c>
      <c r="I1453" s="138">
        <f t="shared" si="146"/>
        <v>17745705</v>
      </c>
      <c r="J1453" s="48"/>
    </row>
    <row r="1454" spans="1:10" s="16" customFormat="1" ht="25.5" outlineLevel="3">
      <c r="A1454" s="91"/>
      <c r="B1454" s="35">
        <f>MAXA(B$5:B1453)+1</f>
        <v>752</v>
      </c>
      <c r="C1454" s="139" t="s">
        <v>1894</v>
      </c>
      <c r="D1454" s="136" t="s">
        <v>44</v>
      </c>
      <c r="E1454" s="137">
        <v>4</v>
      </c>
      <c r="F1454" s="253">
        <v>19385550</v>
      </c>
      <c r="G1454" s="232">
        <v>1375605</v>
      </c>
      <c r="H1454" s="138">
        <f t="shared" si="145"/>
        <v>20761155</v>
      </c>
      <c r="I1454" s="138">
        <f t="shared" si="146"/>
        <v>83044620</v>
      </c>
      <c r="J1454" s="48"/>
    </row>
    <row r="1455" spans="1:10" s="16" customFormat="1" ht="25.5" outlineLevel="3">
      <c r="A1455" s="91"/>
      <c r="B1455" s="35">
        <f>MAXA(B$5:B1454)+1</f>
        <v>753</v>
      </c>
      <c r="C1455" s="139" t="s">
        <v>1895</v>
      </c>
      <c r="D1455" s="136" t="s">
        <v>44</v>
      </c>
      <c r="E1455" s="137">
        <v>4</v>
      </c>
      <c r="F1455" s="253">
        <v>16745264.999999998</v>
      </c>
      <c r="G1455" s="232">
        <v>812858</v>
      </c>
      <c r="H1455" s="138">
        <f t="shared" si="145"/>
        <v>17558123</v>
      </c>
      <c r="I1455" s="138">
        <f t="shared" si="146"/>
        <v>70232492</v>
      </c>
      <c r="J1455" s="48"/>
    </row>
    <row r="1456" spans="1:10" s="16" customFormat="1" ht="25.5" outlineLevel="3">
      <c r="A1456" s="91"/>
      <c r="B1456" s="35">
        <f>MAXA(B$5:B1455)+1</f>
        <v>754</v>
      </c>
      <c r="C1456" s="139" t="s">
        <v>1896</v>
      </c>
      <c r="D1456" s="136" t="s">
        <v>44</v>
      </c>
      <c r="E1456" s="137">
        <v>6</v>
      </c>
      <c r="F1456" s="253">
        <v>12836069.999999998</v>
      </c>
      <c r="G1456" s="232">
        <v>750330</v>
      </c>
      <c r="H1456" s="138">
        <f t="shared" si="145"/>
        <v>13586399.999999998</v>
      </c>
      <c r="I1456" s="138">
        <f t="shared" ref="I1456:I1487" si="147">H1456*E1456</f>
        <v>81518399.999999985</v>
      </c>
      <c r="J1456" s="48"/>
    </row>
    <row r="1457" spans="1:10" s="16" customFormat="1" ht="25.5" outlineLevel="3">
      <c r="A1457" s="91"/>
      <c r="B1457" s="35">
        <f>MAXA(B$5:B1456)+1</f>
        <v>755</v>
      </c>
      <c r="C1457" s="139" t="s">
        <v>1897</v>
      </c>
      <c r="D1457" s="136" t="s">
        <v>44</v>
      </c>
      <c r="E1457" s="137">
        <v>2</v>
      </c>
      <c r="F1457" s="253">
        <v>14895719.999999998</v>
      </c>
      <c r="G1457" s="232">
        <v>812858</v>
      </c>
      <c r="H1457" s="138">
        <f t="shared" si="145"/>
        <v>15708577.999999998</v>
      </c>
      <c r="I1457" s="138">
        <f t="shared" si="147"/>
        <v>31417155.999999996</v>
      </c>
      <c r="J1457" s="48"/>
    </row>
    <row r="1458" spans="1:10" s="16" customFormat="1" ht="25.5" outlineLevel="3">
      <c r="A1458" s="91"/>
      <c r="B1458" s="35">
        <f>MAXA(B$5:B1457)+1</f>
        <v>756</v>
      </c>
      <c r="C1458" s="139" t="s">
        <v>1898</v>
      </c>
      <c r="D1458" s="136" t="s">
        <v>44</v>
      </c>
      <c r="E1458" s="137">
        <v>2</v>
      </c>
      <c r="F1458" s="253">
        <v>14895719.999999998</v>
      </c>
      <c r="G1458" s="232">
        <v>812858</v>
      </c>
      <c r="H1458" s="138">
        <f t="shared" si="145"/>
        <v>15708577.999999998</v>
      </c>
      <c r="I1458" s="138">
        <f t="shared" si="147"/>
        <v>31417155.999999996</v>
      </c>
      <c r="J1458" s="48"/>
    </row>
    <row r="1459" spans="1:10" s="16" customFormat="1" ht="25.5" outlineLevel="3">
      <c r="A1459" s="91"/>
      <c r="B1459" s="35">
        <f>MAXA(B$5:B1458)+1</f>
        <v>757</v>
      </c>
      <c r="C1459" s="139" t="s">
        <v>1899</v>
      </c>
      <c r="D1459" s="136" t="s">
        <v>44</v>
      </c>
      <c r="E1459" s="137">
        <v>2</v>
      </c>
      <c r="F1459" s="253">
        <v>122129999.99999999</v>
      </c>
      <c r="G1459" s="232">
        <v>2501100</v>
      </c>
      <c r="H1459" s="138">
        <f t="shared" si="145"/>
        <v>124631099.99999999</v>
      </c>
      <c r="I1459" s="138">
        <f t="shared" si="147"/>
        <v>249262199.99999997</v>
      </c>
      <c r="J1459" s="48"/>
    </row>
    <row r="1460" spans="1:10" s="16" customFormat="1" ht="25.5" outlineLevel="3">
      <c r="A1460" s="91"/>
      <c r="B1460" s="35">
        <f>MAXA(B$5:B1459)+1</f>
        <v>758</v>
      </c>
      <c r="C1460" s="139" t="s">
        <v>1900</v>
      </c>
      <c r="D1460" s="136" t="s">
        <v>44</v>
      </c>
      <c r="E1460" s="137">
        <v>2</v>
      </c>
      <c r="F1460" s="253">
        <v>14895719.999999998</v>
      </c>
      <c r="G1460" s="232">
        <v>812858</v>
      </c>
      <c r="H1460" s="138">
        <f t="shared" si="145"/>
        <v>15708577.999999998</v>
      </c>
      <c r="I1460" s="138">
        <f t="shared" si="147"/>
        <v>31417155.999999996</v>
      </c>
      <c r="J1460" s="48"/>
    </row>
    <row r="1461" spans="1:10" s="16" customFormat="1" ht="25.5" outlineLevel="3">
      <c r="A1461" s="91"/>
      <c r="B1461" s="35">
        <f>MAXA(B$5:B1460)+1</f>
        <v>759</v>
      </c>
      <c r="C1461" s="139" t="s">
        <v>1901</v>
      </c>
      <c r="D1461" s="136" t="s">
        <v>44</v>
      </c>
      <c r="E1461" s="137">
        <v>2</v>
      </c>
      <c r="F1461" s="253">
        <v>16745264.999999998</v>
      </c>
      <c r="G1461" s="232">
        <v>875385</v>
      </c>
      <c r="H1461" s="138">
        <f t="shared" si="145"/>
        <v>17620650</v>
      </c>
      <c r="I1461" s="138">
        <f t="shared" si="147"/>
        <v>35241300</v>
      </c>
      <c r="J1461" s="48"/>
    </row>
    <row r="1462" spans="1:10" s="16" customFormat="1" ht="25.5" outlineLevel="3">
      <c r="A1462" s="91"/>
      <c r="B1462" s="35">
        <f>MAXA(B$5:B1461)+1</f>
        <v>760</v>
      </c>
      <c r="C1462" s="139" t="s">
        <v>1902</v>
      </c>
      <c r="D1462" s="136" t="s">
        <v>44</v>
      </c>
      <c r="E1462" s="137">
        <v>2</v>
      </c>
      <c r="F1462" s="253">
        <v>16745264.999999998</v>
      </c>
      <c r="G1462" s="232">
        <v>1000440</v>
      </c>
      <c r="H1462" s="138">
        <f t="shared" si="145"/>
        <v>17745705</v>
      </c>
      <c r="I1462" s="138">
        <f t="shared" si="147"/>
        <v>35491410</v>
      </c>
      <c r="J1462" s="48"/>
    </row>
    <row r="1463" spans="1:10" s="16" customFormat="1" ht="25.5" outlineLevel="3">
      <c r="A1463" s="91"/>
      <c r="B1463" s="35">
        <f>MAXA(B$5:B1462)+1</f>
        <v>761</v>
      </c>
      <c r="C1463" s="139" t="s">
        <v>1903</v>
      </c>
      <c r="D1463" s="136" t="s">
        <v>44</v>
      </c>
      <c r="E1463" s="137">
        <v>2</v>
      </c>
      <c r="F1463" s="253">
        <v>19385550</v>
      </c>
      <c r="G1463" s="232">
        <v>1250550</v>
      </c>
      <c r="H1463" s="138">
        <f t="shared" si="145"/>
        <v>20636100</v>
      </c>
      <c r="I1463" s="138">
        <f t="shared" si="147"/>
        <v>41272200</v>
      </c>
      <c r="J1463" s="48"/>
    </row>
    <row r="1464" spans="1:10" s="16" customFormat="1" ht="25.5" outlineLevel="3">
      <c r="A1464" s="91"/>
      <c r="B1464" s="35">
        <f>MAXA(B$5:B1463)+1</f>
        <v>762</v>
      </c>
      <c r="C1464" s="139" t="s">
        <v>1904</v>
      </c>
      <c r="D1464" s="136" t="s">
        <v>44</v>
      </c>
      <c r="E1464" s="137">
        <v>1</v>
      </c>
      <c r="F1464" s="253">
        <v>16745264.999999998</v>
      </c>
      <c r="G1464" s="232">
        <v>875385</v>
      </c>
      <c r="H1464" s="138">
        <f t="shared" si="145"/>
        <v>17620650</v>
      </c>
      <c r="I1464" s="138">
        <f t="shared" si="147"/>
        <v>17620650</v>
      </c>
      <c r="J1464" s="48"/>
    </row>
    <row r="1465" spans="1:10" s="16" customFormat="1" ht="25.5" outlineLevel="3">
      <c r="A1465" s="91"/>
      <c r="B1465" s="35">
        <f>MAXA(B$5:B1464)+1</f>
        <v>763</v>
      </c>
      <c r="C1465" s="139" t="s">
        <v>1905</v>
      </c>
      <c r="D1465" s="136" t="s">
        <v>44</v>
      </c>
      <c r="E1465" s="137">
        <v>1</v>
      </c>
      <c r="F1465" s="253">
        <v>9825255</v>
      </c>
      <c r="G1465" s="232">
        <v>687803</v>
      </c>
      <c r="H1465" s="138">
        <f t="shared" si="145"/>
        <v>10513058</v>
      </c>
      <c r="I1465" s="138">
        <f t="shared" si="147"/>
        <v>10513058</v>
      </c>
      <c r="J1465" s="48"/>
    </row>
    <row r="1466" spans="1:10" s="16" customFormat="1" ht="25.5" outlineLevel="3">
      <c r="A1466" s="91"/>
      <c r="B1466" s="35">
        <f>MAXA(B$5:B1465)+1</f>
        <v>764</v>
      </c>
      <c r="C1466" s="139" t="s">
        <v>1906</v>
      </c>
      <c r="D1466" s="136" t="s">
        <v>44</v>
      </c>
      <c r="E1466" s="137">
        <v>1</v>
      </c>
      <c r="F1466" s="253">
        <v>9825255</v>
      </c>
      <c r="G1466" s="232">
        <v>687803</v>
      </c>
      <c r="H1466" s="138">
        <f t="shared" si="145"/>
        <v>10513058</v>
      </c>
      <c r="I1466" s="138">
        <f t="shared" si="147"/>
        <v>10513058</v>
      </c>
      <c r="J1466" s="48"/>
    </row>
    <row r="1467" spans="1:10" s="16" customFormat="1" ht="25.5" outlineLevel="3">
      <c r="A1467" s="91"/>
      <c r="B1467" s="35">
        <f>MAXA(B$5:B1466)+1</f>
        <v>765</v>
      </c>
      <c r="C1467" s="139" t="s">
        <v>1907</v>
      </c>
      <c r="D1467" s="136" t="s">
        <v>44</v>
      </c>
      <c r="E1467" s="137">
        <v>4</v>
      </c>
      <c r="F1467" s="253">
        <v>17695395</v>
      </c>
      <c r="G1467" s="232">
        <v>1062968</v>
      </c>
      <c r="H1467" s="138">
        <f t="shared" si="145"/>
        <v>18758363</v>
      </c>
      <c r="I1467" s="138">
        <f t="shared" si="147"/>
        <v>75033452</v>
      </c>
      <c r="J1467" s="48"/>
    </row>
    <row r="1468" spans="1:10" s="16" customFormat="1" ht="25.5" outlineLevel="3">
      <c r="A1468" s="91"/>
      <c r="B1468" s="35">
        <f>MAXA(B$5:B1467)+1</f>
        <v>766</v>
      </c>
      <c r="C1468" s="139" t="s">
        <v>1908</v>
      </c>
      <c r="D1468" s="136" t="s">
        <v>44</v>
      </c>
      <c r="E1468" s="137">
        <v>1</v>
      </c>
      <c r="F1468" s="253">
        <v>14895719.999999998</v>
      </c>
      <c r="G1468" s="232">
        <v>812858</v>
      </c>
      <c r="H1468" s="138">
        <f t="shared" si="145"/>
        <v>15708577.999999998</v>
      </c>
      <c r="I1468" s="138">
        <f t="shared" si="147"/>
        <v>15708577.999999998</v>
      </c>
      <c r="J1468" s="48"/>
    </row>
    <row r="1469" spans="1:10" s="16" customFormat="1" ht="25.5" outlineLevel="3">
      <c r="A1469" s="91"/>
      <c r="B1469" s="35">
        <f>MAXA(B$5:B1468)+1</f>
        <v>767</v>
      </c>
      <c r="C1469" s="139" t="s">
        <v>1909</v>
      </c>
      <c r="D1469" s="136" t="s">
        <v>44</v>
      </c>
      <c r="E1469" s="137">
        <v>2</v>
      </c>
      <c r="F1469" s="253">
        <v>19385550</v>
      </c>
      <c r="G1469" s="232">
        <v>1250550</v>
      </c>
      <c r="H1469" s="138">
        <f t="shared" si="145"/>
        <v>20636100</v>
      </c>
      <c r="I1469" s="138">
        <f t="shared" si="147"/>
        <v>41272200</v>
      </c>
      <c r="J1469" s="48"/>
    </row>
    <row r="1470" spans="1:10" s="16" customFormat="1" ht="25.5" outlineLevel="3">
      <c r="A1470" s="91"/>
      <c r="B1470" s="35">
        <f>MAXA(B$5:B1469)+1</f>
        <v>768</v>
      </c>
      <c r="C1470" s="139" t="s">
        <v>1910</v>
      </c>
      <c r="D1470" s="136" t="s">
        <v>44</v>
      </c>
      <c r="E1470" s="137">
        <v>1</v>
      </c>
      <c r="F1470" s="253">
        <v>17695395</v>
      </c>
      <c r="G1470" s="232">
        <v>1000440</v>
      </c>
      <c r="H1470" s="138">
        <f t="shared" si="145"/>
        <v>18695835</v>
      </c>
      <c r="I1470" s="138">
        <f t="shared" si="147"/>
        <v>18695835</v>
      </c>
      <c r="J1470" s="48"/>
    </row>
    <row r="1471" spans="1:10" s="16" customFormat="1" ht="25.5" outlineLevel="3">
      <c r="A1471" s="91"/>
      <c r="B1471" s="35">
        <f>MAXA(B$5:B1470)+1</f>
        <v>769</v>
      </c>
      <c r="C1471" s="139" t="s">
        <v>1911</v>
      </c>
      <c r="D1471" s="136" t="s">
        <v>44</v>
      </c>
      <c r="E1471" s="137">
        <v>2</v>
      </c>
      <c r="F1471" s="253">
        <v>14895719.999999998</v>
      </c>
      <c r="G1471" s="232">
        <v>812858</v>
      </c>
      <c r="H1471" s="138">
        <f t="shared" si="145"/>
        <v>15708577.999999998</v>
      </c>
      <c r="I1471" s="138">
        <f t="shared" si="147"/>
        <v>31417155.999999996</v>
      </c>
      <c r="J1471" s="48"/>
    </row>
    <row r="1472" spans="1:10" s="16" customFormat="1" ht="25.5" outlineLevel="3">
      <c r="A1472" s="91"/>
      <c r="B1472" s="35">
        <f>MAXA(B$5:B1471)+1</f>
        <v>770</v>
      </c>
      <c r="C1472" s="139" t="s">
        <v>1912</v>
      </c>
      <c r="D1472" s="136" t="s">
        <v>44</v>
      </c>
      <c r="E1472" s="137">
        <v>1</v>
      </c>
      <c r="F1472" s="253">
        <v>12836069.999999998</v>
      </c>
      <c r="G1472" s="232">
        <v>750330</v>
      </c>
      <c r="H1472" s="138">
        <f t="shared" si="145"/>
        <v>13586399.999999998</v>
      </c>
      <c r="I1472" s="138">
        <f t="shared" si="147"/>
        <v>13586399.999999998</v>
      </c>
      <c r="J1472" s="48"/>
    </row>
    <row r="1473" spans="1:10" s="16" customFormat="1" ht="25.5" outlineLevel="3">
      <c r="A1473" s="91"/>
      <c r="B1473" s="35">
        <f>MAXA(B$5:B1472)+1</f>
        <v>771</v>
      </c>
      <c r="C1473" s="139" t="s">
        <v>1913</v>
      </c>
      <c r="D1473" s="136" t="s">
        <v>44</v>
      </c>
      <c r="E1473" s="137">
        <v>2</v>
      </c>
      <c r="F1473" s="253">
        <v>16745264.999999998</v>
      </c>
      <c r="G1473" s="232">
        <v>875385</v>
      </c>
      <c r="H1473" s="138">
        <f t="shared" si="145"/>
        <v>17620650</v>
      </c>
      <c r="I1473" s="138">
        <f t="shared" si="147"/>
        <v>35241300</v>
      </c>
      <c r="J1473" s="48"/>
    </row>
    <row r="1474" spans="1:10" s="16" customFormat="1" ht="25.5" outlineLevel="3">
      <c r="A1474" s="91"/>
      <c r="B1474" s="35">
        <f>MAXA(B$5:B1473)+1</f>
        <v>772</v>
      </c>
      <c r="C1474" s="139" t="s">
        <v>1914</v>
      </c>
      <c r="D1474" s="136" t="s">
        <v>44</v>
      </c>
      <c r="E1474" s="137">
        <v>2</v>
      </c>
      <c r="F1474" s="253">
        <v>18435420</v>
      </c>
      <c r="G1474" s="232">
        <v>1188023</v>
      </c>
      <c r="H1474" s="138">
        <f t="shared" si="145"/>
        <v>19623443</v>
      </c>
      <c r="I1474" s="138">
        <f t="shared" si="147"/>
        <v>39246886</v>
      </c>
      <c r="J1474" s="48"/>
    </row>
    <row r="1475" spans="1:10" s="16" customFormat="1" ht="25.5" outlineLevel="3">
      <c r="A1475" s="91"/>
      <c r="B1475" s="35">
        <f>MAXA(B$5:B1474)+1</f>
        <v>773</v>
      </c>
      <c r="C1475" s="139" t="s">
        <v>1915</v>
      </c>
      <c r="D1475" s="136" t="s">
        <v>44</v>
      </c>
      <c r="E1475" s="137">
        <v>1</v>
      </c>
      <c r="F1475" s="253">
        <v>12836069.999999998</v>
      </c>
      <c r="G1475" s="232">
        <v>812858</v>
      </c>
      <c r="H1475" s="138">
        <f t="shared" si="145"/>
        <v>13648927.999999998</v>
      </c>
      <c r="I1475" s="138">
        <f t="shared" si="147"/>
        <v>13648927.999999998</v>
      </c>
      <c r="J1475" s="48"/>
    </row>
    <row r="1476" spans="1:10" s="16" customFormat="1" ht="25.5" outlineLevel="3">
      <c r="A1476" s="91"/>
      <c r="B1476" s="35">
        <f>MAXA(B$5:B1475)+1</f>
        <v>774</v>
      </c>
      <c r="C1476" s="139" t="s">
        <v>1916</v>
      </c>
      <c r="D1476" s="136" t="s">
        <v>44</v>
      </c>
      <c r="E1476" s="137">
        <v>2</v>
      </c>
      <c r="F1476" s="253">
        <v>18435420</v>
      </c>
      <c r="G1476" s="232">
        <v>1000440</v>
      </c>
      <c r="H1476" s="138">
        <f t="shared" si="145"/>
        <v>19435860</v>
      </c>
      <c r="I1476" s="138">
        <f t="shared" si="147"/>
        <v>38871720</v>
      </c>
      <c r="J1476" s="48"/>
    </row>
    <row r="1477" spans="1:10" s="16" customFormat="1" ht="25.5" outlineLevel="3">
      <c r="A1477" s="91"/>
      <c r="B1477" s="35">
        <f>MAXA(B$5:B1476)+1</f>
        <v>775</v>
      </c>
      <c r="C1477" s="139" t="s">
        <v>1917</v>
      </c>
      <c r="D1477" s="136" t="s">
        <v>44</v>
      </c>
      <c r="E1477" s="137">
        <v>2</v>
      </c>
      <c r="F1477" s="253">
        <v>18435420</v>
      </c>
      <c r="G1477" s="232">
        <v>1125495</v>
      </c>
      <c r="H1477" s="138">
        <f t="shared" si="145"/>
        <v>19560915</v>
      </c>
      <c r="I1477" s="138">
        <f t="shared" si="147"/>
        <v>39121830</v>
      </c>
      <c r="J1477" s="48"/>
    </row>
    <row r="1478" spans="1:10" s="16" customFormat="1" ht="25.5" outlineLevel="3">
      <c r="A1478" s="91"/>
      <c r="B1478" s="35">
        <f>MAXA(B$5:B1477)+1</f>
        <v>776</v>
      </c>
      <c r="C1478" s="139" t="s">
        <v>1918</v>
      </c>
      <c r="D1478" s="136" t="s">
        <v>44</v>
      </c>
      <c r="E1478" s="137">
        <v>2</v>
      </c>
      <c r="F1478" s="253">
        <v>12836069.999999998</v>
      </c>
      <c r="G1478" s="232">
        <v>812858</v>
      </c>
      <c r="H1478" s="138">
        <f t="shared" si="145"/>
        <v>13648927.999999998</v>
      </c>
      <c r="I1478" s="138">
        <f t="shared" si="147"/>
        <v>27297855.999999996</v>
      </c>
      <c r="J1478" s="48"/>
    </row>
    <row r="1479" spans="1:10" s="16" customFormat="1" ht="25.5" outlineLevel="3">
      <c r="A1479" s="91"/>
      <c r="B1479" s="35">
        <f>MAXA(B$5:B1478)+1</f>
        <v>777</v>
      </c>
      <c r="C1479" s="139" t="s">
        <v>1919</v>
      </c>
      <c r="D1479" s="136" t="s">
        <v>44</v>
      </c>
      <c r="E1479" s="137">
        <v>9</v>
      </c>
      <c r="F1479" s="253">
        <v>12836069.999999998</v>
      </c>
      <c r="G1479" s="232">
        <v>812858</v>
      </c>
      <c r="H1479" s="138">
        <f t="shared" si="145"/>
        <v>13648927.999999998</v>
      </c>
      <c r="I1479" s="138">
        <f t="shared" si="147"/>
        <v>122840351.99999999</v>
      </c>
      <c r="J1479" s="48"/>
    </row>
    <row r="1480" spans="1:10" s="16" customFormat="1" ht="25.5" outlineLevel="3">
      <c r="A1480" s="91"/>
      <c r="B1480" s="35">
        <f>MAXA(B$5:B1479)+1</f>
        <v>778</v>
      </c>
      <c r="C1480" s="139" t="s">
        <v>1920</v>
      </c>
      <c r="D1480" s="136" t="s">
        <v>44</v>
      </c>
      <c r="E1480" s="137">
        <v>2</v>
      </c>
      <c r="F1480" s="253">
        <v>14895719.999999998</v>
      </c>
      <c r="G1480" s="232">
        <v>812858</v>
      </c>
      <c r="H1480" s="138">
        <f t="shared" si="145"/>
        <v>15708577.999999998</v>
      </c>
      <c r="I1480" s="138">
        <f t="shared" si="147"/>
        <v>31417155.999999996</v>
      </c>
      <c r="J1480" s="48"/>
    </row>
    <row r="1481" spans="1:10" s="16" customFormat="1" ht="25.5" outlineLevel="3">
      <c r="A1481" s="91"/>
      <c r="B1481" s="35">
        <f>MAXA(B$5:B1480)+1</f>
        <v>779</v>
      </c>
      <c r="C1481" s="139" t="s">
        <v>1921</v>
      </c>
      <c r="D1481" s="136" t="s">
        <v>44</v>
      </c>
      <c r="E1481" s="137">
        <v>3</v>
      </c>
      <c r="F1481" s="253">
        <v>18435420</v>
      </c>
      <c r="G1481" s="232">
        <v>1188023</v>
      </c>
      <c r="H1481" s="138">
        <f t="shared" si="145"/>
        <v>19623443</v>
      </c>
      <c r="I1481" s="138">
        <f t="shared" si="147"/>
        <v>58870329</v>
      </c>
      <c r="J1481" s="48"/>
    </row>
    <row r="1482" spans="1:10" s="16" customFormat="1" ht="25.5" outlineLevel="3">
      <c r="A1482" s="91"/>
      <c r="B1482" s="35">
        <f>MAXA(B$5:B1481)+1</f>
        <v>780</v>
      </c>
      <c r="C1482" s="139" t="s">
        <v>1922</v>
      </c>
      <c r="D1482" s="136" t="s">
        <v>44</v>
      </c>
      <c r="E1482" s="137">
        <v>1</v>
      </c>
      <c r="F1482" s="253">
        <v>16745264.999999998</v>
      </c>
      <c r="G1482" s="232">
        <v>875385</v>
      </c>
      <c r="H1482" s="138">
        <f t="shared" si="145"/>
        <v>17620650</v>
      </c>
      <c r="I1482" s="138">
        <f t="shared" si="147"/>
        <v>17620650</v>
      </c>
      <c r="J1482" s="48"/>
    </row>
    <row r="1483" spans="1:10" s="16" customFormat="1" ht="25.5" outlineLevel="3">
      <c r="A1483" s="91"/>
      <c r="B1483" s="35">
        <f>MAXA(B$5:B1482)+1</f>
        <v>781</v>
      </c>
      <c r="C1483" s="139" t="s">
        <v>1923</v>
      </c>
      <c r="D1483" s="136" t="s">
        <v>44</v>
      </c>
      <c r="E1483" s="137">
        <v>1</v>
      </c>
      <c r="F1483" s="253">
        <v>12836069.999999998</v>
      </c>
      <c r="G1483" s="232">
        <v>750330</v>
      </c>
      <c r="H1483" s="138">
        <f t="shared" si="145"/>
        <v>13586399.999999998</v>
      </c>
      <c r="I1483" s="138">
        <f t="shared" si="147"/>
        <v>13586399.999999998</v>
      </c>
      <c r="J1483" s="48"/>
    </row>
    <row r="1484" spans="1:10" s="16" customFormat="1" ht="25.5" outlineLevel="3">
      <c r="A1484" s="91"/>
      <c r="B1484" s="35">
        <f>MAXA(B$5:B1483)+1</f>
        <v>782</v>
      </c>
      <c r="C1484" s="139" t="s">
        <v>1924</v>
      </c>
      <c r="D1484" s="136" t="s">
        <v>44</v>
      </c>
      <c r="E1484" s="137">
        <v>2</v>
      </c>
      <c r="F1484" s="253">
        <v>19385550</v>
      </c>
      <c r="G1484" s="232">
        <v>1250550</v>
      </c>
      <c r="H1484" s="138">
        <f t="shared" si="145"/>
        <v>20636100</v>
      </c>
      <c r="I1484" s="138">
        <f t="shared" si="147"/>
        <v>41272200</v>
      </c>
      <c r="J1484" s="48"/>
    </row>
    <row r="1485" spans="1:10" s="16" customFormat="1" ht="25.5" outlineLevel="3">
      <c r="A1485" s="91"/>
      <c r="B1485" s="35">
        <f>MAXA(B$5:B1484)+1</f>
        <v>783</v>
      </c>
      <c r="C1485" s="139" t="s">
        <v>1925</v>
      </c>
      <c r="D1485" s="136" t="s">
        <v>44</v>
      </c>
      <c r="E1485" s="137">
        <v>1</v>
      </c>
      <c r="F1485" s="253">
        <v>17695395</v>
      </c>
      <c r="G1485" s="232">
        <v>1000440</v>
      </c>
      <c r="H1485" s="138">
        <f t="shared" si="145"/>
        <v>18695835</v>
      </c>
      <c r="I1485" s="138">
        <f t="shared" si="147"/>
        <v>18695835</v>
      </c>
      <c r="J1485" s="48"/>
    </row>
    <row r="1486" spans="1:10" s="16" customFormat="1" ht="25.5" outlineLevel="3">
      <c r="A1486" s="91"/>
      <c r="B1486" s="35">
        <f>MAXA(B$5:B1485)+1</f>
        <v>784</v>
      </c>
      <c r="C1486" s="139" t="s">
        <v>1926</v>
      </c>
      <c r="D1486" s="136" t="s">
        <v>44</v>
      </c>
      <c r="E1486" s="137">
        <v>2</v>
      </c>
      <c r="F1486" s="253">
        <v>14895719.999999998</v>
      </c>
      <c r="G1486" s="232">
        <v>812858</v>
      </c>
      <c r="H1486" s="138">
        <f t="shared" si="145"/>
        <v>15708577.999999998</v>
      </c>
      <c r="I1486" s="138">
        <f t="shared" si="147"/>
        <v>31417155.999999996</v>
      </c>
      <c r="J1486" s="48"/>
    </row>
    <row r="1487" spans="1:10" s="16" customFormat="1" ht="25.5" outlineLevel="3">
      <c r="A1487" s="91"/>
      <c r="B1487" s="35">
        <f>MAXA(B$5:B1486)+1</f>
        <v>785</v>
      </c>
      <c r="C1487" s="139" t="s">
        <v>1927</v>
      </c>
      <c r="D1487" s="136" t="s">
        <v>44</v>
      </c>
      <c r="E1487" s="137">
        <v>1</v>
      </c>
      <c r="F1487" s="253">
        <v>12836069.999999998</v>
      </c>
      <c r="G1487" s="232">
        <v>750330</v>
      </c>
      <c r="H1487" s="138">
        <f t="shared" si="145"/>
        <v>13586399.999999998</v>
      </c>
      <c r="I1487" s="138">
        <f t="shared" si="147"/>
        <v>13586399.999999998</v>
      </c>
      <c r="J1487" s="48"/>
    </row>
    <row r="1488" spans="1:10" s="16" customFormat="1" ht="25.5" outlineLevel="3">
      <c r="A1488" s="91"/>
      <c r="B1488" s="35">
        <f>MAXA(B$5:B1487)+1</f>
        <v>786</v>
      </c>
      <c r="C1488" s="139" t="s">
        <v>1928</v>
      </c>
      <c r="D1488" s="136" t="s">
        <v>44</v>
      </c>
      <c r="E1488" s="137">
        <v>2</v>
      </c>
      <c r="F1488" s="253">
        <v>16745264.999999998</v>
      </c>
      <c r="G1488" s="232">
        <v>875385</v>
      </c>
      <c r="H1488" s="138">
        <f t="shared" ref="H1488:H1510" si="148">G1488+F1488</f>
        <v>17620650</v>
      </c>
      <c r="I1488" s="138">
        <f t="shared" ref="I1488:I1510" si="149">H1488*E1488</f>
        <v>35241300</v>
      </c>
      <c r="J1488" s="48"/>
    </row>
    <row r="1489" spans="1:10" s="16" customFormat="1" ht="25.5" outlineLevel="3">
      <c r="A1489" s="91"/>
      <c r="B1489" s="35">
        <f>MAXA(B$5:B1488)+1</f>
        <v>787</v>
      </c>
      <c r="C1489" s="139" t="s">
        <v>1929</v>
      </c>
      <c r="D1489" s="136" t="s">
        <v>44</v>
      </c>
      <c r="E1489" s="137">
        <v>2</v>
      </c>
      <c r="F1489" s="253">
        <v>17695395</v>
      </c>
      <c r="G1489" s="232">
        <v>1062968</v>
      </c>
      <c r="H1489" s="138">
        <f t="shared" si="148"/>
        <v>18758363</v>
      </c>
      <c r="I1489" s="138">
        <f t="shared" si="149"/>
        <v>37516726</v>
      </c>
      <c r="J1489" s="48"/>
    </row>
    <row r="1490" spans="1:10" s="16" customFormat="1" ht="25.5" outlineLevel="3">
      <c r="A1490" s="91"/>
      <c r="B1490" s="35">
        <f>MAXA(B$5:B1489)+1</f>
        <v>788</v>
      </c>
      <c r="C1490" s="139" t="s">
        <v>1930</v>
      </c>
      <c r="D1490" s="136" t="s">
        <v>44</v>
      </c>
      <c r="E1490" s="137">
        <v>1</v>
      </c>
      <c r="F1490" s="253">
        <v>12836069.999999998</v>
      </c>
      <c r="G1490" s="232">
        <v>812858</v>
      </c>
      <c r="H1490" s="138">
        <f t="shared" si="148"/>
        <v>13648927.999999998</v>
      </c>
      <c r="I1490" s="138">
        <f t="shared" si="149"/>
        <v>13648927.999999998</v>
      </c>
      <c r="J1490" s="48"/>
    </row>
    <row r="1491" spans="1:10" s="16" customFormat="1" ht="25.5" outlineLevel="3">
      <c r="A1491" s="91"/>
      <c r="B1491" s="35">
        <f>MAXA(B$5:B1490)+1</f>
        <v>789</v>
      </c>
      <c r="C1491" s="139" t="s">
        <v>1931</v>
      </c>
      <c r="D1491" s="136" t="s">
        <v>44</v>
      </c>
      <c r="E1491" s="137">
        <v>2</v>
      </c>
      <c r="F1491" s="253">
        <v>17695395</v>
      </c>
      <c r="G1491" s="232">
        <v>1000440</v>
      </c>
      <c r="H1491" s="138">
        <f t="shared" si="148"/>
        <v>18695835</v>
      </c>
      <c r="I1491" s="138">
        <f t="shared" si="149"/>
        <v>37391670</v>
      </c>
      <c r="J1491" s="48"/>
    </row>
    <row r="1492" spans="1:10" s="16" customFormat="1" ht="25.5" outlineLevel="3">
      <c r="A1492" s="91"/>
      <c r="B1492" s="35">
        <f>MAXA(B$5:B1491)+1</f>
        <v>790</v>
      </c>
      <c r="C1492" s="139" t="s">
        <v>1932</v>
      </c>
      <c r="D1492" s="136" t="s">
        <v>44</v>
      </c>
      <c r="E1492" s="137">
        <v>2</v>
      </c>
      <c r="F1492" s="253">
        <v>18435420</v>
      </c>
      <c r="G1492" s="232">
        <v>1062968</v>
      </c>
      <c r="H1492" s="138">
        <f t="shared" si="148"/>
        <v>19498388</v>
      </c>
      <c r="I1492" s="138">
        <f t="shared" si="149"/>
        <v>38996776</v>
      </c>
      <c r="J1492" s="48"/>
    </row>
    <row r="1493" spans="1:10" s="16" customFormat="1" ht="25.5" outlineLevel="3">
      <c r="A1493" s="91"/>
      <c r="B1493" s="35">
        <f>MAXA(B$5:B1492)+1</f>
        <v>791</v>
      </c>
      <c r="C1493" s="139" t="s">
        <v>1933</v>
      </c>
      <c r="D1493" s="136" t="s">
        <v>44</v>
      </c>
      <c r="E1493" s="137">
        <v>2</v>
      </c>
      <c r="F1493" s="253">
        <v>12836069.999999998</v>
      </c>
      <c r="G1493" s="232">
        <v>750330</v>
      </c>
      <c r="H1493" s="138">
        <f t="shared" si="148"/>
        <v>13586399.999999998</v>
      </c>
      <c r="I1493" s="138">
        <f t="shared" si="149"/>
        <v>27172799.999999996</v>
      </c>
      <c r="J1493" s="48"/>
    </row>
    <row r="1494" spans="1:10" s="16" customFormat="1" ht="25.5" outlineLevel="3">
      <c r="A1494" s="91"/>
      <c r="B1494" s="35">
        <f>MAXA(B$5:B1493)+1</f>
        <v>792</v>
      </c>
      <c r="C1494" s="139" t="s">
        <v>1934</v>
      </c>
      <c r="D1494" s="136" t="s">
        <v>44</v>
      </c>
      <c r="E1494" s="137">
        <v>7</v>
      </c>
      <c r="F1494" s="253">
        <v>14895719.999999998</v>
      </c>
      <c r="G1494" s="232">
        <v>750330</v>
      </c>
      <c r="H1494" s="138">
        <f t="shared" si="148"/>
        <v>15646049.999999998</v>
      </c>
      <c r="I1494" s="138">
        <f t="shared" si="149"/>
        <v>109522349.99999999</v>
      </c>
      <c r="J1494" s="48"/>
    </row>
    <row r="1495" spans="1:10" s="16" customFormat="1" ht="25.5" outlineLevel="3">
      <c r="A1495" s="91"/>
      <c r="B1495" s="35">
        <f>MAXA(B$5:B1494)+1</f>
        <v>793</v>
      </c>
      <c r="C1495" s="139" t="s">
        <v>1935</v>
      </c>
      <c r="D1495" s="136" t="s">
        <v>44</v>
      </c>
      <c r="E1495" s="137">
        <v>2</v>
      </c>
      <c r="F1495" s="253">
        <v>14895719.999999998</v>
      </c>
      <c r="G1495" s="232">
        <v>750330</v>
      </c>
      <c r="H1495" s="138">
        <f t="shared" si="148"/>
        <v>15646049.999999998</v>
      </c>
      <c r="I1495" s="138">
        <f t="shared" si="149"/>
        <v>31292099.999999996</v>
      </c>
      <c r="J1495" s="48"/>
    </row>
    <row r="1496" spans="1:10" s="16" customFormat="1" ht="25.5" outlineLevel="3">
      <c r="A1496" s="91"/>
      <c r="B1496" s="35">
        <f>MAXA(B$5:B1495)+1</f>
        <v>794</v>
      </c>
      <c r="C1496" s="139" t="s">
        <v>1936</v>
      </c>
      <c r="D1496" s="136" t="s">
        <v>44</v>
      </c>
      <c r="E1496" s="137">
        <v>3</v>
      </c>
      <c r="F1496" s="253">
        <v>19385550</v>
      </c>
      <c r="G1496" s="232">
        <v>1250550</v>
      </c>
      <c r="H1496" s="138">
        <f t="shared" si="148"/>
        <v>20636100</v>
      </c>
      <c r="I1496" s="138">
        <f t="shared" si="149"/>
        <v>61908300</v>
      </c>
      <c r="J1496" s="48"/>
    </row>
    <row r="1497" spans="1:10" s="16" customFormat="1" ht="25.5" outlineLevel="3">
      <c r="A1497" s="91"/>
      <c r="B1497" s="35">
        <f>MAXA(B$5:B1496)+1</f>
        <v>795</v>
      </c>
      <c r="C1497" s="139" t="s">
        <v>1937</v>
      </c>
      <c r="D1497" s="136" t="s">
        <v>44</v>
      </c>
      <c r="E1497" s="137">
        <v>2</v>
      </c>
      <c r="F1497" s="253">
        <v>16745264.999999998</v>
      </c>
      <c r="G1497" s="232">
        <v>875385</v>
      </c>
      <c r="H1497" s="138">
        <f t="shared" si="148"/>
        <v>17620650</v>
      </c>
      <c r="I1497" s="138">
        <f t="shared" si="149"/>
        <v>35241300</v>
      </c>
      <c r="J1497" s="48"/>
    </row>
    <row r="1498" spans="1:10" s="16" customFormat="1" ht="25.5" outlineLevel="3">
      <c r="A1498" s="91"/>
      <c r="B1498" s="35">
        <f>MAXA(B$5:B1497)+1</f>
        <v>796</v>
      </c>
      <c r="C1498" s="139" t="s">
        <v>1938</v>
      </c>
      <c r="D1498" s="136" t="s">
        <v>44</v>
      </c>
      <c r="E1498" s="137">
        <v>1</v>
      </c>
      <c r="F1498" s="253">
        <v>14895719.999999998</v>
      </c>
      <c r="G1498" s="232">
        <v>750330</v>
      </c>
      <c r="H1498" s="138">
        <f t="shared" si="148"/>
        <v>15646049.999999998</v>
      </c>
      <c r="I1498" s="138">
        <f t="shared" si="149"/>
        <v>15646049.999999998</v>
      </c>
      <c r="J1498" s="48"/>
    </row>
    <row r="1499" spans="1:10" s="16" customFormat="1" ht="25.5" outlineLevel="3">
      <c r="A1499" s="91"/>
      <c r="B1499" s="35">
        <f>MAXA(B$5:B1498)+1</f>
        <v>797</v>
      </c>
      <c r="C1499" s="139" t="s">
        <v>1939</v>
      </c>
      <c r="D1499" s="136" t="s">
        <v>44</v>
      </c>
      <c r="E1499" s="137">
        <v>2</v>
      </c>
      <c r="F1499" s="253">
        <v>19385550</v>
      </c>
      <c r="G1499" s="232">
        <v>1375605</v>
      </c>
      <c r="H1499" s="138">
        <f t="shared" si="148"/>
        <v>20761155</v>
      </c>
      <c r="I1499" s="138">
        <f t="shared" si="149"/>
        <v>41522310</v>
      </c>
      <c r="J1499" s="48"/>
    </row>
    <row r="1500" spans="1:10" s="16" customFormat="1" ht="25.5" outlineLevel="3">
      <c r="A1500" s="91"/>
      <c r="B1500" s="35">
        <f>MAXA(B$5:B1499)+1</f>
        <v>798</v>
      </c>
      <c r="C1500" s="139" t="s">
        <v>1940</v>
      </c>
      <c r="D1500" s="136" t="s">
        <v>44</v>
      </c>
      <c r="E1500" s="137">
        <v>1</v>
      </c>
      <c r="F1500" s="253">
        <v>17695395</v>
      </c>
      <c r="G1500" s="232">
        <v>1000440</v>
      </c>
      <c r="H1500" s="138">
        <f t="shared" si="148"/>
        <v>18695835</v>
      </c>
      <c r="I1500" s="138">
        <f t="shared" si="149"/>
        <v>18695835</v>
      </c>
      <c r="J1500" s="48"/>
    </row>
    <row r="1501" spans="1:10" s="16" customFormat="1" ht="25.5" outlineLevel="3">
      <c r="A1501" s="91"/>
      <c r="B1501" s="35">
        <f>MAXA(B$5:B1500)+1</f>
        <v>799</v>
      </c>
      <c r="C1501" s="139" t="s">
        <v>1941</v>
      </c>
      <c r="D1501" s="136" t="s">
        <v>44</v>
      </c>
      <c r="E1501" s="137">
        <v>2</v>
      </c>
      <c r="F1501" s="253">
        <v>16745264.999999998</v>
      </c>
      <c r="G1501" s="232">
        <v>875385</v>
      </c>
      <c r="H1501" s="138">
        <f t="shared" si="148"/>
        <v>17620650</v>
      </c>
      <c r="I1501" s="138">
        <f t="shared" si="149"/>
        <v>35241300</v>
      </c>
      <c r="J1501" s="48"/>
    </row>
    <row r="1502" spans="1:10" s="16" customFormat="1" ht="25.5" outlineLevel="3">
      <c r="A1502" s="91"/>
      <c r="B1502" s="35">
        <f>MAXA(B$5:B1501)+1</f>
        <v>800</v>
      </c>
      <c r="C1502" s="139" t="s">
        <v>1942</v>
      </c>
      <c r="D1502" s="136" t="s">
        <v>44</v>
      </c>
      <c r="E1502" s="137">
        <v>1</v>
      </c>
      <c r="F1502" s="253">
        <v>12836069.999999998</v>
      </c>
      <c r="G1502" s="232">
        <v>750330</v>
      </c>
      <c r="H1502" s="138">
        <f t="shared" si="148"/>
        <v>13586399.999999998</v>
      </c>
      <c r="I1502" s="138">
        <f t="shared" si="149"/>
        <v>13586399.999999998</v>
      </c>
      <c r="J1502" s="48"/>
    </row>
    <row r="1503" spans="1:10" s="16" customFormat="1" ht="25.5" outlineLevel="3">
      <c r="A1503" s="91"/>
      <c r="B1503" s="35">
        <f>MAXA(B$5:B1502)+1</f>
        <v>801</v>
      </c>
      <c r="C1503" s="139" t="s">
        <v>1943</v>
      </c>
      <c r="D1503" s="136" t="s">
        <v>44</v>
      </c>
      <c r="E1503" s="137">
        <v>2</v>
      </c>
      <c r="F1503" s="253">
        <v>17695395</v>
      </c>
      <c r="G1503" s="232">
        <v>875385</v>
      </c>
      <c r="H1503" s="138">
        <f t="shared" si="148"/>
        <v>18570780</v>
      </c>
      <c r="I1503" s="138">
        <f t="shared" si="149"/>
        <v>37141560</v>
      </c>
      <c r="J1503" s="48"/>
    </row>
    <row r="1504" spans="1:10" s="16" customFormat="1" ht="25.5" outlineLevel="3">
      <c r="A1504" s="91"/>
      <c r="B1504" s="35">
        <f>MAXA(B$5:B1503)+1</f>
        <v>802</v>
      </c>
      <c r="C1504" s="139" t="s">
        <v>1944</v>
      </c>
      <c r="D1504" s="136" t="s">
        <v>44</v>
      </c>
      <c r="E1504" s="137">
        <v>2</v>
      </c>
      <c r="F1504" s="253">
        <v>18435420</v>
      </c>
      <c r="G1504" s="232">
        <v>1125495</v>
      </c>
      <c r="H1504" s="138">
        <f t="shared" si="148"/>
        <v>19560915</v>
      </c>
      <c r="I1504" s="138">
        <f t="shared" si="149"/>
        <v>39121830</v>
      </c>
      <c r="J1504" s="48"/>
    </row>
    <row r="1505" spans="1:10" s="16" customFormat="1" ht="25.5" outlineLevel="3">
      <c r="A1505" s="91"/>
      <c r="B1505" s="35">
        <f>MAXA(B$5:B1504)+1</f>
        <v>803</v>
      </c>
      <c r="C1505" s="139" t="s">
        <v>1945</v>
      </c>
      <c r="D1505" s="136" t="s">
        <v>44</v>
      </c>
      <c r="E1505" s="137">
        <v>1</v>
      </c>
      <c r="F1505" s="253">
        <v>14895719.999999998</v>
      </c>
      <c r="G1505" s="232">
        <v>750330</v>
      </c>
      <c r="H1505" s="138">
        <f t="shared" si="148"/>
        <v>15646049.999999998</v>
      </c>
      <c r="I1505" s="138">
        <f t="shared" si="149"/>
        <v>15646049.999999998</v>
      </c>
      <c r="J1505" s="48"/>
    </row>
    <row r="1506" spans="1:10" s="16" customFormat="1" ht="25.5" outlineLevel="3">
      <c r="A1506" s="91"/>
      <c r="B1506" s="35">
        <f>MAXA(B$5:B1505)+1</f>
        <v>804</v>
      </c>
      <c r="C1506" s="139" t="s">
        <v>1946</v>
      </c>
      <c r="D1506" s="136" t="s">
        <v>44</v>
      </c>
      <c r="E1506" s="137">
        <v>2</v>
      </c>
      <c r="F1506" s="253">
        <v>17695395</v>
      </c>
      <c r="G1506" s="232">
        <v>1062968</v>
      </c>
      <c r="H1506" s="138">
        <f t="shared" si="148"/>
        <v>18758363</v>
      </c>
      <c r="I1506" s="138">
        <f t="shared" si="149"/>
        <v>37516726</v>
      </c>
      <c r="J1506" s="48"/>
    </row>
    <row r="1507" spans="1:10" s="16" customFormat="1" ht="25.5" outlineLevel="3">
      <c r="A1507" s="91"/>
      <c r="B1507" s="35">
        <f>MAXA(B$5:B1506)+1</f>
        <v>805</v>
      </c>
      <c r="C1507" s="139" t="s">
        <v>1947</v>
      </c>
      <c r="D1507" s="136" t="s">
        <v>44</v>
      </c>
      <c r="E1507" s="137">
        <v>2</v>
      </c>
      <c r="F1507" s="253">
        <v>18435420</v>
      </c>
      <c r="G1507" s="232">
        <v>1250550</v>
      </c>
      <c r="H1507" s="138">
        <f t="shared" si="148"/>
        <v>19685970</v>
      </c>
      <c r="I1507" s="138">
        <f t="shared" si="149"/>
        <v>39371940</v>
      </c>
      <c r="J1507" s="48"/>
    </row>
    <row r="1508" spans="1:10" s="16" customFormat="1" ht="25.5" outlineLevel="3">
      <c r="A1508" s="91"/>
      <c r="B1508" s="35">
        <f>MAXA(B$5:B1507)+1</f>
        <v>806</v>
      </c>
      <c r="C1508" s="139" t="s">
        <v>1948</v>
      </c>
      <c r="D1508" s="136" t="s">
        <v>44</v>
      </c>
      <c r="E1508" s="137">
        <v>2</v>
      </c>
      <c r="F1508" s="253">
        <v>14895719.999999998</v>
      </c>
      <c r="G1508" s="232">
        <v>750330</v>
      </c>
      <c r="H1508" s="138">
        <f t="shared" si="148"/>
        <v>15646049.999999998</v>
      </c>
      <c r="I1508" s="138">
        <f t="shared" si="149"/>
        <v>31292099.999999996</v>
      </c>
      <c r="J1508" s="48"/>
    </row>
    <row r="1509" spans="1:10" s="16" customFormat="1" ht="25.5" outlineLevel="3">
      <c r="A1509" s="91"/>
      <c r="B1509" s="35">
        <f>MAXA(B$5:B1508)+1</f>
        <v>807</v>
      </c>
      <c r="C1509" s="139" t="s">
        <v>1949</v>
      </c>
      <c r="D1509" s="136" t="s">
        <v>44</v>
      </c>
      <c r="E1509" s="137">
        <v>7</v>
      </c>
      <c r="F1509" s="253">
        <v>16745264.999999998</v>
      </c>
      <c r="G1509" s="232">
        <v>812858</v>
      </c>
      <c r="H1509" s="138">
        <f t="shared" si="148"/>
        <v>17558123</v>
      </c>
      <c r="I1509" s="138">
        <f t="shared" si="149"/>
        <v>122906861</v>
      </c>
      <c r="J1509" s="48"/>
    </row>
    <row r="1510" spans="1:10" s="16" customFormat="1" ht="25.5" outlineLevel="3">
      <c r="A1510" s="91"/>
      <c r="B1510" s="35">
        <f>MAXA(B$5:B1509)+1</f>
        <v>808</v>
      </c>
      <c r="C1510" s="139" t="s">
        <v>1950</v>
      </c>
      <c r="D1510" s="136" t="s">
        <v>44</v>
      </c>
      <c r="E1510" s="137">
        <v>2</v>
      </c>
      <c r="F1510" s="253">
        <v>16745264.999999998</v>
      </c>
      <c r="G1510" s="232">
        <v>875385</v>
      </c>
      <c r="H1510" s="138">
        <f t="shared" si="148"/>
        <v>17620650</v>
      </c>
      <c r="I1510" s="138">
        <f t="shared" si="149"/>
        <v>35241300</v>
      </c>
      <c r="J1510" s="48"/>
    </row>
    <row r="1511" spans="1:10" s="16" customFormat="1" ht="51" outlineLevel="3">
      <c r="A1511" s="91"/>
      <c r="B1511" s="35">
        <f>MAXA(B$5:B1510)+1</f>
        <v>809</v>
      </c>
      <c r="C1511" s="139" t="s">
        <v>1951</v>
      </c>
      <c r="D1511" s="136" t="s">
        <v>28</v>
      </c>
      <c r="E1511" s="137">
        <v>164</v>
      </c>
      <c r="F1511" s="232">
        <v>0</v>
      </c>
      <c r="G1511" s="232">
        <v>0</v>
      </c>
      <c r="H1511" s="127"/>
      <c r="I1511" s="127"/>
      <c r="J1511" s="134" t="s">
        <v>1952</v>
      </c>
    </row>
    <row r="1512" spans="1:10" s="16" customFormat="1" ht="25.5" outlineLevel="3">
      <c r="A1512" s="91"/>
      <c r="B1512" s="35">
        <f>MAXA(B$5:B1511)+1</f>
        <v>810</v>
      </c>
      <c r="C1512" s="139" t="s">
        <v>893</v>
      </c>
      <c r="D1512" s="136" t="s">
        <v>38</v>
      </c>
      <c r="E1512" s="137">
        <v>1</v>
      </c>
      <c r="F1512" s="232">
        <v>43004097</v>
      </c>
      <c r="G1512" s="232">
        <v>15194183</v>
      </c>
      <c r="H1512" s="138">
        <f>G1512+F1512</f>
        <v>58198280</v>
      </c>
      <c r="I1512" s="138">
        <f>H1512*E1512</f>
        <v>58198280</v>
      </c>
      <c r="J1512" s="48"/>
    </row>
    <row r="1513" spans="1:10" s="16" customFormat="1" ht="25.5" outlineLevel="3">
      <c r="A1513" s="91"/>
      <c r="B1513" s="35">
        <f>MAXA(B$5:B1512)+1</f>
        <v>811</v>
      </c>
      <c r="C1513" s="139" t="s">
        <v>894</v>
      </c>
      <c r="D1513" s="136" t="s">
        <v>38</v>
      </c>
      <c r="E1513" s="137">
        <v>1</v>
      </c>
      <c r="F1513" s="232">
        <v>71195671</v>
      </c>
      <c r="G1513" s="232">
        <v>25154813</v>
      </c>
      <c r="H1513" s="138">
        <f>G1513+F1513</f>
        <v>96350484</v>
      </c>
      <c r="I1513" s="138">
        <f>H1513*E1513</f>
        <v>96350484</v>
      </c>
      <c r="J1513" s="48"/>
    </row>
    <row r="1514" spans="1:10" s="16" customFormat="1" ht="25.5" outlineLevel="3">
      <c r="A1514" s="91"/>
      <c r="B1514" s="35">
        <f>MAXA(B$5:B1513)+1</f>
        <v>812</v>
      </c>
      <c r="C1514" s="146" t="s">
        <v>1041</v>
      </c>
      <c r="D1514" s="136" t="s">
        <v>38</v>
      </c>
      <c r="E1514" s="137">
        <v>1</v>
      </c>
      <c r="F1514" s="232">
        <v>103696121</v>
      </c>
      <c r="G1514" s="232">
        <v>18612124</v>
      </c>
      <c r="H1514" s="138">
        <f>G1514+F1514</f>
        <v>122308245</v>
      </c>
      <c r="I1514" s="138">
        <f>H1514*E1514</f>
        <v>122308245</v>
      </c>
      <c r="J1514" s="48"/>
    </row>
    <row r="1515" spans="1:10" s="16" customFormat="1" ht="27" outlineLevel="3">
      <c r="A1515" s="91"/>
      <c r="B1515" s="38"/>
      <c r="C1515" s="366" t="s">
        <v>895</v>
      </c>
      <c r="D1515" s="363"/>
      <c r="E1515" s="352"/>
      <c r="F1515" s="232">
        <v>0</v>
      </c>
      <c r="G1515" s="232">
        <v>0</v>
      </c>
      <c r="H1515" s="183"/>
      <c r="I1515" s="183"/>
      <c r="J1515" s="48"/>
    </row>
    <row r="1516" spans="1:10" s="16" customFormat="1" ht="25.5" outlineLevel="3">
      <c r="A1516" s="91"/>
      <c r="B1516" s="35">
        <f>MAXA(B$5:B1515)+1</f>
        <v>813</v>
      </c>
      <c r="C1516" s="139" t="s">
        <v>896</v>
      </c>
      <c r="D1516" s="230" t="s">
        <v>25</v>
      </c>
      <c r="E1516" s="137">
        <v>66</v>
      </c>
      <c r="F1516" s="232">
        <v>1733928</v>
      </c>
      <c r="G1516" s="232">
        <v>437693</v>
      </c>
      <c r="H1516" s="138">
        <f t="shared" ref="H1516:H1537" si="150">G1516+F1516</f>
        <v>2171621</v>
      </c>
      <c r="I1516" s="138">
        <f t="shared" ref="I1516:I1537" si="151">H1516*E1516</f>
        <v>143326986</v>
      </c>
      <c r="J1516" s="48"/>
    </row>
    <row r="1517" spans="1:10" s="16" customFormat="1" ht="25.5" outlineLevel="3">
      <c r="A1517" s="91"/>
      <c r="B1517" s="35">
        <f>MAXA(B$5:B1516)+1</f>
        <v>814</v>
      </c>
      <c r="C1517" s="139" t="s">
        <v>897</v>
      </c>
      <c r="D1517" s="230" t="s">
        <v>25</v>
      </c>
      <c r="E1517" s="137">
        <v>30</v>
      </c>
      <c r="F1517" s="232">
        <v>1383405</v>
      </c>
      <c r="G1517" s="232">
        <v>375165</v>
      </c>
      <c r="H1517" s="138">
        <f t="shared" si="150"/>
        <v>1758570</v>
      </c>
      <c r="I1517" s="138">
        <f t="shared" si="151"/>
        <v>52757100</v>
      </c>
      <c r="J1517" s="48"/>
    </row>
    <row r="1518" spans="1:10" s="16" customFormat="1" ht="25.5" outlineLevel="3">
      <c r="A1518" s="91"/>
      <c r="B1518" s="35">
        <f>MAXA(B$5:B1517)+1</f>
        <v>815</v>
      </c>
      <c r="C1518" s="139" t="s">
        <v>899</v>
      </c>
      <c r="D1518" s="230" t="s">
        <v>25</v>
      </c>
      <c r="E1518" s="137">
        <v>24</v>
      </c>
      <c r="F1518" s="232">
        <v>530072</v>
      </c>
      <c r="G1518" s="232">
        <v>190084</v>
      </c>
      <c r="H1518" s="138">
        <f t="shared" si="150"/>
        <v>720156</v>
      </c>
      <c r="I1518" s="138">
        <f t="shared" si="151"/>
        <v>17283744</v>
      </c>
      <c r="J1518" s="48"/>
    </row>
    <row r="1519" spans="1:10" s="16" customFormat="1" ht="25.5" outlineLevel="3">
      <c r="A1519" s="91"/>
      <c r="B1519" s="35">
        <f>MAXA(B$5:B1518)+1</f>
        <v>816</v>
      </c>
      <c r="C1519" s="139" t="s">
        <v>902</v>
      </c>
      <c r="D1519" s="230" t="s">
        <v>25</v>
      </c>
      <c r="E1519" s="137">
        <v>18</v>
      </c>
      <c r="F1519" s="232">
        <v>195468</v>
      </c>
      <c r="G1519" s="232">
        <v>97543</v>
      </c>
      <c r="H1519" s="138">
        <f t="shared" si="150"/>
        <v>293011</v>
      </c>
      <c r="I1519" s="138">
        <f t="shared" si="151"/>
        <v>5274198</v>
      </c>
      <c r="J1519" s="48"/>
    </row>
    <row r="1520" spans="1:10" s="16" customFormat="1" ht="25.5" outlineLevel="3">
      <c r="A1520" s="91"/>
      <c r="B1520" s="35">
        <f>MAXA(B$5:B1519)+1</f>
        <v>817</v>
      </c>
      <c r="C1520" s="139" t="s">
        <v>903</v>
      </c>
      <c r="D1520" s="230" t="s">
        <v>25</v>
      </c>
      <c r="E1520" s="137">
        <v>18</v>
      </c>
      <c r="F1520" s="232">
        <v>138732</v>
      </c>
      <c r="G1520" s="232">
        <v>60777</v>
      </c>
      <c r="H1520" s="138">
        <f t="shared" si="150"/>
        <v>199509</v>
      </c>
      <c r="I1520" s="138">
        <f t="shared" si="151"/>
        <v>3591162</v>
      </c>
      <c r="J1520" s="48"/>
    </row>
    <row r="1521" spans="1:10" s="16" customFormat="1" ht="25.5" outlineLevel="3">
      <c r="A1521" s="91"/>
      <c r="B1521" s="35">
        <f>MAXA(B$5:B1520)+1</f>
        <v>818</v>
      </c>
      <c r="C1521" s="139" t="s">
        <v>1953</v>
      </c>
      <c r="D1521" s="230" t="s">
        <v>25</v>
      </c>
      <c r="E1521" s="137">
        <v>114</v>
      </c>
      <c r="F1521" s="232">
        <v>2455034</v>
      </c>
      <c r="G1521" s="232">
        <v>730321</v>
      </c>
      <c r="H1521" s="138">
        <f t="shared" si="150"/>
        <v>3185355</v>
      </c>
      <c r="I1521" s="138">
        <f t="shared" si="151"/>
        <v>363130470</v>
      </c>
      <c r="J1521" s="48"/>
    </row>
    <row r="1522" spans="1:10" s="16" customFormat="1" ht="25.5" outlineLevel="3">
      <c r="A1522" s="91"/>
      <c r="B1522" s="35">
        <f>MAXA(B$5:B1521)+1</f>
        <v>819</v>
      </c>
      <c r="C1522" s="139" t="s">
        <v>1954</v>
      </c>
      <c r="D1522" s="230" t="s">
        <v>25</v>
      </c>
      <c r="E1522" s="137">
        <v>42</v>
      </c>
      <c r="F1522" s="232">
        <v>1979395</v>
      </c>
      <c r="G1522" s="232">
        <v>645284</v>
      </c>
      <c r="H1522" s="138">
        <f t="shared" si="150"/>
        <v>2624679</v>
      </c>
      <c r="I1522" s="138">
        <f t="shared" si="151"/>
        <v>110236518</v>
      </c>
      <c r="J1522" s="48"/>
    </row>
    <row r="1523" spans="1:10" s="16" customFormat="1" ht="25.5" outlineLevel="3">
      <c r="A1523" s="91"/>
      <c r="B1523" s="35">
        <f>MAXA(B$5:B1522)+1</f>
        <v>820</v>
      </c>
      <c r="C1523" s="139" t="s">
        <v>1955</v>
      </c>
      <c r="D1523" s="230" t="s">
        <v>25</v>
      </c>
      <c r="E1523" s="137">
        <v>24</v>
      </c>
      <c r="F1523" s="232">
        <v>1333952</v>
      </c>
      <c r="G1523" s="232">
        <v>498719</v>
      </c>
      <c r="H1523" s="138">
        <f t="shared" si="150"/>
        <v>1832671</v>
      </c>
      <c r="I1523" s="138">
        <f t="shared" si="151"/>
        <v>43984104</v>
      </c>
      <c r="J1523" s="48"/>
    </row>
    <row r="1524" spans="1:10" s="16" customFormat="1" ht="25.5" outlineLevel="3">
      <c r="A1524" s="91"/>
      <c r="B1524" s="35">
        <f>MAXA(B$5:B1523)+1</f>
        <v>821</v>
      </c>
      <c r="C1524" s="139" t="s">
        <v>1956</v>
      </c>
      <c r="D1524" s="230" t="s">
        <v>25</v>
      </c>
      <c r="E1524" s="137">
        <v>30</v>
      </c>
      <c r="F1524" s="232">
        <v>1069119</v>
      </c>
      <c r="G1524" s="232">
        <v>392673</v>
      </c>
      <c r="H1524" s="138">
        <f t="shared" si="150"/>
        <v>1461792</v>
      </c>
      <c r="I1524" s="138">
        <f t="shared" si="151"/>
        <v>43853760</v>
      </c>
      <c r="J1524" s="48"/>
    </row>
    <row r="1525" spans="1:10" s="16" customFormat="1" ht="25.5" outlineLevel="3">
      <c r="A1525" s="91"/>
      <c r="B1525" s="35">
        <f>MAXA(B$5:B1524)+1</f>
        <v>822</v>
      </c>
      <c r="C1525" s="139" t="s">
        <v>1957</v>
      </c>
      <c r="D1525" s="230" t="s">
        <v>25</v>
      </c>
      <c r="E1525" s="137">
        <v>264</v>
      </c>
      <c r="F1525" s="232">
        <v>885206</v>
      </c>
      <c r="G1525" s="232">
        <v>345152</v>
      </c>
      <c r="H1525" s="138">
        <f t="shared" si="150"/>
        <v>1230358</v>
      </c>
      <c r="I1525" s="138">
        <f t="shared" si="151"/>
        <v>324814512</v>
      </c>
      <c r="J1525" s="48"/>
    </row>
    <row r="1526" spans="1:10" s="16" customFormat="1" ht="25.5" outlineLevel="3">
      <c r="A1526" s="91"/>
      <c r="B1526" s="35">
        <f>MAXA(B$5:B1525)+1</f>
        <v>823</v>
      </c>
      <c r="C1526" s="139" t="s">
        <v>1958</v>
      </c>
      <c r="D1526" s="230" t="s">
        <v>25</v>
      </c>
      <c r="E1526" s="137">
        <v>132</v>
      </c>
      <c r="F1526" s="232">
        <v>677299</v>
      </c>
      <c r="G1526" s="232">
        <v>307635</v>
      </c>
      <c r="H1526" s="138">
        <f t="shared" si="150"/>
        <v>984934</v>
      </c>
      <c r="I1526" s="138">
        <f t="shared" si="151"/>
        <v>130011288</v>
      </c>
      <c r="J1526" s="48"/>
    </row>
    <row r="1527" spans="1:10" s="16" customFormat="1" ht="25.5" outlineLevel="3">
      <c r="A1527" s="91"/>
      <c r="B1527" s="35">
        <f>MAXA(B$5:B1526)+1</f>
        <v>824</v>
      </c>
      <c r="C1527" s="139" t="s">
        <v>1959</v>
      </c>
      <c r="D1527" s="230" t="s">
        <v>25</v>
      </c>
      <c r="E1527" s="137">
        <v>162</v>
      </c>
      <c r="F1527" s="232">
        <v>544739</v>
      </c>
      <c r="G1527" s="232">
        <v>255112</v>
      </c>
      <c r="H1527" s="138">
        <f t="shared" si="150"/>
        <v>799851</v>
      </c>
      <c r="I1527" s="138">
        <f t="shared" si="151"/>
        <v>129575862</v>
      </c>
      <c r="J1527" s="48"/>
    </row>
    <row r="1528" spans="1:10" s="16" customFormat="1" ht="25.5" outlineLevel="3">
      <c r="A1528" s="91"/>
      <c r="B1528" s="35">
        <f>MAXA(B$5:B1527)+1</f>
        <v>825</v>
      </c>
      <c r="C1528" s="139" t="s">
        <v>1960</v>
      </c>
      <c r="D1528" s="230" t="s">
        <v>25</v>
      </c>
      <c r="E1528" s="137">
        <v>312</v>
      </c>
      <c r="F1528" s="232">
        <v>463186</v>
      </c>
      <c r="G1528" s="232">
        <v>214469</v>
      </c>
      <c r="H1528" s="138">
        <f t="shared" si="150"/>
        <v>677655</v>
      </c>
      <c r="I1528" s="138">
        <f t="shared" si="151"/>
        <v>211428360</v>
      </c>
      <c r="J1528" s="48"/>
    </row>
    <row r="1529" spans="1:10" s="16" customFormat="1" ht="25.5" outlineLevel="3">
      <c r="A1529" s="91"/>
      <c r="B1529" s="35">
        <f>MAXA(B$5:B1528)+1</f>
        <v>826</v>
      </c>
      <c r="C1529" s="139" t="s">
        <v>1961</v>
      </c>
      <c r="D1529" s="230" t="s">
        <v>25</v>
      </c>
      <c r="E1529" s="137">
        <v>180</v>
      </c>
      <c r="F1529" s="232">
        <v>386447</v>
      </c>
      <c r="G1529" s="232">
        <v>188333</v>
      </c>
      <c r="H1529" s="138">
        <f t="shared" si="150"/>
        <v>574780</v>
      </c>
      <c r="I1529" s="138">
        <f t="shared" si="151"/>
        <v>103460400</v>
      </c>
      <c r="J1529" s="48"/>
    </row>
    <row r="1530" spans="1:10" s="16" customFormat="1" ht="25.5" outlineLevel="3">
      <c r="A1530" s="91"/>
      <c r="B1530" s="35">
        <f>MAXA(B$5:B1529)+1</f>
        <v>827</v>
      </c>
      <c r="C1530" s="139" t="s">
        <v>1962</v>
      </c>
      <c r="D1530" s="230" t="s">
        <v>25</v>
      </c>
      <c r="E1530" s="137">
        <v>264</v>
      </c>
      <c r="F1530" s="232">
        <v>333849</v>
      </c>
      <c r="G1530" s="232">
        <v>173201</v>
      </c>
      <c r="H1530" s="138">
        <f t="shared" si="150"/>
        <v>507050</v>
      </c>
      <c r="I1530" s="138">
        <f t="shared" si="151"/>
        <v>133861200</v>
      </c>
      <c r="J1530" s="48"/>
    </row>
    <row r="1531" spans="1:10" s="16" customFormat="1" ht="25.5" outlineLevel="3">
      <c r="A1531" s="91"/>
      <c r="B1531" s="35">
        <f>MAXA(B$5:B1530)+1</f>
        <v>828</v>
      </c>
      <c r="C1531" s="139" t="s">
        <v>1963</v>
      </c>
      <c r="D1531" s="230" t="s">
        <v>25</v>
      </c>
      <c r="E1531" s="137">
        <v>756</v>
      </c>
      <c r="F1531" s="232">
        <v>289758</v>
      </c>
      <c r="G1531" s="232">
        <v>160696</v>
      </c>
      <c r="H1531" s="138">
        <f t="shared" si="150"/>
        <v>450454</v>
      </c>
      <c r="I1531" s="138">
        <f t="shared" si="151"/>
        <v>340543224</v>
      </c>
      <c r="J1531" s="48"/>
    </row>
    <row r="1532" spans="1:10" s="16" customFormat="1" ht="25.5" outlineLevel="3">
      <c r="A1532" s="91"/>
      <c r="B1532" s="35">
        <f>MAXA(B$5:B1531)+1</f>
        <v>829</v>
      </c>
      <c r="C1532" s="139" t="s">
        <v>1964</v>
      </c>
      <c r="D1532" s="230" t="s">
        <v>25</v>
      </c>
      <c r="E1532" s="137">
        <v>678</v>
      </c>
      <c r="F1532" s="232">
        <v>225836</v>
      </c>
      <c r="G1532" s="232">
        <v>149816</v>
      </c>
      <c r="H1532" s="138">
        <f t="shared" si="150"/>
        <v>375652</v>
      </c>
      <c r="I1532" s="138">
        <f t="shared" si="151"/>
        <v>254692056</v>
      </c>
      <c r="J1532" s="48"/>
    </row>
    <row r="1533" spans="1:10" s="16" customFormat="1" ht="25.5" outlineLevel="3">
      <c r="A1533" s="91"/>
      <c r="B1533" s="35">
        <f>MAXA(B$5:B1532)+1</f>
        <v>830</v>
      </c>
      <c r="C1533" s="139" t="s">
        <v>1965</v>
      </c>
      <c r="D1533" s="230" t="s">
        <v>25</v>
      </c>
      <c r="E1533" s="137">
        <v>444</v>
      </c>
      <c r="F1533" s="232">
        <v>203805</v>
      </c>
      <c r="G1533" s="232">
        <v>145064</v>
      </c>
      <c r="H1533" s="138">
        <f t="shared" si="150"/>
        <v>348869</v>
      </c>
      <c r="I1533" s="138">
        <f t="shared" si="151"/>
        <v>154897836</v>
      </c>
      <c r="J1533" s="48"/>
    </row>
    <row r="1534" spans="1:10" s="16" customFormat="1" ht="25.5" outlineLevel="3">
      <c r="A1534" s="91"/>
      <c r="B1534" s="35">
        <f>MAXA(B$5:B1533)+1</f>
        <v>831</v>
      </c>
      <c r="C1534" s="139" t="s">
        <v>1966</v>
      </c>
      <c r="D1534" s="136" t="s">
        <v>38</v>
      </c>
      <c r="E1534" s="137">
        <v>1</v>
      </c>
      <c r="F1534" s="232">
        <v>95219158</v>
      </c>
      <c r="G1534" s="232">
        <v>34181236</v>
      </c>
      <c r="H1534" s="138">
        <f t="shared" si="150"/>
        <v>129400394</v>
      </c>
      <c r="I1534" s="138">
        <f t="shared" si="151"/>
        <v>129400394</v>
      </c>
      <c r="J1534" s="48"/>
    </row>
    <row r="1535" spans="1:10" s="16" customFormat="1" ht="25.5" outlineLevel="3">
      <c r="A1535" s="91"/>
      <c r="B1535" s="35">
        <f>MAXA(B$5:B1534)+1</f>
        <v>832</v>
      </c>
      <c r="C1535" s="139" t="s">
        <v>1967</v>
      </c>
      <c r="D1535" s="136" t="s">
        <v>38</v>
      </c>
      <c r="E1535" s="137">
        <v>1</v>
      </c>
      <c r="F1535" s="232">
        <v>414530447</v>
      </c>
      <c r="G1535" s="232">
        <v>148805802</v>
      </c>
      <c r="H1535" s="138">
        <f t="shared" si="150"/>
        <v>563336249</v>
      </c>
      <c r="I1535" s="138">
        <f t="shared" si="151"/>
        <v>563336249</v>
      </c>
      <c r="J1535" s="48"/>
    </row>
    <row r="1536" spans="1:10" s="16" customFormat="1" ht="25.5" outlineLevel="3">
      <c r="A1536" s="91"/>
      <c r="B1536" s="35">
        <f>MAXA(B$5:B1535)+1</f>
        <v>833</v>
      </c>
      <c r="C1536" s="146" t="s">
        <v>619</v>
      </c>
      <c r="D1536" s="136" t="s">
        <v>38</v>
      </c>
      <c r="E1536" s="137">
        <v>1</v>
      </c>
      <c r="F1536" s="232">
        <v>222980527</v>
      </c>
      <c r="G1536" s="232">
        <v>40022146</v>
      </c>
      <c r="H1536" s="138">
        <f t="shared" si="150"/>
        <v>263002673</v>
      </c>
      <c r="I1536" s="138">
        <f t="shared" si="151"/>
        <v>263002673</v>
      </c>
      <c r="J1536" s="48"/>
    </row>
    <row r="1537" spans="1:10" s="16" customFormat="1" ht="25.5" outlineLevel="3">
      <c r="A1537" s="91"/>
      <c r="B1537" s="35">
        <f>MAXA(B$5:B1536)+1</f>
        <v>834</v>
      </c>
      <c r="C1537" s="146" t="s">
        <v>1041</v>
      </c>
      <c r="D1537" s="136" t="s">
        <v>38</v>
      </c>
      <c r="E1537" s="137">
        <v>1</v>
      </c>
      <c r="F1537" s="232">
        <v>185817106</v>
      </c>
      <c r="G1537" s="232">
        <v>33351788</v>
      </c>
      <c r="H1537" s="138">
        <f t="shared" si="150"/>
        <v>219168894</v>
      </c>
      <c r="I1537" s="138">
        <f t="shared" si="151"/>
        <v>219168894</v>
      </c>
      <c r="J1537" s="48"/>
    </row>
    <row r="1538" spans="1:10" s="16" customFormat="1" ht="27" outlineLevel="3">
      <c r="A1538" s="91"/>
      <c r="B1538" s="38"/>
      <c r="C1538" s="366" t="s">
        <v>920</v>
      </c>
      <c r="D1538" s="363"/>
      <c r="E1538" s="352"/>
      <c r="F1538" s="232">
        <v>0</v>
      </c>
      <c r="G1538" s="232">
        <v>0</v>
      </c>
      <c r="H1538" s="183"/>
      <c r="I1538" s="183"/>
      <c r="J1538" s="48"/>
    </row>
    <row r="1539" spans="1:10" s="16" customFormat="1" ht="25.5" outlineLevel="3">
      <c r="A1539" s="91"/>
      <c r="B1539" s="35">
        <f>MAXA(B$5:B1538)+1</f>
        <v>835</v>
      </c>
      <c r="C1539" s="139" t="s">
        <v>921</v>
      </c>
      <c r="D1539" s="136" t="s">
        <v>28</v>
      </c>
      <c r="E1539" s="137">
        <v>3</v>
      </c>
      <c r="F1539" s="232">
        <v>12361240</v>
      </c>
      <c r="G1539" s="232">
        <v>1563188</v>
      </c>
      <c r="H1539" s="138">
        <f t="shared" ref="H1539:H1587" si="152">G1539+F1539</f>
        <v>13924428</v>
      </c>
      <c r="I1539" s="138">
        <f t="shared" ref="I1539:I1570" si="153">H1539*E1539</f>
        <v>41773284</v>
      </c>
      <c r="J1539" s="48"/>
    </row>
    <row r="1540" spans="1:10" s="16" customFormat="1" ht="25.5" outlineLevel="3">
      <c r="A1540" s="91"/>
      <c r="B1540" s="35">
        <f>MAXA(B$5:B1539)+1</f>
        <v>836</v>
      </c>
      <c r="C1540" s="139" t="s">
        <v>1968</v>
      </c>
      <c r="D1540" s="136" t="s">
        <v>28</v>
      </c>
      <c r="E1540" s="137">
        <v>25</v>
      </c>
      <c r="F1540" s="232">
        <v>7604863</v>
      </c>
      <c r="G1540" s="232">
        <v>781594</v>
      </c>
      <c r="H1540" s="138">
        <f t="shared" si="152"/>
        <v>8386457</v>
      </c>
      <c r="I1540" s="138">
        <f t="shared" si="153"/>
        <v>209661425</v>
      </c>
      <c r="J1540" s="48"/>
    </row>
    <row r="1541" spans="1:10" s="16" customFormat="1" ht="25.5" outlineLevel="3">
      <c r="A1541" s="91"/>
      <c r="B1541" s="35">
        <f>MAXA(B$5:B1540)+1</f>
        <v>837</v>
      </c>
      <c r="C1541" s="139" t="s">
        <v>923</v>
      </c>
      <c r="D1541" s="136" t="s">
        <v>28</v>
      </c>
      <c r="E1541" s="137">
        <v>12</v>
      </c>
      <c r="F1541" s="232">
        <v>4222214</v>
      </c>
      <c r="G1541" s="232">
        <v>625275</v>
      </c>
      <c r="H1541" s="138">
        <f t="shared" si="152"/>
        <v>4847489</v>
      </c>
      <c r="I1541" s="138">
        <f t="shared" si="153"/>
        <v>58169868</v>
      </c>
      <c r="J1541" s="48"/>
    </row>
    <row r="1542" spans="1:10" s="16" customFormat="1" ht="25.5" outlineLevel="3">
      <c r="A1542" s="91"/>
      <c r="B1542" s="35">
        <f>MAXA(B$5:B1541)+1</f>
        <v>838</v>
      </c>
      <c r="C1542" s="139" t="s">
        <v>583</v>
      </c>
      <c r="D1542" s="136" t="s">
        <v>28</v>
      </c>
      <c r="E1542" s="137">
        <v>4</v>
      </c>
      <c r="F1542" s="232">
        <v>3070279</v>
      </c>
      <c r="G1542" s="232">
        <v>521063</v>
      </c>
      <c r="H1542" s="138">
        <f t="shared" si="152"/>
        <v>3591342</v>
      </c>
      <c r="I1542" s="138">
        <f t="shared" si="153"/>
        <v>14365368</v>
      </c>
      <c r="J1542" s="48"/>
    </row>
    <row r="1543" spans="1:10" s="16" customFormat="1" ht="25.5" outlineLevel="3">
      <c r="A1543" s="91"/>
      <c r="B1543" s="35">
        <f>MAXA(B$5:B1542)+1</f>
        <v>839</v>
      </c>
      <c r="C1543" s="139" t="s">
        <v>924</v>
      </c>
      <c r="D1543" s="136" t="s">
        <v>28</v>
      </c>
      <c r="E1543" s="137">
        <v>10</v>
      </c>
      <c r="F1543" s="232">
        <v>1153096</v>
      </c>
      <c r="G1543" s="232">
        <v>364744</v>
      </c>
      <c r="H1543" s="138">
        <f t="shared" si="152"/>
        <v>1517840</v>
      </c>
      <c r="I1543" s="138">
        <f t="shared" si="153"/>
        <v>15178400</v>
      </c>
      <c r="J1543" s="48"/>
    </row>
    <row r="1544" spans="1:10" s="16" customFormat="1" ht="25.5" outlineLevel="3">
      <c r="A1544" s="91"/>
      <c r="B1544" s="35">
        <f>MAXA(B$5:B1543)+1</f>
        <v>840</v>
      </c>
      <c r="C1544" s="139" t="s">
        <v>580</v>
      </c>
      <c r="D1544" s="136" t="s">
        <v>28</v>
      </c>
      <c r="E1544" s="137">
        <v>2</v>
      </c>
      <c r="F1544" s="232">
        <v>782666</v>
      </c>
      <c r="G1544" s="232">
        <v>208425</v>
      </c>
      <c r="H1544" s="138">
        <f t="shared" si="152"/>
        <v>991091</v>
      </c>
      <c r="I1544" s="138">
        <f t="shared" si="153"/>
        <v>1982182</v>
      </c>
      <c r="J1544" s="48"/>
    </row>
    <row r="1545" spans="1:10" s="16" customFormat="1" ht="25.5" outlineLevel="3">
      <c r="A1545" s="91"/>
      <c r="B1545" s="35">
        <f>MAXA(B$5:B1544)+1</f>
        <v>841</v>
      </c>
      <c r="C1545" s="139" t="s">
        <v>925</v>
      </c>
      <c r="D1545" s="136" t="s">
        <v>28</v>
      </c>
      <c r="E1545" s="137">
        <v>116</v>
      </c>
      <c r="F1545" s="232">
        <v>391333</v>
      </c>
      <c r="G1545" s="232">
        <v>156319</v>
      </c>
      <c r="H1545" s="138">
        <f t="shared" si="152"/>
        <v>547652</v>
      </c>
      <c r="I1545" s="138">
        <f t="shared" si="153"/>
        <v>63527632</v>
      </c>
      <c r="J1545" s="48"/>
    </row>
    <row r="1546" spans="1:10" s="16" customFormat="1" ht="25.5" outlineLevel="3">
      <c r="A1546" s="91"/>
      <c r="B1546" s="35">
        <f>MAXA(B$5:B1545)+1</f>
        <v>842</v>
      </c>
      <c r="C1546" s="139" t="s">
        <v>599</v>
      </c>
      <c r="D1546" s="136" t="s">
        <v>28</v>
      </c>
      <c r="E1546" s="137">
        <v>124</v>
      </c>
      <c r="F1546" s="232">
        <v>281016</v>
      </c>
      <c r="G1546" s="232">
        <v>156319</v>
      </c>
      <c r="H1546" s="138">
        <f t="shared" si="152"/>
        <v>437335</v>
      </c>
      <c r="I1546" s="138">
        <f t="shared" si="153"/>
        <v>54229540</v>
      </c>
      <c r="J1546" s="48"/>
    </row>
    <row r="1547" spans="1:10" s="16" customFormat="1" ht="25.5" outlineLevel="3">
      <c r="A1547" s="91"/>
      <c r="B1547" s="35">
        <f>MAXA(B$5:B1546)+1</f>
        <v>843</v>
      </c>
      <c r="C1547" s="139" t="s">
        <v>926</v>
      </c>
      <c r="D1547" s="136" t="s">
        <v>28</v>
      </c>
      <c r="E1547" s="137">
        <v>86</v>
      </c>
      <c r="F1547" s="232">
        <v>207859</v>
      </c>
      <c r="G1547" s="232">
        <v>156319</v>
      </c>
      <c r="H1547" s="138">
        <f t="shared" si="152"/>
        <v>364178</v>
      </c>
      <c r="I1547" s="138">
        <f t="shared" si="153"/>
        <v>31319308</v>
      </c>
      <c r="J1547" s="48"/>
    </row>
    <row r="1548" spans="1:10" s="16" customFormat="1" ht="25.5" outlineLevel="3">
      <c r="A1548" s="91"/>
      <c r="B1548" s="35">
        <f>MAXA(B$5:B1547)+1</f>
        <v>844</v>
      </c>
      <c r="C1548" s="139" t="s">
        <v>1969</v>
      </c>
      <c r="D1548" s="136" t="s">
        <v>28</v>
      </c>
      <c r="E1548" s="137">
        <v>8</v>
      </c>
      <c r="F1548" s="232">
        <v>263598</v>
      </c>
      <c r="G1548" s="232">
        <v>156319</v>
      </c>
      <c r="H1548" s="138">
        <f t="shared" si="152"/>
        <v>419917</v>
      </c>
      <c r="I1548" s="138">
        <f t="shared" si="153"/>
        <v>3359336</v>
      </c>
      <c r="J1548" s="48"/>
    </row>
    <row r="1549" spans="1:10" s="16" customFormat="1" ht="25.5" outlineLevel="3">
      <c r="A1549" s="91"/>
      <c r="B1549" s="35">
        <f>MAXA(B$5:B1548)+1</f>
        <v>845</v>
      </c>
      <c r="C1549" s="135" t="s">
        <v>1970</v>
      </c>
      <c r="D1549" s="136" t="s">
        <v>28</v>
      </c>
      <c r="E1549" s="137">
        <v>2</v>
      </c>
      <c r="F1549" s="232">
        <v>3322265</v>
      </c>
      <c r="G1549" s="232">
        <v>468956</v>
      </c>
      <c r="H1549" s="138">
        <f t="shared" si="152"/>
        <v>3791221</v>
      </c>
      <c r="I1549" s="138">
        <f t="shared" si="153"/>
        <v>7582442</v>
      </c>
      <c r="J1549" s="48"/>
    </row>
    <row r="1550" spans="1:10" s="16" customFormat="1" ht="25.5" outlineLevel="3">
      <c r="A1550" s="91"/>
      <c r="B1550" s="35">
        <f>MAXA(B$5:B1549)+1</f>
        <v>846</v>
      </c>
      <c r="C1550" s="135" t="s">
        <v>1971</v>
      </c>
      <c r="D1550" s="136" t="s">
        <v>28</v>
      </c>
      <c r="E1550" s="137">
        <v>6</v>
      </c>
      <c r="F1550" s="232">
        <v>4937529</v>
      </c>
      <c r="G1550" s="232">
        <v>781594</v>
      </c>
      <c r="H1550" s="138">
        <f t="shared" si="152"/>
        <v>5719123</v>
      </c>
      <c r="I1550" s="138">
        <f t="shared" si="153"/>
        <v>34314738</v>
      </c>
      <c r="J1550" s="48"/>
    </row>
    <row r="1551" spans="1:10" s="16" customFormat="1" ht="25.5" outlineLevel="3">
      <c r="A1551" s="91"/>
      <c r="B1551" s="35">
        <f>MAXA(B$5:B1550)+1</f>
        <v>847</v>
      </c>
      <c r="C1551" s="135" t="s">
        <v>1972</v>
      </c>
      <c r="D1551" s="136" t="s">
        <v>28</v>
      </c>
      <c r="E1551" s="137">
        <v>1</v>
      </c>
      <c r="F1551" s="232">
        <v>1285476</v>
      </c>
      <c r="G1551" s="232">
        <v>364744</v>
      </c>
      <c r="H1551" s="138">
        <f t="shared" si="152"/>
        <v>1650220</v>
      </c>
      <c r="I1551" s="138">
        <f t="shared" si="153"/>
        <v>1650220</v>
      </c>
      <c r="J1551" s="48"/>
    </row>
    <row r="1552" spans="1:10" s="16" customFormat="1" ht="25.5" outlineLevel="3">
      <c r="A1552" s="91"/>
      <c r="B1552" s="35">
        <f>MAXA(B$5:B1551)+1</f>
        <v>848</v>
      </c>
      <c r="C1552" s="135" t="s">
        <v>1973</v>
      </c>
      <c r="D1552" s="136" t="s">
        <v>28</v>
      </c>
      <c r="E1552" s="137">
        <v>4</v>
      </c>
      <c r="F1552" s="232">
        <v>39466554</v>
      </c>
      <c r="G1552" s="232">
        <v>781594</v>
      </c>
      <c r="H1552" s="138">
        <f t="shared" si="152"/>
        <v>40248148</v>
      </c>
      <c r="I1552" s="138">
        <f t="shared" si="153"/>
        <v>160992592</v>
      </c>
      <c r="J1552" s="48"/>
    </row>
    <row r="1553" spans="1:12" s="16" customFormat="1" ht="25.5" outlineLevel="3">
      <c r="A1553" s="91"/>
      <c r="B1553" s="35">
        <f>MAXA(B$5:B1552)+1</f>
        <v>849</v>
      </c>
      <c r="C1553" s="135" t="s">
        <v>1974</v>
      </c>
      <c r="D1553" s="136" t="s">
        <v>28</v>
      </c>
      <c r="E1553" s="137">
        <v>4</v>
      </c>
      <c r="F1553" s="232">
        <v>18137173</v>
      </c>
      <c r="G1553" s="232">
        <v>625275</v>
      </c>
      <c r="H1553" s="138">
        <f t="shared" si="152"/>
        <v>18762448</v>
      </c>
      <c r="I1553" s="138">
        <f t="shared" si="153"/>
        <v>75049792</v>
      </c>
      <c r="J1553" s="48"/>
    </row>
    <row r="1554" spans="1:12" s="16" customFormat="1" ht="51" outlineLevel="3">
      <c r="A1554" s="91" t="s">
        <v>154</v>
      </c>
      <c r="B1554" s="35">
        <f>MAXA(B$5:B1553)+1</f>
        <v>850</v>
      </c>
      <c r="C1554" s="406" t="s">
        <v>1975</v>
      </c>
      <c r="D1554" s="136" t="s">
        <v>28</v>
      </c>
      <c r="E1554" s="137">
        <v>2</v>
      </c>
      <c r="F1554" s="232">
        <v>11807336</v>
      </c>
      <c r="G1554" s="232">
        <v>364744</v>
      </c>
      <c r="H1554" s="138">
        <f t="shared" si="152"/>
        <v>12172080</v>
      </c>
      <c r="I1554" s="138">
        <f t="shared" si="153"/>
        <v>24344160</v>
      </c>
      <c r="J1554" s="48"/>
      <c r="K1554" s="16" t="s">
        <v>482</v>
      </c>
      <c r="L1554" s="16" t="s">
        <v>952</v>
      </c>
    </row>
    <row r="1555" spans="1:12" s="16" customFormat="1" ht="51" outlineLevel="3">
      <c r="A1555" s="91" t="s">
        <v>154</v>
      </c>
      <c r="B1555" s="35">
        <f>MAXA(B$5:B1554)+1</f>
        <v>851</v>
      </c>
      <c r="C1555" s="406" t="s">
        <v>1976</v>
      </c>
      <c r="D1555" s="136" t="s">
        <v>28</v>
      </c>
      <c r="E1555" s="137">
        <v>58</v>
      </c>
      <c r="F1555" s="232">
        <v>4383624</v>
      </c>
      <c r="G1555" s="232">
        <v>156319</v>
      </c>
      <c r="H1555" s="138">
        <f t="shared" si="152"/>
        <v>4539943</v>
      </c>
      <c r="I1555" s="138">
        <f t="shared" si="153"/>
        <v>263316694</v>
      </c>
      <c r="J1555" s="48"/>
      <c r="K1555" s="16" t="s">
        <v>482</v>
      </c>
      <c r="L1555" s="16" t="s">
        <v>952</v>
      </c>
    </row>
    <row r="1556" spans="1:12" s="16" customFormat="1" ht="51" outlineLevel="3">
      <c r="A1556" s="91" t="s">
        <v>154</v>
      </c>
      <c r="B1556" s="35">
        <f>MAXA(B$5:B1555)+1</f>
        <v>852</v>
      </c>
      <c r="C1556" s="406" t="s">
        <v>1977</v>
      </c>
      <c r="D1556" s="136" t="s">
        <v>28</v>
      </c>
      <c r="E1556" s="137">
        <v>61</v>
      </c>
      <c r="F1556" s="232">
        <v>3852945</v>
      </c>
      <c r="G1556" s="232">
        <v>156319</v>
      </c>
      <c r="H1556" s="138">
        <f t="shared" si="152"/>
        <v>4009264</v>
      </c>
      <c r="I1556" s="138">
        <f t="shared" si="153"/>
        <v>244565104</v>
      </c>
      <c r="J1556" s="48"/>
      <c r="K1556" s="16" t="s">
        <v>482</v>
      </c>
      <c r="L1556" s="16" t="s">
        <v>952</v>
      </c>
    </row>
    <row r="1557" spans="1:12" s="16" customFormat="1" ht="51" outlineLevel="3">
      <c r="A1557" s="91" t="s">
        <v>154</v>
      </c>
      <c r="B1557" s="35">
        <f>MAXA(B$5:B1556)+1</f>
        <v>853</v>
      </c>
      <c r="C1557" s="406" t="s">
        <v>1978</v>
      </c>
      <c r="D1557" s="136" t="s">
        <v>28</v>
      </c>
      <c r="E1557" s="137">
        <v>43</v>
      </c>
      <c r="F1557" s="232">
        <v>3603281</v>
      </c>
      <c r="G1557" s="232">
        <v>156319</v>
      </c>
      <c r="H1557" s="138">
        <f t="shared" si="152"/>
        <v>3759600</v>
      </c>
      <c r="I1557" s="138">
        <f t="shared" si="153"/>
        <v>161662800</v>
      </c>
      <c r="J1557" s="48"/>
      <c r="K1557" s="16" t="s">
        <v>482</v>
      </c>
      <c r="L1557" s="16" t="s">
        <v>952</v>
      </c>
    </row>
    <row r="1558" spans="1:12" s="16" customFormat="1" ht="25.5" outlineLevel="3">
      <c r="A1558" s="91"/>
      <c r="B1558" s="35">
        <f>MAXA(B$5:B1557)+1</f>
        <v>854</v>
      </c>
      <c r="C1558" s="139" t="s">
        <v>1979</v>
      </c>
      <c r="D1558" s="136" t="s">
        <v>28</v>
      </c>
      <c r="E1558" s="137">
        <v>6</v>
      </c>
      <c r="F1558" s="232">
        <v>39278436</v>
      </c>
      <c r="G1558" s="232">
        <v>781594</v>
      </c>
      <c r="H1558" s="138">
        <f t="shared" si="152"/>
        <v>40060030</v>
      </c>
      <c r="I1558" s="138">
        <f t="shared" si="153"/>
        <v>240360180</v>
      </c>
      <c r="J1558" s="48"/>
    </row>
    <row r="1559" spans="1:12" s="16" customFormat="1" ht="25.5" outlineLevel="3">
      <c r="A1559" s="91"/>
      <c r="B1559" s="35">
        <f>MAXA(B$5:B1558)+1</f>
        <v>855</v>
      </c>
      <c r="C1559" s="139" t="s">
        <v>931</v>
      </c>
      <c r="D1559" s="136" t="s">
        <v>28</v>
      </c>
      <c r="E1559" s="137">
        <v>4</v>
      </c>
      <c r="F1559" s="232">
        <v>35697218</v>
      </c>
      <c r="G1559" s="232">
        <v>729488</v>
      </c>
      <c r="H1559" s="138">
        <f t="shared" si="152"/>
        <v>36426706</v>
      </c>
      <c r="I1559" s="138">
        <f t="shared" si="153"/>
        <v>145706824</v>
      </c>
      <c r="J1559" s="48"/>
    </row>
    <row r="1560" spans="1:12" s="16" customFormat="1" ht="25.5" outlineLevel="3">
      <c r="A1560" s="91"/>
      <c r="B1560" s="35">
        <f>MAXA(B$5:B1559)+1</f>
        <v>856</v>
      </c>
      <c r="C1560" s="139" t="s">
        <v>1980</v>
      </c>
      <c r="D1560" s="136" t="s">
        <v>28</v>
      </c>
      <c r="E1560" s="137">
        <v>1</v>
      </c>
      <c r="F1560" s="232">
        <v>48686681</v>
      </c>
      <c r="G1560" s="232">
        <v>1563188</v>
      </c>
      <c r="H1560" s="138">
        <f t="shared" si="152"/>
        <v>50249869</v>
      </c>
      <c r="I1560" s="138">
        <f t="shared" si="153"/>
        <v>50249869</v>
      </c>
      <c r="J1560" s="48"/>
    </row>
    <row r="1561" spans="1:12" s="16" customFormat="1" ht="25.5" outlineLevel="3">
      <c r="A1561" s="91"/>
      <c r="B1561" s="35">
        <f>MAXA(B$5:B1560)+1</f>
        <v>857</v>
      </c>
      <c r="C1561" s="407" t="s">
        <v>934</v>
      </c>
      <c r="D1561" s="408" t="s">
        <v>28</v>
      </c>
      <c r="E1561" s="409">
        <v>172</v>
      </c>
      <c r="F1561" s="232">
        <v>1245994</v>
      </c>
      <c r="G1561" s="232">
        <v>208425</v>
      </c>
      <c r="H1561" s="410">
        <f t="shared" si="152"/>
        <v>1454419</v>
      </c>
      <c r="I1561" s="410">
        <f t="shared" si="153"/>
        <v>250160068</v>
      </c>
      <c r="J1561" s="48"/>
    </row>
    <row r="1562" spans="1:12" s="16" customFormat="1" ht="25.5" outlineLevel="3">
      <c r="A1562" s="91"/>
      <c r="B1562" s="35">
        <f>MAXA(B$5:B1561)+1</f>
        <v>858</v>
      </c>
      <c r="C1562" s="411" t="s">
        <v>936</v>
      </c>
      <c r="D1562" s="408" t="s">
        <v>28</v>
      </c>
      <c r="E1562" s="409">
        <v>184</v>
      </c>
      <c r="F1562" s="232">
        <v>1153096</v>
      </c>
      <c r="G1562" s="232">
        <v>208425</v>
      </c>
      <c r="H1562" s="410">
        <f t="shared" si="152"/>
        <v>1361521</v>
      </c>
      <c r="I1562" s="410">
        <f t="shared" si="153"/>
        <v>250519864</v>
      </c>
      <c r="J1562" s="48"/>
    </row>
    <row r="1563" spans="1:12" s="16" customFormat="1" ht="25.5" outlineLevel="3">
      <c r="A1563" s="91"/>
      <c r="B1563" s="35">
        <f>MAXA(B$5:B1562)+1</f>
        <v>859</v>
      </c>
      <c r="C1563" s="411" t="s">
        <v>1981</v>
      </c>
      <c r="D1563" s="408" t="s">
        <v>28</v>
      </c>
      <c r="E1563" s="409">
        <v>6</v>
      </c>
      <c r="F1563" s="232">
        <v>8932143</v>
      </c>
      <c r="G1563" s="232">
        <v>1250550</v>
      </c>
      <c r="H1563" s="410">
        <f t="shared" si="152"/>
        <v>10182693</v>
      </c>
      <c r="I1563" s="410">
        <f t="shared" si="153"/>
        <v>61096158</v>
      </c>
      <c r="J1563" s="48"/>
    </row>
    <row r="1564" spans="1:12" s="16" customFormat="1" ht="25.5" outlineLevel="3">
      <c r="A1564" s="91"/>
      <c r="B1564" s="35">
        <f>MAXA(B$5:B1563)+1</f>
        <v>860</v>
      </c>
      <c r="C1564" s="411" t="s">
        <v>938</v>
      </c>
      <c r="D1564" s="408" t="s">
        <v>28</v>
      </c>
      <c r="E1564" s="409">
        <v>1</v>
      </c>
      <c r="F1564" s="232">
        <v>3840171</v>
      </c>
      <c r="G1564" s="232">
        <v>521063</v>
      </c>
      <c r="H1564" s="410">
        <f t="shared" si="152"/>
        <v>4361234</v>
      </c>
      <c r="I1564" s="410">
        <f t="shared" si="153"/>
        <v>4361234</v>
      </c>
      <c r="J1564" s="48"/>
    </row>
    <row r="1565" spans="1:12" s="16" customFormat="1" ht="25.5" outlineLevel="3">
      <c r="A1565" s="91"/>
      <c r="B1565" s="35">
        <f>MAXA(B$5:B1564)+1</f>
        <v>861</v>
      </c>
      <c r="C1565" s="411" t="s">
        <v>1982</v>
      </c>
      <c r="D1565" s="408" t="s">
        <v>28</v>
      </c>
      <c r="E1565" s="409">
        <v>1</v>
      </c>
      <c r="F1565" s="232">
        <v>2616240</v>
      </c>
      <c r="G1565" s="232">
        <v>468956</v>
      </c>
      <c r="H1565" s="410">
        <f t="shared" si="152"/>
        <v>3085196</v>
      </c>
      <c r="I1565" s="410">
        <f t="shared" si="153"/>
        <v>3085196</v>
      </c>
      <c r="J1565" s="48"/>
    </row>
    <row r="1566" spans="1:12" s="16" customFormat="1" ht="25.5" outlineLevel="3">
      <c r="A1566" s="91"/>
      <c r="B1566" s="35">
        <f>MAXA(B$5:B1565)+1</f>
        <v>862</v>
      </c>
      <c r="C1566" s="411" t="s">
        <v>1983</v>
      </c>
      <c r="D1566" s="408" t="s">
        <v>28</v>
      </c>
      <c r="E1566" s="409">
        <v>2</v>
      </c>
      <c r="F1566" s="232">
        <v>1048586</v>
      </c>
      <c r="G1566" s="232">
        <v>312638</v>
      </c>
      <c r="H1566" s="410">
        <f t="shared" si="152"/>
        <v>1361224</v>
      </c>
      <c r="I1566" s="410">
        <f t="shared" si="153"/>
        <v>2722448</v>
      </c>
      <c r="J1566" s="48"/>
    </row>
    <row r="1567" spans="1:12" s="16" customFormat="1" ht="25.5" outlineLevel="3">
      <c r="A1567" s="91"/>
      <c r="B1567" s="35">
        <f>MAXA(B$5:B1566)+1</f>
        <v>863</v>
      </c>
      <c r="C1567" s="411" t="s">
        <v>941</v>
      </c>
      <c r="D1567" s="408" t="s">
        <v>28</v>
      </c>
      <c r="E1567" s="409">
        <v>58</v>
      </c>
      <c r="F1567" s="232">
        <v>311208</v>
      </c>
      <c r="G1567" s="232">
        <v>208425</v>
      </c>
      <c r="H1567" s="410">
        <f t="shared" si="152"/>
        <v>519633</v>
      </c>
      <c r="I1567" s="410">
        <f t="shared" si="153"/>
        <v>30138714</v>
      </c>
      <c r="J1567" s="48"/>
    </row>
    <row r="1568" spans="1:12" s="16" customFormat="1" ht="25.5" outlineLevel="3">
      <c r="A1568" s="91"/>
      <c r="B1568" s="35">
        <f>MAXA(B$5:B1567)+1</f>
        <v>864</v>
      </c>
      <c r="C1568" s="411" t="s">
        <v>942</v>
      </c>
      <c r="D1568" s="408" t="s">
        <v>28</v>
      </c>
      <c r="E1568" s="409">
        <v>61</v>
      </c>
      <c r="F1568" s="232">
        <v>224116</v>
      </c>
      <c r="G1568" s="232">
        <v>208425</v>
      </c>
      <c r="H1568" s="410">
        <f t="shared" si="152"/>
        <v>432541</v>
      </c>
      <c r="I1568" s="410">
        <f t="shared" si="153"/>
        <v>26385001</v>
      </c>
      <c r="J1568" s="48"/>
    </row>
    <row r="1569" spans="1:10" s="16" customFormat="1" ht="25.5" outlineLevel="3">
      <c r="A1569" s="91"/>
      <c r="B1569" s="35">
        <f>MAXA(B$5:B1568)+1</f>
        <v>865</v>
      </c>
      <c r="C1569" s="411" t="s">
        <v>943</v>
      </c>
      <c r="D1569" s="408" t="s">
        <v>28</v>
      </c>
      <c r="E1569" s="409">
        <v>43</v>
      </c>
      <c r="F1569" s="232">
        <v>219472</v>
      </c>
      <c r="G1569" s="232">
        <v>208425</v>
      </c>
      <c r="H1569" s="410">
        <f t="shared" si="152"/>
        <v>427897</v>
      </c>
      <c r="I1569" s="410">
        <f t="shared" si="153"/>
        <v>18399571</v>
      </c>
      <c r="J1569" s="48"/>
    </row>
    <row r="1570" spans="1:10" s="16" customFormat="1" ht="25.5" outlineLevel="3">
      <c r="A1570" s="91"/>
      <c r="B1570" s="35">
        <f>MAXA(B$5:B1569)+1</f>
        <v>866</v>
      </c>
      <c r="C1570" s="411" t="s">
        <v>1984</v>
      </c>
      <c r="D1570" s="408" t="s">
        <v>28</v>
      </c>
      <c r="E1570" s="409">
        <v>20</v>
      </c>
      <c r="F1570" s="232">
        <v>7834785</v>
      </c>
      <c r="G1570" s="232">
        <v>781594</v>
      </c>
      <c r="H1570" s="410">
        <f t="shared" si="152"/>
        <v>8616379</v>
      </c>
      <c r="I1570" s="410">
        <f t="shared" si="153"/>
        <v>172327580</v>
      </c>
      <c r="J1570" s="48"/>
    </row>
    <row r="1571" spans="1:10" s="16" customFormat="1" ht="25.5" outlineLevel="3">
      <c r="A1571" s="91"/>
      <c r="B1571" s="35">
        <f>MAXA(B$5:B1570)+1</f>
        <v>867</v>
      </c>
      <c r="C1571" s="411" t="s">
        <v>945</v>
      </c>
      <c r="D1571" s="408" t="s">
        <v>28</v>
      </c>
      <c r="E1571" s="409">
        <v>2</v>
      </c>
      <c r="F1571" s="232">
        <v>1895119</v>
      </c>
      <c r="G1571" s="232">
        <v>625275</v>
      </c>
      <c r="H1571" s="410">
        <f t="shared" si="152"/>
        <v>2520394</v>
      </c>
      <c r="I1571" s="410">
        <f t="shared" ref="I1571:I1587" si="154">H1571*E1571</f>
        <v>5040788</v>
      </c>
      <c r="J1571" s="48"/>
    </row>
    <row r="1572" spans="1:10" s="16" customFormat="1" ht="25.5" outlineLevel="3">
      <c r="A1572" s="91"/>
      <c r="B1572" s="35">
        <f>MAXA(B$5:B1571)+1</f>
        <v>868</v>
      </c>
      <c r="C1572" s="411" t="s">
        <v>656</v>
      </c>
      <c r="D1572" s="408" t="s">
        <v>28</v>
      </c>
      <c r="E1572" s="409">
        <v>2</v>
      </c>
      <c r="F1572" s="232">
        <v>1429468</v>
      </c>
      <c r="G1572" s="232">
        <v>521063</v>
      </c>
      <c r="H1572" s="410">
        <f t="shared" si="152"/>
        <v>1950531</v>
      </c>
      <c r="I1572" s="410">
        <f t="shared" si="154"/>
        <v>3901062</v>
      </c>
      <c r="J1572" s="48"/>
    </row>
    <row r="1573" spans="1:10" s="16" customFormat="1" ht="25.5" outlineLevel="3">
      <c r="A1573" s="91"/>
      <c r="B1573" s="35">
        <f>MAXA(B$5:B1572)+1</f>
        <v>869</v>
      </c>
      <c r="C1573" s="411" t="s">
        <v>1985</v>
      </c>
      <c r="D1573" s="408" t="s">
        <v>28</v>
      </c>
      <c r="E1573" s="409">
        <v>4</v>
      </c>
      <c r="F1573" s="232">
        <v>989364</v>
      </c>
      <c r="G1573" s="232">
        <v>364744</v>
      </c>
      <c r="H1573" s="410">
        <f t="shared" si="152"/>
        <v>1354108</v>
      </c>
      <c r="I1573" s="410">
        <f t="shared" si="154"/>
        <v>5416432</v>
      </c>
      <c r="J1573" s="48"/>
    </row>
    <row r="1574" spans="1:10" s="16" customFormat="1" ht="25.5" outlineLevel="3">
      <c r="A1574" s="91"/>
      <c r="B1574" s="35">
        <f>MAXA(B$5:B1573)+1</f>
        <v>870</v>
      </c>
      <c r="C1574" s="411" t="s">
        <v>947</v>
      </c>
      <c r="D1574" s="408" t="s">
        <v>28</v>
      </c>
      <c r="E1574" s="409">
        <v>116</v>
      </c>
      <c r="F1574" s="232">
        <v>549259</v>
      </c>
      <c r="G1574" s="232">
        <v>156319</v>
      </c>
      <c r="H1574" s="410">
        <f t="shared" si="152"/>
        <v>705578</v>
      </c>
      <c r="I1574" s="410">
        <f t="shared" si="154"/>
        <v>81847048</v>
      </c>
      <c r="J1574" s="48"/>
    </row>
    <row r="1575" spans="1:10" s="16" customFormat="1" ht="25.5" outlineLevel="3">
      <c r="A1575" s="91"/>
      <c r="B1575" s="35">
        <f>MAXA(B$5:B1574)+1</f>
        <v>871</v>
      </c>
      <c r="C1575" s="411" t="s">
        <v>948</v>
      </c>
      <c r="D1575" s="408" t="s">
        <v>28</v>
      </c>
      <c r="E1575" s="409">
        <v>122</v>
      </c>
      <c r="F1575" s="232">
        <v>466812</v>
      </c>
      <c r="G1575" s="232">
        <v>156319</v>
      </c>
      <c r="H1575" s="410">
        <f t="shared" si="152"/>
        <v>623131</v>
      </c>
      <c r="I1575" s="410">
        <f t="shared" si="154"/>
        <v>76021982</v>
      </c>
      <c r="J1575" s="48"/>
    </row>
    <row r="1576" spans="1:10" s="16" customFormat="1" ht="25.5" outlineLevel="3">
      <c r="A1576" s="91"/>
      <c r="B1576" s="35">
        <f>MAXA(B$5:B1575)+1</f>
        <v>872</v>
      </c>
      <c r="C1576" s="411" t="s">
        <v>949</v>
      </c>
      <c r="D1576" s="408" t="s">
        <v>28</v>
      </c>
      <c r="E1576" s="409">
        <v>86</v>
      </c>
      <c r="F1576" s="232">
        <v>438943</v>
      </c>
      <c r="G1576" s="232">
        <v>156319</v>
      </c>
      <c r="H1576" s="410">
        <f t="shared" si="152"/>
        <v>595262</v>
      </c>
      <c r="I1576" s="410">
        <f t="shared" si="154"/>
        <v>51192532</v>
      </c>
      <c r="J1576" s="48"/>
    </row>
    <row r="1577" spans="1:10" s="16" customFormat="1" ht="25.5" outlineLevel="3">
      <c r="A1577" s="91"/>
      <c r="B1577" s="35">
        <f>MAXA(B$5:B1576)+1</f>
        <v>873</v>
      </c>
      <c r="C1577" s="407" t="s">
        <v>1986</v>
      </c>
      <c r="D1577" s="408" t="s">
        <v>38</v>
      </c>
      <c r="E1577" s="409">
        <v>1</v>
      </c>
      <c r="F1577" s="232">
        <v>187106091</v>
      </c>
      <c r="G1577" s="232">
        <v>52564922</v>
      </c>
      <c r="H1577" s="410">
        <f t="shared" si="152"/>
        <v>239671013</v>
      </c>
      <c r="I1577" s="410">
        <f t="shared" si="154"/>
        <v>239671013</v>
      </c>
      <c r="J1577" s="48"/>
    </row>
    <row r="1578" spans="1:10" s="16" customFormat="1" ht="25.5" outlineLevel="3">
      <c r="A1578" s="91"/>
      <c r="B1578" s="35">
        <f>MAXA(B$5:B1577)+1</f>
        <v>874</v>
      </c>
      <c r="C1578" s="139" t="s">
        <v>961</v>
      </c>
      <c r="D1578" s="136" t="s">
        <v>28</v>
      </c>
      <c r="E1578" s="137">
        <v>13</v>
      </c>
      <c r="F1578" s="232">
        <v>1141774</v>
      </c>
      <c r="G1578" s="232">
        <v>106297</v>
      </c>
      <c r="H1578" s="138">
        <f t="shared" si="152"/>
        <v>1248071</v>
      </c>
      <c r="I1578" s="138">
        <f t="shared" si="154"/>
        <v>16224923</v>
      </c>
      <c r="J1578" s="48"/>
    </row>
    <row r="1579" spans="1:10" s="16" customFormat="1" ht="25.5" outlineLevel="3">
      <c r="A1579" s="91"/>
      <c r="B1579" s="35">
        <f>MAXA(B$5:B1578)+1</f>
        <v>875</v>
      </c>
      <c r="C1579" s="139" t="s">
        <v>962</v>
      </c>
      <c r="D1579" s="136" t="s">
        <v>28</v>
      </c>
      <c r="E1579" s="137">
        <v>4</v>
      </c>
      <c r="F1579" s="232">
        <v>1995101</v>
      </c>
      <c r="G1579" s="232">
        <v>562748</v>
      </c>
      <c r="H1579" s="138">
        <f t="shared" si="152"/>
        <v>2557849</v>
      </c>
      <c r="I1579" s="138">
        <f t="shared" si="154"/>
        <v>10231396</v>
      </c>
      <c r="J1579" s="48"/>
    </row>
    <row r="1580" spans="1:10" s="16" customFormat="1" ht="25.5" outlineLevel="3">
      <c r="A1580" s="91"/>
      <c r="B1580" s="35">
        <f>MAXA(B$5:B1579)+1</f>
        <v>876</v>
      </c>
      <c r="C1580" s="139" t="s">
        <v>1987</v>
      </c>
      <c r="D1580" s="136" t="s">
        <v>28</v>
      </c>
      <c r="E1580" s="137">
        <v>352</v>
      </c>
      <c r="F1580" s="232">
        <v>971945</v>
      </c>
      <c r="G1580" s="232">
        <v>156319</v>
      </c>
      <c r="H1580" s="138">
        <f t="shared" si="152"/>
        <v>1128264</v>
      </c>
      <c r="I1580" s="138">
        <f t="shared" si="154"/>
        <v>397148928</v>
      </c>
      <c r="J1580" s="48"/>
    </row>
    <row r="1581" spans="1:10" s="16" customFormat="1" ht="25.5" outlineLevel="3">
      <c r="A1581" s="91"/>
      <c r="B1581" s="35">
        <f>MAXA(B$5:B1580)+1</f>
        <v>877</v>
      </c>
      <c r="C1581" s="139" t="s">
        <v>956</v>
      </c>
      <c r="D1581" s="136" t="s">
        <v>28</v>
      </c>
      <c r="E1581" s="137">
        <v>1</v>
      </c>
      <c r="F1581" s="232">
        <v>77234236</v>
      </c>
      <c r="G1581" s="232">
        <v>5210625</v>
      </c>
      <c r="H1581" s="138">
        <f t="shared" si="152"/>
        <v>82444861</v>
      </c>
      <c r="I1581" s="138">
        <f t="shared" si="154"/>
        <v>82444861</v>
      </c>
      <c r="J1581" s="48"/>
    </row>
    <row r="1582" spans="1:10" s="16" customFormat="1" ht="38.25" outlineLevel="3">
      <c r="A1582" s="91"/>
      <c r="B1582" s="35">
        <f>MAXA(B$5:B1581)+1</f>
        <v>878</v>
      </c>
      <c r="C1582" s="406" t="s">
        <v>1988</v>
      </c>
      <c r="D1582" s="136" t="s">
        <v>28</v>
      </c>
      <c r="E1582" s="137">
        <v>1</v>
      </c>
      <c r="F1582" s="232">
        <v>162082566</v>
      </c>
      <c r="G1582" s="232">
        <v>6252750</v>
      </c>
      <c r="H1582" s="138">
        <f t="shared" si="152"/>
        <v>168335316</v>
      </c>
      <c r="I1582" s="138">
        <f t="shared" si="154"/>
        <v>168335316</v>
      </c>
      <c r="J1582" s="48"/>
    </row>
    <row r="1583" spans="1:10" s="16" customFormat="1" ht="38.25" outlineLevel="3">
      <c r="A1583" s="91"/>
      <c r="B1583" s="35">
        <f>MAXA(B$5:B1582)+1</f>
        <v>879</v>
      </c>
      <c r="C1583" s="406" t="s">
        <v>1989</v>
      </c>
      <c r="D1583" s="136" t="s">
        <v>28</v>
      </c>
      <c r="E1583" s="137">
        <v>1</v>
      </c>
      <c r="F1583" s="232">
        <v>212663843</v>
      </c>
      <c r="G1583" s="232">
        <v>7503300</v>
      </c>
      <c r="H1583" s="138">
        <f t="shared" si="152"/>
        <v>220167143</v>
      </c>
      <c r="I1583" s="138">
        <f t="shared" si="154"/>
        <v>220167143</v>
      </c>
      <c r="J1583" s="48"/>
    </row>
    <row r="1584" spans="1:10" s="16" customFormat="1" ht="25.5" outlineLevel="3">
      <c r="A1584" s="91"/>
      <c r="B1584" s="35">
        <f>MAXA(B$5:B1583)+1</f>
        <v>880</v>
      </c>
      <c r="C1584" s="139" t="s">
        <v>959</v>
      </c>
      <c r="D1584" s="136" t="s">
        <v>28</v>
      </c>
      <c r="E1584" s="137">
        <v>6</v>
      </c>
      <c r="F1584" s="232">
        <v>728088</v>
      </c>
      <c r="G1584" s="232">
        <v>156319</v>
      </c>
      <c r="H1584" s="138">
        <f t="shared" si="152"/>
        <v>884407</v>
      </c>
      <c r="I1584" s="138">
        <f t="shared" si="154"/>
        <v>5306442</v>
      </c>
      <c r="J1584" s="48"/>
    </row>
    <row r="1585" spans="1:10" s="16" customFormat="1" ht="25.5" outlineLevel="3">
      <c r="A1585" s="91"/>
      <c r="B1585" s="35">
        <f>MAXA(B$5:B1584)+1</f>
        <v>881</v>
      </c>
      <c r="C1585" s="139" t="s">
        <v>964</v>
      </c>
      <c r="D1585" s="136" t="s">
        <v>28</v>
      </c>
      <c r="E1585" s="137">
        <v>8</v>
      </c>
      <c r="F1585" s="232">
        <v>231084</v>
      </c>
      <c r="G1585" s="232">
        <v>156319</v>
      </c>
      <c r="H1585" s="138">
        <f t="shared" si="152"/>
        <v>387403</v>
      </c>
      <c r="I1585" s="138">
        <f t="shared" si="154"/>
        <v>3099224</v>
      </c>
      <c r="J1585" s="48"/>
    </row>
    <row r="1586" spans="1:10" s="16" customFormat="1" ht="25.5" outlineLevel="3">
      <c r="A1586" s="91"/>
      <c r="B1586" s="35">
        <f>MAXA(B$5:B1585)+1</f>
        <v>882</v>
      </c>
      <c r="C1586" s="412" t="s">
        <v>960</v>
      </c>
      <c r="D1586" s="136" t="s">
        <v>28</v>
      </c>
      <c r="E1586" s="137">
        <v>1</v>
      </c>
      <c r="F1586" s="232">
        <v>7025585</v>
      </c>
      <c r="G1586" s="232">
        <v>375165</v>
      </c>
      <c r="H1586" s="138">
        <f t="shared" si="152"/>
        <v>7400750</v>
      </c>
      <c r="I1586" s="138">
        <f t="shared" si="154"/>
        <v>7400750</v>
      </c>
      <c r="J1586" s="48"/>
    </row>
    <row r="1587" spans="1:10" s="16" customFormat="1" ht="25.5" outlineLevel="3">
      <c r="A1587" s="91"/>
      <c r="B1587" s="35">
        <f>MAXA(B$5:B1586)+1</f>
        <v>883</v>
      </c>
      <c r="C1587" s="146" t="s">
        <v>320</v>
      </c>
      <c r="D1587" s="136" t="s">
        <v>38</v>
      </c>
      <c r="E1587" s="137">
        <v>1</v>
      </c>
      <c r="F1587" s="232">
        <v>154019214</v>
      </c>
      <c r="G1587" s="232">
        <v>27644474</v>
      </c>
      <c r="H1587" s="138">
        <f t="shared" si="152"/>
        <v>181663688</v>
      </c>
      <c r="I1587" s="138">
        <f t="shared" si="154"/>
        <v>181663688</v>
      </c>
      <c r="J1587" s="48"/>
    </row>
    <row r="1588" spans="1:10" s="16" customFormat="1" ht="27" outlineLevel="3">
      <c r="A1588" s="91"/>
      <c r="B1588" s="57" t="s">
        <v>275</v>
      </c>
      <c r="C1588" s="366" t="s">
        <v>1990</v>
      </c>
      <c r="D1588" s="404"/>
      <c r="E1588" s="352"/>
      <c r="F1588" s="232">
        <v>0</v>
      </c>
      <c r="G1588" s="232">
        <v>0</v>
      </c>
      <c r="H1588" s="183"/>
      <c r="I1588" s="183"/>
      <c r="J1588" s="48"/>
    </row>
    <row r="1589" spans="1:10" s="16" customFormat="1" ht="25.5" outlineLevel="3">
      <c r="A1589" s="91"/>
      <c r="B1589" s="35">
        <f>MAXA(B$5:B1588)+1</f>
        <v>884</v>
      </c>
      <c r="C1589" s="364" t="s">
        <v>1991</v>
      </c>
      <c r="D1589" s="136" t="s">
        <v>44</v>
      </c>
      <c r="E1589" s="137">
        <v>1</v>
      </c>
      <c r="F1589" s="232">
        <v>374962292</v>
      </c>
      <c r="G1589" s="232">
        <v>6252750</v>
      </c>
      <c r="H1589" s="138">
        <f t="shared" ref="H1589:H1605" si="155">G1589+F1589</f>
        <v>381215042</v>
      </c>
      <c r="I1589" s="138">
        <f t="shared" ref="I1589:I1605" si="156">H1589*E1589</f>
        <v>381215042</v>
      </c>
      <c r="J1589" s="48"/>
    </row>
    <row r="1590" spans="1:10" s="16" customFormat="1" ht="25.5" outlineLevel="3">
      <c r="A1590" s="91"/>
      <c r="B1590" s="35">
        <f>MAXA(B$5:B1589)+1</f>
        <v>885</v>
      </c>
      <c r="C1590" s="139" t="s">
        <v>1992</v>
      </c>
      <c r="D1590" s="136" t="s">
        <v>44</v>
      </c>
      <c r="E1590" s="137">
        <v>1</v>
      </c>
      <c r="F1590" s="232">
        <v>19871438</v>
      </c>
      <c r="G1590" s="232">
        <v>1250550</v>
      </c>
      <c r="H1590" s="138">
        <f t="shared" si="155"/>
        <v>21121988</v>
      </c>
      <c r="I1590" s="138">
        <f t="shared" si="156"/>
        <v>21121988</v>
      </c>
      <c r="J1590" s="48"/>
    </row>
    <row r="1591" spans="1:10" s="16" customFormat="1" ht="25.5" outlineLevel="3">
      <c r="A1591" s="91"/>
      <c r="B1591" s="35">
        <f>MAXA(B$5:B1590)+1</f>
        <v>886</v>
      </c>
      <c r="C1591" s="139" t="s">
        <v>1993</v>
      </c>
      <c r="D1591" s="136" t="s">
        <v>44</v>
      </c>
      <c r="E1591" s="137">
        <v>1</v>
      </c>
      <c r="F1591" s="232">
        <v>15588602</v>
      </c>
      <c r="G1591" s="232">
        <v>875385</v>
      </c>
      <c r="H1591" s="138">
        <f t="shared" si="155"/>
        <v>16463987</v>
      </c>
      <c r="I1591" s="138">
        <f t="shared" si="156"/>
        <v>16463987</v>
      </c>
      <c r="J1591" s="48"/>
    </row>
    <row r="1592" spans="1:10" s="16" customFormat="1" ht="25.5" outlineLevel="3">
      <c r="A1592" s="91"/>
      <c r="B1592" s="35">
        <f>MAXA(B$5:B1591)+1</f>
        <v>887</v>
      </c>
      <c r="C1592" s="139" t="s">
        <v>1994</v>
      </c>
      <c r="D1592" s="136" t="s">
        <v>44</v>
      </c>
      <c r="E1592" s="137">
        <v>1</v>
      </c>
      <c r="F1592" s="232">
        <v>19871438</v>
      </c>
      <c r="G1592" s="232">
        <v>1250550</v>
      </c>
      <c r="H1592" s="138">
        <f t="shared" si="155"/>
        <v>21121988</v>
      </c>
      <c r="I1592" s="138">
        <f t="shared" si="156"/>
        <v>21121988</v>
      </c>
      <c r="J1592" s="48"/>
    </row>
    <row r="1593" spans="1:10" s="16" customFormat="1" ht="25.5" outlineLevel="3">
      <c r="A1593" s="91"/>
      <c r="B1593" s="35">
        <f>MAXA(B$5:B1592)+1</f>
        <v>888</v>
      </c>
      <c r="C1593" s="139" t="s">
        <v>1995</v>
      </c>
      <c r="D1593" s="136" t="s">
        <v>44</v>
      </c>
      <c r="E1593" s="137">
        <v>1</v>
      </c>
      <c r="F1593" s="232">
        <v>18537081</v>
      </c>
      <c r="G1593" s="232">
        <v>1062968</v>
      </c>
      <c r="H1593" s="138">
        <f t="shared" si="155"/>
        <v>19600049</v>
      </c>
      <c r="I1593" s="138">
        <f t="shared" si="156"/>
        <v>19600049</v>
      </c>
      <c r="J1593" s="48"/>
    </row>
    <row r="1594" spans="1:10" s="16" customFormat="1" ht="25.5" outlineLevel="3">
      <c r="A1594" s="91"/>
      <c r="B1594" s="35">
        <f>MAXA(B$5:B1593)+1</f>
        <v>889</v>
      </c>
      <c r="C1594" s="139" t="s">
        <v>1996</v>
      </c>
      <c r="D1594" s="136" t="s">
        <v>44</v>
      </c>
      <c r="E1594" s="137">
        <v>1</v>
      </c>
      <c r="F1594" s="232">
        <v>12568742</v>
      </c>
      <c r="G1594" s="232">
        <v>750330</v>
      </c>
      <c r="H1594" s="138">
        <f t="shared" si="155"/>
        <v>13319072</v>
      </c>
      <c r="I1594" s="138">
        <f t="shared" si="156"/>
        <v>13319072</v>
      </c>
      <c r="J1594" s="48"/>
    </row>
    <row r="1595" spans="1:10" s="16" customFormat="1" ht="25.5" outlineLevel="3">
      <c r="A1595" s="91"/>
      <c r="B1595" s="35">
        <f>MAXA(B$5:B1594)+1</f>
        <v>890</v>
      </c>
      <c r="C1595" s="139" t="s">
        <v>1997</v>
      </c>
      <c r="D1595" s="136" t="s">
        <v>44</v>
      </c>
      <c r="E1595" s="137">
        <v>1</v>
      </c>
      <c r="F1595" s="232">
        <v>19871438</v>
      </c>
      <c r="G1595" s="232">
        <v>1250550</v>
      </c>
      <c r="H1595" s="138">
        <f t="shared" si="155"/>
        <v>21121988</v>
      </c>
      <c r="I1595" s="138">
        <f t="shared" si="156"/>
        <v>21121988</v>
      </c>
      <c r="J1595" s="48"/>
    </row>
    <row r="1596" spans="1:10" s="16" customFormat="1" ht="25.5" outlineLevel="3">
      <c r="A1596" s="91"/>
      <c r="B1596" s="35">
        <f>MAXA(B$5:B1595)+1</f>
        <v>891</v>
      </c>
      <c r="C1596" s="139" t="s">
        <v>1998</v>
      </c>
      <c r="D1596" s="136" t="s">
        <v>44</v>
      </c>
      <c r="E1596" s="137">
        <v>1</v>
      </c>
      <c r="F1596" s="232">
        <v>19871438</v>
      </c>
      <c r="G1596" s="232">
        <v>1250550</v>
      </c>
      <c r="H1596" s="138">
        <f t="shared" si="155"/>
        <v>21121988</v>
      </c>
      <c r="I1596" s="138">
        <f t="shared" si="156"/>
        <v>21121988</v>
      </c>
      <c r="J1596" s="48"/>
    </row>
    <row r="1597" spans="1:10" s="16" customFormat="1" ht="25.5" outlineLevel="3">
      <c r="A1597" s="91"/>
      <c r="B1597" s="35">
        <f>MAXA(B$5:B1596)+1</f>
        <v>892</v>
      </c>
      <c r="C1597" s="139" t="s">
        <v>1999</v>
      </c>
      <c r="D1597" s="136" t="s">
        <v>44</v>
      </c>
      <c r="E1597" s="137">
        <v>1</v>
      </c>
      <c r="F1597" s="232">
        <v>18537081</v>
      </c>
      <c r="G1597" s="232">
        <v>1062968</v>
      </c>
      <c r="H1597" s="138">
        <f t="shared" si="155"/>
        <v>19600049</v>
      </c>
      <c r="I1597" s="138">
        <f t="shared" si="156"/>
        <v>19600049</v>
      </c>
      <c r="J1597" s="48"/>
    </row>
    <row r="1598" spans="1:10" s="16" customFormat="1" ht="25.5" outlineLevel="3">
      <c r="A1598" s="91"/>
      <c r="B1598" s="35">
        <f>MAXA(B$5:B1597)+1</f>
        <v>893</v>
      </c>
      <c r="C1598" s="139" t="s">
        <v>2000</v>
      </c>
      <c r="D1598" s="136" t="s">
        <v>44</v>
      </c>
      <c r="E1598" s="137">
        <v>1</v>
      </c>
      <c r="F1598" s="232">
        <v>18537081</v>
      </c>
      <c r="G1598" s="232">
        <v>1062968</v>
      </c>
      <c r="H1598" s="138">
        <f t="shared" si="155"/>
        <v>19600049</v>
      </c>
      <c r="I1598" s="138">
        <f t="shared" si="156"/>
        <v>19600049</v>
      </c>
      <c r="J1598" s="48"/>
    </row>
    <row r="1599" spans="1:10" s="16" customFormat="1" ht="25.5" outlineLevel="3">
      <c r="A1599" s="91"/>
      <c r="B1599" s="35">
        <f>MAXA(B$5:B1598)+1</f>
        <v>894</v>
      </c>
      <c r="C1599" s="139" t="s">
        <v>2001</v>
      </c>
      <c r="D1599" s="136" t="s">
        <v>44</v>
      </c>
      <c r="E1599" s="137">
        <v>4</v>
      </c>
      <c r="F1599" s="232">
        <v>19871438</v>
      </c>
      <c r="G1599" s="232">
        <v>1250550</v>
      </c>
      <c r="H1599" s="138">
        <f t="shared" si="155"/>
        <v>21121988</v>
      </c>
      <c r="I1599" s="138">
        <f t="shared" si="156"/>
        <v>84487952</v>
      </c>
      <c r="J1599" s="48"/>
    </row>
    <row r="1600" spans="1:10" s="16" customFormat="1" ht="25.5" outlineLevel="3">
      <c r="A1600" s="91"/>
      <c r="B1600" s="35">
        <f>MAXA(B$5:B1599)+1</f>
        <v>895</v>
      </c>
      <c r="C1600" s="364" t="s">
        <v>2002</v>
      </c>
      <c r="D1600" s="136" t="s">
        <v>44</v>
      </c>
      <c r="E1600" s="137">
        <v>1</v>
      </c>
      <c r="F1600" s="232">
        <v>300531898</v>
      </c>
      <c r="G1600" s="232">
        <v>6252750</v>
      </c>
      <c r="H1600" s="138">
        <f t="shared" si="155"/>
        <v>306784648</v>
      </c>
      <c r="I1600" s="138">
        <f t="shared" si="156"/>
        <v>306784648</v>
      </c>
      <c r="J1600" s="48"/>
    </row>
    <row r="1601" spans="1:10" s="16" customFormat="1" ht="25.5" outlineLevel="3">
      <c r="A1601" s="91"/>
      <c r="B1601" s="35">
        <f>MAXA(B$5:B1600)+1</f>
        <v>896</v>
      </c>
      <c r="C1601" s="139" t="s">
        <v>2003</v>
      </c>
      <c r="D1601" s="136" t="s">
        <v>44</v>
      </c>
      <c r="E1601" s="137">
        <v>6</v>
      </c>
      <c r="F1601" s="232">
        <v>19871438</v>
      </c>
      <c r="G1601" s="232">
        <v>1250550</v>
      </c>
      <c r="H1601" s="138">
        <f t="shared" si="155"/>
        <v>21121988</v>
      </c>
      <c r="I1601" s="138">
        <f t="shared" si="156"/>
        <v>126731928</v>
      </c>
      <c r="J1601" s="48"/>
    </row>
    <row r="1602" spans="1:10" s="16" customFormat="1" ht="25.5" outlineLevel="3">
      <c r="A1602" s="91"/>
      <c r="B1602" s="35">
        <f>MAXA(B$5:B1601)+1</f>
        <v>897</v>
      </c>
      <c r="C1602" s="139" t="s">
        <v>2004</v>
      </c>
      <c r="D1602" s="136" t="s">
        <v>44</v>
      </c>
      <c r="E1602" s="137">
        <v>3</v>
      </c>
      <c r="F1602" s="232">
        <v>19871438</v>
      </c>
      <c r="G1602" s="232">
        <v>1250550</v>
      </c>
      <c r="H1602" s="138">
        <f t="shared" si="155"/>
        <v>21121988</v>
      </c>
      <c r="I1602" s="138">
        <f t="shared" si="156"/>
        <v>63365964</v>
      </c>
      <c r="J1602" s="48"/>
    </row>
    <row r="1603" spans="1:10" s="16" customFormat="1" ht="25.5" outlineLevel="3">
      <c r="A1603" s="91"/>
      <c r="B1603" s="35">
        <f>MAXA(B$5:B1602)+1</f>
        <v>898</v>
      </c>
      <c r="C1603" s="139" t="s">
        <v>891</v>
      </c>
      <c r="D1603" s="136" t="s">
        <v>28</v>
      </c>
      <c r="E1603" s="137">
        <v>22</v>
      </c>
      <c r="F1603" s="232">
        <v>3702581</v>
      </c>
      <c r="G1603" s="232">
        <v>250110</v>
      </c>
      <c r="H1603" s="138">
        <f t="shared" si="155"/>
        <v>3952691</v>
      </c>
      <c r="I1603" s="138">
        <f t="shared" si="156"/>
        <v>86959202</v>
      </c>
      <c r="J1603" s="48"/>
    </row>
    <row r="1604" spans="1:10" s="16" customFormat="1" ht="25.5" outlineLevel="3">
      <c r="A1604" s="91"/>
      <c r="B1604" s="35">
        <f>MAXA(B$5:B1603)+1</f>
        <v>899</v>
      </c>
      <c r="C1604" s="139" t="s">
        <v>2005</v>
      </c>
      <c r="D1604" s="136" t="s">
        <v>38</v>
      </c>
      <c r="E1604" s="137">
        <v>1</v>
      </c>
      <c r="F1604" s="232">
        <v>125955891</v>
      </c>
      <c r="G1604" s="232">
        <v>35321785</v>
      </c>
      <c r="H1604" s="138">
        <f t="shared" si="155"/>
        <v>161277676</v>
      </c>
      <c r="I1604" s="138">
        <f t="shared" si="156"/>
        <v>161277676</v>
      </c>
      <c r="J1604" s="48"/>
    </row>
    <row r="1605" spans="1:10" s="16" customFormat="1" ht="25.5" outlineLevel="3">
      <c r="A1605" s="91"/>
      <c r="B1605" s="35">
        <f>MAXA(B$5:B1604)+1</f>
        <v>900</v>
      </c>
      <c r="C1605" s="146" t="s">
        <v>37</v>
      </c>
      <c r="D1605" s="136" t="s">
        <v>38</v>
      </c>
      <c r="E1605" s="137">
        <v>1</v>
      </c>
      <c r="F1605" s="232">
        <v>44430667</v>
      </c>
      <c r="G1605" s="232">
        <v>7974735</v>
      </c>
      <c r="H1605" s="138">
        <f t="shared" si="155"/>
        <v>52405402</v>
      </c>
      <c r="I1605" s="138">
        <f t="shared" si="156"/>
        <v>52405402</v>
      </c>
      <c r="J1605" s="48"/>
    </row>
    <row r="1606" spans="1:10" s="16" customFormat="1" ht="25.5" outlineLevel="3">
      <c r="A1606" s="91"/>
      <c r="B1606" s="35"/>
      <c r="C1606" s="371" t="s">
        <v>2006</v>
      </c>
      <c r="D1606" s="136"/>
      <c r="E1606" s="137"/>
      <c r="F1606" s="232">
        <v>0</v>
      </c>
      <c r="G1606" s="232">
        <v>0</v>
      </c>
      <c r="H1606" s="183"/>
      <c r="I1606" s="183"/>
      <c r="J1606" s="48"/>
    </row>
    <row r="1607" spans="1:10" s="16" customFormat="1" ht="25.5" outlineLevel="3">
      <c r="A1607" s="91"/>
      <c r="B1607" s="35">
        <f>MAXA(B$5:B1606)+1</f>
        <v>901</v>
      </c>
      <c r="C1607" s="139" t="s">
        <v>2007</v>
      </c>
      <c r="D1607" s="136" t="s">
        <v>44</v>
      </c>
      <c r="E1607" s="137">
        <v>1</v>
      </c>
      <c r="F1607" s="232">
        <v>26169049</v>
      </c>
      <c r="G1607" s="232">
        <v>750330</v>
      </c>
      <c r="H1607" s="138">
        <f t="shared" ref="H1607:H1617" si="157">G1607+F1607</f>
        <v>26919379</v>
      </c>
      <c r="I1607" s="138">
        <f t="shared" ref="I1607:I1617" si="158">H1607*E1607</f>
        <v>26919379</v>
      </c>
      <c r="J1607" s="48"/>
    </row>
    <row r="1608" spans="1:10" s="16" customFormat="1" ht="25.5" outlineLevel="3">
      <c r="A1608" s="91"/>
      <c r="B1608" s="35">
        <f>MAXA(B$5:B1607)+1</f>
        <v>902</v>
      </c>
      <c r="C1608" s="139" t="s">
        <v>2008</v>
      </c>
      <c r="D1608" s="136" t="s">
        <v>44</v>
      </c>
      <c r="E1608" s="137">
        <v>1</v>
      </c>
      <c r="F1608" s="232">
        <v>9843615</v>
      </c>
      <c r="G1608" s="232">
        <v>750330</v>
      </c>
      <c r="H1608" s="138">
        <f t="shared" si="157"/>
        <v>10593945</v>
      </c>
      <c r="I1608" s="138">
        <f t="shared" si="158"/>
        <v>10593945</v>
      </c>
      <c r="J1608" s="48"/>
    </row>
    <row r="1609" spans="1:10" s="16" customFormat="1" ht="25.5" outlineLevel="3">
      <c r="A1609" s="91"/>
      <c r="B1609" s="35">
        <f>MAXA(B$5:B1608)+1</f>
        <v>903</v>
      </c>
      <c r="C1609" s="139" t="s">
        <v>2009</v>
      </c>
      <c r="D1609" s="136" t="s">
        <v>44</v>
      </c>
      <c r="E1609" s="137">
        <v>1</v>
      </c>
      <c r="F1609" s="232">
        <v>9843615</v>
      </c>
      <c r="G1609" s="232">
        <v>750330</v>
      </c>
      <c r="H1609" s="138">
        <f t="shared" si="157"/>
        <v>10593945</v>
      </c>
      <c r="I1609" s="138">
        <f t="shared" si="158"/>
        <v>10593945</v>
      </c>
      <c r="J1609" s="48"/>
    </row>
    <row r="1610" spans="1:10" s="16" customFormat="1" ht="25.5" outlineLevel="3">
      <c r="A1610" s="91"/>
      <c r="B1610" s="35">
        <f>MAXA(B$5:B1609)+1</f>
        <v>904</v>
      </c>
      <c r="C1610" s="139" t="s">
        <v>2010</v>
      </c>
      <c r="D1610" s="136" t="s">
        <v>44</v>
      </c>
      <c r="E1610" s="137">
        <v>1</v>
      </c>
      <c r="F1610" s="232">
        <v>21034251</v>
      </c>
      <c r="G1610" s="232">
        <v>750330</v>
      </c>
      <c r="H1610" s="138">
        <f t="shared" si="157"/>
        <v>21784581</v>
      </c>
      <c r="I1610" s="138">
        <f t="shared" si="158"/>
        <v>21784581</v>
      </c>
      <c r="J1610" s="48"/>
    </row>
    <row r="1611" spans="1:10" s="16" customFormat="1" ht="25.5" outlineLevel="3">
      <c r="A1611" s="91"/>
      <c r="B1611" s="35">
        <f>MAXA(B$5:B1610)+1</f>
        <v>905</v>
      </c>
      <c r="C1611" s="139" t="s">
        <v>2011</v>
      </c>
      <c r="D1611" s="136" t="s">
        <v>44</v>
      </c>
      <c r="E1611" s="137">
        <v>1</v>
      </c>
      <c r="F1611" s="232">
        <v>34020915</v>
      </c>
      <c r="G1611" s="232">
        <v>875385</v>
      </c>
      <c r="H1611" s="138">
        <f t="shared" si="157"/>
        <v>34896300</v>
      </c>
      <c r="I1611" s="138">
        <f t="shared" si="158"/>
        <v>34896300</v>
      </c>
      <c r="J1611" s="48"/>
    </row>
    <row r="1612" spans="1:10" s="16" customFormat="1" ht="25.5" outlineLevel="3">
      <c r="A1612" s="91"/>
      <c r="B1612" s="35">
        <f>MAXA(B$5:B1611)+1</f>
        <v>906</v>
      </c>
      <c r="C1612" s="139" t="s">
        <v>2012</v>
      </c>
      <c r="D1612" s="136" t="s">
        <v>44</v>
      </c>
      <c r="E1612" s="137">
        <v>1</v>
      </c>
      <c r="F1612" s="232">
        <v>9843615</v>
      </c>
      <c r="G1612" s="232">
        <v>750330</v>
      </c>
      <c r="H1612" s="138">
        <f t="shared" si="157"/>
        <v>10593945</v>
      </c>
      <c r="I1612" s="138">
        <f t="shared" si="158"/>
        <v>10593945</v>
      </c>
      <c r="J1612" s="48"/>
    </row>
    <row r="1613" spans="1:10" s="16" customFormat="1" ht="25.5" outlineLevel="3">
      <c r="A1613" s="91"/>
      <c r="B1613" s="35">
        <f>MAXA(B$5:B1612)+1</f>
        <v>907</v>
      </c>
      <c r="C1613" s="139" t="s">
        <v>2013</v>
      </c>
      <c r="D1613" s="136" t="s">
        <v>44</v>
      </c>
      <c r="E1613" s="137">
        <v>14</v>
      </c>
      <c r="F1613" s="232">
        <v>48147366</v>
      </c>
      <c r="G1613" s="232">
        <v>1375605</v>
      </c>
      <c r="H1613" s="138">
        <f t="shared" si="157"/>
        <v>49522971</v>
      </c>
      <c r="I1613" s="138">
        <f t="shared" si="158"/>
        <v>693321594</v>
      </c>
      <c r="J1613" s="48"/>
    </row>
    <row r="1614" spans="1:10" s="16" customFormat="1" ht="25.5" outlineLevel="3">
      <c r="A1614" s="91"/>
      <c r="B1614" s="35">
        <f>MAXA(B$5:B1613)+1</f>
        <v>908</v>
      </c>
      <c r="C1614" s="139" t="s">
        <v>2014</v>
      </c>
      <c r="D1614" s="136" t="s">
        <v>44</v>
      </c>
      <c r="E1614" s="137">
        <v>1</v>
      </c>
      <c r="F1614" s="232">
        <v>21034251</v>
      </c>
      <c r="G1614" s="232">
        <v>750330</v>
      </c>
      <c r="H1614" s="138">
        <f t="shared" si="157"/>
        <v>21784581</v>
      </c>
      <c r="I1614" s="138">
        <f t="shared" si="158"/>
        <v>21784581</v>
      </c>
      <c r="J1614" s="48"/>
    </row>
    <row r="1615" spans="1:10" s="16" customFormat="1" ht="25.5" outlineLevel="3">
      <c r="A1615" s="91"/>
      <c r="B1615" s="35">
        <f>MAXA(B$5:B1614)+1</f>
        <v>909</v>
      </c>
      <c r="C1615" s="139" t="s">
        <v>2015</v>
      </c>
      <c r="D1615" s="136" t="s">
        <v>44</v>
      </c>
      <c r="E1615" s="137">
        <v>1</v>
      </c>
      <c r="F1615" s="232">
        <v>34020915</v>
      </c>
      <c r="G1615" s="232">
        <v>875385</v>
      </c>
      <c r="H1615" s="138">
        <f t="shared" si="157"/>
        <v>34896300</v>
      </c>
      <c r="I1615" s="138">
        <f t="shared" si="158"/>
        <v>34896300</v>
      </c>
      <c r="J1615" s="48"/>
    </row>
    <row r="1616" spans="1:10" s="16" customFormat="1" ht="25.5" outlineLevel="3">
      <c r="A1616" s="91"/>
      <c r="B1616" s="35">
        <f>MAXA(B$5:B1615)+1</f>
        <v>910</v>
      </c>
      <c r="C1616" s="139" t="s">
        <v>2016</v>
      </c>
      <c r="D1616" s="136" t="s">
        <v>44</v>
      </c>
      <c r="E1616" s="137">
        <v>1</v>
      </c>
      <c r="F1616" s="232">
        <v>9843615</v>
      </c>
      <c r="G1616" s="232">
        <v>750330</v>
      </c>
      <c r="H1616" s="138">
        <f t="shared" si="157"/>
        <v>10593945</v>
      </c>
      <c r="I1616" s="138">
        <f t="shared" si="158"/>
        <v>10593945</v>
      </c>
      <c r="J1616" s="48"/>
    </row>
    <row r="1617" spans="1:10" s="16" customFormat="1" ht="25.5" outlineLevel="3">
      <c r="A1617" s="91"/>
      <c r="B1617" s="35">
        <f>MAXA(B$5:B1616)+1</f>
        <v>911</v>
      </c>
      <c r="C1617" s="146" t="s">
        <v>320</v>
      </c>
      <c r="D1617" s="136" t="s">
        <v>38</v>
      </c>
      <c r="E1617" s="137">
        <v>1</v>
      </c>
      <c r="F1617" s="232">
        <v>21200949</v>
      </c>
      <c r="G1617" s="232">
        <v>3805299</v>
      </c>
      <c r="H1617" s="138">
        <f t="shared" si="157"/>
        <v>25006248</v>
      </c>
      <c r="I1617" s="138">
        <f t="shared" si="158"/>
        <v>25006248</v>
      </c>
      <c r="J1617" s="48"/>
    </row>
    <row r="1618" spans="1:10" s="16" customFormat="1" ht="25.5" outlineLevel="3">
      <c r="A1618" s="91"/>
      <c r="B1618" s="35"/>
      <c r="C1618" s="139" t="s">
        <v>970</v>
      </c>
      <c r="D1618" s="136"/>
      <c r="E1618" s="137"/>
      <c r="F1618" s="232">
        <v>0</v>
      </c>
      <c r="G1618" s="232">
        <v>0</v>
      </c>
      <c r="H1618" s="183"/>
      <c r="I1618" s="183"/>
      <c r="J1618" s="48"/>
    </row>
    <row r="1619" spans="1:10" s="16" customFormat="1" ht="25.5" outlineLevel="3">
      <c r="A1619" s="91"/>
      <c r="B1619" s="35">
        <f>MAXA(B$5:B1618)+1</f>
        <v>912</v>
      </c>
      <c r="C1619" s="139" t="s">
        <v>2017</v>
      </c>
      <c r="D1619" s="230" t="s">
        <v>25</v>
      </c>
      <c r="E1619" s="137">
        <v>99</v>
      </c>
      <c r="F1619" s="232">
        <v>1302683</v>
      </c>
      <c r="G1619" s="232">
        <v>137561</v>
      </c>
      <c r="H1619" s="138">
        <f t="shared" ref="H1619:H1634" si="159">G1619+F1619</f>
        <v>1440244</v>
      </c>
      <c r="I1619" s="138">
        <f t="shared" ref="I1619:I1634" si="160">H1619*E1619</f>
        <v>142584156</v>
      </c>
      <c r="J1619" s="48"/>
    </row>
    <row r="1620" spans="1:10" s="16" customFormat="1" ht="25.5" outlineLevel="3">
      <c r="A1620" s="91"/>
      <c r="B1620" s="35">
        <f>MAXA(B$5:B1619)+1</f>
        <v>913</v>
      </c>
      <c r="C1620" s="139" t="s">
        <v>2018</v>
      </c>
      <c r="D1620" s="230" t="s">
        <v>25</v>
      </c>
      <c r="E1620" s="137">
        <v>30</v>
      </c>
      <c r="F1620" s="232">
        <v>1085003</v>
      </c>
      <c r="G1620" s="232">
        <v>131308</v>
      </c>
      <c r="H1620" s="138">
        <f t="shared" si="159"/>
        <v>1216311</v>
      </c>
      <c r="I1620" s="138">
        <f t="shared" si="160"/>
        <v>36489330</v>
      </c>
      <c r="J1620" s="48"/>
    </row>
    <row r="1621" spans="1:10" s="16" customFormat="1" ht="25.5" outlineLevel="3">
      <c r="A1621" s="91"/>
      <c r="B1621" s="35">
        <f>MAXA(B$5:B1620)+1</f>
        <v>914</v>
      </c>
      <c r="C1621" s="139" t="s">
        <v>2019</v>
      </c>
      <c r="D1621" s="230" t="s">
        <v>25</v>
      </c>
      <c r="E1621" s="137">
        <v>41</v>
      </c>
      <c r="F1621" s="232">
        <v>829016</v>
      </c>
      <c r="G1621" s="232">
        <v>118802</v>
      </c>
      <c r="H1621" s="138">
        <f t="shared" si="159"/>
        <v>947818</v>
      </c>
      <c r="I1621" s="138">
        <f t="shared" si="160"/>
        <v>38860538</v>
      </c>
      <c r="J1621" s="48"/>
    </row>
    <row r="1622" spans="1:10" s="16" customFormat="1" ht="25.5" outlineLevel="3">
      <c r="A1622" s="91"/>
      <c r="B1622" s="35">
        <f>MAXA(B$5:B1621)+1</f>
        <v>915</v>
      </c>
      <c r="C1622" s="139" t="s">
        <v>2020</v>
      </c>
      <c r="D1622" s="230" t="s">
        <v>25</v>
      </c>
      <c r="E1622" s="137">
        <v>22</v>
      </c>
      <c r="F1622" s="232">
        <v>743486</v>
      </c>
      <c r="G1622" s="232">
        <v>112550</v>
      </c>
      <c r="H1622" s="138">
        <f t="shared" si="159"/>
        <v>856036</v>
      </c>
      <c r="I1622" s="138">
        <f t="shared" si="160"/>
        <v>18832792</v>
      </c>
      <c r="J1622" s="48"/>
    </row>
    <row r="1623" spans="1:10" s="16" customFormat="1" ht="25.5" outlineLevel="3">
      <c r="A1623" s="91"/>
      <c r="B1623" s="35">
        <f>MAXA(B$5:B1622)+1</f>
        <v>916</v>
      </c>
      <c r="C1623" s="139" t="s">
        <v>2021</v>
      </c>
      <c r="D1623" s="230" t="s">
        <v>25</v>
      </c>
      <c r="E1623" s="137">
        <v>801</v>
      </c>
      <c r="F1623" s="232">
        <v>392059</v>
      </c>
      <c r="G1623" s="232">
        <v>87539</v>
      </c>
      <c r="H1623" s="138">
        <f t="shared" si="159"/>
        <v>479598</v>
      </c>
      <c r="I1623" s="138">
        <f t="shared" si="160"/>
        <v>384157998</v>
      </c>
      <c r="J1623" s="48"/>
    </row>
    <row r="1624" spans="1:10" s="16" customFormat="1" ht="25.5" outlineLevel="3">
      <c r="A1624" s="91"/>
      <c r="B1624" s="35">
        <f>MAXA(B$5:B1623)+1</f>
        <v>917</v>
      </c>
      <c r="C1624" s="139" t="s">
        <v>2022</v>
      </c>
      <c r="D1624" s="230" t="s">
        <v>25</v>
      </c>
      <c r="E1624" s="137">
        <v>33</v>
      </c>
      <c r="F1624" s="232">
        <v>532048</v>
      </c>
      <c r="G1624" s="232">
        <v>100044</v>
      </c>
      <c r="H1624" s="138">
        <f t="shared" si="159"/>
        <v>632092</v>
      </c>
      <c r="I1624" s="138">
        <f t="shared" si="160"/>
        <v>20859036</v>
      </c>
      <c r="J1624" s="48"/>
    </row>
    <row r="1625" spans="1:10" s="16" customFormat="1" ht="25.5" outlineLevel="3">
      <c r="A1625" s="91"/>
      <c r="B1625" s="35">
        <f>MAXA(B$5:B1624)+1</f>
        <v>918</v>
      </c>
      <c r="C1625" s="139" t="s">
        <v>2023</v>
      </c>
      <c r="D1625" s="230" t="s">
        <v>25</v>
      </c>
      <c r="E1625" s="137">
        <v>71</v>
      </c>
      <c r="F1625" s="232">
        <v>266849</v>
      </c>
      <c r="G1625" s="232">
        <v>75033</v>
      </c>
      <c r="H1625" s="138">
        <f t="shared" si="159"/>
        <v>341882</v>
      </c>
      <c r="I1625" s="138">
        <f t="shared" si="160"/>
        <v>24273622</v>
      </c>
      <c r="J1625" s="48"/>
    </row>
    <row r="1626" spans="1:10" s="16" customFormat="1" ht="25.5" outlineLevel="3">
      <c r="A1626" s="91"/>
      <c r="B1626" s="35">
        <f>MAXA(B$5:B1625)+1</f>
        <v>919</v>
      </c>
      <c r="C1626" s="139" t="s">
        <v>971</v>
      </c>
      <c r="D1626" s="230" t="s">
        <v>25</v>
      </c>
      <c r="E1626" s="137">
        <v>81</v>
      </c>
      <c r="F1626" s="232">
        <v>226001</v>
      </c>
      <c r="G1626" s="232">
        <v>68780</v>
      </c>
      <c r="H1626" s="138">
        <f t="shared" si="159"/>
        <v>294781</v>
      </c>
      <c r="I1626" s="138">
        <f t="shared" si="160"/>
        <v>23877261</v>
      </c>
      <c r="J1626" s="48"/>
    </row>
    <row r="1627" spans="1:10" s="16" customFormat="1" ht="25.5" outlineLevel="3">
      <c r="A1627" s="91"/>
      <c r="B1627" s="35">
        <f>MAXA(B$5:B1626)+1</f>
        <v>920</v>
      </c>
      <c r="C1627" s="139" t="s">
        <v>2024</v>
      </c>
      <c r="D1627" s="136" t="s">
        <v>38</v>
      </c>
      <c r="E1627" s="137">
        <v>1</v>
      </c>
      <c r="F1627" s="232">
        <v>87106703</v>
      </c>
      <c r="G1627" s="232">
        <v>15634536</v>
      </c>
      <c r="H1627" s="138">
        <f t="shared" si="159"/>
        <v>102741239</v>
      </c>
      <c r="I1627" s="138">
        <f t="shared" si="160"/>
        <v>102741239</v>
      </c>
      <c r="J1627" s="48"/>
    </row>
    <row r="1628" spans="1:10" s="16" customFormat="1" ht="25.5" outlineLevel="3">
      <c r="A1628" s="91"/>
      <c r="B1628" s="35">
        <f>MAXA(B$5:B1627)+1</f>
        <v>921</v>
      </c>
      <c r="C1628" s="139" t="s">
        <v>2025</v>
      </c>
      <c r="D1628" s="136" t="s">
        <v>28</v>
      </c>
      <c r="E1628" s="137">
        <v>6</v>
      </c>
      <c r="F1628" s="232">
        <v>580613</v>
      </c>
      <c r="G1628" s="232">
        <v>375165</v>
      </c>
      <c r="H1628" s="138">
        <f t="shared" si="159"/>
        <v>955778</v>
      </c>
      <c r="I1628" s="138">
        <f t="shared" si="160"/>
        <v>5734668</v>
      </c>
      <c r="J1628" s="48"/>
    </row>
    <row r="1629" spans="1:10" s="16" customFormat="1" ht="25.5" outlineLevel="3">
      <c r="A1629" s="91"/>
      <c r="B1629" s="35">
        <f>MAXA(B$5:B1628)+1</f>
        <v>922</v>
      </c>
      <c r="C1629" s="139" t="s">
        <v>2026</v>
      </c>
      <c r="D1629" s="136" t="s">
        <v>194</v>
      </c>
      <c r="E1629" s="137">
        <v>24</v>
      </c>
      <c r="F1629" s="232">
        <v>580613</v>
      </c>
      <c r="G1629" s="232">
        <v>350154</v>
      </c>
      <c r="H1629" s="138">
        <f t="shared" si="159"/>
        <v>930767</v>
      </c>
      <c r="I1629" s="138">
        <f t="shared" si="160"/>
        <v>22338408</v>
      </c>
      <c r="J1629" s="48"/>
    </row>
    <row r="1630" spans="1:10" s="16" customFormat="1" ht="25.5" outlineLevel="3">
      <c r="A1630" s="91"/>
      <c r="B1630" s="35">
        <f>MAXA(B$5:B1629)+1</f>
        <v>923</v>
      </c>
      <c r="C1630" s="139" t="s">
        <v>972</v>
      </c>
      <c r="D1630" s="136" t="s">
        <v>38</v>
      </c>
      <c r="E1630" s="137">
        <v>1</v>
      </c>
      <c r="F1630" s="232">
        <v>11778305</v>
      </c>
      <c r="G1630" s="232">
        <v>2114055</v>
      </c>
      <c r="H1630" s="138">
        <f t="shared" si="159"/>
        <v>13892360</v>
      </c>
      <c r="I1630" s="138">
        <f t="shared" si="160"/>
        <v>13892360</v>
      </c>
      <c r="J1630" s="48"/>
    </row>
    <row r="1631" spans="1:10" s="16" customFormat="1" ht="25.5" outlineLevel="3">
      <c r="A1631" s="91"/>
      <c r="B1631" s="35">
        <f>MAXA(B$5:B1630)+1</f>
        <v>924</v>
      </c>
      <c r="C1631" s="139" t="s">
        <v>2027</v>
      </c>
      <c r="D1631" s="230" t="s">
        <v>25</v>
      </c>
      <c r="E1631" s="137">
        <v>43</v>
      </c>
      <c r="F1631" s="232">
        <v>845774</v>
      </c>
      <c r="G1631" s="232">
        <v>90318</v>
      </c>
      <c r="H1631" s="138">
        <f t="shared" si="159"/>
        <v>936092</v>
      </c>
      <c r="I1631" s="138">
        <f t="shared" si="160"/>
        <v>40251956</v>
      </c>
      <c r="J1631" s="48"/>
    </row>
    <row r="1632" spans="1:10" s="16" customFormat="1" ht="25.5" outlineLevel="3">
      <c r="A1632" s="91"/>
      <c r="B1632" s="35">
        <f>MAXA(B$5:B1631)+1</f>
        <v>925</v>
      </c>
      <c r="C1632" s="139" t="s">
        <v>2028</v>
      </c>
      <c r="D1632" s="230" t="s">
        <v>25</v>
      </c>
      <c r="E1632" s="137">
        <v>38</v>
      </c>
      <c r="F1632" s="232">
        <v>2156529</v>
      </c>
      <c r="G1632" s="232">
        <v>122574</v>
      </c>
      <c r="H1632" s="138">
        <f t="shared" si="159"/>
        <v>2279103</v>
      </c>
      <c r="I1632" s="138">
        <f t="shared" si="160"/>
        <v>86605914</v>
      </c>
      <c r="J1632" s="48"/>
    </row>
    <row r="1633" spans="1:11" s="16" customFormat="1" ht="25.5" outlineLevel="3">
      <c r="A1633" s="91"/>
      <c r="B1633" s="35">
        <f>MAXA(B$5:B1632)+1</f>
        <v>926</v>
      </c>
      <c r="C1633" s="139" t="s">
        <v>2029</v>
      </c>
      <c r="D1633" s="230" t="s">
        <v>25</v>
      </c>
      <c r="E1633" s="137">
        <v>16</v>
      </c>
      <c r="F1633" s="232">
        <v>4312914</v>
      </c>
      <c r="G1633" s="232">
        <v>387075</v>
      </c>
      <c r="H1633" s="138">
        <f t="shared" si="159"/>
        <v>4699989</v>
      </c>
      <c r="I1633" s="138">
        <f t="shared" si="160"/>
        <v>75199824</v>
      </c>
      <c r="J1633" s="48"/>
    </row>
    <row r="1634" spans="1:11" s="16" customFormat="1" ht="25.5" outlineLevel="3">
      <c r="A1634" s="91"/>
      <c r="B1634" s="35">
        <f>MAXA(B$5:B1633)+1</f>
        <v>927</v>
      </c>
      <c r="C1634" s="146" t="s">
        <v>37</v>
      </c>
      <c r="D1634" s="136" t="s">
        <v>38</v>
      </c>
      <c r="E1634" s="137">
        <v>1</v>
      </c>
      <c r="F1634" s="232">
        <v>100375628</v>
      </c>
      <c r="G1634" s="232">
        <v>18016138</v>
      </c>
      <c r="H1634" s="138">
        <f t="shared" si="159"/>
        <v>118391766</v>
      </c>
      <c r="I1634" s="138">
        <f t="shared" si="160"/>
        <v>118391766</v>
      </c>
      <c r="J1634" s="48"/>
    </row>
    <row r="1635" spans="1:11" s="16" customFormat="1" ht="26.25" outlineLevel="3">
      <c r="A1635" s="91"/>
      <c r="B1635" s="38" t="s">
        <v>321</v>
      </c>
      <c r="C1635" s="366" t="s">
        <v>2030</v>
      </c>
      <c r="D1635" s="363"/>
      <c r="E1635" s="352"/>
      <c r="F1635" s="232">
        <v>0</v>
      </c>
      <c r="G1635" s="232">
        <v>0</v>
      </c>
      <c r="H1635" s="183"/>
      <c r="I1635" s="183"/>
      <c r="J1635" s="48"/>
    </row>
    <row r="1636" spans="1:11" s="16" customFormat="1" ht="25.5" outlineLevel="3">
      <c r="A1636" s="91"/>
      <c r="B1636" s="35">
        <f>MAXA(B$5:B1635)+1</f>
        <v>928</v>
      </c>
      <c r="C1636" s="139" t="s">
        <v>975</v>
      </c>
      <c r="D1636" s="230" t="s">
        <v>25</v>
      </c>
      <c r="E1636" s="137">
        <v>220</v>
      </c>
      <c r="F1636" s="232">
        <v>99477</v>
      </c>
      <c r="G1636" s="232">
        <v>81286</v>
      </c>
      <c r="H1636" s="138">
        <f t="shared" ref="H1636:H1643" si="161">G1636+F1636</f>
        <v>180763</v>
      </c>
      <c r="I1636" s="138">
        <f t="shared" ref="I1636:I1643" si="162">H1636*E1636</f>
        <v>39767860</v>
      </c>
      <c r="J1636" s="48"/>
    </row>
    <row r="1637" spans="1:11" s="16" customFormat="1" ht="25.5" outlineLevel="3">
      <c r="A1637" s="91"/>
      <c r="B1637" s="35">
        <f>MAXA(B$5:B1636)+1</f>
        <v>929</v>
      </c>
      <c r="C1637" s="139" t="s">
        <v>976</v>
      </c>
      <c r="D1637" s="230" t="s">
        <v>25</v>
      </c>
      <c r="E1637" s="137">
        <v>136</v>
      </c>
      <c r="F1637" s="232">
        <v>77304</v>
      </c>
      <c r="G1637" s="232">
        <v>75033</v>
      </c>
      <c r="H1637" s="138">
        <f t="shared" si="161"/>
        <v>152337</v>
      </c>
      <c r="I1637" s="138">
        <f t="shared" si="162"/>
        <v>20717832</v>
      </c>
      <c r="J1637" s="48"/>
    </row>
    <row r="1638" spans="1:11" s="16" customFormat="1" ht="25.5" outlineLevel="3">
      <c r="A1638" s="91"/>
      <c r="B1638" s="35">
        <f>MAXA(B$5:B1637)+1</f>
        <v>930</v>
      </c>
      <c r="C1638" s="139" t="s">
        <v>977</v>
      </c>
      <c r="D1638" s="230" t="s">
        <v>25</v>
      </c>
      <c r="E1638" s="137">
        <v>176</v>
      </c>
      <c r="F1638" s="232">
        <v>63674</v>
      </c>
      <c r="G1638" s="232">
        <v>68780</v>
      </c>
      <c r="H1638" s="138">
        <f t="shared" si="161"/>
        <v>132454</v>
      </c>
      <c r="I1638" s="138">
        <f t="shared" si="162"/>
        <v>23311904</v>
      </c>
      <c r="J1638" s="48"/>
    </row>
    <row r="1639" spans="1:11" s="16" customFormat="1" ht="25.5" outlineLevel="3">
      <c r="A1639" s="91"/>
      <c r="B1639" s="35">
        <f>MAXA(B$5:B1638)+1</f>
        <v>931</v>
      </c>
      <c r="C1639" s="139" t="s">
        <v>978</v>
      </c>
      <c r="D1639" s="230" t="s">
        <v>25</v>
      </c>
      <c r="E1639" s="137">
        <v>188</v>
      </c>
      <c r="F1639" s="232">
        <v>48190</v>
      </c>
      <c r="G1639" s="232">
        <v>56275</v>
      </c>
      <c r="H1639" s="138">
        <f t="shared" si="161"/>
        <v>104465</v>
      </c>
      <c r="I1639" s="138">
        <f t="shared" si="162"/>
        <v>19639420</v>
      </c>
      <c r="J1639" s="48"/>
    </row>
    <row r="1640" spans="1:11" s="16" customFormat="1" ht="25.5" outlineLevel="3">
      <c r="A1640" s="91"/>
      <c r="B1640" s="35">
        <f>MAXA(B$5:B1639)+1</f>
        <v>932</v>
      </c>
      <c r="C1640" s="139" t="s">
        <v>979</v>
      </c>
      <c r="D1640" s="230" t="s">
        <v>25</v>
      </c>
      <c r="E1640" s="137">
        <v>1240</v>
      </c>
      <c r="F1640" s="232">
        <v>42113</v>
      </c>
      <c r="G1640" s="232">
        <v>43769</v>
      </c>
      <c r="H1640" s="138">
        <f t="shared" si="161"/>
        <v>85882</v>
      </c>
      <c r="I1640" s="138">
        <f t="shared" si="162"/>
        <v>106493680</v>
      </c>
      <c r="J1640" s="48"/>
    </row>
    <row r="1641" spans="1:11" s="16" customFormat="1" ht="25.5" outlineLevel="3">
      <c r="A1641" s="91"/>
      <c r="B1641" s="35">
        <f>MAXA(B$5:B1640)+1</f>
        <v>933</v>
      </c>
      <c r="C1641" s="139" t="s">
        <v>980</v>
      </c>
      <c r="D1641" s="136" t="s">
        <v>38</v>
      </c>
      <c r="E1641" s="137">
        <v>1</v>
      </c>
      <c r="F1641" s="232">
        <v>49801476</v>
      </c>
      <c r="G1641" s="232">
        <v>8938726</v>
      </c>
      <c r="H1641" s="138">
        <f t="shared" si="161"/>
        <v>58740202</v>
      </c>
      <c r="I1641" s="138">
        <f t="shared" si="162"/>
        <v>58740202</v>
      </c>
      <c r="J1641" s="48"/>
    </row>
    <row r="1642" spans="1:11" s="16" customFormat="1" ht="25.5" outlineLevel="3">
      <c r="A1642" s="91"/>
      <c r="B1642" s="35">
        <f>MAXA(B$5:B1641)+1</f>
        <v>934</v>
      </c>
      <c r="C1642" s="146" t="s">
        <v>619</v>
      </c>
      <c r="D1642" s="136" t="s">
        <v>38</v>
      </c>
      <c r="E1642" s="137">
        <v>1</v>
      </c>
      <c r="F1642" s="232">
        <v>18376745</v>
      </c>
      <c r="G1642" s="232">
        <v>3298390</v>
      </c>
      <c r="H1642" s="138">
        <f t="shared" si="161"/>
        <v>21675135</v>
      </c>
      <c r="I1642" s="138">
        <f t="shared" si="162"/>
        <v>21675135</v>
      </c>
      <c r="J1642" s="48"/>
    </row>
    <row r="1643" spans="1:11" s="16" customFormat="1" ht="25.5" outlineLevel="3">
      <c r="A1643" s="91"/>
      <c r="B1643" s="35">
        <f>MAXA(B$5:B1642)+1</f>
        <v>935</v>
      </c>
      <c r="C1643" s="146" t="s">
        <v>828</v>
      </c>
      <c r="D1643" s="136" t="s">
        <v>38</v>
      </c>
      <c r="E1643" s="137">
        <v>1</v>
      </c>
      <c r="F1643" s="232">
        <v>12251163</v>
      </c>
      <c r="G1643" s="232">
        <v>2198927</v>
      </c>
      <c r="H1643" s="138">
        <f t="shared" si="161"/>
        <v>14450090</v>
      </c>
      <c r="I1643" s="138">
        <f t="shared" si="162"/>
        <v>14450090</v>
      </c>
      <c r="J1643" s="48"/>
    </row>
    <row r="1644" spans="1:11" s="16" customFormat="1" ht="27" outlineLevel="3">
      <c r="A1644" s="91"/>
      <c r="B1644" s="38" t="s">
        <v>370</v>
      </c>
      <c r="C1644" s="366" t="s">
        <v>743</v>
      </c>
      <c r="D1644" s="363"/>
      <c r="E1644" s="352"/>
      <c r="F1644" s="232">
        <v>0</v>
      </c>
      <c r="G1644" s="232">
        <v>0</v>
      </c>
      <c r="H1644" s="183"/>
      <c r="I1644" s="183"/>
      <c r="J1644" s="48"/>
    </row>
    <row r="1645" spans="1:11" s="16" customFormat="1" ht="51" outlineLevel="3">
      <c r="A1645" s="91" t="s">
        <v>154</v>
      </c>
      <c r="B1645" s="35">
        <f>MAXA(B$5:B1644)+1</f>
        <v>936</v>
      </c>
      <c r="C1645" s="297" t="s">
        <v>984</v>
      </c>
      <c r="D1645" s="413" t="s">
        <v>745</v>
      </c>
      <c r="E1645" s="137">
        <v>133</v>
      </c>
      <c r="F1645" s="232">
        <v>936277</v>
      </c>
      <c r="G1645" s="232">
        <v>181330</v>
      </c>
      <c r="H1645" s="138">
        <f t="shared" ref="H1645:H1659" si="163">G1645+F1645</f>
        <v>1117607</v>
      </c>
      <c r="I1645" s="138">
        <f t="shared" ref="I1645:I1659" si="164">H1645*E1645</f>
        <v>148641731</v>
      </c>
      <c r="J1645" s="48"/>
      <c r="K1645" s="16" t="s">
        <v>482</v>
      </c>
    </row>
    <row r="1646" spans="1:11" s="16" customFormat="1" ht="51" outlineLevel="3">
      <c r="A1646" s="91" t="s">
        <v>154</v>
      </c>
      <c r="B1646" s="35">
        <f>MAXA(B$5:B1645)+1</f>
        <v>937</v>
      </c>
      <c r="C1646" s="297" t="s">
        <v>985</v>
      </c>
      <c r="D1646" s="413" t="s">
        <v>745</v>
      </c>
      <c r="E1646" s="137">
        <v>988</v>
      </c>
      <c r="F1646" s="232">
        <v>874221</v>
      </c>
      <c r="G1646" s="232">
        <v>168824</v>
      </c>
      <c r="H1646" s="138">
        <f t="shared" si="163"/>
        <v>1043045</v>
      </c>
      <c r="I1646" s="138">
        <f t="shared" si="164"/>
        <v>1030528460</v>
      </c>
      <c r="J1646" s="48"/>
      <c r="K1646" s="16" t="s">
        <v>482</v>
      </c>
    </row>
    <row r="1647" spans="1:11" s="16" customFormat="1" ht="51" outlineLevel="3">
      <c r="A1647" s="91" t="s">
        <v>154</v>
      </c>
      <c r="B1647" s="35">
        <f>MAXA(B$5:B1646)+1</f>
        <v>938</v>
      </c>
      <c r="C1647" s="297" t="s">
        <v>2031</v>
      </c>
      <c r="D1647" s="413" t="s">
        <v>745</v>
      </c>
      <c r="E1647" s="137">
        <v>630</v>
      </c>
      <c r="F1647" s="232">
        <v>821472</v>
      </c>
      <c r="G1647" s="232">
        <v>162572</v>
      </c>
      <c r="H1647" s="138">
        <f t="shared" si="163"/>
        <v>984044</v>
      </c>
      <c r="I1647" s="138">
        <f t="shared" si="164"/>
        <v>619947720</v>
      </c>
      <c r="J1647" s="48"/>
      <c r="K1647" s="16" t="s">
        <v>482</v>
      </c>
    </row>
    <row r="1648" spans="1:11" s="16" customFormat="1" ht="51" outlineLevel="3">
      <c r="A1648" s="91" t="s">
        <v>154</v>
      </c>
      <c r="B1648" s="35">
        <f>MAXA(B$5:B1647)+1</f>
        <v>939</v>
      </c>
      <c r="C1648" s="297" t="s">
        <v>2032</v>
      </c>
      <c r="D1648" s="413" t="s">
        <v>745</v>
      </c>
      <c r="E1648" s="137">
        <v>214</v>
      </c>
      <c r="F1648" s="232">
        <v>1107499</v>
      </c>
      <c r="G1648" s="232">
        <v>264179</v>
      </c>
      <c r="H1648" s="138">
        <f t="shared" si="163"/>
        <v>1371678</v>
      </c>
      <c r="I1648" s="138">
        <f t="shared" si="164"/>
        <v>293539092</v>
      </c>
      <c r="J1648" s="48"/>
      <c r="K1648" s="16" t="s">
        <v>482</v>
      </c>
    </row>
    <row r="1649" spans="1:11" s="16" customFormat="1" ht="51" outlineLevel="3">
      <c r="A1649" s="91" t="s">
        <v>154</v>
      </c>
      <c r="B1649" s="35">
        <f>MAXA(B$5:B1648)+1</f>
        <v>940</v>
      </c>
      <c r="C1649" s="297" t="s">
        <v>988</v>
      </c>
      <c r="D1649" s="413" t="s">
        <v>745</v>
      </c>
      <c r="E1649" s="137">
        <v>1213</v>
      </c>
      <c r="F1649" s="232">
        <v>1002524</v>
      </c>
      <c r="G1649" s="232">
        <v>249083</v>
      </c>
      <c r="H1649" s="138">
        <f t="shared" si="163"/>
        <v>1251607</v>
      </c>
      <c r="I1649" s="138">
        <f t="shared" si="164"/>
        <v>1518199291</v>
      </c>
      <c r="J1649" s="48"/>
      <c r="K1649" s="16" t="s">
        <v>482</v>
      </c>
    </row>
    <row r="1650" spans="1:11" s="16" customFormat="1" ht="51" outlineLevel="3">
      <c r="A1650" s="91" t="s">
        <v>154</v>
      </c>
      <c r="B1650" s="35">
        <f>MAXA(B$5:B1649)+1</f>
        <v>941</v>
      </c>
      <c r="C1650" s="297" t="s">
        <v>989</v>
      </c>
      <c r="D1650" s="413" t="s">
        <v>745</v>
      </c>
      <c r="E1650" s="137">
        <v>785</v>
      </c>
      <c r="F1650" s="232">
        <v>915200</v>
      </c>
      <c r="G1650" s="232">
        <v>226439</v>
      </c>
      <c r="H1650" s="138">
        <f t="shared" si="163"/>
        <v>1141639</v>
      </c>
      <c r="I1650" s="138">
        <f t="shared" si="164"/>
        <v>896186615</v>
      </c>
      <c r="J1650" s="48"/>
      <c r="K1650" s="16" t="s">
        <v>482</v>
      </c>
    </row>
    <row r="1651" spans="1:11" s="16" customFormat="1" ht="25.5" outlineLevel="3">
      <c r="A1651" s="91" t="s">
        <v>154</v>
      </c>
      <c r="B1651" s="35">
        <f>MAXA(B$5:B1650)+1</f>
        <v>942</v>
      </c>
      <c r="C1651" s="297" t="s">
        <v>1800</v>
      </c>
      <c r="D1651" s="413" t="s">
        <v>745</v>
      </c>
      <c r="E1651" s="137">
        <v>2212</v>
      </c>
      <c r="F1651" s="232">
        <v>278433</v>
      </c>
      <c r="G1651" s="232">
        <v>87539</v>
      </c>
      <c r="H1651" s="138">
        <f t="shared" si="163"/>
        <v>365972</v>
      </c>
      <c r="I1651" s="138">
        <f t="shared" si="164"/>
        <v>809530064</v>
      </c>
      <c r="J1651" s="48"/>
      <c r="K1651" s="16" t="s">
        <v>156</v>
      </c>
    </row>
    <row r="1652" spans="1:11" s="16" customFormat="1" ht="25.5" outlineLevel="3">
      <c r="A1652" s="91"/>
      <c r="B1652" s="35">
        <f>MAXA(B$5:B1651)+1</f>
        <v>943</v>
      </c>
      <c r="C1652" s="414" t="s">
        <v>990</v>
      </c>
      <c r="D1652" s="230" t="s">
        <v>25</v>
      </c>
      <c r="E1652" s="137">
        <v>18</v>
      </c>
      <c r="F1652" s="232">
        <v>35789</v>
      </c>
      <c r="G1652" s="232">
        <v>18758</v>
      </c>
      <c r="H1652" s="138">
        <f t="shared" si="163"/>
        <v>54547</v>
      </c>
      <c r="I1652" s="138">
        <f t="shared" si="164"/>
        <v>981846</v>
      </c>
      <c r="J1652" s="48"/>
    </row>
    <row r="1653" spans="1:11" s="16" customFormat="1" ht="25.5" outlineLevel="3">
      <c r="A1653" s="91"/>
      <c r="B1653" s="35">
        <f>MAXA(B$5:B1652)+1</f>
        <v>944</v>
      </c>
      <c r="C1653" s="414" t="s">
        <v>2033</v>
      </c>
      <c r="D1653" s="230" t="s">
        <v>25</v>
      </c>
      <c r="E1653" s="137">
        <v>43</v>
      </c>
      <c r="F1653" s="232">
        <v>49143</v>
      </c>
      <c r="G1653" s="232">
        <v>22510</v>
      </c>
      <c r="H1653" s="138">
        <f t="shared" si="163"/>
        <v>71653</v>
      </c>
      <c r="I1653" s="138">
        <f t="shared" si="164"/>
        <v>3081079</v>
      </c>
      <c r="J1653" s="48"/>
    </row>
    <row r="1654" spans="1:11" s="16" customFormat="1" ht="25.5" outlineLevel="3">
      <c r="A1654" s="91" t="s">
        <v>154</v>
      </c>
      <c r="B1654" s="35">
        <f>MAXA(B$5:B1653)+1</f>
        <v>945</v>
      </c>
      <c r="C1654" s="414" t="s">
        <v>991</v>
      </c>
      <c r="D1654" s="230" t="s">
        <v>25</v>
      </c>
      <c r="E1654" s="137">
        <f>18+50</f>
        <v>68</v>
      </c>
      <c r="F1654" s="232">
        <v>58357</v>
      </c>
      <c r="G1654" s="232">
        <v>25011</v>
      </c>
      <c r="H1654" s="138">
        <f t="shared" si="163"/>
        <v>83368</v>
      </c>
      <c r="I1654" s="138">
        <f t="shared" si="164"/>
        <v>5669024</v>
      </c>
      <c r="J1654" s="48"/>
      <c r="K1654" s="16" t="s">
        <v>156</v>
      </c>
    </row>
    <row r="1655" spans="1:11" s="16" customFormat="1" ht="25.5" outlineLevel="3">
      <c r="A1655" s="91" t="s">
        <v>154</v>
      </c>
      <c r="B1655" s="35">
        <f>MAXA(B$5:B1654)+1</f>
        <v>946</v>
      </c>
      <c r="C1655" s="414" t="s">
        <v>992</v>
      </c>
      <c r="D1655" s="230" t="s">
        <v>25</v>
      </c>
      <c r="E1655" s="137">
        <f>83+50+123</f>
        <v>256</v>
      </c>
      <c r="F1655" s="232">
        <v>74382</v>
      </c>
      <c r="G1655" s="232">
        <v>31264</v>
      </c>
      <c r="H1655" s="138">
        <f t="shared" si="163"/>
        <v>105646</v>
      </c>
      <c r="I1655" s="138">
        <f t="shared" si="164"/>
        <v>27045376</v>
      </c>
      <c r="J1655" s="48"/>
      <c r="K1655" s="16" t="s">
        <v>156</v>
      </c>
    </row>
    <row r="1656" spans="1:11" s="16" customFormat="1" ht="25.5" outlineLevel="3">
      <c r="A1656" s="91" t="s">
        <v>154</v>
      </c>
      <c r="B1656" s="35">
        <f>MAXA(B$5:B1655)+1</f>
        <v>947</v>
      </c>
      <c r="C1656" s="414" t="s">
        <v>993</v>
      </c>
      <c r="D1656" s="230" t="s">
        <v>25</v>
      </c>
      <c r="E1656" s="137">
        <f>1300+20-18</f>
        <v>1302</v>
      </c>
      <c r="F1656" s="232">
        <v>89339</v>
      </c>
      <c r="G1656" s="232">
        <v>35015</v>
      </c>
      <c r="H1656" s="138">
        <f t="shared" si="163"/>
        <v>124354</v>
      </c>
      <c r="I1656" s="138">
        <f t="shared" si="164"/>
        <v>161908908</v>
      </c>
      <c r="J1656" s="48"/>
      <c r="K1656" s="16" t="s">
        <v>156</v>
      </c>
    </row>
    <row r="1657" spans="1:11" s="16" customFormat="1" ht="25.5" outlineLevel="3">
      <c r="A1657" s="91"/>
      <c r="B1657" s="35">
        <f>MAXA(B$5:B1656)+1</f>
        <v>948</v>
      </c>
      <c r="C1657" s="414" t="s">
        <v>994</v>
      </c>
      <c r="D1657" s="230" t="s">
        <v>25</v>
      </c>
      <c r="E1657" s="137">
        <v>3</v>
      </c>
      <c r="F1657" s="232">
        <v>102960</v>
      </c>
      <c r="G1657" s="232">
        <v>40018</v>
      </c>
      <c r="H1657" s="138">
        <f t="shared" si="163"/>
        <v>142978</v>
      </c>
      <c r="I1657" s="138">
        <f t="shared" si="164"/>
        <v>428934</v>
      </c>
      <c r="J1657" s="48"/>
    </row>
    <row r="1658" spans="1:11" s="16" customFormat="1" ht="25.5" outlineLevel="3">
      <c r="A1658" s="91"/>
      <c r="B1658" s="35">
        <f>MAXA(B$5:B1657)+1</f>
        <v>949</v>
      </c>
      <c r="C1658" s="415" t="s">
        <v>995</v>
      </c>
      <c r="D1658" s="136" t="s">
        <v>28</v>
      </c>
      <c r="E1658" s="137">
        <v>164</v>
      </c>
      <c r="F1658" s="232">
        <v>864547</v>
      </c>
      <c r="G1658" s="232">
        <v>132896</v>
      </c>
      <c r="H1658" s="138">
        <f t="shared" si="163"/>
        <v>997443</v>
      </c>
      <c r="I1658" s="138">
        <f t="shared" si="164"/>
        <v>163580652</v>
      </c>
      <c r="J1658" s="48"/>
    </row>
    <row r="1659" spans="1:11" s="16" customFormat="1" ht="25.5" outlineLevel="3">
      <c r="A1659" s="91"/>
      <c r="B1659" s="35">
        <f>MAXA(B$5:B1658)+1</f>
        <v>950</v>
      </c>
      <c r="C1659" s="146" t="s">
        <v>828</v>
      </c>
      <c r="D1659" s="136" t="s">
        <v>38</v>
      </c>
      <c r="E1659" s="137">
        <v>1</v>
      </c>
      <c r="F1659" s="232">
        <v>192021164</v>
      </c>
      <c r="G1659" s="232">
        <v>34465337</v>
      </c>
      <c r="H1659" s="138">
        <f t="shared" si="163"/>
        <v>226486501</v>
      </c>
      <c r="I1659" s="138">
        <f t="shared" si="164"/>
        <v>226486501</v>
      </c>
      <c r="J1659" s="48"/>
    </row>
    <row r="1660" spans="1:11" s="16" customFormat="1" ht="25.5" outlineLevel="3">
      <c r="A1660" s="91"/>
      <c r="B1660" s="35"/>
      <c r="C1660" s="401" t="s">
        <v>996</v>
      </c>
      <c r="D1660" s="136"/>
      <c r="E1660" s="137"/>
      <c r="F1660" s="232">
        <v>0</v>
      </c>
      <c r="G1660" s="232">
        <v>0</v>
      </c>
      <c r="H1660" s="183"/>
      <c r="I1660" s="183"/>
      <c r="J1660" s="48"/>
    </row>
    <row r="1661" spans="1:11" s="16" customFormat="1" ht="25.5" outlineLevel="3">
      <c r="A1661" s="91"/>
      <c r="B1661" s="35">
        <f>MAXA(B$5:B1660)+1</f>
        <v>951</v>
      </c>
      <c r="C1661" s="139" t="s">
        <v>763</v>
      </c>
      <c r="D1661" s="230" t="s">
        <v>25</v>
      </c>
      <c r="E1661" s="137">
        <v>90</v>
      </c>
      <c r="F1661" s="232">
        <v>82099</v>
      </c>
      <c r="G1661" s="232">
        <v>15632</v>
      </c>
      <c r="H1661" s="138">
        <f t="shared" ref="H1661:H1666" si="165">G1661+F1661</f>
        <v>97731</v>
      </c>
      <c r="I1661" s="138">
        <f t="shared" ref="I1661:I1666" si="166">H1661*E1661</f>
        <v>8795790</v>
      </c>
      <c r="J1661" s="48"/>
    </row>
    <row r="1662" spans="1:11" s="16" customFormat="1" ht="25.5" outlineLevel="3">
      <c r="A1662" s="91" t="s">
        <v>154</v>
      </c>
      <c r="B1662" s="35">
        <f>MAXA(B$5:B1661)+1</f>
        <v>952</v>
      </c>
      <c r="C1662" s="139" t="s">
        <v>764</v>
      </c>
      <c r="D1662" s="230" t="s">
        <v>25</v>
      </c>
      <c r="E1662" s="137">
        <v>580</v>
      </c>
      <c r="F1662" s="232">
        <v>65679</v>
      </c>
      <c r="G1662" s="232">
        <v>10421</v>
      </c>
      <c r="H1662" s="138">
        <f t="shared" si="165"/>
        <v>76100</v>
      </c>
      <c r="I1662" s="138">
        <f t="shared" si="166"/>
        <v>44138000</v>
      </c>
      <c r="J1662" s="48"/>
      <c r="K1662" s="16" t="s">
        <v>156</v>
      </c>
    </row>
    <row r="1663" spans="1:11" s="16" customFormat="1" ht="25.5" outlineLevel="3">
      <c r="A1663" s="91"/>
      <c r="B1663" s="35">
        <f>MAXA(B$5:B1662)+1</f>
        <v>953</v>
      </c>
      <c r="C1663" s="402" t="s">
        <v>766</v>
      </c>
      <c r="D1663" s="230" t="s">
        <v>25</v>
      </c>
      <c r="E1663" s="137">
        <v>185</v>
      </c>
      <c r="F1663" s="232">
        <v>25740</v>
      </c>
      <c r="G1663" s="232">
        <v>5211</v>
      </c>
      <c r="H1663" s="138">
        <f t="shared" si="165"/>
        <v>30951</v>
      </c>
      <c r="I1663" s="138">
        <f t="shared" si="166"/>
        <v>5725935</v>
      </c>
      <c r="J1663" s="48"/>
    </row>
    <row r="1664" spans="1:11" s="16" customFormat="1" ht="25.5" outlineLevel="3">
      <c r="A1664" s="91" t="s">
        <v>154</v>
      </c>
      <c r="B1664" s="35">
        <f>MAXA(B$5:B1663)+1</f>
        <v>954</v>
      </c>
      <c r="C1664" s="402" t="s">
        <v>767</v>
      </c>
      <c r="D1664" s="230" t="s">
        <v>25</v>
      </c>
      <c r="E1664" s="137">
        <v>2703</v>
      </c>
      <c r="F1664" s="232">
        <v>24710</v>
      </c>
      <c r="G1664" s="232">
        <v>5211</v>
      </c>
      <c r="H1664" s="138">
        <f t="shared" si="165"/>
        <v>29921</v>
      </c>
      <c r="I1664" s="138">
        <f t="shared" si="166"/>
        <v>80876463</v>
      </c>
      <c r="J1664" s="48"/>
      <c r="K1664" s="16" t="s">
        <v>156</v>
      </c>
    </row>
    <row r="1665" spans="1:12" s="16" customFormat="1" ht="25.5" outlineLevel="3">
      <c r="A1665" s="91" t="s">
        <v>154</v>
      </c>
      <c r="B1665" s="35">
        <f>MAXA(B$5:B1664)+1</f>
        <v>955</v>
      </c>
      <c r="C1665" s="401" t="s">
        <v>768</v>
      </c>
      <c r="D1665" s="136" t="s">
        <v>28</v>
      </c>
      <c r="E1665" s="137">
        <v>15206</v>
      </c>
      <c r="F1665" s="232">
        <v>46449</v>
      </c>
      <c r="G1665" s="232">
        <v>10421</v>
      </c>
      <c r="H1665" s="138">
        <f t="shared" si="165"/>
        <v>56870</v>
      </c>
      <c r="I1665" s="138">
        <f t="shared" si="166"/>
        <v>864765220</v>
      </c>
      <c r="J1665" s="48"/>
      <c r="K1665" s="16" t="s">
        <v>156</v>
      </c>
    </row>
    <row r="1666" spans="1:12" s="16" customFormat="1" ht="25.5" outlineLevel="3">
      <c r="A1666" s="91"/>
      <c r="B1666" s="35">
        <f>MAXA(B$5:B1665)+1</f>
        <v>956</v>
      </c>
      <c r="C1666" s="146" t="s">
        <v>828</v>
      </c>
      <c r="D1666" s="136" t="s">
        <v>38</v>
      </c>
      <c r="E1666" s="137">
        <v>1</v>
      </c>
      <c r="F1666" s="232">
        <v>17852549</v>
      </c>
      <c r="G1666" s="232">
        <v>3204304</v>
      </c>
      <c r="H1666" s="138">
        <f t="shared" si="165"/>
        <v>21056853</v>
      </c>
      <c r="I1666" s="138">
        <f t="shared" si="166"/>
        <v>21056853</v>
      </c>
      <c r="J1666" s="48"/>
    </row>
    <row r="1667" spans="1:12" s="16" customFormat="1" ht="27" outlineLevel="3">
      <c r="A1667" s="91"/>
      <c r="B1667" s="38" t="s">
        <v>404</v>
      </c>
      <c r="C1667" s="164" t="s">
        <v>769</v>
      </c>
      <c r="D1667" s="363"/>
      <c r="E1667" s="352"/>
      <c r="F1667" s="232">
        <v>0</v>
      </c>
      <c r="G1667" s="232">
        <v>0</v>
      </c>
      <c r="H1667" s="183"/>
      <c r="I1667" s="183"/>
      <c r="J1667" s="48"/>
    </row>
    <row r="1668" spans="1:12" s="16" customFormat="1" ht="25.5" outlineLevel="3">
      <c r="A1668" s="91"/>
      <c r="B1668" s="35"/>
      <c r="C1668" s="364" t="s">
        <v>998</v>
      </c>
      <c r="D1668" s="136"/>
      <c r="E1668" s="137"/>
      <c r="F1668" s="232">
        <v>0</v>
      </c>
      <c r="G1668" s="232">
        <v>0</v>
      </c>
      <c r="H1668" s="183"/>
      <c r="I1668" s="183"/>
      <c r="J1668" s="48"/>
    </row>
    <row r="1669" spans="1:12" s="16" customFormat="1" ht="25.5" outlineLevel="3">
      <c r="A1669" s="91"/>
      <c r="B1669" s="35">
        <f>MAXA(B$5:B1668)+1</f>
        <v>957</v>
      </c>
      <c r="C1669" s="364" t="s">
        <v>999</v>
      </c>
      <c r="D1669" s="230" t="s">
        <v>25</v>
      </c>
      <c r="E1669" s="137">
        <f>50+2</f>
        <v>52</v>
      </c>
      <c r="F1669" s="232">
        <v>557133</v>
      </c>
      <c r="G1669" s="232">
        <v>187583</v>
      </c>
      <c r="H1669" s="138">
        <f>G1669+F1669</f>
        <v>744716</v>
      </c>
      <c r="I1669" s="138">
        <f>H1669*E1669</f>
        <v>38725232</v>
      </c>
      <c r="J1669" s="48"/>
    </row>
    <row r="1670" spans="1:12" s="16" customFormat="1" ht="25.5" outlineLevel="3">
      <c r="A1670" s="91" t="s">
        <v>154</v>
      </c>
      <c r="B1670" s="35"/>
      <c r="C1670" s="364" t="s">
        <v>1000</v>
      </c>
      <c r="D1670" s="136"/>
      <c r="E1670" s="137"/>
      <c r="F1670" s="232">
        <v>0</v>
      </c>
      <c r="G1670" s="232">
        <v>0</v>
      </c>
      <c r="H1670" s="183"/>
      <c r="I1670" s="183"/>
      <c r="J1670" s="48"/>
      <c r="K1670" s="16" t="s">
        <v>482</v>
      </c>
      <c r="L1670" s="16" t="s">
        <v>1001</v>
      </c>
    </row>
    <row r="1671" spans="1:12" s="16" customFormat="1" ht="25.5" outlineLevel="3">
      <c r="A1671" s="91"/>
      <c r="B1671" s="35">
        <f>MAXA(B$5:B1670)+1</f>
        <v>958</v>
      </c>
      <c r="C1671" s="364" t="s">
        <v>2034</v>
      </c>
      <c r="D1671" s="136" t="s">
        <v>44</v>
      </c>
      <c r="E1671" s="137">
        <v>37</v>
      </c>
      <c r="F1671" s="232">
        <v>2107542</v>
      </c>
      <c r="G1671" s="232">
        <v>137561</v>
      </c>
      <c r="H1671" s="138">
        <f t="shared" ref="H1671:H1679" si="167">G1671+F1671</f>
        <v>2245103</v>
      </c>
      <c r="I1671" s="138">
        <f t="shared" ref="I1671:I1679" si="168">H1671*E1671</f>
        <v>83068811</v>
      </c>
      <c r="J1671" s="48"/>
    </row>
    <row r="1672" spans="1:12" s="16" customFormat="1" ht="25.5" outlineLevel="3">
      <c r="A1672" s="91" t="s">
        <v>154</v>
      </c>
      <c r="B1672" s="35">
        <f>MAXA(B$5:B1671)+1</f>
        <v>959</v>
      </c>
      <c r="C1672" s="364" t="s">
        <v>1002</v>
      </c>
      <c r="D1672" s="136" t="s">
        <v>44</v>
      </c>
      <c r="E1672" s="137">
        <v>23</v>
      </c>
      <c r="F1672" s="232">
        <v>187344</v>
      </c>
      <c r="G1672" s="232">
        <v>125799</v>
      </c>
      <c r="H1672" s="138">
        <f t="shared" si="167"/>
        <v>313143</v>
      </c>
      <c r="I1672" s="138">
        <f t="shared" si="168"/>
        <v>7202289</v>
      </c>
      <c r="J1672" s="48"/>
    </row>
    <row r="1673" spans="1:12" s="16" customFormat="1" ht="25.5" outlineLevel="3">
      <c r="A1673" s="91" t="s">
        <v>154</v>
      </c>
      <c r="B1673" s="35">
        <f>MAXA(B$5:B1672)+1</f>
        <v>960</v>
      </c>
      <c r="C1673" s="364" t="s">
        <v>1003</v>
      </c>
      <c r="D1673" s="136" t="s">
        <v>44</v>
      </c>
      <c r="E1673" s="137">
        <v>9</v>
      </c>
      <c r="F1673" s="232">
        <v>296083</v>
      </c>
      <c r="G1673" s="232">
        <v>125799</v>
      </c>
      <c r="H1673" s="138">
        <f t="shared" si="167"/>
        <v>421882</v>
      </c>
      <c r="I1673" s="138">
        <f t="shared" si="168"/>
        <v>3796938</v>
      </c>
      <c r="J1673" s="48"/>
    </row>
    <row r="1674" spans="1:12" s="16" customFormat="1" ht="25.5" outlineLevel="3">
      <c r="A1674" s="91" t="s">
        <v>154</v>
      </c>
      <c r="B1674" s="35">
        <f>MAXA(B$5:B1673)+1</f>
        <v>961</v>
      </c>
      <c r="C1674" s="364" t="s">
        <v>1005</v>
      </c>
      <c r="D1674" s="136" t="s">
        <v>44</v>
      </c>
      <c r="E1674" s="137">
        <f>42-7</f>
        <v>35</v>
      </c>
      <c r="F1674" s="232">
        <v>673391</v>
      </c>
      <c r="G1674" s="232">
        <v>125799</v>
      </c>
      <c r="H1674" s="138">
        <f t="shared" si="167"/>
        <v>799190</v>
      </c>
      <c r="I1674" s="138">
        <f t="shared" si="168"/>
        <v>27971650</v>
      </c>
      <c r="J1674" s="48"/>
    </row>
    <row r="1675" spans="1:12" s="16" customFormat="1" ht="25.5" outlineLevel="3">
      <c r="A1675" s="91" t="s">
        <v>154</v>
      </c>
      <c r="B1675" s="35">
        <f>MAXA(B$5:B1674)+1</f>
        <v>962</v>
      </c>
      <c r="C1675" s="364" t="s">
        <v>1006</v>
      </c>
      <c r="D1675" s="136" t="s">
        <v>44</v>
      </c>
      <c r="E1675" s="137">
        <v>10</v>
      </c>
      <c r="F1675" s="232">
        <v>990436</v>
      </c>
      <c r="G1675" s="232">
        <v>310305</v>
      </c>
      <c r="H1675" s="138">
        <f t="shared" si="167"/>
        <v>1300741</v>
      </c>
      <c r="I1675" s="138">
        <f t="shared" si="168"/>
        <v>13007410</v>
      </c>
      <c r="J1675" s="48"/>
    </row>
    <row r="1676" spans="1:12" s="16" customFormat="1" ht="25.5" outlineLevel="3">
      <c r="A1676" s="91" t="s">
        <v>154</v>
      </c>
      <c r="B1676" s="35">
        <f>MAXA(B$5:B1674)+1</f>
        <v>962</v>
      </c>
      <c r="C1676" s="364" t="s">
        <v>1007</v>
      </c>
      <c r="D1676" s="136" t="s">
        <v>44</v>
      </c>
      <c r="E1676" s="137">
        <f>325-15-9-69</f>
        <v>232</v>
      </c>
      <c r="F1676" s="232">
        <v>673391</v>
      </c>
      <c r="G1676" s="232">
        <v>209666</v>
      </c>
      <c r="H1676" s="138">
        <f t="shared" si="167"/>
        <v>883057</v>
      </c>
      <c r="I1676" s="138">
        <f t="shared" si="168"/>
        <v>204869224</v>
      </c>
      <c r="J1676" s="48"/>
    </row>
    <row r="1677" spans="1:12" s="16" customFormat="1" ht="25.5" outlineLevel="3">
      <c r="A1677" s="91" t="s">
        <v>154</v>
      </c>
      <c r="B1677" s="35">
        <f>MAXA(B$5:B1676)+1</f>
        <v>963</v>
      </c>
      <c r="C1677" s="364" t="s">
        <v>2035</v>
      </c>
      <c r="D1677" s="136" t="s">
        <v>44</v>
      </c>
      <c r="E1677" s="137">
        <f>30-16</f>
        <v>14</v>
      </c>
      <c r="F1677" s="232">
        <v>711384</v>
      </c>
      <c r="G1677" s="232">
        <v>310305</v>
      </c>
      <c r="H1677" s="138">
        <f t="shared" si="167"/>
        <v>1021689</v>
      </c>
      <c r="I1677" s="138">
        <f t="shared" si="168"/>
        <v>14303646</v>
      </c>
      <c r="J1677" s="48"/>
    </row>
    <row r="1678" spans="1:12" s="16" customFormat="1" ht="25.5" outlineLevel="3">
      <c r="A1678" s="91" t="s">
        <v>154</v>
      </c>
      <c r="B1678" s="35">
        <f>MAXA(B$5:B1677)+1</f>
        <v>964</v>
      </c>
      <c r="C1678" s="364" t="s">
        <v>1010</v>
      </c>
      <c r="D1678" s="136" t="s">
        <v>44</v>
      </c>
      <c r="E1678" s="137">
        <f>3+6+59</f>
        <v>68</v>
      </c>
      <c r="F1678" s="232">
        <v>990436</v>
      </c>
      <c r="G1678" s="232">
        <v>310305</v>
      </c>
      <c r="H1678" s="138">
        <f t="shared" si="167"/>
        <v>1300741</v>
      </c>
      <c r="I1678" s="138">
        <f t="shared" si="168"/>
        <v>88450388</v>
      </c>
      <c r="J1678" s="48"/>
    </row>
    <row r="1679" spans="1:12" s="16" customFormat="1" ht="25.5" outlineLevel="3">
      <c r="A1679" s="91" t="s">
        <v>154</v>
      </c>
      <c r="B1679" s="35">
        <f>MAXA(B$5:B1678)+1</f>
        <v>965</v>
      </c>
      <c r="C1679" s="364" t="s">
        <v>2036</v>
      </c>
      <c r="D1679" s="136" t="s">
        <v>44</v>
      </c>
      <c r="E1679" s="137">
        <v>8</v>
      </c>
      <c r="F1679" s="232">
        <v>990436</v>
      </c>
      <c r="G1679" s="232">
        <v>310305</v>
      </c>
      <c r="H1679" s="138">
        <f t="shared" si="167"/>
        <v>1300741</v>
      </c>
      <c r="I1679" s="138">
        <f t="shared" si="168"/>
        <v>10405928</v>
      </c>
      <c r="J1679" s="48"/>
    </row>
    <row r="1680" spans="1:12" s="16" customFormat="1" ht="25.5" outlineLevel="3">
      <c r="A1680" s="91" t="s">
        <v>154</v>
      </c>
      <c r="B1680" s="35"/>
      <c r="C1680" s="364" t="s">
        <v>2037</v>
      </c>
      <c r="D1680" s="136"/>
      <c r="E1680" s="137"/>
      <c r="F1680" s="232">
        <v>0</v>
      </c>
      <c r="G1680" s="232">
        <v>0</v>
      </c>
      <c r="H1680" s="183"/>
      <c r="I1680" s="183"/>
      <c r="J1680" s="48"/>
      <c r="K1680" s="16" t="s">
        <v>482</v>
      </c>
      <c r="L1680" s="16" t="s">
        <v>1001</v>
      </c>
    </row>
    <row r="1681" spans="1:10" s="16" customFormat="1" ht="25.5" outlineLevel="3">
      <c r="A1681" s="91" t="s">
        <v>154</v>
      </c>
      <c r="B1681" s="35">
        <f>MAXA(B$5:B1680)+1</f>
        <v>966</v>
      </c>
      <c r="C1681" s="364" t="s">
        <v>2038</v>
      </c>
      <c r="D1681" s="136" t="s">
        <v>28</v>
      </c>
      <c r="E1681" s="137">
        <f>153-8-9+6+24-1</f>
        <v>165</v>
      </c>
      <c r="F1681" s="232">
        <v>1165989</v>
      </c>
      <c r="G1681" s="232">
        <v>251599</v>
      </c>
      <c r="H1681" s="138">
        <f>G1681+F1681</f>
        <v>1417588</v>
      </c>
      <c r="I1681" s="138">
        <f>H1681*E1681</f>
        <v>233902020</v>
      </c>
      <c r="J1681" s="48"/>
    </row>
    <row r="1682" spans="1:10" s="16" customFormat="1" ht="25.5" outlineLevel="3">
      <c r="A1682" s="91" t="s">
        <v>154</v>
      </c>
      <c r="B1682" s="35">
        <f>MAXA(B$5:B1681)+1</f>
        <v>967</v>
      </c>
      <c r="C1682" s="364" t="s">
        <v>2039</v>
      </c>
      <c r="D1682" s="136" t="s">
        <v>44</v>
      </c>
      <c r="E1682" s="137">
        <f>3+6</f>
        <v>9</v>
      </c>
      <c r="F1682" s="232">
        <v>1171229</v>
      </c>
      <c r="G1682" s="232">
        <v>310305</v>
      </c>
      <c r="H1682" s="138">
        <f>G1682+F1682</f>
        <v>1481534</v>
      </c>
      <c r="I1682" s="138">
        <f>H1682*E1682</f>
        <v>13333806</v>
      </c>
      <c r="J1682" s="48"/>
    </row>
    <row r="1683" spans="1:10" s="16" customFormat="1" ht="25.5" outlineLevel="3">
      <c r="A1683" s="91" t="s">
        <v>154</v>
      </c>
      <c r="B1683" s="35">
        <f>MAXA(B$5:B1682)+1</f>
        <v>968</v>
      </c>
      <c r="C1683" s="364" t="s">
        <v>2040</v>
      </c>
      <c r="D1683" s="136" t="s">
        <v>44</v>
      </c>
      <c r="E1683" s="137">
        <v>8</v>
      </c>
      <c r="F1683" s="232">
        <v>1171229</v>
      </c>
      <c r="G1683" s="232">
        <v>310305</v>
      </c>
      <c r="H1683" s="138">
        <f>G1683+F1683</f>
        <v>1481534</v>
      </c>
      <c r="I1683" s="138">
        <f>H1683*E1683</f>
        <v>11852272</v>
      </c>
      <c r="J1683" s="48"/>
    </row>
    <row r="1684" spans="1:10" s="16" customFormat="1" ht="25.5" outlineLevel="3">
      <c r="A1684" s="91" t="s">
        <v>154</v>
      </c>
      <c r="B1684" s="35">
        <f>MAXA(B$5:B1683)+1</f>
        <v>969</v>
      </c>
      <c r="C1684" s="364" t="s">
        <v>2041</v>
      </c>
      <c r="D1684" s="136" t="s">
        <v>44</v>
      </c>
      <c r="E1684" s="137">
        <v>6</v>
      </c>
      <c r="F1684" s="232">
        <v>2928074</v>
      </c>
      <c r="G1684" s="232">
        <v>775763</v>
      </c>
      <c r="H1684" s="138">
        <f>G1684+F1684</f>
        <v>3703837</v>
      </c>
      <c r="I1684" s="138">
        <f>H1684*E1684</f>
        <v>22223022</v>
      </c>
      <c r="J1684" s="48"/>
    </row>
    <row r="1685" spans="1:10" s="16" customFormat="1" ht="25.5" outlineLevel="3">
      <c r="A1685" s="91"/>
      <c r="B1685" s="35"/>
      <c r="C1685" s="364" t="s">
        <v>1015</v>
      </c>
      <c r="D1685" s="136"/>
      <c r="E1685" s="137"/>
      <c r="F1685" s="232">
        <v>0</v>
      </c>
      <c r="G1685" s="232">
        <v>0</v>
      </c>
      <c r="H1685" s="183"/>
      <c r="I1685" s="183"/>
      <c r="J1685" s="48"/>
    </row>
    <row r="1686" spans="1:10" s="16" customFormat="1" ht="25.5" outlineLevel="3">
      <c r="A1686" s="91"/>
      <c r="B1686" s="35">
        <f>MAXA(B$5:B1685)+1</f>
        <v>970</v>
      </c>
      <c r="C1686" s="364" t="s">
        <v>2042</v>
      </c>
      <c r="D1686" s="136" t="s">
        <v>28</v>
      </c>
      <c r="E1686" s="137">
        <v>1</v>
      </c>
      <c r="F1686" s="232">
        <v>626974</v>
      </c>
      <c r="G1686" s="232">
        <v>87539</v>
      </c>
      <c r="H1686" s="138">
        <f t="shared" ref="H1686:H1691" si="169">G1686+F1686</f>
        <v>714513</v>
      </c>
      <c r="I1686" s="138">
        <f t="shared" ref="I1686:I1691" si="170">H1686*E1686</f>
        <v>714513</v>
      </c>
      <c r="J1686" s="48"/>
    </row>
    <row r="1687" spans="1:10" s="16" customFormat="1" ht="25.5" outlineLevel="3">
      <c r="A1687" s="91"/>
      <c r="B1687" s="35">
        <f>MAXA(B$5:B1686)+1</f>
        <v>971</v>
      </c>
      <c r="C1687" s="364" t="s">
        <v>2043</v>
      </c>
      <c r="D1687" s="136" t="s">
        <v>28</v>
      </c>
      <c r="E1687" s="137">
        <v>1</v>
      </c>
      <c r="F1687" s="232">
        <v>864811</v>
      </c>
      <c r="G1687" s="232">
        <v>106297</v>
      </c>
      <c r="H1687" s="138">
        <f t="shared" si="169"/>
        <v>971108</v>
      </c>
      <c r="I1687" s="138">
        <f t="shared" si="170"/>
        <v>971108</v>
      </c>
      <c r="J1687" s="48"/>
    </row>
    <row r="1688" spans="1:10" s="16" customFormat="1" ht="25.5" outlineLevel="3">
      <c r="A1688" s="91"/>
      <c r="B1688" s="35">
        <f>MAXA(B$5:B1687)+1</f>
        <v>972</v>
      </c>
      <c r="C1688" s="364" t="s">
        <v>2044</v>
      </c>
      <c r="D1688" s="136" t="s">
        <v>28</v>
      </c>
      <c r="E1688" s="137">
        <v>3</v>
      </c>
      <c r="F1688" s="232">
        <v>954817</v>
      </c>
      <c r="G1688" s="232">
        <v>118802</v>
      </c>
      <c r="H1688" s="138">
        <f t="shared" si="169"/>
        <v>1073619</v>
      </c>
      <c r="I1688" s="138">
        <f t="shared" si="170"/>
        <v>3220857</v>
      </c>
      <c r="J1688" s="48"/>
    </row>
    <row r="1689" spans="1:10" s="16" customFormat="1" ht="25.5" outlineLevel="3">
      <c r="A1689" s="91"/>
      <c r="B1689" s="35">
        <f>MAXA(B$5:B1688)+1</f>
        <v>973</v>
      </c>
      <c r="C1689" s="364" t="s">
        <v>2045</v>
      </c>
      <c r="D1689" s="136" t="s">
        <v>28</v>
      </c>
      <c r="E1689" s="137">
        <v>1</v>
      </c>
      <c r="F1689" s="232">
        <v>1282660</v>
      </c>
      <c r="G1689" s="232">
        <v>143813</v>
      </c>
      <c r="H1689" s="138">
        <f t="shared" si="169"/>
        <v>1426473</v>
      </c>
      <c r="I1689" s="138">
        <f t="shared" si="170"/>
        <v>1426473</v>
      </c>
      <c r="J1689" s="48"/>
    </row>
    <row r="1690" spans="1:10" s="16" customFormat="1" ht="25.5" outlineLevel="3">
      <c r="A1690" s="91"/>
      <c r="B1690" s="35">
        <f>MAXA(B$5:B1689)+1</f>
        <v>974</v>
      </c>
      <c r="C1690" s="364" t="s">
        <v>2046</v>
      </c>
      <c r="D1690" s="136" t="s">
        <v>28</v>
      </c>
      <c r="E1690" s="137">
        <v>2</v>
      </c>
      <c r="F1690" s="232">
        <v>1831246</v>
      </c>
      <c r="G1690" s="232">
        <v>187583</v>
      </c>
      <c r="H1690" s="138">
        <f t="shared" si="169"/>
        <v>2018829</v>
      </c>
      <c r="I1690" s="138">
        <f t="shared" si="170"/>
        <v>4037658</v>
      </c>
      <c r="J1690" s="48"/>
    </row>
    <row r="1691" spans="1:10" s="16" customFormat="1" ht="25.5" outlineLevel="3">
      <c r="A1691" s="91"/>
      <c r="B1691" s="35">
        <f>MAXA(B$5:B1690)+1</f>
        <v>975</v>
      </c>
      <c r="C1691" s="364" t="s">
        <v>2047</v>
      </c>
      <c r="D1691" s="136" t="s">
        <v>28</v>
      </c>
      <c r="E1691" s="137">
        <v>1</v>
      </c>
      <c r="F1691" s="232">
        <v>1492987</v>
      </c>
      <c r="G1691" s="232">
        <v>168824</v>
      </c>
      <c r="H1691" s="138">
        <f t="shared" si="169"/>
        <v>1661811</v>
      </c>
      <c r="I1691" s="138">
        <f t="shared" si="170"/>
        <v>1661811</v>
      </c>
      <c r="J1691" s="48"/>
    </row>
    <row r="1692" spans="1:10" s="16" customFormat="1" ht="25.5" outlineLevel="3">
      <c r="A1692" s="91"/>
      <c r="B1692" s="35"/>
      <c r="C1692" s="364" t="s">
        <v>1819</v>
      </c>
      <c r="D1692" s="136" t="s">
        <v>38</v>
      </c>
      <c r="E1692" s="137">
        <v>1</v>
      </c>
      <c r="F1692" s="232">
        <v>0</v>
      </c>
      <c r="G1692" s="232">
        <v>0</v>
      </c>
      <c r="H1692" s="183"/>
      <c r="I1692" s="183"/>
      <c r="J1692" s="48"/>
    </row>
    <row r="1693" spans="1:10" s="16" customFormat="1" ht="25.5" outlineLevel="3">
      <c r="A1693" s="91"/>
      <c r="B1693" s="35">
        <f>MAXA(B$5:B1692)+1</f>
        <v>976</v>
      </c>
      <c r="C1693" s="364" t="s">
        <v>792</v>
      </c>
      <c r="D1693" s="136" t="s">
        <v>28</v>
      </c>
      <c r="E1693" s="137">
        <v>1</v>
      </c>
      <c r="F1693" s="232">
        <v>1470686</v>
      </c>
      <c r="G1693" s="232">
        <v>250110</v>
      </c>
      <c r="H1693" s="138">
        <f t="shared" ref="H1693:H1698" si="171">G1693+F1693</f>
        <v>1720796</v>
      </c>
      <c r="I1693" s="138">
        <f t="shared" ref="I1693:I1698" si="172">H1693*E1693</f>
        <v>1720796</v>
      </c>
      <c r="J1693" s="48"/>
    </row>
    <row r="1694" spans="1:10" s="16" customFormat="1" ht="25.5" outlineLevel="3">
      <c r="A1694" s="91"/>
      <c r="B1694" s="35">
        <f>MAXA(B$5:B1693)+1</f>
        <v>977</v>
      </c>
      <c r="C1694" s="364" t="s">
        <v>790</v>
      </c>
      <c r="D1694" s="136" t="s">
        <v>28</v>
      </c>
      <c r="E1694" s="137">
        <v>1</v>
      </c>
      <c r="F1694" s="232">
        <v>1926194</v>
      </c>
      <c r="G1694" s="232">
        <v>250110</v>
      </c>
      <c r="H1694" s="138">
        <f t="shared" si="171"/>
        <v>2176304</v>
      </c>
      <c r="I1694" s="138">
        <f t="shared" si="172"/>
        <v>2176304</v>
      </c>
      <c r="J1694" s="48"/>
    </row>
    <row r="1695" spans="1:10" s="16" customFormat="1" ht="25.5" outlineLevel="3">
      <c r="A1695" s="91"/>
      <c r="B1695" s="35">
        <f>MAXA(B$5:B1694)+1</f>
        <v>978</v>
      </c>
      <c r="C1695" s="364" t="s">
        <v>2048</v>
      </c>
      <c r="D1695" s="136" t="s">
        <v>28</v>
      </c>
      <c r="E1695" s="137">
        <v>3</v>
      </c>
      <c r="F1695" s="232">
        <v>2163496</v>
      </c>
      <c r="G1695" s="232">
        <v>250110</v>
      </c>
      <c r="H1695" s="138">
        <f t="shared" si="171"/>
        <v>2413606</v>
      </c>
      <c r="I1695" s="138">
        <f t="shared" si="172"/>
        <v>7240818</v>
      </c>
      <c r="J1695" s="48"/>
    </row>
    <row r="1696" spans="1:10" s="16" customFormat="1" ht="25.5" outlineLevel="3">
      <c r="A1696" s="91"/>
      <c r="B1696" s="35">
        <f>MAXA(B$5:B1695)+1</f>
        <v>979</v>
      </c>
      <c r="C1696" s="364" t="s">
        <v>2049</v>
      </c>
      <c r="D1696" s="136" t="s">
        <v>28</v>
      </c>
      <c r="E1696" s="137">
        <v>1</v>
      </c>
      <c r="F1696" s="232">
        <v>2726237</v>
      </c>
      <c r="G1696" s="232">
        <v>268868</v>
      </c>
      <c r="H1696" s="138">
        <f t="shared" si="171"/>
        <v>2995105</v>
      </c>
      <c r="I1696" s="138">
        <f t="shared" si="172"/>
        <v>2995105</v>
      </c>
      <c r="J1696" s="48"/>
    </row>
    <row r="1697" spans="1:10" s="16" customFormat="1" ht="25.5" outlineLevel="3">
      <c r="A1697" s="91"/>
      <c r="B1697" s="35">
        <f>MAXA(B$5:B1696)+1</f>
        <v>980</v>
      </c>
      <c r="C1697" s="364" t="s">
        <v>2050</v>
      </c>
      <c r="D1697" s="136" t="s">
        <v>28</v>
      </c>
      <c r="E1697" s="137">
        <v>1</v>
      </c>
      <c r="F1697" s="232">
        <v>2340437</v>
      </c>
      <c r="G1697" s="232">
        <v>262616</v>
      </c>
      <c r="H1697" s="138">
        <f t="shared" si="171"/>
        <v>2603053</v>
      </c>
      <c r="I1697" s="138">
        <f t="shared" si="172"/>
        <v>2603053</v>
      </c>
      <c r="J1697" s="48"/>
    </row>
    <row r="1698" spans="1:10" s="16" customFormat="1" ht="25.5" outlineLevel="3">
      <c r="A1698" s="91"/>
      <c r="B1698" s="35">
        <f>MAXA(B$5:B1697)+1</f>
        <v>981</v>
      </c>
      <c r="C1698" s="364" t="s">
        <v>2051</v>
      </c>
      <c r="D1698" s="136" t="s">
        <v>28</v>
      </c>
      <c r="E1698" s="137">
        <v>1</v>
      </c>
      <c r="F1698" s="232">
        <v>3098549</v>
      </c>
      <c r="G1698" s="232">
        <v>293879</v>
      </c>
      <c r="H1698" s="138">
        <f t="shared" si="171"/>
        <v>3392428</v>
      </c>
      <c r="I1698" s="138">
        <f t="shared" si="172"/>
        <v>3392428</v>
      </c>
      <c r="J1698" s="48"/>
    </row>
    <row r="1699" spans="1:10" s="16" customFormat="1" ht="25.5" outlineLevel="3">
      <c r="A1699" s="91"/>
      <c r="B1699" s="35"/>
      <c r="C1699" s="364" t="s">
        <v>2052</v>
      </c>
      <c r="D1699" s="136" t="s">
        <v>38</v>
      </c>
      <c r="E1699" s="137">
        <v>1</v>
      </c>
      <c r="F1699" s="232">
        <v>0</v>
      </c>
      <c r="G1699" s="232">
        <v>0</v>
      </c>
      <c r="H1699" s="183"/>
      <c r="I1699" s="183"/>
      <c r="J1699" s="48"/>
    </row>
    <row r="1700" spans="1:10" s="16" customFormat="1" ht="25.5" outlineLevel="3">
      <c r="A1700" s="91"/>
      <c r="B1700" s="35">
        <f>MAXA(B$5:B1699)+1</f>
        <v>982</v>
      </c>
      <c r="C1700" s="364" t="s">
        <v>2053</v>
      </c>
      <c r="D1700" s="136" t="s">
        <v>28</v>
      </c>
      <c r="E1700" s="137">
        <v>16</v>
      </c>
      <c r="F1700" s="232">
        <v>2080300</v>
      </c>
      <c r="G1700" s="232">
        <v>350154</v>
      </c>
      <c r="H1700" s="138">
        <f t="shared" ref="H1700:H1715" si="173">G1700+F1700</f>
        <v>2430454</v>
      </c>
      <c r="I1700" s="138">
        <f t="shared" ref="I1700:I1715" si="174">H1700*E1700</f>
        <v>38887264</v>
      </c>
      <c r="J1700" s="48"/>
    </row>
    <row r="1701" spans="1:10" s="16" customFormat="1" ht="25.5" outlineLevel="3">
      <c r="A1701" s="91"/>
      <c r="B1701" s="35">
        <f>MAXA(B$5:B1700)+1</f>
        <v>983</v>
      </c>
      <c r="C1701" s="364" t="s">
        <v>2054</v>
      </c>
      <c r="D1701" s="136" t="s">
        <v>28</v>
      </c>
      <c r="E1701" s="137">
        <v>14</v>
      </c>
      <c r="F1701" s="232">
        <v>2119160</v>
      </c>
      <c r="G1701" s="232">
        <v>350154</v>
      </c>
      <c r="H1701" s="138">
        <f t="shared" si="173"/>
        <v>2469314</v>
      </c>
      <c r="I1701" s="138">
        <f t="shared" si="174"/>
        <v>34570396</v>
      </c>
      <c r="J1701" s="48"/>
    </row>
    <row r="1702" spans="1:10" s="16" customFormat="1" ht="25.5" outlineLevel="3">
      <c r="A1702" s="91"/>
      <c r="B1702" s="35">
        <f>MAXA(B$5:B1701)+1</f>
        <v>984</v>
      </c>
      <c r="C1702" s="364" t="s">
        <v>2055</v>
      </c>
      <c r="D1702" s="136" t="s">
        <v>28</v>
      </c>
      <c r="E1702" s="137">
        <v>4</v>
      </c>
      <c r="F1702" s="232">
        <v>2141996</v>
      </c>
      <c r="G1702" s="232">
        <v>350154</v>
      </c>
      <c r="H1702" s="138">
        <f t="shared" si="173"/>
        <v>2492150</v>
      </c>
      <c r="I1702" s="138">
        <f t="shared" si="174"/>
        <v>9968600</v>
      </c>
      <c r="J1702" s="48"/>
    </row>
    <row r="1703" spans="1:10" s="16" customFormat="1" ht="25.5" outlineLevel="3">
      <c r="A1703" s="91"/>
      <c r="B1703" s="35">
        <f>MAXA(B$5:B1702)+1</f>
        <v>985</v>
      </c>
      <c r="C1703" s="364" t="s">
        <v>2056</v>
      </c>
      <c r="D1703" s="136" t="s">
        <v>28</v>
      </c>
      <c r="E1703" s="137">
        <v>3</v>
      </c>
      <c r="F1703" s="232">
        <v>2166834</v>
      </c>
      <c r="G1703" s="232">
        <v>350154</v>
      </c>
      <c r="H1703" s="138">
        <f t="shared" si="173"/>
        <v>2516988</v>
      </c>
      <c r="I1703" s="138">
        <f t="shared" si="174"/>
        <v>7550964</v>
      </c>
      <c r="J1703" s="48"/>
    </row>
    <row r="1704" spans="1:10" s="16" customFormat="1" ht="25.5" outlineLevel="3">
      <c r="A1704" s="91"/>
      <c r="B1704" s="35">
        <f>MAXA(B$5:B1703)+1</f>
        <v>986</v>
      </c>
      <c r="C1704" s="364" t="s">
        <v>2057</v>
      </c>
      <c r="D1704" s="136" t="s">
        <v>28</v>
      </c>
      <c r="E1704" s="137">
        <v>3</v>
      </c>
      <c r="F1704" s="232">
        <v>2186331</v>
      </c>
      <c r="G1704" s="232">
        <v>350154</v>
      </c>
      <c r="H1704" s="138">
        <f t="shared" si="173"/>
        <v>2536485</v>
      </c>
      <c r="I1704" s="138">
        <f t="shared" si="174"/>
        <v>7609455</v>
      </c>
      <c r="J1704" s="48"/>
    </row>
    <row r="1705" spans="1:10" s="16" customFormat="1" ht="25.5" outlineLevel="3">
      <c r="A1705" s="91"/>
      <c r="B1705" s="35">
        <f>MAXA(B$5:B1704)+1</f>
        <v>987</v>
      </c>
      <c r="C1705" s="364" t="s">
        <v>2058</v>
      </c>
      <c r="D1705" s="136" t="s">
        <v>28</v>
      </c>
      <c r="E1705" s="137">
        <v>22</v>
      </c>
      <c r="F1705" s="232">
        <v>2188067</v>
      </c>
      <c r="G1705" s="232">
        <v>350154</v>
      </c>
      <c r="H1705" s="138">
        <f t="shared" si="173"/>
        <v>2538221</v>
      </c>
      <c r="I1705" s="138">
        <f t="shared" si="174"/>
        <v>55840862</v>
      </c>
      <c r="J1705" s="48"/>
    </row>
    <row r="1706" spans="1:10" s="16" customFormat="1" ht="25.5" outlineLevel="3">
      <c r="A1706" s="91"/>
      <c r="B1706" s="35">
        <f>MAXA(B$5:B1705)+1</f>
        <v>988</v>
      </c>
      <c r="C1706" s="364" t="s">
        <v>2059</v>
      </c>
      <c r="D1706" s="136" t="s">
        <v>28</v>
      </c>
      <c r="E1706" s="137">
        <v>1</v>
      </c>
      <c r="F1706" s="232">
        <v>2209167</v>
      </c>
      <c r="G1706" s="232">
        <v>350154</v>
      </c>
      <c r="H1706" s="138">
        <f t="shared" si="173"/>
        <v>2559321</v>
      </c>
      <c r="I1706" s="138">
        <f t="shared" si="174"/>
        <v>2559321</v>
      </c>
      <c r="J1706" s="48"/>
    </row>
    <row r="1707" spans="1:10" s="16" customFormat="1" ht="25.5" outlineLevel="3">
      <c r="A1707" s="91"/>
      <c r="B1707" s="35">
        <f>MAXA(B$5:B1706)+1</f>
        <v>989</v>
      </c>
      <c r="C1707" s="364" t="s">
        <v>2060</v>
      </c>
      <c r="D1707" s="136" t="s">
        <v>28</v>
      </c>
      <c r="E1707" s="137">
        <v>3</v>
      </c>
      <c r="F1707" s="232">
        <v>2239347</v>
      </c>
      <c r="G1707" s="232">
        <v>350154</v>
      </c>
      <c r="H1707" s="138">
        <f t="shared" si="173"/>
        <v>2589501</v>
      </c>
      <c r="I1707" s="138">
        <f t="shared" si="174"/>
        <v>7768503</v>
      </c>
      <c r="J1707" s="48"/>
    </row>
    <row r="1708" spans="1:10" s="16" customFormat="1" ht="25.5" outlineLevel="3">
      <c r="A1708" s="91"/>
      <c r="B1708" s="35">
        <f>MAXA(B$5:B1707)+1</f>
        <v>990</v>
      </c>
      <c r="C1708" s="364" t="s">
        <v>2061</v>
      </c>
      <c r="D1708" s="136" t="s">
        <v>28</v>
      </c>
      <c r="E1708" s="137">
        <v>1</v>
      </c>
      <c r="F1708" s="232">
        <v>2262182</v>
      </c>
      <c r="G1708" s="232">
        <v>350154</v>
      </c>
      <c r="H1708" s="138">
        <f t="shared" si="173"/>
        <v>2612336</v>
      </c>
      <c r="I1708" s="138">
        <f t="shared" si="174"/>
        <v>2612336</v>
      </c>
      <c r="J1708" s="48"/>
    </row>
    <row r="1709" spans="1:10" s="16" customFormat="1" ht="25.5" outlineLevel="3">
      <c r="A1709" s="91"/>
      <c r="B1709" s="35">
        <f>MAXA(B$5:B1708)+1</f>
        <v>991</v>
      </c>
      <c r="C1709" s="364" t="s">
        <v>2062</v>
      </c>
      <c r="D1709" s="136" t="s">
        <v>28</v>
      </c>
      <c r="E1709" s="137">
        <v>1</v>
      </c>
      <c r="F1709" s="232">
        <v>2474646</v>
      </c>
      <c r="G1709" s="232">
        <v>350154</v>
      </c>
      <c r="H1709" s="138">
        <f t="shared" si="173"/>
        <v>2824800</v>
      </c>
      <c r="I1709" s="138">
        <f t="shared" si="174"/>
        <v>2824800</v>
      </c>
      <c r="J1709" s="48"/>
    </row>
    <row r="1710" spans="1:10" s="16" customFormat="1" ht="25.5" outlineLevel="3">
      <c r="A1710" s="91"/>
      <c r="B1710" s="35">
        <f>MAXA(B$5:B1709)+1</f>
        <v>992</v>
      </c>
      <c r="C1710" s="364" t="s">
        <v>2063</v>
      </c>
      <c r="D1710" s="136" t="s">
        <v>28</v>
      </c>
      <c r="E1710" s="137">
        <v>1</v>
      </c>
      <c r="F1710" s="232">
        <v>2462227</v>
      </c>
      <c r="G1710" s="232">
        <v>350154</v>
      </c>
      <c r="H1710" s="138">
        <f t="shared" si="173"/>
        <v>2812381</v>
      </c>
      <c r="I1710" s="138">
        <f t="shared" si="174"/>
        <v>2812381</v>
      </c>
      <c r="J1710" s="48"/>
    </row>
    <row r="1711" spans="1:10" s="16" customFormat="1" ht="25.5" outlineLevel="3">
      <c r="A1711" s="91"/>
      <c r="B1711" s="35">
        <f>MAXA(B$5:B1710)+1</f>
        <v>993</v>
      </c>
      <c r="C1711" s="364" t="s">
        <v>2064</v>
      </c>
      <c r="D1711" s="136" t="s">
        <v>28</v>
      </c>
      <c r="E1711" s="137">
        <v>1</v>
      </c>
      <c r="F1711" s="232">
        <v>2594833</v>
      </c>
      <c r="G1711" s="232">
        <v>350154</v>
      </c>
      <c r="H1711" s="138">
        <f t="shared" si="173"/>
        <v>2944987</v>
      </c>
      <c r="I1711" s="138">
        <f t="shared" si="174"/>
        <v>2944987</v>
      </c>
      <c r="J1711" s="48"/>
    </row>
    <row r="1712" spans="1:10" s="16" customFormat="1" ht="25.5" outlineLevel="3">
      <c r="A1712" s="91"/>
      <c r="B1712" s="35">
        <f>MAXA(B$5:B1711)+1</f>
        <v>994</v>
      </c>
      <c r="C1712" s="364" t="s">
        <v>2065</v>
      </c>
      <c r="D1712" s="136" t="s">
        <v>28</v>
      </c>
      <c r="E1712" s="137">
        <v>1</v>
      </c>
      <c r="F1712" s="232">
        <v>2720094</v>
      </c>
      <c r="G1712" s="232">
        <v>356407</v>
      </c>
      <c r="H1712" s="138">
        <f t="shared" si="173"/>
        <v>3076501</v>
      </c>
      <c r="I1712" s="138">
        <f t="shared" si="174"/>
        <v>3076501</v>
      </c>
      <c r="J1712" s="48"/>
    </row>
    <row r="1713" spans="1:14" s="16" customFormat="1" ht="25.5" outlineLevel="3">
      <c r="A1713" s="91"/>
      <c r="B1713" s="35">
        <f>MAXA(B$5:B1712)+1</f>
        <v>995</v>
      </c>
      <c r="C1713" s="364" t="s">
        <v>2066</v>
      </c>
      <c r="D1713" s="136" t="s">
        <v>28</v>
      </c>
      <c r="E1713" s="137">
        <v>1</v>
      </c>
      <c r="F1713" s="232">
        <v>2778318</v>
      </c>
      <c r="G1713" s="232">
        <v>362660</v>
      </c>
      <c r="H1713" s="138">
        <f t="shared" si="173"/>
        <v>3140978</v>
      </c>
      <c r="I1713" s="138">
        <f t="shared" si="174"/>
        <v>3140978</v>
      </c>
      <c r="J1713" s="48"/>
    </row>
    <row r="1714" spans="1:14" s="16" customFormat="1" ht="25.5" outlineLevel="3">
      <c r="A1714" s="91"/>
      <c r="B1714" s="35">
        <f>MAXA(B$5:B1713)+1</f>
        <v>996</v>
      </c>
      <c r="C1714" s="146" t="s">
        <v>320</v>
      </c>
      <c r="D1714" s="136" t="s">
        <v>38</v>
      </c>
      <c r="E1714" s="137">
        <v>1</v>
      </c>
      <c r="F1714" s="232">
        <v>84147181</v>
      </c>
      <c r="G1714" s="232">
        <v>15103340</v>
      </c>
      <c r="H1714" s="138">
        <f t="shared" si="173"/>
        <v>99250521</v>
      </c>
      <c r="I1714" s="138">
        <f t="shared" si="174"/>
        <v>99250521</v>
      </c>
      <c r="J1714" s="48"/>
    </row>
    <row r="1715" spans="1:14" s="16" customFormat="1" ht="25.5" outlineLevel="3">
      <c r="A1715" s="91"/>
      <c r="B1715" s="35">
        <f>MAXA(B$5:B1714)+1</f>
        <v>997</v>
      </c>
      <c r="C1715" s="245" t="s">
        <v>1042</v>
      </c>
      <c r="D1715" s="136" t="s">
        <v>38</v>
      </c>
      <c r="E1715" s="137">
        <v>1</v>
      </c>
      <c r="F1715" s="232">
        <v>24544650</v>
      </c>
      <c r="G1715" s="232">
        <v>6988073</v>
      </c>
      <c r="H1715" s="138">
        <f t="shared" si="173"/>
        <v>31532723</v>
      </c>
      <c r="I1715" s="138">
        <f t="shared" si="174"/>
        <v>31532723</v>
      </c>
      <c r="J1715" s="48"/>
    </row>
    <row r="1716" spans="1:14" s="16" customFormat="1" ht="26.25" outlineLevel="2">
      <c r="A1716" s="91"/>
      <c r="B1716" s="30" t="s">
        <v>430</v>
      </c>
      <c r="C1716" s="104" t="s">
        <v>1043</v>
      </c>
      <c r="D1716" s="212"/>
      <c r="E1716" s="105"/>
      <c r="F1716" s="232">
        <v>0</v>
      </c>
      <c r="G1716" s="232">
        <v>0</v>
      </c>
      <c r="H1716" s="183"/>
      <c r="I1716" s="180">
        <f>SUBTOTAL(9,I1717:I2293)</f>
        <v>2369331217</v>
      </c>
      <c r="J1716" s="48"/>
      <c r="M1716" s="33" t="s">
        <v>430</v>
      </c>
      <c r="N1716" s="16" t="s">
        <v>430</v>
      </c>
    </row>
    <row r="1717" spans="1:14" s="16" customFormat="1" ht="25.5" outlineLevel="3">
      <c r="A1717" s="91"/>
      <c r="B1717" s="35">
        <f>MAXA(B$5:B1716)+1</f>
        <v>998</v>
      </c>
      <c r="C1717" s="139" t="s">
        <v>2067</v>
      </c>
      <c r="D1717" s="230" t="s">
        <v>25</v>
      </c>
      <c r="E1717" s="137">
        <v>168</v>
      </c>
      <c r="F1717" s="232">
        <v>379802</v>
      </c>
      <c r="G1717" s="232">
        <v>41685</v>
      </c>
      <c r="H1717" s="138">
        <f t="shared" ref="H1717:H1750" si="175">G1717+F1717</f>
        <v>421487</v>
      </c>
      <c r="I1717" s="138">
        <f t="shared" ref="I1717:I1750" si="176">H1717*E1717</f>
        <v>70809816</v>
      </c>
      <c r="J1717" s="48"/>
    </row>
    <row r="1718" spans="1:14" s="16" customFormat="1" ht="25.5" outlineLevel="3">
      <c r="A1718" s="91"/>
      <c r="B1718" s="35">
        <f>MAXA(B$5:B1717)+1</f>
        <v>999</v>
      </c>
      <c r="C1718" s="139" t="s">
        <v>2068</v>
      </c>
      <c r="D1718" s="230" t="s">
        <v>25</v>
      </c>
      <c r="E1718" s="137">
        <v>180</v>
      </c>
      <c r="F1718" s="232">
        <v>76536</v>
      </c>
      <c r="G1718" s="232">
        <v>18580</v>
      </c>
      <c r="H1718" s="138">
        <f t="shared" si="175"/>
        <v>95116</v>
      </c>
      <c r="I1718" s="138">
        <f t="shared" si="176"/>
        <v>17120880</v>
      </c>
      <c r="J1718" s="48"/>
    </row>
    <row r="1719" spans="1:14" s="16" customFormat="1" ht="25.5" outlineLevel="3">
      <c r="A1719" s="91"/>
      <c r="B1719" s="35">
        <f>MAXA(B$5:B1718)+1</f>
        <v>1000</v>
      </c>
      <c r="C1719" s="139" t="s">
        <v>2069</v>
      </c>
      <c r="D1719" s="230" t="s">
        <v>25</v>
      </c>
      <c r="E1719" s="137">
        <v>71</v>
      </c>
      <c r="F1719" s="232">
        <v>370593</v>
      </c>
      <c r="G1719" s="232">
        <v>104213</v>
      </c>
      <c r="H1719" s="138">
        <f t="shared" si="175"/>
        <v>474806</v>
      </c>
      <c r="I1719" s="138">
        <f t="shared" si="176"/>
        <v>33711226</v>
      </c>
      <c r="J1719" s="48"/>
    </row>
    <row r="1720" spans="1:14" s="16" customFormat="1" ht="25.5" outlineLevel="3">
      <c r="A1720" s="91"/>
      <c r="B1720" s="35">
        <f>MAXA(B$5:B1719)+1</f>
        <v>1001</v>
      </c>
      <c r="C1720" s="139" t="s">
        <v>2070</v>
      </c>
      <c r="D1720" s="230" t="s">
        <v>25</v>
      </c>
      <c r="E1720" s="137">
        <v>590</v>
      </c>
      <c r="F1720" s="232">
        <v>71520</v>
      </c>
      <c r="G1720" s="232">
        <v>20321</v>
      </c>
      <c r="H1720" s="138">
        <f t="shared" si="175"/>
        <v>91841</v>
      </c>
      <c r="I1720" s="138">
        <f t="shared" si="176"/>
        <v>54186190</v>
      </c>
      <c r="J1720" s="48"/>
    </row>
    <row r="1721" spans="1:14" s="16" customFormat="1" ht="25.5" outlineLevel="3">
      <c r="A1721" s="91"/>
      <c r="B1721" s="35">
        <f>MAXA(B$5:B1720)+1</f>
        <v>1002</v>
      </c>
      <c r="C1721" s="139" t="s">
        <v>1047</v>
      </c>
      <c r="D1721" s="230" t="s">
        <v>25</v>
      </c>
      <c r="E1721" s="137">
        <v>269</v>
      </c>
      <c r="F1721" s="232">
        <v>134191</v>
      </c>
      <c r="G1721" s="232">
        <v>46896</v>
      </c>
      <c r="H1721" s="138">
        <f t="shared" si="175"/>
        <v>181087</v>
      </c>
      <c r="I1721" s="138">
        <f t="shared" si="176"/>
        <v>48712403</v>
      </c>
      <c r="J1721" s="48"/>
    </row>
    <row r="1722" spans="1:14" s="16" customFormat="1" ht="25.5" outlineLevel="3">
      <c r="A1722" s="91"/>
      <c r="B1722" s="35">
        <f>MAXA(B$5:B1721)+1</f>
        <v>1003</v>
      </c>
      <c r="C1722" s="139" t="s">
        <v>1048</v>
      </c>
      <c r="D1722" s="230" t="s">
        <v>25</v>
      </c>
      <c r="E1722" s="137">
        <f>30+82</f>
        <v>112</v>
      </c>
      <c r="F1722" s="232">
        <v>87916</v>
      </c>
      <c r="G1722" s="232">
        <v>46896</v>
      </c>
      <c r="H1722" s="138">
        <f t="shared" si="175"/>
        <v>134812</v>
      </c>
      <c r="I1722" s="138">
        <f t="shared" si="176"/>
        <v>15098944</v>
      </c>
      <c r="J1722" s="48"/>
    </row>
    <row r="1723" spans="1:14" s="16" customFormat="1" ht="25.5" outlineLevel="3">
      <c r="A1723" s="91"/>
      <c r="B1723" s="35">
        <f>MAXA(B$5:B1722)+1</f>
        <v>1004</v>
      </c>
      <c r="C1723" s="139" t="s">
        <v>1049</v>
      </c>
      <c r="D1723" s="230" t="s">
        <v>25</v>
      </c>
      <c r="E1723" s="137">
        <f>337-82</f>
        <v>255</v>
      </c>
      <c r="F1723" s="232">
        <v>55344</v>
      </c>
      <c r="G1723" s="232">
        <v>20321</v>
      </c>
      <c r="H1723" s="138">
        <f t="shared" si="175"/>
        <v>75665</v>
      </c>
      <c r="I1723" s="138">
        <f t="shared" si="176"/>
        <v>19294575</v>
      </c>
      <c r="J1723" s="48"/>
    </row>
    <row r="1724" spans="1:14" s="16" customFormat="1" ht="25.5" outlineLevel="3">
      <c r="A1724" s="91"/>
      <c r="B1724" s="35">
        <f>MAXA(B$5:B1723)+1</f>
        <v>1005</v>
      </c>
      <c r="C1724" s="139" t="s">
        <v>1050</v>
      </c>
      <c r="D1724" s="230" t="s">
        <v>25</v>
      </c>
      <c r="E1724" s="137">
        <v>1142</v>
      </c>
      <c r="F1724" s="232">
        <v>39400</v>
      </c>
      <c r="G1724" s="232">
        <v>18758</v>
      </c>
      <c r="H1724" s="138">
        <f t="shared" si="175"/>
        <v>58158</v>
      </c>
      <c r="I1724" s="138">
        <f t="shared" si="176"/>
        <v>66416436</v>
      </c>
      <c r="J1724" s="48"/>
    </row>
    <row r="1725" spans="1:14" s="16" customFormat="1" ht="25.5" outlineLevel="3">
      <c r="A1725" s="91"/>
      <c r="B1725" s="35">
        <f>MAXA(B$5:B1724)+1</f>
        <v>1006</v>
      </c>
      <c r="C1725" s="139" t="s">
        <v>1051</v>
      </c>
      <c r="D1725" s="230" t="s">
        <v>25</v>
      </c>
      <c r="E1725" s="137">
        <f>167+25</f>
        <v>192</v>
      </c>
      <c r="F1725" s="232">
        <v>26186</v>
      </c>
      <c r="G1725" s="232">
        <v>5211</v>
      </c>
      <c r="H1725" s="138">
        <f t="shared" si="175"/>
        <v>31397</v>
      </c>
      <c r="I1725" s="138">
        <f t="shared" si="176"/>
        <v>6028224</v>
      </c>
      <c r="J1725" s="48"/>
    </row>
    <row r="1726" spans="1:14" s="16" customFormat="1" ht="25.5" outlineLevel="3">
      <c r="A1726" s="91"/>
      <c r="B1726" s="35">
        <f>MAXA(B$5:B1725)+1</f>
        <v>1007</v>
      </c>
      <c r="C1726" s="416" t="s">
        <v>2071</v>
      </c>
      <c r="D1726" s="230" t="s">
        <v>25</v>
      </c>
      <c r="E1726" s="137">
        <v>600</v>
      </c>
      <c r="F1726" s="232">
        <v>148823</v>
      </c>
      <c r="G1726" s="232">
        <v>46896</v>
      </c>
      <c r="H1726" s="138">
        <f t="shared" si="175"/>
        <v>195719</v>
      </c>
      <c r="I1726" s="138">
        <f t="shared" si="176"/>
        <v>117431400</v>
      </c>
      <c r="J1726" s="48"/>
    </row>
    <row r="1727" spans="1:14" s="16" customFormat="1" ht="25.5" outlineLevel="3">
      <c r="A1727" s="91"/>
      <c r="B1727" s="35">
        <f>MAXA(B$5:B1726)+1</f>
        <v>1008</v>
      </c>
      <c r="C1727" s="416" t="s">
        <v>1052</v>
      </c>
      <c r="D1727" s="230" t="s">
        <v>25</v>
      </c>
      <c r="E1727" s="137">
        <v>254</v>
      </c>
      <c r="F1727" s="232">
        <v>100225</v>
      </c>
      <c r="G1727" s="232">
        <v>46896</v>
      </c>
      <c r="H1727" s="138">
        <f t="shared" si="175"/>
        <v>147121</v>
      </c>
      <c r="I1727" s="138">
        <f t="shared" si="176"/>
        <v>37368734</v>
      </c>
      <c r="J1727" s="48"/>
    </row>
    <row r="1728" spans="1:14" s="16" customFormat="1" ht="25.5" outlineLevel="3">
      <c r="A1728" s="91"/>
      <c r="B1728" s="35">
        <f>MAXA(B$5:B1727)+1</f>
        <v>1009</v>
      </c>
      <c r="C1728" s="416" t="s">
        <v>1055</v>
      </c>
      <c r="D1728" s="230" t="s">
        <v>25</v>
      </c>
      <c r="E1728" s="137">
        <v>228</v>
      </c>
      <c r="F1728" s="232">
        <v>11043</v>
      </c>
      <c r="G1728" s="232">
        <v>5211</v>
      </c>
      <c r="H1728" s="138">
        <f t="shared" si="175"/>
        <v>16254</v>
      </c>
      <c r="I1728" s="138">
        <f t="shared" si="176"/>
        <v>3705912</v>
      </c>
      <c r="J1728" s="48"/>
    </row>
    <row r="1729" spans="1:10" s="16" customFormat="1" ht="25.5" outlineLevel="3">
      <c r="A1729" s="91"/>
      <c r="B1729" s="35">
        <f>MAXA(B$5:B1728)+1</f>
        <v>1010</v>
      </c>
      <c r="C1729" s="416" t="s">
        <v>2072</v>
      </c>
      <c r="D1729" s="230" t="s">
        <v>25</v>
      </c>
      <c r="E1729" s="137">
        <v>1552</v>
      </c>
      <c r="F1729" s="232">
        <v>8071</v>
      </c>
      <c r="G1729" s="232">
        <v>4690</v>
      </c>
      <c r="H1729" s="138">
        <f t="shared" si="175"/>
        <v>12761</v>
      </c>
      <c r="I1729" s="138">
        <f t="shared" si="176"/>
        <v>19805072</v>
      </c>
      <c r="J1729" s="48"/>
    </row>
    <row r="1730" spans="1:10" s="16" customFormat="1" ht="25.5" outlineLevel="3">
      <c r="A1730" s="91"/>
      <c r="B1730" s="35">
        <f>MAXA(B$5:B1729)+1</f>
        <v>1011</v>
      </c>
      <c r="C1730" s="416" t="s">
        <v>1056</v>
      </c>
      <c r="D1730" s="230" t="s">
        <v>25</v>
      </c>
      <c r="E1730" s="137">
        <v>3185</v>
      </c>
      <c r="F1730" s="232">
        <v>18626</v>
      </c>
      <c r="G1730" s="232">
        <v>9379</v>
      </c>
      <c r="H1730" s="138">
        <f t="shared" si="175"/>
        <v>28005</v>
      </c>
      <c r="I1730" s="138">
        <f t="shared" si="176"/>
        <v>89195925</v>
      </c>
      <c r="J1730" s="48"/>
    </row>
    <row r="1731" spans="1:10" s="16" customFormat="1" ht="25.5" outlineLevel="3">
      <c r="A1731" s="91"/>
      <c r="B1731" s="35">
        <f>MAXA(B$5:B1730)+1</f>
        <v>1012</v>
      </c>
      <c r="C1731" s="416" t="s">
        <v>2073</v>
      </c>
      <c r="D1731" s="230" t="s">
        <v>25</v>
      </c>
      <c r="E1731" s="137">
        <v>343</v>
      </c>
      <c r="F1731" s="232">
        <v>34837</v>
      </c>
      <c r="G1731" s="232">
        <v>12506</v>
      </c>
      <c r="H1731" s="138">
        <f t="shared" si="175"/>
        <v>47343</v>
      </c>
      <c r="I1731" s="138">
        <f t="shared" si="176"/>
        <v>16238649</v>
      </c>
      <c r="J1731" s="48"/>
    </row>
    <row r="1732" spans="1:10" s="16" customFormat="1" ht="25.5" outlineLevel="3">
      <c r="A1732" s="91"/>
      <c r="B1732" s="35">
        <f>MAXA(B$5:B1731)+1</f>
        <v>1013</v>
      </c>
      <c r="C1732" s="416" t="s">
        <v>2074</v>
      </c>
      <c r="D1732" s="230" t="s">
        <v>25</v>
      </c>
      <c r="E1732" s="137">
        <v>120</v>
      </c>
      <c r="F1732" s="232">
        <v>46600</v>
      </c>
      <c r="G1732" s="232">
        <v>13548</v>
      </c>
      <c r="H1732" s="138">
        <f t="shared" si="175"/>
        <v>60148</v>
      </c>
      <c r="I1732" s="138">
        <f t="shared" si="176"/>
        <v>7217760</v>
      </c>
      <c r="J1732" s="48"/>
    </row>
    <row r="1733" spans="1:10" s="16" customFormat="1" ht="25.5" outlineLevel="3">
      <c r="A1733" s="91"/>
      <c r="B1733" s="35">
        <f>MAXA(B$5:B1732)+1</f>
        <v>1014</v>
      </c>
      <c r="C1733" s="416" t="s">
        <v>1057</v>
      </c>
      <c r="D1733" s="230" t="s">
        <v>25</v>
      </c>
      <c r="E1733" s="137">
        <v>50</v>
      </c>
      <c r="F1733" s="232">
        <v>23712</v>
      </c>
      <c r="G1733" s="232">
        <v>18758</v>
      </c>
      <c r="H1733" s="138">
        <f t="shared" si="175"/>
        <v>42470</v>
      </c>
      <c r="I1733" s="138">
        <f t="shared" si="176"/>
        <v>2123500</v>
      </c>
      <c r="J1733" s="48"/>
    </row>
    <row r="1734" spans="1:10" s="16" customFormat="1" ht="25.5" outlineLevel="3">
      <c r="A1734" s="91"/>
      <c r="B1734" s="35">
        <f>MAXA(B$5:B1733)+1</f>
        <v>1015</v>
      </c>
      <c r="C1734" s="416" t="s">
        <v>354</v>
      </c>
      <c r="D1734" s="230" t="s">
        <v>25</v>
      </c>
      <c r="E1734" s="137">
        <v>5233</v>
      </c>
      <c r="F1734" s="232">
        <v>6886</v>
      </c>
      <c r="G1734" s="232">
        <v>5211</v>
      </c>
      <c r="H1734" s="138">
        <f t="shared" si="175"/>
        <v>12097</v>
      </c>
      <c r="I1734" s="138">
        <f t="shared" si="176"/>
        <v>63303601</v>
      </c>
      <c r="J1734" s="48"/>
    </row>
    <row r="1735" spans="1:10" s="16" customFormat="1" ht="25.5" outlineLevel="3">
      <c r="A1735" s="91"/>
      <c r="B1735" s="35">
        <f>MAXA(B$5:B1734)+1</f>
        <v>1016</v>
      </c>
      <c r="C1735" s="416" t="s">
        <v>355</v>
      </c>
      <c r="D1735" s="230" t="s">
        <v>25</v>
      </c>
      <c r="E1735" s="137">
        <v>4550</v>
      </c>
      <c r="F1735" s="232">
        <v>4366</v>
      </c>
      <c r="G1735" s="232">
        <v>4690</v>
      </c>
      <c r="H1735" s="138">
        <f t="shared" si="175"/>
        <v>9056</v>
      </c>
      <c r="I1735" s="138">
        <f t="shared" si="176"/>
        <v>41204800</v>
      </c>
      <c r="J1735" s="48"/>
    </row>
    <row r="1736" spans="1:10" s="16" customFormat="1" ht="25.5" outlineLevel="3">
      <c r="A1736" s="91"/>
      <c r="B1736" s="35">
        <f>MAXA(B$5:B1735)+1</f>
        <v>1017</v>
      </c>
      <c r="C1736" s="416" t="s">
        <v>359</v>
      </c>
      <c r="D1736" s="230" t="s">
        <v>25</v>
      </c>
      <c r="E1736" s="137">
        <v>42</v>
      </c>
      <c r="F1736" s="232">
        <v>174834</v>
      </c>
      <c r="G1736" s="232">
        <v>36474</v>
      </c>
      <c r="H1736" s="138">
        <f t="shared" si="175"/>
        <v>211308</v>
      </c>
      <c r="I1736" s="138">
        <f t="shared" si="176"/>
        <v>8874936</v>
      </c>
      <c r="J1736" s="48"/>
    </row>
    <row r="1737" spans="1:10" s="16" customFormat="1" ht="25.5" outlineLevel="3">
      <c r="A1737" s="91"/>
      <c r="B1737" s="35">
        <f>MAXA(B$5:B1736)+1</f>
        <v>1018</v>
      </c>
      <c r="C1737" s="416" t="s">
        <v>363</v>
      </c>
      <c r="D1737" s="230" t="s">
        <v>25</v>
      </c>
      <c r="E1737" s="137">
        <v>574</v>
      </c>
      <c r="F1737" s="232">
        <v>43569</v>
      </c>
      <c r="G1737" s="232">
        <v>15632</v>
      </c>
      <c r="H1737" s="138">
        <f t="shared" si="175"/>
        <v>59201</v>
      </c>
      <c r="I1737" s="138">
        <f t="shared" si="176"/>
        <v>33981374</v>
      </c>
      <c r="J1737" s="48"/>
    </row>
    <row r="1738" spans="1:10" s="16" customFormat="1" ht="25.5" outlineLevel="3">
      <c r="A1738" s="91"/>
      <c r="B1738" s="35">
        <f>MAXA(B$5:B1737)+1</f>
        <v>1019</v>
      </c>
      <c r="C1738" s="416" t="s">
        <v>364</v>
      </c>
      <c r="D1738" s="230" t="s">
        <v>25</v>
      </c>
      <c r="E1738" s="137">
        <v>168</v>
      </c>
      <c r="F1738" s="232">
        <v>26662</v>
      </c>
      <c r="G1738" s="232">
        <v>15632</v>
      </c>
      <c r="H1738" s="138">
        <f t="shared" si="175"/>
        <v>42294</v>
      </c>
      <c r="I1738" s="138">
        <f t="shared" si="176"/>
        <v>7105392</v>
      </c>
      <c r="J1738" s="48"/>
    </row>
    <row r="1739" spans="1:10" s="16" customFormat="1" ht="25.5" outlineLevel="3">
      <c r="A1739" s="91"/>
      <c r="B1739" s="35">
        <f>MAXA(B$5:B1738)+1</f>
        <v>1020</v>
      </c>
      <c r="C1739" s="416" t="s">
        <v>365</v>
      </c>
      <c r="D1739" s="230" t="s">
        <v>25</v>
      </c>
      <c r="E1739" s="137">
        <v>751</v>
      </c>
      <c r="F1739" s="232">
        <v>16106</v>
      </c>
      <c r="G1739" s="232">
        <v>6774</v>
      </c>
      <c r="H1739" s="138">
        <f t="shared" si="175"/>
        <v>22880</v>
      </c>
      <c r="I1739" s="138">
        <f t="shared" si="176"/>
        <v>17182880</v>
      </c>
      <c r="J1739" s="48"/>
    </row>
    <row r="1740" spans="1:10" s="16" customFormat="1" ht="25.5" outlineLevel="3">
      <c r="A1740" s="91"/>
      <c r="B1740" s="35">
        <f>MAXA(B$5:B1739)+1</f>
        <v>1021</v>
      </c>
      <c r="C1740" s="416" t="s">
        <v>366</v>
      </c>
      <c r="D1740" s="230" t="s">
        <v>25</v>
      </c>
      <c r="E1740" s="137">
        <v>343</v>
      </c>
      <c r="F1740" s="232">
        <v>11090</v>
      </c>
      <c r="G1740" s="232">
        <v>6253</v>
      </c>
      <c r="H1740" s="138">
        <f t="shared" si="175"/>
        <v>17343</v>
      </c>
      <c r="I1740" s="138">
        <f t="shared" si="176"/>
        <v>5948649</v>
      </c>
      <c r="J1740" s="48"/>
    </row>
    <row r="1741" spans="1:10" s="16" customFormat="1" ht="25.5" outlineLevel="3">
      <c r="A1741" s="91"/>
      <c r="B1741" s="35">
        <f>MAXA(B$5:B1740)+1</f>
        <v>1022</v>
      </c>
      <c r="C1741" s="416" t="s">
        <v>367</v>
      </c>
      <c r="D1741" s="230" t="s">
        <v>25</v>
      </c>
      <c r="E1741" s="137">
        <v>2434</v>
      </c>
      <c r="F1741" s="232">
        <v>6886</v>
      </c>
      <c r="G1741" s="232">
        <v>5211</v>
      </c>
      <c r="H1741" s="138">
        <f t="shared" si="175"/>
        <v>12097</v>
      </c>
      <c r="I1741" s="138">
        <f t="shared" si="176"/>
        <v>29444098</v>
      </c>
      <c r="J1741" s="48"/>
    </row>
    <row r="1742" spans="1:10" s="16" customFormat="1" ht="25.5" outlineLevel="3">
      <c r="A1742" s="91"/>
      <c r="B1742" s="35">
        <f>MAXA(B$5:B1741)+1</f>
        <v>1023</v>
      </c>
      <c r="C1742" s="416" t="s">
        <v>368</v>
      </c>
      <c r="D1742" s="230" t="s">
        <v>25</v>
      </c>
      <c r="E1742" s="137">
        <v>2862</v>
      </c>
      <c r="F1742" s="232">
        <v>4366</v>
      </c>
      <c r="G1742" s="232">
        <v>4690</v>
      </c>
      <c r="H1742" s="138">
        <f t="shared" si="175"/>
        <v>9056</v>
      </c>
      <c r="I1742" s="138">
        <f t="shared" si="176"/>
        <v>25918272</v>
      </c>
      <c r="J1742" s="48"/>
    </row>
    <row r="1743" spans="1:10" s="16" customFormat="1" ht="25.5" outlineLevel="3">
      <c r="A1743" s="91"/>
      <c r="B1743" s="35">
        <f>MAXA(B$5:B1742)+1</f>
        <v>1024</v>
      </c>
      <c r="C1743" s="416" t="s">
        <v>2075</v>
      </c>
      <c r="D1743" s="230" t="s">
        <v>25</v>
      </c>
      <c r="E1743" s="137">
        <v>132</v>
      </c>
      <c r="F1743" s="232">
        <v>271727</v>
      </c>
      <c r="G1743" s="232">
        <v>125055</v>
      </c>
      <c r="H1743" s="138">
        <f t="shared" si="175"/>
        <v>396782</v>
      </c>
      <c r="I1743" s="138">
        <f t="shared" si="176"/>
        <v>52375224</v>
      </c>
      <c r="J1743" s="48"/>
    </row>
    <row r="1744" spans="1:10" s="16" customFormat="1" ht="25.5" outlineLevel="3">
      <c r="A1744" s="91"/>
      <c r="B1744" s="35">
        <f>MAXA(B$5:B1743)+1</f>
        <v>1025</v>
      </c>
      <c r="C1744" s="416" t="s">
        <v>1058</v>
      </c>
      <c r="D1744" s="230" t="s">
        <v>25</v>
      </c>
      <c r="E1744" s="137">
        <f>221+25</f>
        <v>246</v>
      </c>
      <c r="F1744" s="232">
        <v>92898</v>
      </c>
      <c r="G1744" s="232">
        <v>31264</v>
      </c>
      <c r="H1744" s="138">
        <f t="shared" si="175"/>
        <v>124162</v>
      </c>
      <c r="I1744" s="138">
        <f t="shared" si="176"/>
        <v>30543852</v>
      </c>
      <c r="J1744" s="48"/>
    </row>
    <row r="1745" spans="1:10" s="16" customFormat="1" ht="25.5" outlineLevel="3">
      <c r="A1745" s="91"/>
      <c r="B1745" s="35">
        <f>MAXA(B$5:B1744)+1</f>
        <v>1026</v>
      </c>
      <c r="C1745" s="416" t="s">
        <v>1059</v>
      </c>
      <c r="D1745" s="230" t="s">
        <v>25</v>
      </c>
      <c r="E1745" s="137">
        <v>532</v>
      </c>
      <c r="F1745" s="232">
        <v>65609</v>
      </c>
      <c r="G1745" s="232">
        <v>26053</v>
      </c>
      <c r="H1745" s="138">
        <f t="shared" si="175"/>
        <v>91662</v>
      </c>
      <c r="I1745" s="138">
        <f t="shared" si="176"/>
        <v>48764184</v>
      </c>
      <c r="J1745" s="48"/>
    </row>
    <row r="1746" spans="1:10" s="16" customFormat="1" ht="25.5" outlineLevel="3">
      <c r="A1746" s="91"/>
      <c r="B1746" s="35">
        <f>MAXA(B$5:B1745)+1</f>
        <v>1027</v>
      </c>
      <c r="C1746" s="146" t="s">
        <v>1061</v>
      </c>
      <c r="D1746" s="136" t="s">
        <v>38</v>
      </c>
      <c r="E1746" s="137">
        <v>1</v>
      </c>
      <c r="F1746" s="232">
        <v>25413084</v>
      </c>
      <c r="G1746" s="232">
        <v>4561323</v>
      </c>
      <c r="H1746" s="138">
        <f t="shared" si="175"/>
        <v>29974407</v>
      </c>
      <c r="I1746" s="138">
        <f t="shared" si="176"/>
        <v>29974407</v>
      </c>
      <c r="J1746" s="48"/>
    </row>
    <row r="1747" spans="1:10" s="16" customFormat="1" ht="25.5" outlineLevel="3">
      <c r="A1747" s="91"/>
      <c r="B1747" s="35">
        <f>MAXA(B$5:B1746)+1</f>
        <v>1028</v>
      </c>
      <c r="C1747" s="416" t="s">
        <v>1064</v>
      </c>
      <c r="D1747" s="230" t="s">
        <v>25</v>
      </c>
      <c r="E1747" s="137">
        <v>2565</v>
      </c>
      <c r="F1747" s="232">
        <v>9914</v>
      </c>
      <c r="G1747" s="232">
        <v>16544</v>
      </c>
      <c r="H1747" s="138">
        <f t="shared" si="175"/>
        <v>26458</v>
      </c>
      <c r="I1747" s="138">
        <f t="shared" si="176"/>
        <v>67864770</v>
      </c>
      <c r="J1747" s="48"/>
    </row>
    <row r="1748" spans="1:10" s="16" customFormat="1" ht="25.5" outlineLevel="3">
      <c r="A1748" s="91"/>
      <c r="B1748" s="35">
        <f>MAXA(B$5:B1747)+1</f>
        <v>1029</v>
      </c>
      <c r="C1748" s="146" t="s">
        <v>1065</v>
      </c>
      <c r="D1748" s="136" t="s">
        <v>38</v>
      </c>
      <c r="E1748" s="137">
        <v>1</v>
      </c>
      <c r="F1748" s="232">
        <v>17282382</v>
      </c>
      <c r="G1748" s="232">
        <v>3101966</v>
      </c>
      <c r="H1748" s="138">
        <f t="shared" si="175"/>
        <v>20384348</v>
      </c>
      <c r="I1748" s="138">
        <f t="shared" si="176"/>
        <v>20384348</v>
      </c>
      <c r="J1748" s="48"/>
    </row>
    <row r="1749" spans="1:10" s="16" customFormat="1" ht="25.5" outlineLevel="3">
      <c r="A1749" s="91"/>
      <c r="B1749" s="35">
        <f>MAXA(B$5:B1748)+1</f>
        <v>1030</v>
      </c>
      <c r="C1749" s="417" t="s">
        <v>1066</v>
      </c>
      <c r="D1749" s="136" t="s">
        <v>1509</v>
      </c>
      <c r="E1749" s="137">
        <v>8</v>
      </c>
      <c r="F1749" s="232">
        <v>174184</v>
      </c>
      <c r="G1749" s="232">
        <v>26053</v>
      </c>
      <c r="H1749" s="138">
        <f t="shared" si="175"/>
        <v>200237</v>
      </c>
      <c r="I1749" s="138">
        <f t="shared" si="176"/>
        <v>1601896</v>
      </c>
      <c r="J1749" s="48"/>
    </row>
    <row r="1750" spans="1:10" s="16" customFormat="1" ht="25.5" outlineLevel="3">
      <c r="A1750" s="91"/>
      <c r="B1750" s="35">
        <f>MAXA(B$5:B1749)+1</f>
        <v>1031</v>
      </c>
      <c r="C1750" s="358" t="s">
        <v>1068</v>
      </c>
      <c r="D1750" s="136" t="s">
        <v>38</v>
      </c>
      <c r="E1750" s="137">
        <v>1</v>
      </c>
      <c r="F1750" s="232">
        <v>23224500</v>
      </c>
      <c r="G1750" s="232">
        <v>4168500</v>
      </c>
      <c r="H1750" s="138">
        <f t="shared" si="175"/>
        <v>27393000</v>
      </c>
      <c r="I1750" s="138">
        <f t="shared" si="176"/>
        <v>27393000</v>
      </c>
      <c r="J1750" s="48"/>
    </row>
    <row r="1751" spans="1:10" s="16" customFormat="1" ht="25.5" outlineLevel="3">
      <c r="A1751" s="91"/>
      <c r="B1751" s="35"/>
      <c r="C1751" s="139" t="s">
        <v>1069</v>
      </c>
      <c r="D1751" s="136"/>
      <c r="E1751" s="137"/>
      <c r="F1751" s="232">
        <v>0</v>
      </c>
      <c r="G1751" s="232">
        <v>0</v>
      </c>
      <c r="H1751" s="183"/>
      <c r="I1751" s="183"/>
      <c r="J1751" s="48"/>
    </row>
    <row r="1752" spans="1:10" s="16" customFormat="1" ht="25.5" outlineLevel="3">
      <c r="A1752" s="91"/>
      <c r="B1752" s="35">
        <f>MAXA(B$5:B1751)+1</f>
        <v>1032</v>
      </c>
      <c r="C1752" s="416" t="s">
        <v>1070</v>
      </c>
      <c r="D1752" s="136" t="s">
        <v>28</v>
      </c>
      <c r="E1752" s="137">
        <v>47</v>
      </c>
      <c r="F1752" s="232">
        <v>1239027</v>
      </c>
      <c r="G1752" s="232">
        <v>104213</v>
      </c>
      <c r="H1752" s="138">
        <f t="shared" ref="H1752:H1760" si="177">G1752+F1752</f>
        <v>1343240</v>
      </c>
      <c r="I1752" s="138">
        <f t="shared" ref="I1752:I1760" si="178">H1752*E1752</f>
        <v>63132280</v>
      </c>
      <c r="J1752" s="48"/>
    </row>
    <row r="1753" spans="1:10" s="16" customFormat="1" ht="25.5" outlineLevel="3">
      <c r="A1753" s="91"/>
      <c r="B1753" s="35">
        <f>MAXA(B$5:B1752)+1</f>
        <v>1033</v>
      </c>
      <c r="C1753" s="416" t="s">
        <v>2076</v>
      </c>
      <c r="D1753" s="136" t="s">
        <v>28</v>
      </c>
      <c r="E1753" s="137">
        <v>4</v>
      </c>
      <c r="F1753" s="232">
        <v>1239027</v>
      </c>
      <c r="G1753" s="232">
        <v>104213</v>
      </c>
      <c r="H1753" s="138">
        <f t="shared" si="177"/>
        <v>1343240</v>
      </c>
      <c r="I1753" s="138">
        <f t="shared" si="178"/>
        <v>5372960</v>
      </c>
      <c r="J1753" s="48"/>
    </row>
    <row r="1754" spans="1:10" s="16" customFormat="1" ht="25.5" outlineLevel="3">
      <c r="A1754" s="91"/>
      <c r="B1754" s="35">
        <f>MAXA(B$5:B1753)+1</f>
        <v>1034</v>
      </c>
      <c r="C1754" s="416" t="s">
        <v>2077</v>
      </c>
      <c r="D1754" s="136" t="s">
        <v>28</v>
      </c>
      <c r="E1754" s="137">
        <f>4+1</f>
        <v>5</v>
      </c>
      <c r="F1754" s="232">
        <v>1802337</v>
      </c>
      <c r="G1754" s="232">
        <v>156319</v>
      </c>
      <c r="H1754" s="138">
        <f t="shared" si="177"/>
        <v>1958656</v>
      </c>
      <c r="I1754" s="138">
        <f t="shared" si="178"/>
        <v>9793280</v>
      </c>
      <c r="J1754" s="48"/>
    </row>
    <row r="1755" spans="1:10" s="16" customFormat="1" ht="25.5" outlineLevel="3">
      <c r="A1755" s="91"/>
      <c r="B1755" s="35">
        <f>MAXA(B$5:B1754)+1</f>
        <v>1035</v>
      </c>
      <c r="C1755" s="416" t="s">
        <v>1073</v>
      </c>
      <c r="D1755" s="136" t="s">
        <v>28</v>
      </c>
      <c r="E1755" s="137">
        <v>16</v>
      </c>
      <c r="F1755" s="232">
        <v>1379535</v>
      </c>
      <c r="G1755" s="232">
        <v>156319</v>
      </c>
      <c r="H1755" s="138">
        <f t="shared" si="177"/>
        <v>1535854</v>
      </c>
      <c r="I1755" s="138">
        <f t="shared" si="178"/>
        <v>24573664</v>
      </c>
      <c r="J1755" s="48"/>
    </row>
    <row r="1756" spans="1:10" s="16" customFormat="1" ht="25.5" outlineLevel="3">
      <c r="A1756" s="91"/>
      <c r="B1756" s="35">
        <f>MAXA(B$5:B1755)+1</f>
        <v>1036</v>
      </c>
      <c r="C1756" s="416" t="s">
        <v>2078</v>
      </c>
      <c r="D1756" s="136" t="s">
        <v>28</v>
      </c>
      <c r="E1756" s="137">
        <v>2</v>
      </c>
      <c r="F1756" s="232">
        <v>1802221</v>
      </c>
      <c r="G1756" s="232">
        <v>156319</v>
      </c>
      <c r="H1756" s="138">
        <f t="shared" si="177"/>
        <v>1958540</v>
      </c>
      <c r="I1756" s="138">
        <f t="shared" si="178"/>
        <v>3917080</v>
      </c>
      <c r="J1756" s="48"/>
    </row>
    <row r="1757" spans="1:10" s="16" customFormat="1" ht="25.5" outlineLevel="3">
      <c r="A1757" s="91"/>
      <c r="B1757" s="35">
        <f>MAXA(B$5:B1756)+1</f>
        <v>1037</v>
      </c>
      <c r="C1757" s="416" t="s">
        <v>2079</v>
      </c>
      <c r="D1757" s="136" t="s">
        <v>28</v>
      </c>
      <c r="E1757" s="137">
        <v>9</v>
      </c>
      <c r="F1757" s="232">
        <v>2332901</v>
      </c>
      <c r="G1757" s="232">
        <v>156319</v>
      </c>
      <c r="H1757" s="138">
        <f t="shared" si="177"/>
        <v>2489220</v>
      </c>
      <c r="I1757" s="138">
        <f t="shared" si="178"/>
        <v>22402980</v>
      </c>
      <c r="J1757" s="48"/>
    </row>
    <row r="1758" spans="1:10" s="16" customFormat="1" ht="25.5" outlineLevel="3">
      <c r="A1758" s="91"/>
      <c r="B1758" s="35">
        <f>MAXA(B$5:B1757)+1</f>
        <v>1038</v>
      </c>
      <c r="C1758" s="416" t="s">
        <v>2080</v>
      </c>
      <c r="D1758" s="136" t="s">
        <v>28</v>
      </c>
      <c r="E1758" s="137">
        <v>2</v>
      </c>
      <c r="F1758" s="232">
        <v>3758885</v>
      </c>
      <c r="G1758" s="232">
        <v>260531</v>
      </c>
      <c r="H1758" s="138">
        <f t="shared" si="177"/>
        <v>4019416</v>
      </c>
      <c r="I1758" s="138">
        <f t="shared" si="178"/>
        <v>8038832</v>
      </c>
      <c r="J1758" s="48"/>
    </row>
    <row r="1759" spans="1:10" s="16" customFormat="1" ht="25.5" outlineLevel="3">
      <c r="A1759" s="91"/>
      <c r="B1759" s="35">
        <f>MAXA(B$5:B1758)+1</f>
        <v>1039</v>
      </c>
      <c r="C1759" s="416" t="s">
        <v>1075</v>
      </c>
      <c r="D1759" s="136" t="s">
        <v>28</v>
      </c>
      <c r="E1759" s="137">
        <v>1</v>
      </c>
      <c r="F1759" s="232">
        <v>153572</v>
      </c>
      <c r="G1759" s="232">
        <v>62528</v>
      </c>
      <c r="H1759" s="138">
        <f t="shared" si="177"/>
        <v>216100</v>
      </c>
      <c r="I1759" s="138">
        <f t="shared" si="178"/>
        <v>216100</v>
      </c>
      <c r="J1759" s="48"/>
    </row>
    <row r="1760" spans="1:10" s="16" customFormat="1" ht="25.5" outlineLevel="3">
      <c r="A1760" s="91"/>
      <c r="B1760" s="35">
        <f>MAXA(B$5:B1759)+1</f>
        <v>1040</v>
      </c>
      <c r="C1760" s="416" t="s">
        <v>1138</v>
      </c>
      <c r="D1760" s="136" t="s">
        <v>38</v>
      </c>
      <c r="E1760" s="137">
        <v>1</v>
      </c>
      <c r="F1760" s="232">
        <v>122312990</v>
      </c>
      <c r="G1760" s="232">
        <v>2605313</v>
      </c>
      <c r="H1760" s="138">
        <f t="shared" si="177"/>
        <v>124918303</v>
      </c>
      <c r="I1760" s="138">
        <f t="shared" si="178"/>
        <v>124918303</v>
      </c>
      <c r="J1760" s="48"/>
    </row>
    <row r="1761" spans="1:10" s="16" customFormat="1" ht="25.5" outlineLevel="3">
      <c r="A1761" s="91"/>
      <c r="B1761" s="35"/>
      <c r="C1761" s="112" t="s">
        <v>141</v>
      </c>
      <c r="D1761" s="136"/>
      <c r="E1761" s="137"/>
      <c r="F1761" s="232">
        <v>0</v>
      </c>
      <c r="G1761" s="232">
        <v>0</v>
      </c>
      <c r="H1761" s="183"/>
      <c r="I1761" s="183"/>
      <c r="J1761" s="48"/>
    </row>
    <row r="1762" spans="1:10" s="16" customFormat="1" ht="25.5" outlineLevel="3">
      <c r="A1762" s="91"/>
      <c r="B1762" s="35"/>
      <c r="C1762" s="142" t="s">
        <v>184</v>
      </c>
      <c r="D1762" s="136" t="s">
        <v>28</v>
      </c>
      <c r="E1762" s="137">
        <v>1</v>
      </c>
      <c r="F1762" s="232">
        <v>0</v>
      </c>
      <c r="G1762" s="232">
        <v>0</v>
      </c>
      <c r="H1762" s="138">
        <f>G1762+F1762</f>
        <v>0</v>
      </c>
      <c r="I1762" s="138">
        <f>H1762*E1762</f>
        <v>0</v>
      </c>
      <c r="J1762" s="48"/>
    </row>
    <row r="1763" spans="1:10" s="16" customFormat="1" ht="25.5" outlineLevel="3">
      <c r="A1763" s="91"/>
      <c r="B1763" s="35"/>
      <c r="C1763" s="139" t="s">
        <v>573</v>
      </c>
      <c r="D1763" s="136" t="s">
        <v>28</v>
      </c>
      <c r="E1763" s="137">
        <v>3</v>
      </c>
      <c r="F1763" s="232">
        <v>0</v>
      </c>
      <c r="G1763" s="232">
        <v>0</v>
      </c>
      <c r="H1763" s="138">
        <f>G1763+F1763</f>
        <v>0</v>
      </c>
      <c r="I1763" s="138">
        <f>H1763*E1763</f>
        <v>0</v>
      </c>
      <c r="J1763" s="48"/>
    </row>
    <row r="1764" spans="1:10" s="16" customFormat="1" ht="25.5" outlineLevel="3">
      <c r="A1764" s="91"/>
      <c r="B1764" s="35"/>
      <c r="C1764" s="139" t="s">
        <v>574</v>
      </c>
      <c r="D1764" s="136" t="s">
        <v>28</v>
      </c>
      <c r="E1764" s="137">
        <v>3</v>
      </c>
      <c r="F1764" s="232">
        <v>0</v>
      </c>
      <c r="G1764" s="232">
        <v>0</v>
      </c>
      <c r="H1764" s="138">
        <f>G1764+F1764</f>
        <v>0</v>
      </c>
      <c r="I1764" s="138">
        <f>H1764*E1764</f>
        <v>0</v>
      </c>
      <c r="J1764" s="48"/>
    </row>
    <row r="1765" spans="1:10" s="16" customFormat="1" ht="25.5" outlineLevel="3">
      <c r="A1765" s="91"/>
      <c r="B1765" s="35"/>
      <c r="C1765" s="112" t="s">
        <v>148</v>
      </c>
      <c r="D1765" s="136"/>
      <c r="E1765" s="137"/>
      <c r="F1765" s="232">
        <v>0</v>
      </c>
      <c r="G1765" s="232">
        <v>0</v>
      </c>
      <c r="H1765" s="183"/>
      <c r="I1765" s="183"/>
      <c r="J1765" s="48"/>
    </row>
    <row r="1766" spans="1:10" s="16" customFormat="1" ht="25.5" outlineLevel="3">
      <c r="A1766" s="91"/>
      <c r="B1766" s="35"/>
      <c r="C1766" s="142" t="s">
        <v>2081</v>
      </c>
      <c r="D1766" s="136" t="s">
        <v>28</v>
      </c>
      <c r="E1766" s="137">
        <v>4</v>
      </c>
      <c r="F1766" s="232">
        <v>0</v>
      </c>
      <c r="G1766" s="232">
        <v>0</v>
      </c>
      <c r="H1766" s="138">
        <f t="shared" ref="H1766:H1774" si="179">G1766+F1766</f>
        <v>0</v>
      </c>
      <c r="I1766" s="138">
        <f t="shared" ref="I1766:I1774" si="180">H1766*E1766</f>
        <v>0</v>
      </c>
      <c r="J1766" s="48"/>
    </row>
    <row r="1767" spans="1:10" s="16" customFormat="1" ht="25.5" outlineLevel="3">
      <c r="A1767" s="91"/>
      <c r="B1767" s="35"/>
      <c r="C1767" s="142" t="s">
        <v>2082</v>
      </c>
      <c r="D1767" s="136" t="s">
        <v>28</v>
      </c>
      <c r="E1767" s="137">
        <v>1</v>
      </c>
      <c r="F1767" s="232">
        <v>0</v>
      </c>
      <c r="G1767" s="232">
        <v>0</v>
      </c>
      <c r="H1767" s="138">
        <f t="shared" si="179"/>
        <v>0</v>
      </c>
      <c r="I1767" s="138">
        <f t="shared" si="180"/>
        <v>0</v>
      </c>
      <c r="J1767" s="48"/>
    </row>
    <row r="1768" spans="1:10" s="16" customFormat="1" ht="25.5" outlineLevel="3">
      <c r="A1768" s="91"/>
      <c r="B1768" s="35"/>
      <c r="C1768" s="142" t="s">
        <v>263</v>
      </c>
      <c r="D1768" s="136" t="s">
        <v>28</v>
      </c>
      <c r="E1768" s="137">
        <v>1</v>
      </c>
      <c r="F1768" s="232">
        <v>0</v>
      </c>
      <c r="G1768" s="232">
        <v>0</v>
      </c>
      <c r="H1768" s="138">
        <f t="shared" si="179"/>
        <v>0</v>
      </c>
      <c r="I1768" s="138">
        <f t="shared" si="180"/>
        <v>0</v>
      </c>
      <c r="J1768" s="48"/>
    </row>
    <row r="1769" spans="1:10" s="16" customFormat="1" ht="25.5" outlineLevel="3">
      <c r="A1769" s="91"/>
      <c r="B1769" s="35"/>
      <c r="C1769" s="142" t="s">
        <v>188</v>
      </c>
      <c r="D1769" s="136" t="s">
        <v>28</v>
      </c>
      <c r="E1769" s="137">
        <v>3</v>
      </c>
      <c r="F1769" s="232">
        <v>0</v>
      </c>
      <c r="G1769" s="232">
        <v>0</v>
      </c>
      <c r="H1769" s="138">
        <f t="shared" si="179"/>
        <v>0</v>
      </c>
      <c r="I1769" s="138">
        <f t="shared" si="180"/>
        <v>0</v>
      </c>
      <c r="J1769" s="48"/>
    </row>
    <row r="1770" spans="1:10" s="16" customFormat="1" ht="25.5" outlineLevel="3">
      <c r="A1770" s="91"/>
      <c r="B1770" s="35"/>
      <c r="C1770" s="142" t="s">
        <v>170</v>
      </c>
      <c r="D1770" s="136" t="s">
        <v>28</v>
      </c>
      <c r="E1770" s="137">
        <v>2</v>
      </c>
      <c r="F1770" s="232">
        <v>0</v>
      </c>
      <c r="G1770" s="232">
        <v>0</v>
      </c>
      <c r="H1770" s="138">
        <f t="shared" si="179"/>
        <v>0</v>
      </c>
      <c r="I1770" s="138">
        <f t="shared" si="180"/>
        <v>0</v>
      </c>
      <c r="J1770" s="48"/>
    </row>
    <row r="1771" spans="1:10" s="16" customFormat="1" ht="25.5" outlineLevel="3">
      <c r="A1771" s="91"/>
      <c r="B1771" s="35"/>
      <c r="C1771" s="142" t="s">
        <v>165</v>
      </c>
      <c r="D1771" s="136" t="s">
        <v>28</v>
      </c>
      <c r="E1771" s="137">
        <v>2</v>
      </c>
      <c r="F1771" s="232">
        <v>0</v>
      </c>
      <c r="G1771" s="232">
        <v>0</v>
      </c>
      <c r="H1771" s="138">
        <f t="shared" si="179"/>
        <v>0</v>
      </c>
      <c r="I1771" s="138">
        <f t="shared" si="180"/>
        <v>0</v>
      </c>
      <c r="J1771" s="48"/>
    </row>
    <row r="1772" spans="1:10" s="16" customFormat="1" ht="25.5" outlineLevel="3">
      <c r="A1772" s="91"/>
      <c r="B1772" s="35"/>
      <c r="C1772" s="142" t="s">
        <v>2083</v>
      </c>
      <c r="D1772" s="136" t="s">
        <v>28</v>
      </c>
      <c r="E1772" s="137">
        <v>2</v>
      </c>
      <c r="F1772" s="232">
        <v>0</v>
      </c>
      <c r="G1772" s="232">
        <v>0</v>
      </c>
      <c r="H1772" s="138">
        <f t="shared" si="179"/>
        <v>0</v>
      </c>
      <c r="I1772" s="138">
        <f t="shared" si="180"/>
        <v>0</v>
      </c>
      <c r="J1772" s="48"/>
    </row>
    <row r="1773" spans="1:10" s="16" customFormat="1" ht="25.5" outlineLevel="3">
      <c r="A1773" s="91"/>
      <c r="B1773" s="35"/>
      <c r="C1773" s="142" t="s">
        <v>203</v>
      </c>
      <c r="D1773" s="136" t="s">
        <v>28</v>
      </c>
      <c r="E1773" s="137">
        <v>1</v>
      </c>
      <c r="F1773" s="232">
        <v>0</v>
      </c>
      <c r="G1773" s="232">
        <v>0</v>
      </c>
      <c r="H1773" s="138">
        <f t="shared" si="179"/>
        <v>0</v>
      </c>
      <c r="I1773" s="138">
        <f t="shared" si="180"/>
        <v>0</v>
      </c>
      <c r="J1773" s="48"/>
    </row>
    <row r="1774" spans="1:10" s="16" customFormat="1" ht="25.5" outlineLevel="3">
      <c r="A1774" s="91"/>
      <c r="B1774" s="35"/>
      <c r="C1774" s="139" t="s">
        <v>161</v>
      </c>
      <c r="D1774" s="136" t="s">
        <v>194</v>
      </c>
      <c r="E1774" s="137">
        <v>1</v>
      </c>
      <c r="F1774" s="232">
        <v>0</v>
      </c>
      <c r="G1774" s="232">
        <v>0</v>
      </c>
      <c r="H1774" s="138">
        <f t="shared" si="179"/>
        <v>0</v>
      </c>
      <c r="I1774" s="138">
        <f t="shared" si="180"/>
        <v>0</v>
      </c>
      <c r="J1774" s="48"/>
    </row>
    <row r="1775" spans="1:10" s="16" customFormat="1" ht="25.5" outlineLevel="3">
      <c r="A1775" s="91"/>
      <c r="B1775" s="35"/>
      <c r="C1775" s="143" t="s">
        <v>2084</v>
      </c>
      <c r="D1775" s="136"/>
      <c r="E1775" s="137"/>
      <c r="F1775" s="232">
        <v>0</v>
      </c>
      <c r="G1775" s="232">
        <v>0</v>
      </c>
      <c r="H1775" s="183"/>
      <c r="I1775" s="183"/>
      <c r="J1775" s="48"/>
    </row>
    <row r="1776" spans="1:10" s="16" customFormat="1" ht="25.5" outlineLevel="3">
      <c r="A1776" s="91"/>
      <c r="B1776" s="35"/>
      <c r="C1776" s="142" t="s">
        <v>2085</v>
      </c>
      <c r="D1776" s="136" t="s">
        <v>28</v>
      </c>
      <c r="E1776" s="137">
        <v>4</v>
      </c>
      <c r="F1776" s="232">
        <v>0</v>
      </c>
      <c r="G1776" s="232">
        <v>0</v>
      </c>
      <c r="H1776" s="138">
        <f t="shared" ref="H1776:H1782" si="181">G1776+F1776</f>
        <v>0</v>
      </c>
      <c r="I1776" s="138">
        <f t="shared" ref="I1776:I1782" si="182">H1776*E1776</f>
        <v>0</v>
      </c>
      <c r="J1776" s="48"/>
    </row>
    <row r="1777" spans="1:10" s="16" customFormat="1" ht="25.5" outlineLevel="3">
      <c r="A1777" s="91"/>
      <c r="B1777" s="35"/>
      <c r="C1777" s="142" t="s">
        <v>2086</v>
      </c>
      <c r="D1777" s="136" t="s">
        <v>28</v>
      </c>
      <c r="E1777" s="137">
        <v>4</v>
      </c>
      <c r="F1777" s="232">
        <v>0</v>
      </c>
      <c r="G1777" s="232">
        <v>0</v>
      </c>
      <c r="H1777" s="138">
        <f t="shared" si="181"/>
        <v>0</v>
      </c>
      <c r="I1777" s="138">
        <f t="shared" si="182"/>
        <v>0</v>
      </c>
      <c r="J1777" s="48"/>
    </row>
    <row r="1778" spans="1:10" s="16" customFormat="1" ht="25.5" outlineLevel="3">
      <c r="A1778" s="91"/>
      <c r="B1778" s="35"/>
      <c r="C1778" s="139" t="s">
        <v>2087</v>
      </c>
      <c r="D1778" s="136" t="s">
        <v>28</v>
      </c>
      <c r="E1778" s="137">
        <v>4</v>
      </c>
      <c r="F1778" s="232">
        <v>0</v>
      </c>
      <c r="G1778" s="232">
        <v>0</v>
      </c>
      <c r="H1778" s="138">
        <f t="shared" si="181"/>
        <v>0</v>
      </c>
      <c r="I1778" s="138">
        <f t="shared" si="182"/>
        <v>0</v>
      </c>
      <c r="J1778" s="48"/>
    </row>
    <row r="1779" spans="1:10" s="16" customFormat="1" ht="25.5" outlineLevel="3">
      <c r="A1779" s="91"/>
      <c r="B1779" s="35"/>
      <c r="C1779" s="139" t="s">
        <v>2088</v>
      </c>
      <c r="D1779" s="136" t="s">
        <v>28</v>
      </c>
      <c r="E1779" s="137">
        <v>4</v>
      </c>
      <c r="F1779" s="232">
        <v>0</v>
      </c>
      <c r="G1779" s="232">
        <v>0</v>
      </c>
      <c r="H1779" s="138">
        <f t="shared" si="181"/>
        <v>0</v>
      </c>
      <c r="I1779" s="138">
        <f t="shared" si="182"/>
        <v>0</v>
      </c>
      <c r="J1779" s="48"/>
    </row>
    <row r="1780" spans="1:10" s="16" customFormat="1" ht="25.5" outlineLevel="3">
      <c r="A1780" s="91"/>
      <c r="B1780" s="35"/>
      <c r="C1780" s="129" t="s">
        <v>2089</v>
      </c>
      <c r="D1780" s="136" t="s">
        <v>38</v>
      </c>
      <c r="E1780" s="418">
        <v>1</v>
      </c>
      <c r="F1780" s="232">
        <v>0</v>
      </c>
      <c r="G1780" s="232">
        <v>0</v>
      </c>
      <c r="H1780" s="138">
        <f t="shared" si="181"/>
        <v>0</v>
      </c>
      <c r="I1780" s="138">
        <f t="shared" si="182"/>
        <v>0</v>
      </c>
      <c r="J1780" s="48"/>
    </row>
    <row r="1781" spans="1:10" s="16" customFormat="1" ht="25.5" outlineLevel="3">
      <c r="A1781" s="91"/>
      <c r="B1781" s="35"/>
      <c r="C1781" s="419" t="s">
        <v>1436</v>
      </c>
      <c r="D1781" s="136" t="s">
        <v>38</v>
      </c>
      <c r="E1781" s="137">
        <v>1</v>
      </c>
      <c r="F1781" s="232">
        <v>0</v>
      </c>
      <c r="G1781" s="232">
        <v>0</v>
      </c>
      <c r="H1781" s="138">
        <f t="shared" si="181"/>
        <v>0</v>
      </c>
      <c r="I1781" s="138">
        <f t="shared" si="182"/>
        <v>0</v>
      </c>
      <c r="J1781" s="48"/>
    </row>
    <row r="1782" spans="1:10" s="16" customFormat="1" ht="25.5" outlineLevel="3">
      <c r="A1782" s="91"/>
      <c r="B1782" s="35">
        <f>MAXA(B$5:B1781)+1</f>
        <v>1041</v>
      </c>
      <c r="C1782" s="129" t="s">
        <v>1129</v>
      </c>
      <c r="D1782" s="136" t="s">
        <v>38</v>
      </c>
      <c r="E1782" s="418">
        <v>1</v>
      </c>
      <c r="F1782" s="232">
        <v>34225946</v>
      </c>
      <c r="G1782" s="232">
        <v>1563188</v>
      </c>
      <c r="H1782" s="138">
        <f t="shared" si="181"/>
        <v>35789134</v>
      </c>
      <c r="I1782" s="138">
        <f t="shared" si="182"/>
        <v>35789134</v>
      </c>
      <c r="J1782" s="48"/>
    </row>
    <row r="1783" spans="1:10" s="16" customFormat="1" ht="25.5" outlineLevel="3">
      <c r="A1783" s="91"/>
      <c r="B1783" s="35"/>
      <c r="C1783" s="112" t="s">
        <v>141</v>
      </c>
      <c r="D1783" s="136"/>
      <c r="E1783" s="418"/>
      <c r="F1783" s="232">
        <v>0</v>
      </c>
      <c r="G1783" s="232">
        <v>0</v>
      </c>
      <c r="H1783" s="183"/>
      <c r="I1783" s="183"/>
      <c r="J1783" s="48"/>
    </row>
    <row r="1784" spans="1:10" s="16" customFormat="1" ht="25.5" outlineLevel="3">
      <c r="A1784" s="91"/>
      <c r="B1784" s="35"/>
      <c r="C1784" s="420" t="s">
        <v>155</v>
      </c>
      <c r="D1784" s="136" t="s">
        <v>28</v>
      </c>
      <c r="E1784" s="137">
        <v>1</v>
      </c>
      <c r="F1784" s="232">
        <v>0</v>
      </c>
      <c r="G1784" s="232">
        <v>0</v>
      </c>
      <c r="H1784" s="138">
        <f>G1784+F1784</f>
        <v>0</v>
      </c>
      <c r="I1784" s="138">
        <f>H1784*E1784</f>
        <v>0</v>
      </c>
      <c r="J1784" s="48"/>
    </row>
    <row r="1785" spans="1:10" s="16" customFormat="1" ht="25.5" outlineLevel="3">
      <c r="A1785" s="91"/>
      <c r="B1785" s="35"/>
      <c r="C1785" s="411" t="s">
        <v>573</v>
      </c>
      <c r="D1785" s="136" t="s">
        <v>28</v>
      </c>
      <c r="E1785" s="137">
        <v>3</v>
      </c>
      <c r="F1785" s="232">
        <v>0</v>
      </c>
      <c r="G1785" s="232">
        <v>0</v>
      </c>
      <c r="H1785" s="138">
        <f>G1785+F1785</f>
        <v>0</v>
      </c>
      <c r="I1785" s="138">
        <f>H1785*E1785</f>
        <v>0</v>
      </c>
      <c r="J1785" s="48"/>
    </row>
    <row r="1786" spans="1:10" s="16" customFormat="1" ht="25.5" outlineLevel="3">
      <c r="A1786" s="91"/>
      <c r="B1786" s="35"/>
      <c r="C1786" s="411" t="s">
        <v>574</v>
      </c>
      <c r="D1786" s="136" t="s">
        <v>28</v>
      </c>
      <c r="E1786" s="137">
        <v>3</v>
      </c>
      <c r="F1786" s="232">
        <v>0</v>
      </c>
      <c r="G1786" s="232">
        <v>0</v>
      </c>
      <c r="H1786" s="138">
        <f>G1786+F1786</f>
        <v>0</v>
      </c>
      <c r="I1786" s="138">
        <f>H1786*E1786</f>
        <v>0</v>
      </c>
      <c r="J1786" s="48"/>
    </row>
    <row r="1787" spans="1:10" s="16" customFormat="1" ht="25.5" outlineLevel="3">
      <c r="A1787" s="91"/>
      <c r="B1787" s="35"/>
      <c r="C1787" s="112" t="s">
        <v>148</v>
      </c>
      <c r="D1787" s="136"/>
      <c r="E1787" s="137"/>
      <c r="F1787" s="232">
        <v>0</v>
      </c>
      <c r="G1787" s="232">
        <v>0</v>
      </c>
      <c r="H1787" s="183"/>
      <c r="I1787" s="183"/>
      <c r="J1787" s="48"/>
    </row>
    <row r="1788" spans="1:10" s="16" customFormat="1" ht="25.5" outlineLevel="3">
      <c r="A1788" s="91"/>
      <c r="B1788" s="35"/>
      <c r="C1788" s="420" t="s">
        <v>645</v>
      </c>
      <c r="D1788" s="136" t="s">
        <v>28</v>
      </c>
      <c r="E1788" s="137">
        <v>2</v>
      </c>
      <c r="F1788" s="232">
        <v>0</v>
      </c>
      <c r="G1788" s="232">
        <v>0</v>
      </c>
      <c r="H1788" s="138">
        <f>G1788+F1788</f>
        <v>0</v>
      </c>
      <c r="I1788" s="138">
        <f>H1788*E1788</f>
        <v>0</v>
      </c>
      <c r="J1788" s="48"/>
    </row>
    <row r="1789" spans="1:10" s="16" customFormat="1" ht="25.5" outlineLevel="3">
      <c r="A1789" s="91"/>
      <c r="B1789" s="35"/>
      <c r="C1789" s="420" t="s">
        <v>170</v>
      </c>
      <c r="D1789" s="136" t="s">
        <v>28</v>
      </c>
      <c r="E1789" s="137">
        <v>1</v>
      </c>
      <c r="F1789" s="232">
        <v>0</v>
      </c>
      <c r="G1789" s="232">
        <v>0</v>
      </c>
      <c r="H1789" s="138">
        <f>G1789+F1789</f>
        <v>0</v>
      </c>
      <c r="I1789" s="138">
        <f>H1789*E1789</f>
        <v>0</v>
      </c>
      <c r="J1789" s="48"/>
    </row>
    <row r="1790" spans="1:10" s="16" customFormat="1" ht="25.5" outlineLevel="3">
      <c r="A1790" s="91"/>
      <c r="B1790" s="35"/>
      <c r="C1790" s="420" t="s">
        <v>639</v>
      </c>
      <c r="D1790" s="136" t="s">
        <v>28</v>
      </c>
      <c r="E1790" s="137">
        <v>1</v>
      </c>
      <c r="F1790" s="232">
        <v>0</v>
      </c>
      <c r="G1790" s="232">
        <v>0</v>
      </c>
      <c r="H1790" s="138">
        <f>G1790+F1790</f>
        <v>0</v>
      </c>
      <c r="I1790" s="138">
        <f>H1790*E1790</f>
        <v>0</v>
      </c>
      <c r="J1790" s="48"/>
    </row>
    <row r="1791" spans="1:10" s="16" customFormat="1" ht="25.5" outlineLevel="3">
      <c r="A1791" s="91"/>
      <c r="B1791" s="35"/>
      <c r="C1791" s="420" t="s">
        <v>203</v>
      </c>
      <c r="D1791" s="136" t="s">
        <v>28</v>
      </c>
      <c r="E1791" s="137">
        <v>1</v>
      </c>
      <c r="F1791" s="232">
        <v>0</v>
      </c>
      <c r="G1791" s="232">
        <v>0</v>
      </c>
      <c r="H1791" s="138">
        <f>G1791+F1791</f>
        <v>0</v>
      </c>
      <c r="I1791" s="138">
        <f>H1791*E1791</f>
        <v>0</v>
      </c>
      <c r="J1791" s="48"/>
    </row>
    <row r="1792" spans="1:10" s="16" customFormat="1" ht="25.5" outlineLevel="3">
      <c r="A1792" s="91"/>
      <c r="B1792" s="35"/>
      <c r="C1792" s="411" t="s">
        <v>161</v>
      </c>
      <c r="D1792" s="136" t="s">
        <v>194</v>
      </c>
      <c r="E1792" s="137">
        <v>1</v>
      </c>
      <c r="F1792" s="232">
        <v>0</v>
      </c>
      <c r="G1792" s="232">
        <v>0</v>
      </c>
      <c r="H1792" s="138">
        <f>G1792+F1792</f>
        <v>0</v>
      </c>
      <c r="I1792" s="138">
        <f>H1792*E1792</f>
        <v>0</v>
      </c>
      <c r="J1792" s="48"/>
    </row>
    <row r="1793" spans="1:10" s="16" customFormat="1" ht="25.5" outlineLevel="3">
      <c r="A1793" s="91"/>
      <c r="B1793" s="35"/>
      <c r="C1793" s="421" t="s">
        <v>2090</v>
      </c>
      <c r="D1793" s="136"/>
      <c r="E1793" s="137"/>
      <c r="F1793" s="232">
        <v>0</v>
      </c>
      <c r="G1793" s="232">
        <v>0</v>
      </c>
      <c r="H1793" s="183"/>
      <c r="I1793" s="183"/>
      <c r="J1793" s="48"/>
    </row>
    <row r="1794" spans="1:10" s="16" customFormat="1" ht="25.5" outlineLevel="3">
      <c r="A1794" s="91"/>
      <c r="B1794" s="35"/>
      <c r="C1794" s="420" t="s">
        <v>265</v>
      </c>
      <c r="D1794" s="136" t="s">
        <v>28</v>
      </c>
      <c r="E1794" s="137">
        <v>1</v>
      </c>
      <c r="F1794" s="232">
        <v>0</v>
      </c>
      <c r="G1794" s="232">
        <v>0</v>
      </c>
      <c r="H1794" s="138">
        <f>G1794+F1794</f>
        <v>0</v>
      </c>
      <c r="I1794" s="138">
        <f>H1794*E1794</f>
        <v>0</v>
      </c>
      <c r="J1794" s="48"/>
    </row>
    <row r="1795" spans="1:10" s="16" customFormat="1" ht="25.5" outlineLevel="3">
      <c r="A1795" s="91"/>
      <c r="B1795" s="35"/>
      <c r="C1795" s="411" t="s">
        <v>266</v>
      </c>
      <c r="D1795" s="136" t="s">
        <v>28</v>
      </c>
      <c r="E1795" s="137">
        <v>1</v>
      </c>
      <c r="F1795" s="232">
        <v>0</v>
      </c>
      <c r="G1795" s="232">
        <v>0</v>
      </c>
      <c r="H1795" s="138">
        <f>G1795+F1795</f>
        <v>0</v>
      </c>
      <c r="I1795" s="138">
        <f>H1795*E1795</f>
        <v>0</v>
      </c>
      <c r="J1795" s="48"/>
    </row>
    <row r="1796" spans="1:10" s="16" customFormat="1" ht="25.5" outlineLevel="3">
      <c r="A1796" s="91"/>
      <c r="B1796" s="35"/>
      <c r="C1796" s="411" t="s">
        <v>2091</v>
      </c>
      <c r="D1796" s="136" t="s">
        <v>28</v>
      </c>
      <c r="E1796" s="137">
        <v>1</v>
      </c>
      <c r="F1796" s="232">
        <v>0</v>
      </c>
      <c r="G1796" s="232">
        <v>0</v>
      </c>
      <c r="H1796" s="138">
        <f>G1796+F1796</f>
        <v>0</v>
      </c>
      <c r="I1796" s="138">
        <f>H1796*E1796</f>
        <v>0</v>
      </c>
      <c r="J1796" s="48"/>
    </row>
    <row r="1797" spans="1:10" s="16" customFormat="1" ht="25.5" outlineLevel="3">
      <c r="A1797" s="91"/>
      <c r="B1797" s="35"/>
      <c r="C1797" s="422" t="s">
        <v>646</v>
      </c>
      <c r="D1797" s="136"/>
      <c r="E1797" s="137"/>
      <c r="F1797" s="232">
        <v>0</v>
      </c>
      <c r="G1797" s="232">
        <v>0</v>
      </c>
      <c r="H1797" s="183"/>
      <c r="I1797" s="183"/>
      <c r="J1797" s="48"/>
    </row>
    <row r="1798" spans="1:10" s="16" customFormat="1" ht="25.5" outlineLevel="3">
      <c r="A1798" s="91"/>
      <c r="B1798" s="35"/>
      <c r="C1798" s="420" t="s">
        <v>265</v>
      </c>
      <c r="D1798" s="136" t="s">
        <v>28</v>
      </c>
      <c r="E1798" s="137">
        <v>1</v>
      </c>
      <c r="F1798" s="232">
        <v>0</v>
      </c>
      <c r="G1798" s="232">
        <v>0</v>
      </c>
      <c r="H1798" s="138">
        <f t="shared" ref="H1798:H1803" si="183">G1798+F1798</f>
        <v>0</v>
      </c>
      <c r="I1798" s="138">
        <f t="shared" ref="I1798:I1803" si="184">H1798*E1798</f>
        <v>0</v>
      </c>
      <c r="J1798" s="48"/>
    </row>
    <row r="1799" spans="1:10" s="16" customFormat="1" ht="25.5" outlineLevel="3">
      <c r="A1799" s="91"/>
      <c r="B1799" s="35"/>
      <c r="C1799" s="411" t="s">
        <v>266</v>
      </c>
      <c r="D1799" s="136" t="s">
        <v>28</v>
      </c>
      <c r="E1799" s="137">
        <v>1</v>
      </c>
      <c r="F1799" s="232">
        <v>0</v>
      </c>
      <c r="G1799" s="232">
        <v>0</v>
      </c>
      <c r="H1799" s="138">
        <f t="shared" si="183"/>
        <v>0</v>
      </c>
      <c r="I1799" s="138">
        <f t="shared" si="184"/>
        <v>0</v>
      </c>
      <c r="J1799" s="48"/>
    </row>
    <row r="1800" spans="1:10" s="16" customFormat="1" ht="25.5" outlineLevel="3">
      <c r="A1800" s="91"/>
      <c r="B1800" s="35"/>
      <c r="C1800" s="411" t="s">
        <v>1744</v>
      </c>
      <c r="D1800" s="136" t="s">
        <v>28</v>
      </c>
      <c r="E1800" s="137">
        <v>1</v>
      </c>
      <c r="F1800" s="232">
        <v>0</v>
      </c>
      <c r="G1800" s="232">
        <v>0</v>
      </c>
      <c r="H1800" s="138">
        <f t="shared" si="183"/>
        <v>0</v>
      </c>
      <c r="I1800" s="138">
        <f t="shared" si="184"/>
        <v>0</v>
      </c>
      <c r="J1800" s="48"/>
    </row>
    <row r="1801" spans="1:10" s="16" customFormat="1" ht="25.5" outlineLevel="3">
      <c r="A1801" s="91"/>
      <c r="B1801" s="35"/>
      <c r="C1801" s="129" t="s">
        <v>1745</v>
      </c>
      <c r="D1801" s="136" t="s">
        <v>38</v>
      </c>
      <c r="E1801" s="418">
        <v>1</v>
      </c>
      <c r="F1801" s="232">
        <v>0</v>
      </c>
      <c r="G1801" s="232">
        <v>0</v>
      </c>
      <c r="H1801" s="138">
        <f t="shared" si="183"/>
        <v>0</v>
      </c>
      <c r="I1801" s="138">
        <f t="shared" si="184"/>
        <v>0</v>
      </c>
      <c r="J1801" s="48"/>
    </row>
    <row r="1802" spans="1:10" s="16" customFormat="1" ht="25.5" outlineLevel="3">
      <c r="A1802" s="91"/>
      <c r="B1802" s="35"/>
      <c r="C1802" s="419" t="s">
        <v>1436</v>
      </c>
      <c r="D1802" s="136" t="s">
        <v>38</v>
      </c>
      <c r="E1802" s="137">
        <v>1</v>
      </c>
      <c r="F1802" s="232">
        <v>0</v>
      </c>
      <c r="G1802" s="232">
        <v>0</v>
      </c>
      <c r="H1802" s="138">
        <f t="shared" si="183"/>
        <v>0</v>
      </c>
      <c r="I1802" s="138">
        <f t="shared" si="184"/>
        <v>0</v>
      </c>
      <c r="J1802" s="48"/>
    </row>
    <row r="1803" spans="1:10" s="16" customFormat="1" ht="25.5" outlineLevel="3">
      <c r="A1803" s="91"/>
      <c r="B1803" s="35">
        <f>MAXA(B$5:B1802)+1</f>
        <v>1042</v>
      </c>
      <c r="C1803" s="420" t="s">
        <v>2092</v>
      </c>
      <c r="D1803" s="136" t="s">
        <v>38</v>
      </c>
      <c r="E1803" s="137">
        <v>1</v>
      </c>
      <c r="F1803" s="232">
        <v>22583504</v>
      </c>
      <c r="G1803" s="232">
        <v>1563188</v>
      </c>
      <c r="H1803" s="138">
        <f t="shared" si="183"/>
        <v>24146692</v>
      </c>
      <c r="I1803" s="138">
        <f t="shared" si="184"/>
        <v>24146692</v>
      </c>
      <c r="J1803" s="48"/>
    </row>
    <row r="1804" spans="1:10" s="16" customFormat="1" ht="25.5" outlineLevel="3">
      <c r="A1804" s="91"/>
      <c r="B1804" s="35"/>
      <c r="C1804" s="112" t="s">
        <v>141</v>
      </c>
      <c r="D1804" s="136"/>
      <c r="E1804" s="137"/>
      <c r="F1804" s="232">
        <v>0</v>
      </c>
      <c r="G1804" s="232">
        <v>0</v>
      </c>
      <c r="H1804" s="183"/>
      <c r="I1804" s="183"/>
      <c r="J1804" s="48"/>
    </row>
    <row r="1805" spans="1:10" s="16" customFormat="1" ht="25.5" outlineLevel="3">
      <c r="A1805" s="91"/>
      <c r="B1805" s="35"/>
      <c r="C1805" s="420" t="s">
        <v>159</v>
      </c>
      <c r="D1805" s="136" t="s">
        <v>28</v>
      </c>
      <c r="E1805" s="137">
        <v>1</v>
      </c>
      <c r="F1805" s="232">
        <v>0</v>
      </c>
      <c r="G1805" s="232">
        <v>0</v>
      </c>
      <c r="H1805" s="138">
        <f>G1805+F1805</f>
        <v>0</v>
      </c>
      <c r="I1805" s="138">
        <f>H1805*E1805</f>
        <v>0</v>
      </c>
      <c r="J1805" s="48"/>
    </row>
    <row r="1806" spans="1:10" s="16" customFormat="1" ht="25.5" outlineLevel="3">
      <c r="A1806" s="91"/>
      <c r="B1806" s="35"/>
      <c r="C1806" s="411" t="s">
        <v>573</v>
      </c>
      <c r="D1806" s="136" t="s">
        <v>28</v>
      </c>
      <c r="E1806" s="137">
        <v>3</v>
      </c>
      <c r="F1806" s="232">
        <v>0</v>
      </c>
      <c r="G1806" s="232">
        <v>0</v>
      </c>
      <c r="H1806" s="138">
        <f>G1806+F1806</f>
        <v>0</v>
      </c>
      <c r="I1806" s="138">
        <f>H1806*E1806</f>
        <v>0</v>
      </c>
      <c r="J1806" s="48"/>
    </row>
    <row r="1807" spans="1:10" s="16" customFormat="1" ht="25.5" outlineLevel="3">
      <c r="A1807" s="91"/>
      <c r="B1807" s="35"/>
      <c r="C1807" s="411" t="s">
        <v>574</v>
      </c>
      <c r="D1807" s="136" t="s">
        <v>28</v>
      </c>
      <c r="E1807" s="137">
        <v>3</v>
      </c>
      <c r="F1807" s="232">
        <v>0</v>
      </c>
      <c r="G1807" s="232">
        <v>0</v>
      </c>
      <c r="H1807" s="138">
        <f>G1807+F1807</f>
        <v>0</v>
      </c>
      <c r="I1807" s="138">
        <f>H1807*E1807</f>
        <v>0</v>
      </c>
      <c r="J1807" s="48"/>
    </row>
    <row r="1808" spans="1:10" s="16" customFormat="1" ht="25.5" outlineLevel="3">
      <c r="A1808" s="91"/>
      <c r="B1808" s="35"/>
      <c r="C1808" s="112" t="s">
        <v>148</v>
      </c>
      <c r="D1808" s="136"/>
      <c r="E1808" s="137"/>
      <c r="F1808" s="232">
        <v>0</v>
      </c>
      <c r="G1808" s="232">
        <v>0</v>
      </c>
      <c r="H1808" s="183"/>
      <c r="I1808" s="183"/>
      <c r="J1808" s="48"/>
    </row>
    <row r="1809" spans="1:10" s="16" customFormat="1" ht="25.5" outlineLevel="3">
      <c r="A1809" s="91"/>
      <c r="B1809" s="35"/>
      <c r="C1809" s="420" t="s">
        <v>159</v>
      </c>
      <c r="D1809" s="136" t="s">
        <v>28</v>
      </c>
      <c r="E1809" s="137">
        <v>1</v>
      </c>
      <c r="F1809" s="232">
        <v>0</v>
      </c>
      <c r="G1809" s="232">
        <v>0</v>
      </c>
      <c r="H1809" s="138">
        <f>G1809+F1809</f>
        <v>0</v>
      </c>
      <c r="I1809" s="138">
        <f>H1809*E1809</f>
        <v>0</v>
      </c>
      <c r="J1809" s="48"/>
    </row>
    <row r="1810" spans="1:10" s="16" customFormat="1" ht="25.5" outlineLevel="3">
      <c r="A1810" s="91"/>
      <c r="B1810" s="35"/>
      <c r="C1810" s="420" t="s">
        <v>1082</v>
      </c>
      <c r="D1810" s="136" t="s">
        <v>28</v>
      </c>
      <c r="E1810" s="137">
        <v>1</v>
      </c>
      <c r="F1810" s="232">
        <v>0</v>
      </c>
      <c r="G1810" s="232">
        <v>0</v>
      </c>
      <c r="H1810" s="138">
        <f>G1810+F1810</f>
        <v>0</v>
      </c>
      <c r="I1810" s="138">
        <f>H1810*E1810</f>
        <v>0</v>
      </c>
      <c r="J1810" s="48"/>
    </row>
    <row r="1811" spans="1:10" s="16" customFormat="1" ht="25.5" outlineLevel="3">
      <c r="A1811" s="91"/>
      <c r="B1811" s="35"/>
      <c r="C1811" s="420" t="s">
        <v>639</v>
      </c>
      <c r="D1811" s="136" t="s">
        <v>28</v>
      </c>
      <c r="E1811" s="137">
        <v>1</v>
      </c>
      <c r="F1811" s="232">
        <v>0</v>
      </c>
      <c r="G1811" s="232">
        <v>0</v>
      </c>
      <c r="H1811" s="138">
        <f>G1811+F1811</f>
        <v>0</v>
      </c>
      <c r="I1811" s="138">
        <f>H1811*E1811</f>
        <v>0</v>
      </c>
      <c r="J1811" s="48"/>
    </row>
    <row r="1812" spans="1:10" s="16" customFormat="1" ht="25.5" outlineLevel="3">
      <c r="A1812" s="91"/>
      <c r="B1812" s="35"/>
      <c r="C1812" s="420" t="s">
        <v>203</v>
      </c>
      <c r="D1812" s="136" t="s">
        <v>28</v>
      </c>
      <c r="E1812" s="137">
        <v>1</v>
      </c>
      <c r="F1812" s="232">
        <v>0</v>
      </c>
      <c r="G1812" s="232">
        <v>0</v>
      </c>
      <c r="H1812" s="138">
        <f>G1812+F1812</f>
        <v>0</v>
      </c>
      <c r="I1812" s="138">
        <f>H1812*E1812</f>
        <v>0</v>
      </c>
      <c r="J1812" s="48"/>
    </row>
    <row r="1813" spans="1:10" s="16" customFormat="1" ht="25.5" outlineLevel="3">
      <c r="A1813" s="91"/>
      <c r="B1813" s="35"/>
      <c r="C1813" s="411" t="s">
        <v>161</v>
      </c>
      <c r="D1813" s="136" t="s">
        <v>194</v>
      </c>
      <c r="E1813" s="137">
        <v>1</v>
      </c>
      <c r="F1813" s="232">
        <v>0</v>
      </c>
      <c r="G1813" s="232">
        <v>0</v>
      </c>
      <c r="H1813" s="138">
        <f>G1813+F1813</f>
        <v>0</v>
      </c>
      <c r="I1813" s="138">
        <f>H1813*E1813</f>
        <v>0</v>
      </c>
      <c r="J1813" s="48"/>
    </row>
    <row r="1814" spans="1:10" s="16" customFormat="1" ht="25.5" outlineLevel="3">
      <c r="A1814" s="91"/>
      <c r="B1814" s="35"/>
      <c r="C1814" s="421" t="s">
        <v>2093</v>
      </c>
      <c r="D1814" s="136"/>
      <c r="E1814" s="137"/>
      <c r="F1814" s="232">
        <v>0</v>
      </c>
      <c r="G1814" s="232">
        <v>0</v>
      </c>
      <c r="H1814" s="183"/>
      <c r="I1814" s="183"/>
      <c r="J1814" s="48"/>
    </row>
    <row r="1815" spans="1:10" s="16" customFormat="1" ht="25.5" outlineLevel="3">
      <c r="A1815" s="91"/>
      <c r="B1815" s="35"/>
      <c r="C1815" s="420" t="s">
        <v>1126</v>
      </c>
      <c r="D1815" s="136" t="s">
        <v>28</v>
      </c>
      <c r="E1815" s="137">
        <v>3</v>
      </c>
      <c r="F1815" s="232">
        <v>0</v>
      </c>
      <c r="G1815" s="232">
        <v>0</v>
      </c>
      <c r="H1815" s="138">
        <f t="shared" ref="H1815:H1820" si="185">G1815+F1815</f>
        <v>0</v>
      </c>
      <c r="I1815" s="138">
        <f t="shared" ref="I1815:I1820" si="186">H1815*E1815</f>
        <v>0</v>
      </c>
      <c r="J1815" s="48"/>
    </row>
    <row r="1816" spans="1:10" s="16" customFormat="1" ht="25.5" outlineLevel="3">
      <c r="A1816" s="91"/>
      <c r="B1816" s="35"/>
      <c r="C1816" s="411" t="s">
        <v>266</v>
      </c>
      <c r="D1816" s="136" t="s">
        <v>28</v>
      </c>
      <c r="E1816" s="137">
        <v>3</v>
      </c>
      <c r="F1816" s="232">
        <v>0</v>
      </c>
      <c r="G1816" s="232">
        <v>0</v>
      </c>
      <c r="H1816" s="138">
        <f t="shared" si="185"/>
        <v>0</v>
      </c>
      <c r="I1816" s="138">
        <f t="shared" si="186"/>
        <v>0</v>
      </c>
      <c r="J1816" s="48"/>
    </row>
    <row r="1817" spans="1:10" s="16" customFormat="1" ht="25.5" outlineLevel="3">
      <c r="A1817" s="91"/>
      <c r="B1817" s="35"/>
      <c r="C1817" s="411" t="s">
        <v>1157</v>
      </c>
      <c r="D1817" s="136" t="s">
        <v>28</v>
      </c>
      <c r="E1817" s="137">
        <v>1</v>
      </c>
      <c r="F1817" s="232">
        <v>0</v>
      </c>
      <c r="G1817" s="232">
        <v>0</v>
      </c>
      <c r="H1817" s="138">
        <f t="shared" si="185"/>
        <v>0</v>
      </c>
      <c r="I1817" s="138">
        <f t="shared" si="186"/>
        <v>0</v>
      </c>
      <c r="J1817" s="48"/>
    </row>
    <row r="1818" spans="1:10" s="16" customFormat="1" ht="25.5" outlineLevel="3">
      <c r="A1818" s="91"/>
      <c r="B1818" s="35"/>
      <c r="C1818" s="129" t="s">
        <v>2094</v>
      </c>
      <c r="D1818" s="136" t="s">
        <v>38</v>
      </c>
      <c r="E1818" s="418">
        <v>1</v>
      </c>
      <c r="F1818" s="232">
        <v>0</v>
      </c>
      <c r="G1818" s="232">
        <v>0</v>
      </c>
      <c r="H1818" s="138">
        <f t="shared" si="185"/>
        <v>0</v>
      </c>
      <c r="I1818" s="138">
        <f t="shared" si="186"/>
        <v>0</v>
      </c>
      <c r="J1818" s="48"/>
    </row>
    <row r="1819" spans="1:10" s="16" customFormat="1" ht="25.5" outlineLevel="3">
      <c r="A1819" s="91"/>
      <c r="B1819" s="35"/>
      <c r="C1819" s="129" t="s">
        <v>1436</v>
      </c>
      <c r="D1819" s="136" t="s">
        <v>38</v>
      </c>
      <c r="E1819" s="137">
        <v>1</v>
      </c>
      <c r="F1819" s="232">
        <v>0</v>
      </c>
      <c r="G1819" s="232">
        <v>0</v>
      </c>
      <c r="H1819" s="138">
        <f t="shared" si="185"/>
        <v>0</v>
      </c>
      <c r="I1819" s="138">
        <f t="shared" si="186"/>
        <v>0</v>
      </c>
      <c r="J1819" s="48"/>
    </row>
    <row r="1820" spans="1:10" s="16" customFormat="1" ht="25.5" outlineLevel="3">
      <c r="A1820" s="91"/>
      <c r="B1820" s="35">
        <f>MAXA(B$5:B1819)+1</f>
        <v>1043</v>
      </c>
      <c r="C1820" s="129" t="s">
        <v>1124</v>
      </c>
      <c r="D1820" s="136" t="s">
        <v>38</v>
      </c>
      <c r="E1820" s="137">
        <v>1</v>
      </c>
      <c r="F1820" s="232">
        <v>82795343</v>
      </c>
      <c r="G1820" s="232">
        <v>2605313</v>
      </c>
      <c r="H1820" s="138">
        <f t="shared" si="185"/>
        <v>85400656</v>
      </c>
      <c r="I1820" s="138">
        <f t="shared" si="186"/>
        <v>85400656</v>
      </c>
      <c r="J1820" s="48"/>
    </row>
    <row r="1821" spans="1:10" s="16" customFormat="1" ht="25.5" outlineLevel="3">
      <c r="A1821" s="91"/>
      <c r="B1821" s="35"/>
      <c r="C1821" s="112" t="s">
        <v>141</v>
      </c>
      <c r="D1821" s="136"/>
      <c r="E1821" s="137"/>
      <c r="F1821" s="232">
        <v>0</v>
      </c>
      <c r="G1821" s="232">
        <v>0</v>
      </c>
      <c r="H1821" s="183"/>
      <c r="I1821" s="183"/>
      <c r="J1821" s="48"/>
    </row>
    <row r="1822" spans="1:10" s="16" customFormat="1" ht="25.5" outlineLevel="3">
      <c r="A1822" s="91"/>
      <c r="B1822" s="35"/>
      <c r="C1822" s="129" t="s">
        <v>1455</v>
      </c>
      <c r="D1822" s="136" t="s">
        <v>28</v>
      </c>
      <c r="E1822" s="137">
        <v>1</v>
      </c>
      <c r="F1822" s="232">
        <v>0</v>
      </c>
      <c r="G1822" s="232">
        <v>0</v>
      </c>
      <c r="H1822" s="138">
        <f>G1822+F1822</f>
        <v>0</v>
      </c>
      <c r="I1822" s="138">
        <f>H1822*E1822</f>
        <v>0</v>
      </c>
      <c r="J1822" s="48"/>
    </row>
    <row r="1823" spans="1:10" s="16" customFormat="1" ht="25.5" outlineLevel="3">
      <c r="A1823" s="91"/>
      <c r="B1823" s="35"/>
      <c r="C1823" s="411" t="s">
        <v>573</v>
      </c>
      <c r="D1823" s="136" t="s">
        <v>28</v>
      </c>
      <c r="E1823" s="137">
        <v>3</v>
      </c>
      <c r="F1823" s="232">
        <v>0</v>
      </c>
      <c r="G1823" s="232">
        <v>0</v>
      </c>
      <c r="H1823" s="138">
        <f>G1823+F1823</f>
        <v>0</v>
      </c>
      <c r="I1823" s="138">
        <f>H1823*E1823</f>
        <v>0</v>
      </c>
      <c r="J1823" s="48"/>
    </row>
    <row r="1824" spans="1:10" s="16" customFormat="1" ht="25.5" outlineLevel="3">
      <c r="A1824" s="91"/>
      <c r="B1824" s="35"/>
      <c r="C1824" s="411" t="s">
        <v>574</v>
      </c>
      <c r="D1824" s="136" t="s">
        <v>28</v>
      </c>
      <c r="E1824" s="137">
        <v>3</v>
      </c>
      <c r="F1824" s="232">
        <v>0</v>
      </c>
      <c r="G1824" s="232">
        <v>0</v>
      </c>
      <c r="H1824" s="138">
        <f>G1824+F1824</f>
        <v>0</v>
      </c>
      <c r="I1824" s="138">
        <f>H1824*E1824</f>
        <v>0</v>
      </c>
      <c r="J1824" s="48"/>
    </row>
    <row r="1825" spans="1:10" s="16" customFormat="1" ht="25.5" outlineLevel="3">
      <c r="A1825" s="91"/>
      <c r="B1825" s="35"/>
      <c r="C1825" s="112" t="s">
        <v>148</v>
      </c>
      <c r="D1825" s="136"/>
      <c r="E1825" s="137"/>
      <c r="F1825" s="232">
        <v>0</v>
      </c>
      <c r="G1825" s="232">
        <v>0</v>
      </c>
      <c r="H1825" s="183"/>
      <c r="I1825" s="183"/>
      <c r="J1825" s="48"/>
    </row>
    <row r="1826" spans="1:10" s="16" customFormat="1" ht="25.5" outlineLevel="3">
      <c r="A1826" s="91"/>
      <c r="B1826" s="35"/>
      <c r="C1826" s="420" t="s">
        <v>159</v>
      </c>
      <c r="D1826" s="136" t="s">
        <v>28</v>
      </c>
      <c r="E1826" s="137">
        <v>1</v>
      </c>
      <c r="F1826" s="232">
        <v>0</v>
      </c>
      <c r="G1826" s="232">
        <v>0</v>
      </c>
      <c r="H1826" s="138">
        <f t="shared" ref="H1826:H1835" si="187">G1826+F1826</f>
        <v>0</v>
      </c>
      <c r="I1826" s="138">
        <f t="shared" ref="I1826:I1835" si="188">H1826*E1826</f>
        <v>0</v>
      </c>
      <c r="J1826" s="48"/>
    </row>
    <row r="1827" spans="1:10" s="16" customFormat="1" ht="25.5" outlineLevel="3">
      <c r="A1827" s="91"/>
      <c r="B1827" s="35"/>
      <c r="C1827" s="420" t="s">
        <v>2081</v>
      </c>
      <c r="D1827" s="136" t="s">
        <v>28</v>
      </c>
      <c r="E1827" s="137">
        <v>3</v>
      </c>
      <c r="F1827" s="232">
        <v>0</v>
      </c>
      <c r="G1827" s="232">
        <v>0</v>
      </c>
      <c r="H1827" s="138">
        <f t="shared" si="187"/>
        <v>0</v>
      </c>
      <c r="I1827" s="138">
        <f t="shared" si="188"/>
        <v>0</v>
      </c>
      <c r="J1827" s="48"/>
    </row>
    <row r="1828" spans="1:10" s="16" customFormat="1" ht="25.5" outlineLevel="3">
      <c r="A1828" s="91"/>
      <c r="B1828" s="35"/>
      <c r="C1828" s="420" t="s">
        <v>170</v>
      </c>
      <c r="D1828" s="136" t="s">
        <v>28</v>
      </c>
      <c r="E1828" s="137">
        <v>8</v>
      </c>
      <c r="F1828" s="232">
        <v>0</v>
      </c>
      <c r="G1828" s="232">
        <v>0</v>
      </c>
      <c r="H1828" s="138">
        <f t="shared" si="187"/>
        <v>0</v>
      </c>
      <c r="I1828" s="138">
        <f t="shared" si="188"/>
        <v>0</v>
      </c>
      <c r="J1828" s="48"/>
    </row>
    <row r="1829" spans="1:10" s="16" customFormat="1" ht="25.5" outlineLevel="3">
      <c r="A1829" s="91"/>
      <c r="B1829" s="35"/>
      <c r="C1829" s="420" t="s">
        <v>237</v>
      </c>
      <c r="D1829" s="136" t="s">
        <v>28</v>
      </c>
      <c r="E1829" s="137">
        <v>1</v>
      </c>
      <c r="F1829" s="232">
        <v>0</v>
      </c>
      <c r="G1829" s="232">
        <v>0</v>
      </c>
      <c r="H1829" s="138">
        <f t="shared" si="187"/>
        <v>0</v>
      </c>
      <c r="I1829" s="138">
        <f t="shared" si="188"/>
        <v>0</v>
      </c>
      <c r="J1829" s="48"/>
    </row>
    <row r="1830" spans="1:10" s="16" customFormat="1" ht="25.5" outlineLevel="3">
      <c r="A1830" s="91"/>
      <c r="B1830" s="35"/>
      <c r="C1830" s="420" t="s">
        <v>1082</v>
      </c>
      <c r="D1830" s="136" t="s">
        <v>28</v>
      </c>
      <c r="E1830" s="137">
        <v>4</v>
      </c>
      <c r="F1830" s="232">
        <v>0</v>
      </c>
      <c r="G1830" s="232">
        <v>0</v>
      </c>
      <c r="H1830" s="138">
        <f t="shared" si="187"/>
        <v>0</v>
      </c>
      <c r="I1830" s="138">
        <f t="shared" si="188"/>
        <v>0</v>
      </c>
      <c r="J1830" s="48"/>
    </row>
    <row r="1831" spans="1:10" s="16" customFormat="1" ht="25.5" outlineLevel="3">
      <c r="A1831" s="91"/>
      <c r="B1831" s="35"/>
      <c r="C1831" s="420" t="s">
        <v>639</v>
      </c>
      <c r="D1831" s="136" t="s">
        <v>28</v>
      </c>
      <c r="E1831" s="137">
        <v>1</v>
      </c>
      <c r="F1831" s="232">
        <v>0</v>
      </c>
      <c r="G1831" s="232">
        <v>0</v>
      </c>
      <c r="H1831" s="138">
        <f t="shared" si="187"/>
        <v>0</v>
      </c>
      <c r="I1831" s="138">
        <f t="shared" si="188"/>
        <v>0</v>
      </c>
      <c r="J1831" s="48"/>
    </row>
    <row r="1832" spans="1:10" s="16" customFormat="1" ht="25.5" outlineLevel="3">
      <c r="A1832" s="91"/>
      <c r="B1832" s="35"/>
      <c r="C1832" s="420" t="s">
        <v>263</v>
      </c>
      <c r="D1832" s="136" t="s">
        <v>28</v>
      </c>
      <c r="E1832" s="137">
        <v>1</v>
      </c>
      <c r="F1832" s="232">
        <v>0</v>
      </c>
      <c r="G1832" s="232">
        <v>0</v>
      </c>
      <c r="H1832" s="138">
        <f t="shared" si="187"/>
        <v>0</v>
      </c>
      <c r="I1832" s="138">
        <f t="shared" si="188"/>
        <v>0</v>
      </c>
      <c r="J1832" s="48"/>
    </row>
    <row r="1833" spans="1:10" s="16" customFormat="1" ht="25.5" outlineLevel="3">
      <c r="A1833" s="91"/>
      <c r="B1833" s="35"/>
      <c r="C1833" s="420" t="s">
        <v>165</v>
      </c>
      <c r="D1833" s="136" t="s">
        <v>28</v>
      </c>
      <c r="E1833" s="137">
        <v>8</v>
      </c>
      <c r="F1833" s="232">
        <v>0</v>
      </c>
      <c r="G1833" s="232">
        <v>0</v>
      </c>
      <c r="H1833" s="138">
        <f t="shared" si="187"/>
        <v>0</v>
      </c>
      <c r="I1833" s="138">
        <f t="shared" si="188"/>
        <v>0</v>
      </c>
      <c r="J1833" s="48"/>
    </row>
    <row r="1834" spans="1:10" s="16" customFormat="1" ht="25.5" outlineLevel="3">
      <c r="A1834" s="91"/>
      <c r="B1834" s="35"/>
      <c r="C1834" s="420" t="s">
        <v>203</v>
      </c>
      <c r="D1834" s="136" t="s">
        <v>28</v>
      </c>
      <c r="E1834" s="137">
        <v>1</v>
      </c>
      <c r="F1834" s="232">
        <v>0</v>
      </c>
      <c r="G1834" s="232">
        <v>0</v>
      </c>
      <c r="H1834" s="138">
        <f t="shared" si="187"/>
        <v>0</v>
      </c>
      <c r="I1834" s="138">
        <f t="shared" si="188"/>
        <v>0</v>
      </c>
      <c r="J1834" s="48"/>
    </row>
    <row r="1835" spans="1:10" s="16" customFormat="1" ht="25.5" outlineLevel="3">
      <c r="A1835" s="91"/>
      <c r="B1835" s="35"/>
      <c r="C1835" s="411" t="s">
        <v>161</v>
      </c>
      <c r="D1835" s="136" t="s">
        <v>194</v>
      </c>
      <c r="E1835" s="137">
        <v>1</v>
      </c>
      <c r="F1835" s="232">
        <v>0</v>
      </c>
      <c r="G1835" s="232">
        <v>0</v>
      </c>
      <c r="H1835" s="138">
        <f t="shared" si="187"/>
        <v>0</v>
      </c>
      <c r="I1835" s="138">
        <f t="shared" si="188"/>
        <v>0</v>
      </c>
      <c r="J1835" s="48"/>
    </row>
    <row r="1836" spans="1:10" s="16" customFormat="1" ht="25.5" outlineLevel="3">
      <c r="A1836" s="91"/>
      <c r="B1836" s="35"/>
      <c r="C1836" s="421" t="s">
        <v>2095</v>
      </c>
      <c r="D1836" s="136"/>
      <c r="E1836" s="137"/>
      <c r="F1836" s="232">
        <v>0</v>
      </c>
      <c r="G1836" s="232">
        <v>0</v>
      </c>
      <c r="H1836" s="183"/>
      <c r="I1836" s="183"/>
      <c r="J1836" s="48"/>
    </row>
    <row r="1837" spans="1:10" s="16" customFormat="1" ht="25.5" outlineLevel="3">
      <c r="A1837" s="91"/>
      <c r="B1837" s="35"/>
      <c r="C1837" s="420" t="s">
        <v>1126</v>
      </c>
      <c r="D1837" s="136" t="s">
        <v>28</v>
      </c>
      <c r="E1837" s="137">
        <v>3</v>
      </c>
      <c r="F1837" s="232">
        <v>0</v>
      </c>
      <c r="G1837" s="232">
        <v>0</v>
      </c>
      <c r="H1837" s="138">
        <f>G1837+F1837</f>
        <v>0</v>
      </c>
      <c r="I1837" s="138">
        <f>H1837*E1837</f>
        <v>0</v>
      </c>
      <c r="J1837" s="48"/>
    </row>
    <row r="1838" spans="1:10" s="16" customFormat="1" ht="25.5" outlineLevel="3">
      <c r="A1838" s="91"/>
      <c r="B1838" s="35"/>
      <c r="C1838" s="411" t="s">
        <v>266</v>
      </c>
      <c r="D1838" s="136" t="s">
        <v>28</v>
      </c>
      <c r="E1838" s="137">
        <v>3</v>
      </c>
      <c r="F1838" s="232">
        <v>0</v>
      </c>
      <c r="G1838" s="232">
        <v>0</v>
      </c>
      <c r="H1838" s="138">
        <f>G1838+F1838</f>
        <v>0</v>
      </c>
      <c r="I1838" s="138">
        <f>H1838*E1838</f>
        <v>0</v>
      </c>
      <c r="J1838" s="48"/>
    </row>
    <row r="1839" spans="1:10" s="16" customFormat="1" ht="25.5" outlineLevel="3">
      <c r="A1839" s="91"/>
      <c r="B1839" s="35"/>
      <c r="C1839" s="411" t="s">
        <v>1127</v>
      </c>
      <c r="D1839" s="136" t="s">
        <v>28</v>
      </c>
      <c r="E1839" s="137">
        <v>1</v>
      </c>
      <c r="F1839" s="232">
        <v>0</v>
      </c>
      <c r="G1839" s="232">
        <v>0</v>
      </c>
      <c r="H1839" s="138">
        <f>G1839+F1839</f>
        <v>0</v>
      </c>
      <c r="I1839" s="138">
        <f>H1839*E1839</f>
        <v>0</v>
      </c>
      <c r="J1839" s="48"/>
    </row>
    <row r="1840" spans="1:10" s="16" customFormat="1" ht="25.5" outlineLevel="3">
      <c r="A1840" s="91"/>
      <c r="B1840" s="35"/>
      <c r="C1840" s="421" t="s">
        <v>2096</v>
      </c>
      <c r="D1840" s="136"/>
      <c r="E1840" s="137"/>
      <c r="F1840" s="232">
        <v>0</v>
      </c>
      <c r="G1840" s="232">
        <v>0</v>
      </c>
      <c r="H1840" s="183"/>
      <c r="I1840" s="183"/>
      <c r="J1840" s="48"/>
    </row>
    <row r="1841" spans="1:10" s="16" customFormat="1" ht="25.5" outlineLevel="3">
      <c r="A1841" s="91"/>
      <c r="B1841" s="35"/>
      <c r="C1841" s="420" t="s">
        <v>2086</v>
      </c>
      <c r="D1841" s="136" t="s">
        <v>28</v>
      </c>
      <c r="E1841" s="137">
        <v>6</v>
      </c>
      <c r="F1841" s="232">
        <v>0</v>
      </c>
      <c r="G1841" s="232">
        <v>0</v>
      </c>
      <c r="H1841" s="138">
        <f t="shared" ref="H1841:H1846" si="189">G1841+F1841</f>
        <v>0</v>
      </c>
      <c r="I1841" s="138">
        <f t="shared" ref="I1841:I1846" si="190">H1841*E1841</f>
        <v>0</v>
      </c>
      <c r="J1841" s="48"/>
    </row>
    <row r="1842" spans="1:10" s="16" customFormat="1" ht="25.5" outlineLevel="3">
      <c r="A1842" s="91"/>
      <c r="B1842" s="35"/>
      <c r="C1842" s="420" t="s">
        <v>2085</v>
      </c>
      <c r="D1842" s="136" t="s">
        <v>28</v>
      </c>
      <c r="E1842" s="137">
        <v>3</v>
      </c>
      <c r="F1842" s="232">
        <v>0</v>
      </c>
      <c r="G1842" s="232">
        <v>0</v>
      </c>
      <c r="H1842" s="138">
        <f t="shared" si="189"/>
        <v>0</v>
      </c>
      <c r="I1842" s="138">
        <f t="shared" si="190"/>
        <v>0</v>
      </c>
      <c r="J1842" s="48"/>
    </row>
    <row r="1843" spans="1:10" s="16" customFormat="1" ht="25.5" outlineLevel="3">
      <c r="A1843" s="91"/>
      <c r="B1843" s="35"/>
      <c r="C1843" s="411" t="s">
        <v>2097</v>
      </c>
      <c r="D1843" s="136" t="s">
        <v>28</v>
      </c>
      <c r="E1843" s="137">
        <v>3</v>
      </c>
      <c r="F1843" s="232">
        <v>0</v>
      </c>
      <c r="G1843" s="232">
        <v>0</v>
      </c>
      <c r="H1843" s="138">
        <f t="shared" si="189"/>
        <v>0</v>
      </c>
      <c r="I1843" s="138">
        <f t="shared" si="190"/>
        <v>0</v>
      </c>
      <c r="J1843" s="48"/>
    </row>
    <row r="1844" spans="1:10" s="16" customFormat="1" ht="25.5" outlineLevel="3">
      <c r="A1844" s="91"/>
      <c r="B1844" s="35"/>
      <c r="C1844" s="129" t="s">
        <v>2094</v>
      </c>
      <c r="D1844" s="136" t="s">
        <v>38</v>
      </c>
      <c r="E1844" s="418">
        <v>1</v>
      </c>
      <c r="F1844" s="232">
        <v>0</v>
      </c>
      <c r="G1844" s="232">
        <v>0</v>
      </c>
      <c r="H1844" s="138">
        <f t="shared" si="189"/>
        <v>0</v>
      </c>
      <c r="I1844" s="138">
        <f t="shared" si="190"/>
        <v>0</v>
      </c>
      <c r="J1844" s="48"/>
    </row>
    <row r="1845" spans="1:10" s="16" customFormat="1" ht="25.5" outlineLevel="3">
      <c r="A1845" s="91"/>
      <c r="B1845" s="35"/>
      <c r="C1845" s="419" t="s">
        <v>1436</v>
      </c>
      <c r="D1845" s="136" t="s">
        <v>38</v>
      </c>
      <c r="E1845" s="137">
        <v>1</v>
      </c>
      <c r="F1845" s="232">
        <v>0</v>
      </c>
      <c r="G1845" s="232">
        <v>0</v>
      </c>
      <c r="H1845" s="138">
        <f t="shared" si="189"/>
        <v>0</v>
      </c>
      <c r="I1845" s="138">
        <f t="shared" si="190"/>
        <v>0</v>
      </c>
      <c r="J1845" s="48"/>
    </row>
    <row r="1846" spans="1:10" s="16" customFormat="1" ht="25.5" outlineLevel="3">
      <c r="A1846" s="91"/>
      <c r="B1846" s="35">
        <f>MAXA(B$5:B1845)+1</f>
        <v>1044</v>
      </c>
      <c r="C1846" s="129" t="s">
        <v>2098</v>
      </c>
      <c r="D1846" s="136" t="s">
        <v>38</v>
      </c>
      <c r="E1846" s="137">
        <v>1</v>
      </c>
      <c r="F1846" s="232">
        <v>28777478</v>
      </c>
      <c r="G1846" s="232">
        <v>1563188</v>
      </c>
      <c r="H1846" s="138">
        <f t="shared" si="189"/>
        <v>30340666</v>
      </c>
      <c r="I1846" s="138">
        <f t="shared" si="190"/>
        <v>30340666</v>
      </c>
      <c r="J1846" s="48"/>
    </row>
    <row r="1847" spans="1:10" s="16" customFormat="1" ht="25.5" outlineLevel="3">
      <c r="A1847" s="91"/>
      <c r="B1847" s="35"/>
      <c r="C1847" s="112" t="s">
        <v>141</v>
      </c>
      <c r="D1847" s="136"/>
      <c r="E1847" s="137"/>
      <c r="F1847" s="232">
        <v>0</v>
      </c>
      <c r="G1847" s="232">
        <v>0</v>
      </c>
      <c r="H1847" s="183"/>
      <c r="I1847" s="183"/>
      <c r="J1847" s="48"/>
    </row>
    <row r="1848" spans="1:10" s="16" customFormat="1" ht="25.5" outlineLevel="3">
      <c r="A1848" s="91"/>
      <c r="B1848" s="35"/>
      <c r="C1848" s="420" t="s">
        <v>155</v>
      </c>
      <c r="D1848" s="136" t="s">
        <v>28</v>
      </c>
      <c r="E1848" s="137">
        <v>1</v>
      </c>
      <c r="F1848" s="232">
        <v>0</v>
      </c>
      <c r="G1848" s="232">
        <v>0</v>
      </c>
      <c r="H1848" s="138">
        <f>G1848+F1848</f>
        <v>0</v>
      </c>
      <c r="I1848" s="138">
        <f>H1848*E1848</f>
        <v>0</v>
      </c>
      <c r="J1848" s="48"/>
    </row>
    <row r="1849" spans="1:10" s="16" customFormat="1" ht="25.5" outlineLevel="3">
      <c r="A1849" s="91"/>
      <c r="B1849" s="35"/>
      <c r="C1849" s="411" t="s">
        <v>573</v>
      </c>
      <c r="D1849" s="136" t="s">
        <v>28</v>
      </c>
      <c r="E1849" s="137">
        <v>3</v>
      </c>
      <c r="F1849" s="232">
        <v>0</v>
      </c>
      <c r="G1849" s="232">
        <v>0</v>
      </c>
      <c r="H1849" s="138">
        <f>G1849+F1849</f>
        <v>0</v>
      </c>
      <c r="I1849" s="138">
        <f>H1849*E1849</f>
        <v>0</v>
      </c>
      <c r="J1849" s="48"/>
    </row>
    <row r="1850" spans="1:10" s="16" customFormat="1" ht="25.5" outlineLevel="3">
      <c r="A1850" s="91"/>
      <c r="B1850" s="35"/>
      <c r="C1850" s="411" t="s">
        <v>574</v>
      </c>
      <c r="D1850" s="136" t="s">
        <v>28</v>
      </c>
      <c r="E1850" s="137">
        <v>3</v>
      </c>
      <c r="F1850" s="232">
        <v>0</v>
      </c>
      <c r="G1850" s="232">
        <v>0</v>
      </c>
      <c r="H1850" s="138">
        <f>G1850+F1850</f>
        <v>0</v>
      </c>
      <c r="I1850" s="138">
        <f>H1850*E1850</f>
        <v>0</v>
      </c>
      <c r="J1850" s="48"/>
    </row>
    <row r="1851" spans="1:10" s="16" customFormat="1" ht="25.5" outlineLevel="3">
      <c r="A1851" s="91"/>
      <c r="B1851" s="35"/>
      <c r="C1851" s="112" t="s">
        <v>148</v>
      </c>
      <c r="D1851" s="136"/>
      <c r="E1851" s="137"/>
      <c r="F1851" s="232">
        <v>0</v>
      </c>
      <c r="G1851" s="232">
        <v>0</v>
      </c>
      <c r="H1851" s="183"/>
      <c r="I1851" s="183"/>
      <c r="J1851" s="48"/>
    </row>
    <row r="1852" spans="1:10" s="16" customFormat="1" ht="25.5" outlineLevel="3">
      <c r="A1852" s="91"/>
      <c r="B1852" s="35"/>
      <c r="C1852" s="420" t="s">
        <v>155</v>
      </c>
      <c r="D1852" s="136" t="s">
        <v>28</v>
      </c>
      <c r="E1852" s="137">
        <v>1</v>
      </c>
      <c r="F1852" s="232">
        <v>0</v>
      </c>
      <c r="G1852" s="232">
        <v>0</v>
      </c>
      <c r="H1852" s="138">
        <f t="shared" ref="H1852:H1858" si="191">G1852+F1852</f>
        <v>0</v>
      </c>
      <c r="I1852" s="138">
        <f t="shared" ref="I1852:I1858" si="192">H1852*E1852</f>
        <v>0</v>
      </c>
      <c r="J1852" s="48"/>
    </row>
    <row r="1853" spans="1:10" s="16" customFormat="1" ht="25.5" outlineLevel="3">
      <c r="A1853" s="91"/>
      <c r="B1853" s="35"/>
      <c r="C1853" s="420" t="s">
        <v>645</v>
      </c>
      <c r="D1853" s="136" t="s">
        <v>28</v>
      </c>
      <c r="E1853" s="137">
        <v>2</v>
      </c>
      <c r="F1853" s="232">
        <v>0</v>
      </c>
      <c r="G1853" s="232">
        <v>0</v>
      </c>
      <c r="H1853" s="138">
        <f t="shared" si="191"/>
        <v>0</v>
      </c>
      <c r="I1853" s="138">
        <f t="shared" si="192"/>
        <v>0</v>
      </c>
      <c r="J1853" s="48"/>
    </row>
    <row r="1854" spans="1:10" s="16" customFormat="1" ht="25.5" outlineLevel="3">
      <c r="A1854" s="91"/>
      <c r="B1854" s="35"/>
      <c r="C1854" s="420" t="s">
        <v>170</v>
      </c>
      <c r="D1854" s="136" t="s">
        <v>28</v>
      </c>
      <c r="E1854" s="137">
        <v>1</v>
      </c>
      <c r="F1854" s="232">
        <v>0</v>
      </c>
      <c r="G1854" s="232">
        <v>0</v>
      </c>
      <c r="H1854" s="138">
        <f t="shared" si="191"/>
        <v>0</v>
      </c>
      <c r="I1854" s="138">
        <f t="shared" si="192"/>
        <v>0</v>
      </c>
      <c r="J1854" s="48"/>
    </row>
    <row r="1855" spans="1:10" s="16" customFormat="1" ht="25.5" outlineLevel="3">
      <c r="A1855" s="91"/>
      <c r="B1855" s="35"/>
      <c r="C1855" s="420" t="s">
        <v>639</v>
      </c>
      <c r="D1855" s="136" t="s">
        <v>28</v>
      </c>
      <c r="E1855" s="137">
        <v>1</v>
      </c>
      <c r="F1855" s="232">
        <v>0</v>
      </c>
      <c r="G1855" s="232">
        <v>0</v>
      </c>
      <c r="H1855" s="138">
        <f t="shared" si="191"/>
        <v>0</v>
      </c>
      <c r="I1855" s="138">
        <f t="shared" si="192"/>
        <v>0</v>
      </c>
      <c r="J1855" s="48"/>
    </row>
    <row r="1856" spans="1:10" s="16" customFormat="1" ht="25.5" outlineLevel="3">
      <c r="A1856" s="91"/>
      <c r="B1856" s="35"/>
      <c r="C1856" s="420" t="s">
        <v>203</v>
      </c>
      <c r="D1856" s="136" t="s">
        <v>28</v>
      </c>
      <c r="E1856" s="137">
        <v>1</v>
      </c>
      <c r="F1856" s="232">
        <v>0</v>
      </c>
      <c r="G1856" s="232">
        <v>0</v>
      </c>
      <c r="H1856" s="138">
        <f t="shared" si="191"/>
        <v>0</v>
      </c>
      <c r="I1856" s="138">
        <f t="shared" si="192"/>
        <v>0</v>
      </c>
      <c r="J1856" s="48"/>
    </row>
    <row r="1857" spans="1:10" s="16" customFormat="1" ht="25.5" outlineLevel="3">
      <c r="A1857" s="91"/>
      <c r="B1857" s="35"/>
      <c r="C1857" s="411" t="s">
        <v>161</v>
      </c>
      <c r="D1857" s="136" t="s">
        <v>194</v>
      </c>
      <c r="E1857" s="137">
        <v>1</v>
      </c>
      <c r="F1857" s="232">
        <v>0</v>
      </c>
      <c r="G1857" s="232">
        <v>0</v>
      </c>
      <c r="H1857" s="138">
        <f t="shared" si="191"/>
        <v>0</v>
      </c>
      <c r="I1857" s="138">
        <f t="shared" si="192"/>
        <v>0</v>
      </c>
      <c r="J1857" s="48"/>
    </row>
    <row r="1858" spans="1:10" s="16" customFormat="1" ht="25.5" outlineLevel="3">
      <c r="A1858" s="91"/>
      <c r="B1858" s="35"/>
      <c r="C1858" s="419" t="s">
        <v>166</v>
      </c>
      <c r="D1858" s="136" t="s">
        <v>28</v>
      </c>
      <c r="E1858" s="137">
        <v>2</v>
      </c>
      <c r="F1858" s="232">
        <v>0</v>
      </c>
      <c r="G1858" s="232">
        <v>0</v>
      </c>
      <c r="H1858" s="138">
        <f t="shared" si="191"/>
        <v>0</v>
      </c>
      <c r="I1858" s="138">
        <f t="shared" si="192"/>
        <v>0</v>
      </c>
      <c r="J1858" s="48"/>
    </row>
    <row r="1859" spans="1:10" s="16" customFormat="1" ht="25.5" outlineLevel="3">
      <c r="A1859" s="91"/>
      <c r="B1859" s="35"/>
      <c r="C1859" s="421" t="s">
        <v>2099</v>
      </c>
      <c r="D1859" s="136"/>
      <c r="E1859" s="137"/>
      <c r="F1859" s="232">
        <v>0</v>
      </c>
      <c r="G1859" s="232">
        <v>0</v>
      </c>
      <c r="H1859" s="183"/>
      <c r="I1859" s="183"/>
      <c r="J1859" s="48"/>
    </row>
    <row r="1860" spans="1:10" s="16" customFormat="1" ht="25.5" outlineLevel="3">
      <c r="A1860" s="91"/>
      <c r="B1860" s="35"/>
      <c r="C1860" s="420" t="s">
        <v>265</v>
      </c>
      <c r="D1860" s="136" t="s">
        <v>28</v>
      </c>
      <c r="E1860" s="137">
        <v>2</v>
      </c>
      <c r="F1860" s="232">
        <v>0</v>
      </c>
      <c r="G1860" s="232">
        <v>0</v>
      </c>
      <c r="H1860" s="138">
        <f>G1860+F1860</f>
        <v>0</v>
      </c>
      <c r="I1860" s="138">
        <f>H1860*E1860</f>
        <v>0</v>
      </c>
      <c r="J1860" s="48"/>
    </row>
    <row r="1861" spans="1:10" s="16" customFormat="1" ht="25.5" outlineLevel="3">
      <c r="A1861" s="91"/>
      <c r="B1861" s="35"/>
      <c r="C1861" s="411" t="s">
        <v>266</v>
      </c>
      <c r="D1861" s="136" t="s">
        <v>28</v>
      </c>
      <c r="E1861" s="137">
        <v>2</v>
      </c>
      <c r="F1861" s="232">
        <v>0</v>
      </c>
      <c r="G1861" s="232">
        <v>0</v>
      </c>
      <c r="H1861" s="138">
        <f>G1861+F1861</f>
        <v>0</v>
      </c>
      <c r="I1861" s="138">
        <f>H1861*E1861</f>
        <v>0</v>
      </c>
      <c r="J1861" s="48"/>
    </row>
    <row r="1862" spans="1:10" s="16" customFormat="1" ht="25.5" outlineLevel="3">
      <c r="A1862" s="91"/>
      <c r="B1862" s="35"/>
      <c r="C1862" s="411" t="s">
        <v>269</v>
      </c>
      <c r="D1862" s="136" t="s">
        <v>28</v>
      </c>
      <c r="E1862" s="137">
        <v>2</v>
      </c>
      <c r="F1862" s="232">
        <v>0</v>
      </c>
      <c r="G1862" s="232">
        <v>0</v>
      </c>
      <c r="H1862" s="138">
        <f>G1862+F1862</f>
        <v>0</v>
      </c>
      <c r="I1862" s="138">
        <f>H1862*E1862</f>
        <v>0</v>
      </c>
      <c r="J1862" s="48"/>
    </row>
    <row r="1863" spans="1:10" s="16" customFormat="1" ht="25.5" outlineLevel="3">
      <c r="A1863" s="91"/>
      <c r="B1863" s="35"/>
      <c r="C1863" s="411" t="s">
        <v>2100</v>
      </c>
      <c r="D1863" s="136" t="s">
        <v>28</v>
      </c>
      <c r="E1863" s="137">
        <v>1</v>
      </c>
      <c r="F1863" s="232">
        <v>0</v>
      </c>
      <c r="G1863" s="232">
        <v>0</v>
      </c>
      <c r="H1863" s="138">
        <f>G1863+F1863</f>
        <v>0</v>
      </c>
      <c r="I1863" s="138">
        <f>H1863*E1863</f>
        <v>0</v>
      </c>
      <c r="J1863" s="48"/>
    </row>
    <row r="1864" spans="1:10" s="16" customFormat="1" ht="25.5" outlineLevel="3">
      <c r="A1864" s="91"/>
      <c r="B1864" s="35"/>
      <c r="C1864" s="421" t="s">
        <v>2101</v>
      </c>
      <c r="D1864" s="136"/>
      <c r="E1864" s="137"/>
      <c r="F1864" s="232">
        <v>0</v>
      </c>
      <c r="G1864" s="232">
        <v>0</v>
      </c>
      <c r="H1864" s="183"/>
      <c r="I1864" s="183"/>
      <c r="J1864" s="48"/>
    </row>
    <row r="1865" spans="1:10" s="16" customFormat="1" ht="25.5" outlineLevel="3">
      <c r="A1865" s="91"/>
      <c r="B1865" s="35"/>
      <c r="C1865" s="420" t="s">
        <v>265</v>
      </c>
      <c r="D1865" s="136" t="s">
        <v>28</v>
      </c>
      <c r="E1865" s="137">
        <v>1</v>
      </c>
      <c r="F1865" s="232">
        <v>0</v>
      </c>
      <c r="G1865" s="232">
        <v>0</v>
      </c>
      <c r="H1865" s="138">
        <f t="shared" ref="H1865:H1870" si="193">G1865+F1865</f>
        <v>0</v>
      </c>
      <c r="I1865" s="138">
        <f t="shared" ref="I1865:I1870" si="194">H1865*E1865</f>
        <v>0</v>
      </c>
      <c r="J1865" s="48"/>
    </row>
    <row r="1866" spans="1:10" s="16" customFormat="1" ht="25.5" outlineLevel="3">
      <c r="A1866" s="91"/>
      <c r="B1866" s="35"/>
      <c r="C1866" s="411" t="s">
        <v>266</v>
      </c>
      <c r="D1866" s="136" t="s">
        <v>28</v>
      </c>
      <c r="E1866" s="137">
        <v>1</v>
      </c>
      <c r="F1866" s="232">
        <v>0</v>
      </c>
      <c r="G1866" s="232">
        <v>0</v>
      </c>
      <c r="H1866" s="138">
        <f t="shared" si="193"/>
        <v>0</v>
      </c>
      <c r="I1866" s="138">
        <f t="shared" si="194"/>
        <v>0</v>
      </c>
      <c r="J1866" s="48"/>
    </row>
    <row r="1867" spans="1:10" s="16" customFormat="1" ht="25.5" outlineLevel="3">
      <c r="A1867" s="91"/>
      <c r="B1867" s="35"/>
      <c r="C1867" s="411" t="s">
        <v>1136</v>
      </c>
      <c r="D1867" s="136" t="s">
        <v>28</v>
      </c>
      <c r="E1867" s="137">
        <v>1</v>
      </c>
      <c r="F1867" s="232">
        <v>0</v>
      </c>
      <c r="G1867" s="232">
        <v>0</v>
      </c>
      <c r="H1867" s="138">
        <f t="shared" si="193"/>
        <v>0</v>
      </c>
      <c r="I1867" s="138">
        <f t="shared" si="194"/>
        <v>0</v>
      </c>
      <c r="J1867" s="48"/>
    </row>
    <row r="1868" spans="1:10" s="16" customFormat="1" ht="25.5" outlineLevel="3">
      <c r="A1868" s="91"/>
      <c r="B1868" s="35"/>
      <c r="C1868" s="129" t="s">
        <v>1745</v>
      </c>
      <c r="D1868" s="136" t="s">
        <v>38</v>
      </c>
      <c r="E1868" s="418">
        <v>1</v>
      </c>
      <c r="F1868" s="232">
        <v>0</v>
      </c>
      <c r="G1868" s="232">
        <v>0</v>
      </c>
      <c r="H1868" s="138">
        <f t="shared" si="193"/>
        <v>0</v>
      </c>
      <c r="I1868" s="138">
        <f t="shared" si="194"/>
        <v>0</v>
      </c>
      <c r="J1868" s="48"/>
    </row>
    <row r="1869" spans="1:10" s="16" customFormat="1" ht="25.5" outlineLevel="3">
      <c r="A1869" s="91"/>
      <c r="B1869" s="35"/>
      <c r="C1869" s="419" t="s">
        <v>1436</v>
      </c>
      <c r="D1869" s="136" t="s">
        <v>38</v>
      </c>
      <c r="E1869" s="137">
        <v>1</v>
      </c>
      <c r="F1869" s="232">
        <v>0</v>
      </c>
      <c r="G1869" s="232">
        <v>0</v>
      </c>
      <c r="H1869" s="138">
        <f t="shared" si="193"/>
        <v>0</v>
      </c>
      <c r="I1869" s="138">
        <f t="shared" si="194"/>
        <v>0</v>
      </c>
      <c r="J1869" s="48"/>
    </row>
    <row r="1870" spans="1:10" s="16" customFormat="1" ht="25.5" outlineLevel="3">
      <c r="A1870" s="91"/>
      <c r="B1870" s="35">
        <f>MAXA(B$5:B1869)+1</f>
        <v>1045</v>
      </c>
      <c r="C1870" s="129" t="s">
        <v>2102</v>
      </c>
      <c r="D1870" s="136" t="s">
        <v>38</v>
      </c>
      <c r="E1870" s="137">
        <v>1</v>
      </c>
      <c r="F1870" s="232">
        <v>16634548</v>
      </c>
      <c r="G1870" s="232">
        <v>1563188</v>
      </c>
      <c r="H1870" s="138">
        <f t="shared" si="193"/>
        <v>18197736</v>
      </c>
      <c r="I1870" s="138">
        <f t="shared" si="194"/>
        <v>18197736</v>
      </c>
      <c r="J1870" s="48"/>
    </row>
    <row r="1871" spans="1:10" s="16" customFormat="1" ht="25.5" outlineLevel="3">
      <c r="A1871" s="91"/>
      <c r="B1871" s="35"/>
      <c r="C1871" s="112" t="s">
        <v>141</v>
      </c>
      <c r="D1871" s="136"/>
      <c r="E1871" s="137"/>
      <c r="F1871" s="232">
        <v>0</v>
      </c>
      <c r="G1871" s="232">
        <v>0</v>
      </c>
      <c r="H1871" s="183"/>
      <c r="I1871" s="183"/>
      <c r="J1871" s="48"/>
    </row>
    <row r="1872" spans="1:10" s="16" customFormat="1" ht="25.5" outlineLevel="3">
      <c r="A1872" s="91"/>
      <c r="B1872" s="35"/>
      <c r="C1872" s="420" t="s">
        <v>155</v>
      </c>
      <c r="D1872" s="136" t="s">
        <v>28</v>
      </c>
      <c r="E1872" s="137">
        <v>1</v>
      </c>
      <c r="F1872" s="232">
        <v>0</v>
      </c>
      <c r="G1872" s="232">
        <v>0</v>
      </c>
      <c r="H1872" s="138">
        <f>G1872+F1872</f>
        <v>0</v>
      </c>
      <c r="I1872" s="138">
        <f>H1872*E1872</f>
        <v>0</v>
      </c>
      <c r="J1872" s="48"/>
    </row>
    <row r="1873" spans="1:10" s="16" customFormat="1" ht="25.5" outlineLevel="3">
      <c r="A1873" s="91"/>
      <c r="B1873" s="35"/>
      <c r="C1873" s="411" t="s">
        <v>573</v>
      </c>
      <c r="D1873" s="136" t="s">
        <v>28</v>
      </c>
      <c r="E1873" s="137">
        <v>3</v>
      </c>
      <c r="F1873" s="232">
        <v>0</v>
      </c>
      <c r="G1873" s="232">
        <v>0</v>
      </c>
      <c r="H1873" s="138">
        <f>G1873+F1873</f>
        <v>0</v>
      </c>
      <c r="I1873" s="138">
        <f>H1873*E1873</f>
        <v>0</v>
      </c>
      <c r="J1873" s="48"/>
    </row>
    <row r="1874" spans="1:10" s="16" customFormat="1" ht="25.5" outlineLevel="3">
      <c r="A1874" s="91"/>
      <c r="B1874" s="35"/>
      <c r="C1874" s="411" t="s">
        <v>574</v>
      </c>
      <c r="D1874" s="136" t="s">
        <v>28</v>
      </c>
      <c r="E1874" s="137">
        <v>3</v>
      </c>
      <c r="F1874" s="232">
        <v>0</v>
      </c>
      <c r="G1874" s="232">
        <v>0</v>
      </c>
      <c r="H1874" s="138">
        <f>G1874+F1874</f>
        <v>0</v>
      </c>
      <c r="I1874" s="138">
        <f>H1874*E1874</f>
        <v>0</v>
      </c>
      <c r="J1874" s="48"/>
    </row>
    <row r="1875" spans="1:10" s="16" customFormat="1" ht="25.5" outlineLevel="3">
      <c r="A1875" s="91"/>
      <c r="B1875" s="35"/>
      <c r="C1875" s="112" t="s">
        <v>148</v>
      </c>
      <c r="D1875" s="136"/>
      <c r="E1875" s="137"/>
      <c r="F1875" s="232">
        <v>0</v>
      </c>
      <c r="G1875" s="232">
        <v>0</v>
      </c>
      <c r="H1875" s="183"/>
      <c r="I1875" s="183"/>
      <c r="J1875" s="48"/>
    </row>
    <row r="1876" spans="1:10" s="16" customFormat="1" ht="25.5" outlineLevel="3">
      <c r="A1876" s="91"/>
      <c r="B1876" s="35"/>
      <c r="C1876" s="420" t="s">
        <v>150</v>
      </c>
      <c r="D1876" s="136" t="s">
        <v>28</v>
      </c>
      <c r="E1876" s="137">
        <v>1</v>
      </c>
      <c r="F1876" s="232">
        <v>0</v>
      </c>
      <c r="G1876" s="232">
        <v>0</v>
      </c>
      <c r="H1876" s="138">
        <f t="shared" ref="H1876:H1882" si="195">G1876+F1876</f>
        <v>0</v>
      </c>
      <c r="I1876" s="138">
        <f t="shared" ref="I1876:I1882" si="196">H1876*E1876</f>
        <v>0</v>
      </c>
      <c r="J1876" s="48"/>
    </row>
    <row r="1877" spans="1:10" s="16" customFormat="1" ht="25.5" outlineLevel="3">
      <c r="A1877" s="91"/>
      <c r="B1877" s="35"/>
      <c r="C1877" s="420" t="s">
        <v>149</v>
      </c>
      <c r="D1877" s="136" t="s">
        <v>28</v>
      </c>
      <c r="E1877" s="137">
        <v>3</v>
      </c>
      <c r="F1877" s="232">
        <v>0</v>
      </c>
      <c r="G1877" s="232">
        <v>0</v>
      </c>
      <c r="H1877" s="138">
        <f t="shared" si="195"/>
        <v>0</v>
      </c>
      <c r="I1877" s="138">
        <f t="shared" si="196"/>
        <v>0</v>
      </c>
      <c r="J1877" s="48"/>
    </row>
    <row r="1878" spans="1:10" s="16" customFormat="1" ht="25.5" outlineLevel="3">
      <c r="A1878" s="91"/>
      <c r="B1878" s="35"/>
      <c r="C1878" s="420" t="s">
        <v>272</v>
      </c>
      <c r="D1878" s="136" t="s">
        <v>28</v>
      </c>
      <c r="E1878" s="137">
        <v>1</v>
      </c>
      <c r="F1878" s="232">
        <v>0</v>
      </c>
      <c r="G1878" s="232">
        <v>0</v>
      </c>
      <c r="H1878" s="138">
        <f t="shared" si="195"/>
        <v>0</v>
      </c>
      <c r="I1878" s="138">
        <f t="shared" si="196"/>
        <v>0</v>
      </c>
      <c r="J1878" s="48"/>
    </row>
    <row r="1879" spans="1:10" s="16" customFormat="1" ht="25.5" outlineLevel="3">
      <c r="A1879" s="91"/>
      <c r="B1879" s="35"/>
      <c r="C1879" s="420" t="s">
        <v>203</v>
      </c>
      <c r="D1879" s="136" t="s">
        <v>28</v>
      </c>
      <c r="E1879" s="137">
        <v>1</v>
      </c>
      <c r="F1879" s="232">
        <v>0</v>
      </c>
      <c r="G1879" s="232">
        <v>0</v>
      </c>
      <c r="H1879" s="138">
        <f t="shared" si="195"/>
        <v>0</v>
      </c>
      <c r="I1879" s="138">
        <f t="shared" si="196"/>
        <v>0</v>
      </c>
      <c r="J1879" s="48"/>
    </row>
    <row r="1880" spans="1:10" s="16" customFormat="1" ht="25.5" outlineLevel="3">
      <c r="A1880" s="91"/>
      <c r="B1880" s="35"/>
      <c r="C1880" s="411" t="s">
        <v>161</v>
      </c>
      <c r="D1880" s="136" t="s">
        <v>194</v>
      </c>
      <c r="E1880" s="137">
        <v>1</v>
      </c>
      <c r="F1880" s="232">
        <v>0</v>
      </c>
      <c r="G1880" s="232">
        <v>0</v>
      </c>
      <c r="H1880" s="138">
        <f t="shared" si="195"/>
        <v>0</v>
      </c>
      <c r="I1880" s="138">
        <f t="shared" si="196"/>
        <v>0</v>
      </c>
      <c r="J1880" s="48"/>
    </row>
    <row r="1881" spans="1:10" s="16" customFormat="1" ht="25.5" outlineLevel="3">
      <c r="A1881" s="91"/>
      <c r="B1881" s="35"/>
      <c r="C1881" s="419" t="s">
        <v>1436</v>
      </c>
      <c r="D1881" s="136" t="s">
        <v>38</v>
      </c>
      <c r="E1881" s="137">
        <v>1</v>
      </c>
      <c r="F1881" s="232">
        <v>0</v>
      </c>
      <c r="G1881" s="232">
        <v>0</v>
      </c>
      <c r="H1881" s="138">
        <f t="shared" si="195"/>
        <v>0</v>
      </c>
      <c r="I1881" s="138">
        <f t="shared" si="196"/>
        <v>0</v>
      </c>
      <c r="J1881" s="48"/>
    </row>
    <row r="1882" spans="1:10" s="16" customFormat="1" ht="25.5" outlineLevel="3">
      <c r="A1882" s="91"/>
      <c r="B1882" s="35">
        <f>MAXA(B$5:B1881)+1</f>
        <v>1046</v>
      </c>
      <c r="C1882" s="411" t="s">
        <v>2103</v>
      </c>
      <c r="D1882" s="136" t="s">
        <v>38</v>
      </c>
      <c r="E1882" s="137">
        <v>1</v>
      </c>
      <c r="F1882" s="232">
        <v>4193183</v>
      </c>
      <c r="G1882" s="232">
        <v>1563188</v>
      </c>
      <c r="H1882" s="138">
        <f t="shared" si="195"/>
        <v>5756371</v>
      </c>
      <c r="I1882" s="138">
        <f t="shared" si="196"/>
        <v>5756371</v>
      </c>
      <c r="J1882" s="48"/>
    </row>
    <row r="1883" spans="1:10" s="16" customFormat="1" ht="25.5" outlineLevel="3">
      <c r="A1883" s="91"/>
      <c r="B1883" s="35"/>
      <c r="C1883" s="112" t="s">
        <v>141</v>
      </c>
      <c r="D1883" s="136"/>
      <c r="E1883" s="137"/>
      <c r="F1883" s="232">
        <v>0</v>
      </c>
      <c r="G1883" s="232">
        <v>0</v>
      </c>
      <c r="H1883" s="183"/>
      <c r="I1883" s="183"/>
      <c r="J1883" s="48"/>
    </row>
    <row r="1884" spans="1:10" s="16" customFormat="1" ht="25.5" outlineLevel="3">
      <c r="A1884" s="91"/>
      <c r="B1884" s="35"/>
      <c r="C1884" s="411" t="s">
        <v>176</v>
      </c>
      <c r="D1884" s="136" t="s">
        <v>28</v>
      </c>
      <c r="E1884" s="137">
        <v>1</v>
      </c>
      <c r="F1884" s="232">
        <v>0</v>
      </c>
      <c r="G1884" s="232">
        <v>0</v>
      </c>
      <c r="H1884" s="138">
        <f>G1884+F1884</f>
        <v>0</v>
      </c>
      <c r="I1884" s="138">
        <f>H1884*E1884</f>
        <v>0</v>
      </c>
      <c r="J1884" s="48"/>
    </row>
    <row r="1885" spans="1:10" s="16" customFormat="1" ht="25.5" outlineLevel="3">
      <c r="A1885" s="91"/>
      <c r="B1885" s="35"/>
      <c r="C1885" s="411" t="s">
        <v>573</v>
      </c>
      <c r="D1885" s="136" t="s">
        <v>28</v>
      </c>
      <c r="E1885" s="137">
        <v>1</v>
      </c>
      <c r="F1885" s="232">
        <v>0</v>
      </c>
      <c r="G1885" s="232">
        <v>0</v>
      </c>
      <c r="H1885" s="138">
        <f>G1885+F1885</f>
        <v>0</v>
      </c>
      <c r="I1885" s="138">
        <f>H1885*E1885</f>
        <v>0</v>
      </c>
      <c r="J1885" s="48"/>
    </row>
    <row r="1886" spans="1:10" s="16" customFormat="1" ht="25.5" outlineLevel="3">
      <c r="A1886" s="91"/>
      <c r="B1886" s="35"/>
      <c r="C1886" s="411" t="s">
        <v>1439</v>
      </c>
      <c r="D1886" s="136" t="s">
        <v>28</v>
      </c>
      <c r="E1886" s="137">
        <v>1</v>
      </c>
      <c r="F1886" s="232">
        <v>0</v>
      </c>
      <c r="G1886" s="232">
        <v>0</v>
      </c>
      <c r="H1886" s="138">
        <f>G1886+F1886</f>
        <v>0</v>
      </c>
      <c r="I1886" s="138">
        <f>H1886*E1886</f>
        <v>0</v>
      </c>
      <c r="J1886" s="48"/>
    </row>
    <row r="1887" spans="1:10" s="16" customFormat="1" ht="25.5" outlineLevel="3">
      <c r="A1887" s="91"/>
      <c r="B1887" s="35"/>
      <c r="C1887" s="112" t="s">
        <v>148</v>
      </c>
      <c r="D1887" s="136"/>
      <c r="E1887" s="137"/>
      <c r="F1887" s="232">
        <v>0</v>
      </c>
      <c r="G1887" s="232">
        <v>0</v>
      </c>
      <c r="H1887" s="183"/>
      <c r="I1887" s="183"/>
      <c r="J1887" s="48"/>
    </row>
    <row r="1888" spans="1:10" s="16" customFormat="1" ht="25.5" outlineLevel="3">
      <c r="A1888" s="91"/>
      <c r="B1888" s="35"/>
      <c r="C1888" s="420" t="s">
        <v>170</v>
      </c>
      <c r="D1888" s="136" t="s">
        <v>28</v>
      </c>
      <c r="E1888" s="137">
        <v>7</v>
      </c>
      <c r="F1888" s="232">
        <v>0</v>
      </c>
      <c r="G1888" s="232">
        <v>0</v>
      </c>
      <c r="H1888" s="138">
        <f>G1888+F1888</f>
        <v>0</v>
      </c>
      <c r="I1888" s="138">
        <f>H1888*E1888</f>
        <v>0</v>
      </c>
      <c r="J1888" s="48"/>
    </row>
    <row r="1889" spans="1:10" s="16" customFormat="1" ht="25.5" outlineLevel="3">
      <c r="A1889" s="91"/>
      <c r="B1889" s="35"/>
      <c r="C1889" s="420" t="s">
        <v>263</v>
      </c>
      <c r="D1889" s="136" t="s">
        <v>28</v>
      </c>
      <c r="E1889" s="137">
        <v>2</v>
      </c>
      <c r="F1889" s="232">
        <v>0</v>
      </c>
      <c r="G1889" s="232">
        <v>0</v>
      </c>
      <c r="H1889" s="138">
        <f>G1889+F1889</f>
        <v>0</v>
      </c>
      <c r="I1889" s="138">
        <f>H1889*E1889</f>
        <v>0</v>
      </c>
      <c r="J1889" s="48"/>
    </row>
    <row r="1890" spans="1:10" s="16" customFormat="1" ht="25.5" outlineLevel="3">
      <c r="A1890" s="91"/>
      <c r="B1890" s="35"/>
      <c r="C1890" s="419" t="s">
        <v>1436</v>
      </c>
      <c r="D1890" s="136" t="s">
        <v>38</v>
      </c>
      <c r="E1890" s="137">
        <v>1</v>
      </c>
      <c r="F1890" s="232">
        <v>0</v>
      </c>
      <c r="G1890" s="232">
        <v>0</v>
      </c>
      <c r="H1890" s="138">
        <f>G1890+F1890</f>
        <v>0</v>
      </c>
      <c r="I1890" s="138">
        <f>H1890*E1890</f>
        <v>0</v>
      </c>
      <c r="J1890" s="48"/>
    </row>
    <row r="1891" spans="1:10" s="16" customFormat="1" ht="25.5" outlineLevel="3">
      <c r="A1891" s="91"/>
      <c r="B1891" s="35">
        <f>MAXA(B$5:B1890)+1</f>
        <v>1047</v>
      </c>
      <c r="C1891" s="411" t="s">
        <v>2104</v>
      </c>
      <c r="D1891" s="136" t="s">
        <v>38</v>
      </c>
      <c r="E1891" s="137">
        <v>1</v>
      </c>
      <c r="F1891" s="232">
        <v>4123510</v>
      </c>
      <c r="G1891" s="232">
        <v>1563188</v>
      </c>
      <c r="H1891" s="138">
        <f>G1891+F1891</f>
        <v>5686698</v>
      </c>
      <c r="I1891" s="138">
        <f>H1891*E1891</f>
        <v>5686698</v>
      </c>
      <c r="J1891" s="48"/>
    </row>
    <row r="1892" spans="1:10" s="16" customFormat="1" ht="25.5" outlineLevel="3">
      <c r="A1892" s="91"/>
      <c r="B1892" s="35"/>
      <c r="C1892" s="112" t="s">
        <v>141</v>
      </c>
      <c r="D1892" s="136"/>
      <c r="E1892" s="137"/>
      <c r="F1892" s="232">
        <v>0</v>
      </c>
      <c r="G1892" s="232">
        <v>0</v>
      </c>
      <c r="H1892" s="183"/>
      <c r="I1892" s="183"/>
      <c r="J1892" s="48"/>
    </row>
    <row r="1893" spans="1:10" s="16" customFormat="1" ht="25.5" outlineLevel="3">
      <c r="A1893" s="91"/>
      <c r="B1893" s="35"/>
      <c r="C1893" s="420" t="s">
        <v>176</v>
      </c>
      <c r="D1893" s="136" t="s">
        <v>28</v>
      </c>
      <c r="E1893" s="137">
        <v>1</v>
      </c>
      <c r="F1893" s="232">
        <v>0</v>
      </c>
      <c r="G1893" s="232">
        <v>0</v>
      </c>
      <c r="H1893" s="138">
        <f>G1893+F1893</f>
        <v>0</v>
      </c>
      <c r="I1893" s="138">
        <f>H1893*E1893</f>
        <v>0</v>
      </c>
      <c r="J1893" s="48"/>
    </row>
    <row r="1894" spans="1:10" s="16" customFormat="1" ht="25.5" outlineLevel="3">
      <c r="A1894" s="91"/>
      <c r="B1894" s="35"/>
      <c r="C1894" s="411" t="s">
        <v>573</v>
      </c>
      <c r="D1894" s="136" t="s">
        <v>28</v>
      </c>
      <c r="E1894" s="137">
        <v>1</v>
      </c>
      <c r="F1894" s="232">
        <v>0</v>
      </c>
      <c r="G1894" s="232">
        <v>0</v>
      </c>
      <c r="H1894" s="138">
        <f>G1894+F1894</f>
        <v>0</v>
      </c>
      <c r="I1894" s="138">
        <f>H1894*E1894</f>
        <v>0</v>
      </c>
      <c r="J1894" s="48"/>
    </row>
    <row r="1895" spans="1:10" s="16" customFormat="1" ht="25.5" outlineLevel="3">
      <c r="A1895" s="91"/>
      <c r="B1895" s="35"/>
      <c r="C1895" s="411" t="s">
        <v>1439</v>
      </c>
      <c r="D1895" s="136" t="s">
        <v>28</v>
      </c>
      <c r="E1895" s="137">
        <v>1</v>
      </c>
      <c r="F1895" s="232">
        <v>0</v>
      </c>
      <c r="G1895" s="232">
        <v>0</v>
      </c>
      <c r="H1895" s="138">
        <f>G1895+F1895</f>
        <v>0</v>
      </c>
      <c r="I1895" s="138">
        <f>H1895*E1895</f>
        <v>0</v>
      </c>
      <c r="J1895" s="48"/>
    </row>
    <row r="1896" spans="1:10" s="16" customFormat="1" ht="25.5" outlineLevel="3">
      <c r="A1896" s="91"/>
      <c r="B1896" s="35"/>
      <c r="C1896" s="112" t="s">
        <v>148</v>
      </c>
      <c r="D1896" s="136"/>
      <c r="E1896" s="137"/>
      <c r="F1896" s="232">
        <v>0</v>
      </c>
      <c r="G1896" s="232">
        <v>0</v>
      </c>
      <c r="H1896" s="183"/>
      <c r="I1896" s="183"/>
      <c r="J1896" s="48"/>
    </row>
    <row r="1897" spans="1:10" s="16" customFormat="1" ht="25.5" outlineLevel="3">
      <c r="A1897" s="91"/>
      <c r="B1897" s="35"/>
      <c r="C1897" s="420" t="s">
        <v>170</v>
      </c>
      <c r="D1897" s="136" t="s">
        <v>28</v>
      </c>
      <c r="E1897" s="137">
        <v>9</v>
      </c>
      <c r="F1897" s="232">
        <v>0</v>
      </c>
      <c r="G1897" s="232">
        <v>0</v>
      </c>
      <c r="H1897" s="138">
        <f>G1897+F1897</f>
        <v>0</v>
      </c>
      <c r="I1897" s="138">
        <f>H1897*E1897</f>
        <v>0</v>
      </c>
      <c r="J1897" s="48"/>
    </row>
    <row r="1898" spans="1:10" s="16" customFormat="1" ht="25.5" outlineLevel="3">
      <c r="A1898" s="91"/>
      <c r="B1898" s="35"/>
      <c r="C1898" s="419" t="s">
        <v>1436</v>
      </c>
      <c r="D1898" s="136" t="s">
        <v>38</v>
      </c>
      <c r="E1898" s="137">
        <v>1</v>
      </c>
      <c r="F1898" s="232">
        <v>0</v>
      </c>
      <c r="G1898" s="232">
        <v>0</v>
      </c>
      <c r="H1898" s="138">
        <f>G1898+F1898</f>
        <v>0</v>
      </c>
      <c r="I1898" s="138">
        <f>H1898*E1898</f>
        <v>0</v>
      </c>
      <c r="J1898" s="48"/>
    </row>
    <row r="1899" spans="1:10" s="16" customFormat="1" ht="25.5" outlineLevel="3">
      <c r="A1899" s="91"/>
      <c r="B1899" s="35">
        <f>MAXA(B$5:B1898)+1</f>
        <v>1048</v>
      </c>
      <c r="C1899" s="420" t="s">
        <v>1091</v>
      </c>
      <c r="D1899" s="136" t="s">
        <v>38</v>
      </c>
      <c r="E1899" s="137">
        <v>1</v>
      </c>
      <c r="F1899" s="232">
        <v>4777280</v>
      </c>
      <c r="G1899" s="232">
        <v>1563188</v>
      </c>
      <c r="H1899" s="138">
        <f>G1899+F1899</f>
        <v>6340468</v>
      </c>
      <c r="I1899" s="138">
        <f>H1899*E1899</f>
        <v>6340468</v>
      </c>
      <c r="J1899" s="48"/>
    </row>
    <row r="1900" spans="1:10" s="16" customFormat="1" ht="25.5" outlineLevel="3">
      <c r="A1900" s="91"/>
      <c r="B1900" s="35"/>
      <c r="C1900" s="112" t="s">
        <v>141</v>
      </c>
      <c r="D1900" s="136"/>
      <c r="E1900" s="137"/>
      <c r="F1900" s="232">
        <v>0</v>
      </c>
      <c r="G1900" s="232">
        <v>0</v>
      </c>
      <c r="H1900" s="183"/>
      <c r="I1900" s="183"/>
      <c r="J1900" s="48"/>
    </row>
    <row r="1901" spans="1:10" s="16" customFormat="1" ht="25.5" outlineLevel="3">
      <c r="A1901" s="91"/>
      <c r="B1901" s="35"/>
      <c r="C1901" s="420" t="s">
        <v>169</v>
      </c>
      <c r="D1901" s="136" t="s">
        <v>28</v>
      </c>
      <c r="E1901" s="137">
        <v>1</v>
      </c>
      <c r="F1901" s="232">
        <v>0</v>
      </c>
      <c r="G1901" s="232">
        <v>0</v>
      </c>
      <c r="H1901" s="138">
        <f>G1901+F1901</f>
        <v>0</v>
      </c>
      <c r="I1901" s="138">
        <f>H1901*E1901</f>
        <v>0</v>
      </c>
      <c r="J1901" s="48"/>
    </row>
    <row r="1902" spans="1:10" s="16" customFormat="1" ht="25.5" outlineLevel="3">
      <c r="A1902" s="91"/>
      <c r="B1902" s="35"/>
      <c r="C1902" s="411" t="s">
        <v>573</v>
      </c>
      <c r="D1902" s="136" t="s">
        <v>28</v>
      </c>
      <c r="E1902" s="137">
        <v>1</v>
      </c>
      <c r="F1902" s="232">
        <v>0</v>
      </c>
      <c r="G1902" s="232">
        <v>0</v>
      </c>
      <c r="H1902" s="138">
        <f>G1902+F1902</f>
        <v>0</v>
      </c>
      <c r="I1902" s="138">
        <f>H1902*E1902</f>
        <v>0</v>
      </c>
      <c r="J1902" s="48"/>
    </row>
    <row r="1903" spans="1:10" s="16" customFormat="1" ht="25.5" outlineLevel="3">
      <c r="A1903" s="91"/>
      <c r="B1903" s="35"/>
      <c r="C1903" s="411" t="s">
        <v>1439</v>
      </c>
      <c r="D1903" s="136" t="s">
        <v>28</v>
      </c>
      <c r="E1903" s="137">
        <v>1</v>
      </c>
      <c r="F1903" s="232">
        <v>0</v>
      </c>
      <c r="G1903" s="232">
        <v>0</v>
      </c>
      <c r="H1903" s="138">
        <f>G1903+F1903</f>
        <v>0</v>
      </c>
      <c r="I1903" s="138">
        <f>H1903*E1903</f>
        <v>0</v>
      </c>
      <c r="J1903" s="48"/>
    </row>
    <row r="1904" spans="1:10" s="16" customFormat="1" ht="25.5" outlineLevel="3">
      <c r="A1904" s="91"/>
      <c r="B1904" s="35"/>
      <c r="C1904" s="112" t="s">
        <v>148</v>
      </c>
      <c r="D1904" s="136"/>
      <c r="E1904" s="137"/>
      <c r="F1904" s="232">
        <v>0</v>
      </c>
      <c r="G1904" s="232">
        <v>0</v>
      </c>
      <c r="H1904" s="183"/>
      <c r="I1904" s="183"/>
      <c r="J1904" s="48"/>
    </row>
    <row r="1905" spans="1:10" s="16" customFormat="1" ht="25.5" outlineLevel="3">
      <c r="A1905" s="91"/>
      <c r="B1905" s="35"/>
      <c r="C1905" s="420" t="s">
        <v>170</v>
      </c>
      <c r="D1905" s="136" t="s">
        <v>28</v>
      </c>
      <c r="E1905" s="137">
        <v>13</v>
      </c>
      <c r="F1905" s="232">
        <v>0</v>
      </c>
      <c r="G1905" s="232">
        <v>0</v>
      </c>
      <c r="H1905" s="138">
        <f>G1905+F1905</f>
        <v>0</v>
      </c>
      <c r="I1905" s="138">
        <f>H1905*E1905</f>
        <v>0</v>
      </c>
      <c r="J1905" s="48"/>
    </row>
    <row r="1906" spans="1:10" s="16" customFormat="1" ht="25.5" outlineLevel="3">
      <c r="A1906" s="91"/>
      <c r="B1906" s="35"/>
      <c r="C1906" s="419" t="s">
        <v>1436</v>
      </c>
      <c r="D1906" s="136" t="s">
        <v>38</v>
      </c>
      <c r="E1906" s="137">
        <v>1</v>
      </c>
      <c r="F1906" s="232">
        <v>0</v>
      </c>
      <c r="G1906" s="232">
        <v>0</v>
      </c>
      <c r="H1906" s="138">
        <f>G1906+F1906</f>
        <v>0</v>
      </c>
      <c r="I1906" s="138">
        <f>H1906*E1906</f>
        <v>0</v>
      </c>
      <c r="J1906" s="48"/>
    </row>
    <row r="1907" spans="1:10" s="16" customFormat="1" ht="25.5" outlineLevel="3">
      <c r="A1907" s="91"/>
      <c r="B1907" s="35">
        <f>MAXA(B$5:B1906)+1</f>
        <v>1049</v>
      </c>
      <c r="C1907" s="420" t="s">
        <v>2105</v>
      </c>
      <c r="D1907" s="136" t="s">
        <v>38</v>
      </c>
      <c r="E1907" s="137">
        <v>1</v>
      </c>
      <c r="F1907" s="232">
        <v>4848114</v>
      </c>
      <c r="G1907" s="232">
        <v>1563188</v>
      </c>
      <c r="H1907" s="138">
        <f>G1907+F1907</f>
        <v>6411302</v>
      </c>
      <c r="I1907" s="138">
        <f>H1907*E1907</f>
        <v>6411302</v>
      </c>
      <c r="J1907" s="48"/>
    </row>
    <row r="1908" spans="1:10" s="16" customFormat="1" ht="25.5" outlineLevel="3">
      <c r="A1908" s="91"/>
      <c r="B1908" s="35"/>
      <c r="C1908" s="112" t="s">
        <v>141</v>
      </c>
      <c r="D1908" s="136"/>
      <c r="E1908" s="137"/>
      <c r="F1908" s="232">
        <v>0</v>
      </c>
      <c r="G1908" s="232">
        <v>0</v>
      </c>
      <c r="H1908" s="183"/>
      <c r="I1908" s="183"/>
      <c r="J1908" s="48"/>
    </row>
    <row r="1909" spans="1:10" s="16" customFormat="1" ht="25.5" outlineLevel="3">
      <c r="A1909" s="91"/>
      <c r="B1909" s="35"/>
      <c r="C1909" s="420" t="s">
        <v>169</v>
      </c>
      <c r="D1909" s="136" t="s">
        <v>28</v>
      </c>
      <c r="E1909" s="137">
        <v>1</v>
      </c>
      <c r="F1909" s="232">
        <v>0</v>
      </c>
      <c r="G1909" s="232">
        <v>0</v>
      </c>
      <c r="H1909" s="138">
        <f>G1909+F1909</f>
        <v>0</v>
      </c>
      <c r="I1909" s="138">
        <f>H1909*E1909</f>
        <v>0</v>
      </c>
      <c r="J1909" s="48"/>
    </row>
    <row r="1910" spans="1:10" s="16" customFormat="1" ht="25.5" outlineLevel="3">
      <c r="A1910" s="91"/>
      <c r="B1910" s="35"/>
      <c r="C1910" s="411" t="s">
        <v>573</v>
      </c>
      <c r="D1910" s="136" t="s">
        <v>28</v>
      </c>
      <c r="E1910" s="137">
        <v>1</v>
      </c>
      <c r="F1910" s="232">
        <v>0</v>
      </c>
      <c r="G1910" s="232">
        <v>0</v>
      </c>
      <c r="H1910" s="138">
        <f>G1910+F1910</f>
        <v>0</v>
      </c>
      <c r="I1910" s="138">
        <f>H1910*E1910</f>
        <v>0</v>
      </c>
      <c r="J1910" s="48"/>
    </row>
    <row r="1911" spans="1:10" s="16" customFormat="1" ht="25.5" outlineLevel="3">
      <c r="A1911" s="91"/>
      <c r="B1911" s="35"/>
      <c r="C1911" s="411" t="s">
        <v>1439</v>
      </c>
      <c r="D1911" s="136" t="s">
        <v>28</v>
      </c>
      <c r="E1911" s="137">
        <v>1</v>
      </c>
      <c r="F1911" s="232">
        <v>0</v>
      </c>
      <c r="G1911" s="232">
        <v>0</v>
      </c>
      <c r="H1911" s="138">
        <f>G1911+F1911</f>
        <v>0</v>
      </c>
      <c r="I1911" s="138">
        <f>H1911*E1911</f>
        <v>0</v>
      </c>
      <c r="J1911" s="48"/>
    </row>
    <row r="1912" spans="1:10" s="16" customFormat="1" ht="25.5" outlineLevel="3">
      <c r="A1912" s="91"/>
      <c r="B1912" s="35"/>
      <c r="C1912" s="112" t="s">
        <v>148</v>
      </c>
      <c r="D1912" s="136"/>
      <c r="E1912" s="137"/>
      <c r="F1912" s="232">
        <v>0</v>
      </c>
      <c r="G1912" s="232">
        <v>0</v>
      </c>
      <c r="H1912" s="183"/>
      <c r="I1912" s="183"/>
      <c r="J1912" s="48"/>
    </row>
    <row r="1913" spans="1:10" s="16" customFormat="1" ht="25.5" outlineLevel="3">
      <c r="A1913" s="91"/>
      <c r="B1913" s="35"/>
      <c r="C1913" s="420" t="s">
        <v>170</v>
      </c>
      <c r="D1913" s="136" t="s">
        <v>28</v>
      </c>
      <c r="E1913" s="137">
        <v>13</v>
      </c>
      <c r="F1913" s="232">
        <v>0</v>
      </c>
      <c r="G1913" s="232">
        <v>0</v>
      </c>
      <c r="H1913" s="138">
        <f>G1913+F1913</f>
        <v>0</v>
      </c>
      <c r="I1913" s="138">
        <f>H1913*E1913</f>
        <v>0</v>
      </c>
      <c r="J1913" s="48"/>
    </row>
    <row r="1914" spans="1:10" s="16" customFormat="1" ht="25.5" outlineLevel="3">
      <c r="A1914" s="91"/>
      <c r="B1914" s="35"/>
      <c r="C1914" s="419" t="s">
        <v>1436</v>
      </c>
      <c r="D1914" s="136" t="s">
        <v>38</v>
      </c>
      <c r="E1914" s="137">
        <v>1</v>
      </c>
      <c r="F1914" s="232">
        <v>0</v>
      </c>
      <c r="G1914" s="232">
        <v>0</v>
      </c>
      <c r="H1914" s="138">
        <f>G1914+F1914</f>
        <v>0</v>
      </c>
      <c r="I1914" s="138">
        <f>H1914*E1914</f>
        <v>0</v>
      </c>
      <c r="J1914" s="48"/>
    </row>
    <row r="1915" spans="1:10" s="16" customFormat="1" ht="25.5" outlineLevel="3">
      <c r="A1915" s="91"/>
      <c r="B1915" s="35">
        <f>MAXA(B$5:B1914)+1</f>
        <v>1050</v>
      </c>
      <c r="C1915" s="145" t="s">
        <v>2106</v>
      </c>
      <c r="D1915" s="136" t="s">
        <v>38</v>
      </c>
      <c r="E1915" s="137">
        <v>1</v>
      </c>
      <c r="F1915" s="232">
        <v>3156210</v>
      </c>
      <c r="G1915" s="232">
        <v>1563188</v>
      </c>
      <c r="H1915" s="138">
        <f>G1915+F1915</f>
        <v>4719398</v>
      </c>
      <c r="I1915" s="138">
        <f>H1915*E1915</f>
        <v>4719398</v>
      </c>
      <c r="J1915" s="48"/>
    </row>
    <row r="1916" spans="1:10" s="16" customFormat="1" ht="25.5" outlineLevel="3">
      <c r="A1916" s="91"/>
      <c r="B1916" s="35"/>
      <c r="C1916" s="112" t="s">
        <v>141</v>
      </c>
      <c r="D1916" s="136"/>
      <c r="E1916" s="137"/>
      <c r="F1916" s="232">
        <v>0</v>
      </c>
      <c r="G1916" s="232">
        <v>0</v>
      </c>
      <c r="H1916" s="183"/>
      <c r="I1916" s="183"/>
      <c r="J1916" s="48"/>
    </row>
    <row r="1917" spans="1:10" s="16" customFormat="1" ht="25.5" outlineLevel="3">
      <c r="A1917" s="91"/>
      <c r="B1917" s="35"/>
      <c r="C1917" s="420" t="s">
        <v>1082</v>
      </c>
      <c r="D1917" s="136" t="s">
        <v>28</v>
      </c>
      <c r="E1917" s="137">
        <v>1</v>
      </c>
      <c r="F1917" s="232">
        <v>0</v>
      </c>
      <c r="G1917" s="232">
        <v>0</v>
      </c>
      <c r="H1917" s="138">
        <f>G1917+F1917</f>
        <v>0</v>
      </c>
      <c r="I1917" s="138">
        <f>H1917*E1917</f>
        <v>0</v>
      </c>
      <c r="J1917" s="48"/>
    </row>
    <row r="1918" spans="1:10" s="16" customFormat="1" ht="25.5" outlineLevel="3">
      <c r="A1918" s="91"/>
      <c r="B1918" s="35"/>
      <c r="C1918" s="411" t="s">
        <v>573</v>
      </c>
      <c r="D1918" s="136" t="s">
        <v>28</v>
      </c>
      <c r="E1918" s="137">
        <v>1</v>
      </c>
      <c r="F1918" s="232">
        <v>0</v>
      </c>
      <c r="G1918" s="232">
        <v>0</v>
      </c>
      <c r="H1918" s="138">
        <f>G1918+F1918</f>
        <v>0</v>
      </c>
      <c r="I1918" s="138">
        <f>H1918*E1918</f>
        <v>0</v>
      </c>
      <c r="J1918" s="48"/>
    </row>
    <row r="1919" spans="1:10" s="16" customFormat="1" ht="25.5" outlineLevel="3">
      <c r="A1919" s="91"/>
      <c r="B1919" s="35"/>
      <c r="C1919" s="411" t="s">
        <v>1439</v>
      </c>
      <c r="D1919" s="136" t="s">
        <v>28</v>
      </c>
      <c r="E1919" s="137">
        <v>1</v>
      </c>
      <c r="F1919" s="232">
        <v>0</v>
      </c>
      <c r="G1919" s="232">
        <v>0</v>
      </c>
      <c r="H1919" s="138">
        <f>G1919+F1919</f>
        <v>0</v>
      </c>
      <c r="I1919" s="138">
        <f>H1919*E1919</f>
        <v>0</v>
      </c>
      <c r="J1919" s="48"/>
    </row>
    <row r="1920" spans="1:10" s="16" customFormat="1" ht="25.5" outlineLevel="3">
      <c r="A1920" s="91"/>
      <c r="B1920" s="35"/>
      <c r="C1920" s="112" t="s">
        <v>148</v>
      </c>
      <c r="D1920" s="136"/>
      <c r="E1920" s="137"/>
      <c r="F1920" s="232">
        <v>0</v>
      </c>
      <c r="G1920" s="232">
        <v>0</v>
      </c>
      <c r="H1920" s="183"/>
      <c r="I1920" s="183"/>
      <c r="J1920" s="48"/>
    </row>
    <row r="1921" spans="1:10" s="16" customFormat="1" ht="25.5" outlineLevel="3">
      <c r="A1921" s="91"/>
      <c r="B1921" s="35"/>
      <c r="C1921" s="420" t="s">
        <v>170</v>
      </c>
      <c r="D1921" s="136" t="s">
        <v>28</v>
      </c>
      <c r="E1921" s="137">
        <v>5</v>
      </c>
      <c r="F1921" s="232">
        <v>0</v>
      </c>
      <c r="G1921" s="232">
        <v>0</v>
      </c>
      <c r="H1921" s="138">
        <f>G1921+F1921</f>
        <v>0</v>
      </c>
      <c r="I1921" s="138">
        <f>H1921*E1921</f>
        <v>0</v>
      </c>
      <c r="J1921" s="48"/>
    </row>
    <row r="1922" spans="1:10" s="16" customFormat="1" ht="25.5" outlineLevel="3">
      <c r="A1922" s="91"/>
      <c r="B1922" s="35"/>
      <c r="C1922" s="419" t="s">
        <v>1436</v>
      </c>
      <c r="D1922" s="136" t="s">
        <v>38</v>
      </c>
      <c r="E1922" s="137">
        <v>1</v>
      </c>
      <c r="F1922" s="232">
        <v>0</v>
      </c>
      <c r="G1922" s="232">
        <v>0</v>
      </c>
      <c r="H1922" s="138">
        <f>G1922+F1922</f>
        <v>0</v>
      </c>
      <c r="I1922" s="138">
        <f>H1922*E1922</f>
        <v>0</v>
      </c>
      <c r="J1922" s="48"/>
    </row>
    <row r="1923" spans="1:10" s="16" customFormat="1" ht="25.5" outlineLevel="3">
      <c r="A1923" s="91"/>
      <c r="B1923" s="35">
        <f>MAXA(B$5:B1922)+1</f>
        <v>1051</v>
      </c>
      <c r="C1923" s="420" t="s">
        <v>2107</v>
      </c>
      <c r="D1923" s="136" t="s">
        <v>38</v>
      </c>
      <c r="E1923" s="137">
        <v>1</v>
      </c>
      <c r="F1923" s="232">
        <v>3280461</v>
      </c>
      <c r="G1923" s="232">
        <v>1563188</v>
      </c>
      <c r="H1923" s="138">
        <f>G1923+F1923</f>
        <v>4843649</v>
      </c>
      <c r="I1923" s="138">
        <f>H1923*E1923</f>
        <v>4843649</v>
      </c>
      <c r="J1923" s="48"/>
    </row>
    <row r="1924" spans="1:10" s="16" customFormat="1" ht="25.5" outlineLevel="3">
      <c r="A1924" s="91"/>
      <c r="B1924" s="35"/>
      <c r="C1924" s="112" t="s">
        <v>141</v>
      </c>
      <c r="D1924" s="136"/>
      <c r="E1924" s="137"/>
      <c r="F1924" s="232">
        <v>0</v>
      </c>
      <c r="G1924" s="232">
        <v>0</v>
      </c>
      <c r="H1924" s="183"/>
      <c r="I1924" s="183"/>
      <c r="J1924" s="48"/>
    </row>
    <row r="1925" spans="1:10" s="16" customFormat="1" ht="25.5" outlineLevel="3">
      <c r="A1925" s="91"/>
      <c r="B1925" s="35"/>
      <c r="C1925" s="420" t="s">
        <v>1082</v>
      </c>
      <c r="D1925" s="136" t="s">
        <v>28</v>
      </c>
      <c r="E1925" s="137">
        <v>1</v>
      </c>
      <c r="F1925" s="232">
        <v>0</v>
      </c>
      <c r="G1925" s="232">
        <v>0</v>
      </c>
      <c r="H1925" s="138">
        <f>G1925+F1925</f>
        <v>0</v>
      </c>
      <c r="I1925" s="138">
        <f>H1925*E1925</f>
        <v>0</v>
      </c>
      <c r="J1925" s="48"/>
    </row>
    <row r="1926" spans="1:10" s="16" customFormat="1" ht="25.5" outlineLevel="3">
      <c r="A1926" s="91"/>
      <c r="B1926" s="35"/>
      <c r="C1926" s="411" t="s">
        <v>573</v>
      </c>
      <c r="D1926" s="136" t="s">
        <v>28</v>
      </c>
      <c r="E1926" s="137">
        <v>1</v>
      </c>
      <c r="F1926" s="232">
        <v>0</v>
      </c>
      <c r="G1926" s="232">
        <v>0</v>
      </c>
      <c r="H1926" s="138">
        <f>G1926+F1926</f>
        <v>0</v>
      </c>
      <c r="I1926" s="138">
        <f>H1926*E1926</f>
        <v>0</v>
      </c>
      <c r="J1926" s="48"/>
    </row>
    <row r="1927" spans="1:10" s="16" customFormat="1" ht="25.5" outlineLevel="3">
      <c r="A1927" s="91"/>
      <c r="B1927" s="35"/>
      <c r="C1927" s="411" t="s">
        <v>1439</v>
      </c>
      <c r="D1927" s="136" t="s">
        <v>28</v>
      </c>
      <c r="E1927" s="137">
        <v>1</v>
      </c>
      <c r="F1927" s="232">
        <v>0</v>
      </c>
      <c r="G1927" s="232">
        <v>0</v>
      </c>
      <c r="H1927" s="138">
        <f>G1927+F1927</f>
        <v>0</v>
      </c>
      <c r="I1927" s="138">
        <f>H1927*E1927</f>
        <v>0</v>
      </c>
      <c r="J1927" s="48"/>
    </row>
    <row r="1928" spans="1:10" s="16" customFormat="1" ht="25.5" outlineLevel="3">
      <c r="A1928" s="91"/>
      <c r="B1928" s="35"/>
      <c r="C1928" s="112" t="s">
        <v>148</v>
      </c>
      <c r="D1928" s="136"/>
      <c r="E1928" s="137"/>
      <c r="F1928" s="232">
        <v>0</v>
      </c>
      <c r="G1928" s="232">
        <v>0</v>
      </c>
      <c r="H1928" s="183"/>
      <c r="I1928" s="183"/>
      <c r="J1928" s="48"/>
    </row>
    <row r="1929" spans="1:10" s="16" customFormat="1" ht="25.5" outlineLevel="3">
      <c r="A1929" s="91"/>
      <c r="B1929" s="35"/>
      <c r="C1929" s="420" t="s">
        <v>170</v>
      </c>
      <c r="D1929" s="136" t="s">
        <v>28</v>
      </c>
      <c r="E1929" s="137">
        <v>6</v>
      </c>
      <c r="F1929" s="232">
        <v>0</v>
      </c>
      <c r="G1929" s="232">
        <v>0</v>
      </c>
      <c r="H1929" s="138">
        <f>G1929+F1929</f>
        <v>0</v>
      </c>
      <c r="I1929" s="138">
        <f>H1929*E1929</f>
        <v>0</v>
      </c>
      <c r="J1929" s="48"/>
    </row>
    <row r="1930" spans="1:10" s="16" customFormat="1" ht="25.5" outlineLevel="3">
      <c r="A1930" s="91"/>
      <c r="B1930" s="35"/>
      <c r="C1930" s="419" t="s">
        <v>1436</v>
      </c>
      <c r="D1930" s="136" t="s">
        <v>38</v>
      </c>
      <c r="E1930" s="137">
        <v>1</v>
      </c>
      <c r="F1930" s="232">
        <v>0</v>
      </c>
      <c r="G1930" s="232">
        <v>0</v>
      </c>
      <c r="H1930" s="138">
        <f>G1930+F1930</f>
        <v>0</v>
      </c>
      <c r="I1930" s="138">
        <f>H1930*E1930</f>
        <v>0</v>
      </c>
      <c r="J1930" s="48"/>
    </row>
    <row r="1931" spans="1:10" s="16" customFormat="1" ht="25.5" outlineLevel="3">
      <c r="A1931" s="91"/>
      <c r="B1931" s="35">
        <f>MAXA(B$5:B1930)+1</f>
        <v>1052</v>
      </c>
      <c r="C1931" s="420" t="s">
        <v>2108</v>
      </c>
      <c r="D1931" s="136" t="s">
        <v>38</v>
      </c>
      <c r="E1931" s="137">
        <v>1</v>
      </c>
      <c r="F1931" s="232">
        <v>3031958</v>
      </c>
      <c r="G1931" s="232">
        <v>1563188</v>
      </c>
      <c r="H1931" s="138">
        <f>G1931+F1931</f>
        <v>4595146</v>
      </c>
      <c r="I1931" s="138">
        <f>H1931*E1931</f>
        <v>4595146</v>
      </c>
      <c r="J1931" s="48"/>
    </row>
    <row r="1932" spans="1:10" s="16" customFormat="1" ht="25.5" outlineLevel="3">
      <c r="A1932" s="91"/>
      <c r="B1932" s="35"/>
      <c r="C1932" s="112" t="s">
        <v>141</v>
      </c>
      <c r="D1932" s="136"/>
      <c r="E1932" s="137"/>
      <c r="F1932" s="232">
        <v>0</v>
      </c>
      <c r="G1932" s="232">
        <v>0</v>
      </c>
      <c r="H1932" s="183"/>
      <c r="I1932" s="183"/>
      <c r="J1932" s="48"/>
    </row>
    <row r="1933" spans="1:10" s="16" customFormat="1" ht="25.5" outlineLevel="3">
      <c r="A1933" s="91"/>
      <c r="B1933" s="35"/>
      <c r="C1933" s="420" t="s">
        <v>1082</v>
      </c>
      <c r="D1933" s="136" t="s">
        <v>28</v>
      </c>
      <c r="E1933" s="137">
        <v>1</v>
      </c>
      <c r="F1933" s="232">
        <v>0</v>
      </c>
      <c r="G1933" s="232">
        <v>0</v>
      </c>
      <c r="H1933" s="138">
        <f>G1933+F1933</f>
        <v>0</v>
      </c>
      <c r="I1933" s="138">
        <f>H1933*E1933</f>
        <v>0</v>
      </c>
      <c r="J1933" s="48"/>
    </row>
    <row r="1934" spans="1:10" s="16" customFormat="1" ht="25.5" outlineLevel="3">
      <c r="A1934" s="91"/>
      <c r="B1934" s="35"/>
      <c r="C1934" s="411" t="s">
        <v>573</v>
      </c>
      <c r="D1934" s="136" t="s">
        <v>28</v>
      </c>
      <c r="E1934" s="137">
        <v>1</v>
      </c>
      <c r="F1934" s="232">
        <v>0</v>
      </c>
      <c r="G1934" s="232">
        <v>0</v>
      </c>
      <c r="H1934" s="138">
        <f>G1934+F1934</f>
        <v>0</v>
      </c>
      <c r="I1934" s="138">
        <f>H1934*E1934</f>
        <v>0</v>
      </c>
      <c r="J1934" s="48"/>
    </row>
    <row r="1935" spans="1:10" s="16" customFormat="1" ht="25.5" outlineLevel="3">
      <c r="A1935" s="91"/>
      <c r="B1935" s="35"/>
      <c r="C1935" s="411" t="s">
        <v>1439</v>
      </c>
      <c r="D1935" s="136" t="s">
        <v>28</v>
      </c>
      <c r="E1935" s="137">
        <v>1</v>
      </c>
      <c r="F1935" s="232">
        <v>0</v>
      </c>
      <c r="G1935" s="232">
        <v>0</v>
      </c>
      <c r="H1935" s="138">
        <f>G1935+F1935</f>
        <v>0</v>
      </c>
      <c r="I1935" s="138">
        <f>H1935*E1935</f>
        <v>0</v>
      </c>
      <c r="J1935" s="48"/>
    </row>
    <row r="1936" spans="1:10" s="16" customFormat="1" ht="25.5" outlineLevel="3">
      <c r="A1936" s="91"/>
      <c r="B1936" s="35"/>
      <c r="C1936" s="112" t="s">
        <v>148</v>
      </c>
      <c r="D1936" s="136"/>
      <c r="E1936" s="137"/>
      <c r="F1936" s="232">
        <v>0</v>
      </c>
      <c r="G1936" s="232">
        <v>0</v>
      </c>
      <c r="H1936" s="183"/>
      <c r="I1936" s="183"/>
      <c r="J1936" s="48"/>
    </row>
    <row r="1937" spans="1:10" s="16" customFormat="1" ht="25.5" outlineLevel="3">
      <c r="A1937" s="91"/>
      <c r="B1937" s="35"/>
      <c r="C1937" s="420" t="s">
        <v>170</v>
      </c>
      <c r="D1937" s="136" t="s">
        <v>28</v>
      </c>
      <c r="E1937" s="137">
        <v>4</v>
      </c>
      <c r="F1937" s="232">
        <v>0</v>
      </c>
      <c r="G1937" s="232">
        <v>0</v>
      </c>
      <c r="H1937" s="138">
        <f>G1937+F1937</f>
        <v>0</v>
      </c>
      <c r="I1937" s="138">
        <f>H1937*E1937</f>
        <v>0</v>
      </c>
      <c r="J1937" s="48"/>
    </row>
    <row r="1938" spans="1:10" s="16" customFormat="1" ht="25.5" outlineLevel="3">
      <c r="A1938" s="91"/>
      <c r="B1938" s="35"/>
      <c r="C1938" s="419" t="s">
        <v>1436</v>
      </c>
      <c r="D1938" s="136" t="s">
        <v>38</v>
      </c>
      <c r="E1938" s="137">
        <v>1</v>
      </c>
      <c r="F1938" s="232">
        <v>0</v>
      </c>
      <c r="G1938" s="232">
        <v>0</v>
      </c>
      <c r="H1938" s="138">
        <f>G1938+F1938</f>
        <v>0</v>
      </c>
      <c r="I1938" s="138">
        <f>H1938*E1938</f>
        <v>0</v>
      </c>
      <c r="J1938" s="48"/>
    </row>
    <row r="1939" spans="1:10" s="16" customFormat="1" ht="25.5" outlineLevel="3">
      <c r="A1939" s="91"/>
      <c r="B1939" s="35">
        <f>MAXA(B$5:B1938)+1</f>
        <v>1053</v>
      </c>
      <c r="C1939" s="420" t="s">
        <v>2109</v>
      </c>
      <c r="D1939" s="136" t="s">
        <v>38</v>
      </c>
      <c r="E1939" s="137">
        <v>1</v>
      </c>
      <c r="F1939" s="232">
        <v>2783456</v>
      </c>
      <c r="G1939" s="232">
        <v>1563188</v>
      </c>
      <c r="H1939" s="138">
        <f>G1939+F1939</f>
        <v>4346644</v>
      </c>
      <c r="I1939" s="138">
        <f>H1939*E1939</f>
        <v>4346644</v>
      </c>
      <c r="J1939" s="48"/>
    </row>
    <row r="1940" spans="1:10" s="16" customFormat="1" ht="25.5" outlineLevel="3">
      <c r="A1940" s="91"/>
      <c r="B1940" s="35"/>
      <c r="C1940" s="112" t="s">
        <v>141</v>
      </c>
      <c r="D1940" s="136"/>
      <c r="E1940" s="137"/>
      <c r="F1940" s="232">
        <v>0</v>
      </c>
      <c r="G1940" s="232">
        <v>0</v>
      </c>
      <c r="H1940" s="183"/>
      <c r="I1940" s="183"/>
      <c r="J1940" s="48"/>
    </row>
    <row r="1941" spans="1:10" s="16" customFormat="1" ht="25.5" outlineLevel="3">
      <c r="A1941" s="91"/>
      <c r="B1941" s="35"/>
      <c r="C1941" s="420" t="s">
        <v>1082</v>
      </c>
      <c r="D1941" s="136" t="s">
        <v>28</v>
      </c>
      <c r="E1941" s="137">
        <v>1</v>
      </c>
      <c r="F1941" s="232">
        <v>0</v>
      </c>
      <c r="G1941" s="232">
        <v>0</v>
      </c>
      <c r="H1941" s="138">
        <f>G1941+F1941</f>
        <v>0</v>
      </c>
      <c r="I1941" s="138">
        <f>H1941*E1941</f>
        <v>0</v>
      </c>
      <c r="J1941" s="48"/>
    </row>
    <row r="1942" spans="1:10" s="16" customFormat="1" ht="25.5" outlineLevel="3">
      <c r="A1942" s="91"/>
      <c r="B1942" s="35"/>
      <c r="C1942" s="411" t="s">
        <v>573</v>
      </c>
      <c r="D1942" s="136" t="s">
        <v>28</v>
      </c>
      <c r="E1942" s="137">
        <v>1</v>
      </c>
      <c r="F1942" s="232">
        <v>0</v>
      </c>
      <c r="G1942" s="232">
        <v>0</v>
      </c>
      <c r="H1942" s="138">
        <f>G1942+F1942</f>
        <v>0</v>
      </c>
      <c r="I1942" s="138">
        <f>H1942*E1942</f>
        <v>0</v>
      </c>
      <c r="J1942" s="48"/>
    </row>
    <row r="1943" spans="1:10" s="16" customFormat="1" ht="25.5" outlineLevel="3">
      <c r="A1943" s="91"/>
      <c r="B1943" s="35"/>
      <c r="C1943" s="411" t="s">
        <v>1439</v>
      </c>
      <c r="D1943" s="136" t="s">
        <v>28</v>
      </c>
      <c r="E1943" s="137">
        <v>1</v>
      </c>
      <c r="F1943" s="232">
        <v>0</v>
      </c>
      <c r="G1943" s="232">
        <v>0</v>
      </c>
      <c r="H1943" s="138">
        <f>G1943+F1943</f>
        <v>0</v>
      </c>
      <c r="I1943" s="138">
        <f>H1943*E1943</f>
        <v>0</v>
      </c>
      <c r="J1943" s="48"/>
    </row>
    <row r="1944" spans="1:10" s="16" customFormat="1" ht="25.5" outlineLevel="3">
      <c r="A1944" s="91"/>
      <c r="B1944" s="35"/>
      <c r="C1944" s="112" t="s">
        <v>148</v>
      </c>
      <c r="D1944" s="136"/>
      <c r="E1944" s="137"/>
      <c r="F1944" s="232">
        <v>0</v>
      </c>
      <c r="G1944" s="232">
        <v>0</v>
      </c>
      <c r="H1944" s="183"/>
      <c r="I1944" s="183"/>
      <c r="J1944" s="48"/>
    </row>
    <row r="1945" spans="1:10" s="16" customFormat="1" ht="25.5" outlineLevel="3">
      <c r="A1945" s="91"/>
      <c r="B1945" s="35"/>
      <c r="C1945" s="420" t="s">
        <v>170</v>
      </c>
      <c r="D1945" s="136" t="s">
        <v>28</v>
      </c>
      <c r="E1945" s="137">
        <v>2</v>
      </c>
      <c r="F1945" s="232">
        <v>0</v>
      </c>
      <c r="G1945" s="232">
        <v>0</v>
      </c>
      <c r="H1945" s="138">
        <f>G1945+F1945</f>
        <v>0</v>
      </c>
      <c r="I1945" s="138">
        <f>H1945*E1945</f>
        <v>0</v>
      </c>
      <c r="J1945" s="48"/>
    </row>
    <row r="1946" spans="1:10" s="16" customFormat="1" ht="25.5" outlineLevel="3">
      <c r="A1946" s="91"/>
      <c r="B1946" s="35"/>
      <c r="C1946" s="419" t="s">
        <v>1436</v>
      </c>
      <c r="D1946" s="136" t="s">
        <v>38</v>
      </c>
      <c r="E1946" s="137">
        <v>1</v>
      </c>
      <c r="F1946" s="232">
        <v>0</v>
      </c>
      <c r="G1946" s="232">
        <v>0</v>
      </c>
      <c r="H1946" s="138">
        <f>G1946+F1946</f>
        <v>0</v>
      </c>
      <c r="I1946" s="138">
        <f>H1946*E1946</f>
        <v>0</v>
      </c>
      <c r="J1946" s="48"/>
    </row>
    <row r="1947" spans="1:10" s="16" customFormat="1" ht="25.5" outlineLevel="3">
      <c r="A1947" s="91"/>
      <c r="B1947" s="35">
        <f>MAXA(B$5:B1946)+1</f>
        <v>1054</v>
      </c>
      <c r="C1947" s="420" t="s">
        <v>2110</v>
      </c>
      <c r="D1947" s="136" t="s">
        <v>38</v>
      </c>
      <c r="E1947" s="137">
        <v>1</v>
      </c>
      <c r="F1947" s="232">
        <v>2907707</v>
      </c>
      <c r="G1947" s="232">
        <v>1563188</v>
      </c>
      <c r="H1947" s="138">
        <f>G1947+F1947</f>
        <v>4470895</v>
      </c>
      <c r="I1947" s="138">
        <f>H1947*E1947</f>
        <v>4470895</v>
      </c>
      <c r="J1947" s="48"/>
    </row>
    <row r="1948" spans="1:10" s="16" customFormat="1" ht="25.5" outlineLevel="3">
      <c r="A1948" s="91"/>
      <c r="B1948" s="35"/>
      <c r="C1948" s="112" t="s">
        <v>141</v>
      </c>
      <c r="D1948" s="136"/>
      <c r="E1948" s="137"/>
      <c r="F1948" s="232">
        <v>0</v>
      </c>
      <c r="G1948" s="232">
        <v>0</v>
      </c>
      <c r="H1948" s="183"/>
      <c r="I1948" s="183"/>
      <c r="J1948" s="48"/>
    </row>
    <row r="1949" spans="1:10" s="16" customFormat="1" ht="25.5" outlineLevel="3">
      <c r="A1949" s="91"/>
      <c r="B1949" s="35"/>
      <c r="C1949" s="420" t="s">
        <v>1082</v>
      </c>
      <c r="D1949" s="136" t="s">
        <v>28</v>
      </c>
      <c r="E1949" s="137">
        <v>1</v>
      </c>
      <c r="F1949" s="232">
        <v>0</v>
      </c>
      <c r="G1949" s="232">
        <v>0</v>
      </c>
      <c r="H1949" s="138">
        <f>G1949+F1949</f>
        <v>0</v>
      </c>
      <c r="I1949" s="138">
        <f>H1949*E1949</f>
        <v>0</v>
      </c>
      <c r="J1949" s="48"/>
    </row>
    <row r="1950" spans="1:10" s="16" customFormat="1" ht="25.5" outlineLevel="3">
      <c r="A1950" s="91"/>
      <c r="B1950" s="35"/>
      <c r="C1950" s="411" t="s">
        <v>573</v>
      </c>
      <c r="D1950" s="136" t="s">
        <v>28</v>
      </c>
      <c r="E1950" s="137">
        <v>1</v>
      </c>
      <c r="F1950" s="232">
        <v>0</v>
      </c>
      <c r="G1950" s="232">
        <v>0</v>
      </c>
      <c r="H1950" s="138">
        <f>G1950+F1950</f>
        <v>0</v>
      </c>
      <c r="I1950" s="138">
        <f>H1950*E1950</f>
        <v>0</v>
      </c>
      <c r="J1950" s="48"/>
    </row>
    <row r="1951" spans="1:10" s="16" customFormat="1" ht="25.5" outlineLevel="3">
      <c r="A1951" s="91"/>
      <c r="B1951" s="35"/>
      <c r="C1951" s="411" t="s">
        <v>1439</v>
      </c>
      <c r="D1951" s="136" t="s">
        <v>28</v>
      </c>
      <c r="E1951" s="137">
        <v>1</v>
      </c>
      <c r="F1951" s="232">
        <v>0</v>
      </c>
      <c r="G1951" s="232">
        <v>0</v>
      </c>
      <c r="H1951" s="138">
        <f>G1951+F1951</f>
        <v>0</v>
      </c>
      <c r="I1951" s="138">
        <f>H1951*E1951</f>
        <v>0</v>
      </c>
      <c r="J1951" s="48"/>
    </row>
    <row r="1952" spans="1:10" s="16" customFormat="1" ht="25.5" outlineLevel="3">
      <c r="A1952" s="91"/>
      <c r="B1952" s="35"/>
      <c r="C1952" s="112" t="s">
        <v>148</v>
      </c>
      <c r="D1952" s="136"/>
      <c r="E1952" s="137"/>
      <c r="F1952" s="232">
        <v>0</v>
      </c>
      <c r="G1952" s="232">
        <v>0</v>
      </c>
      <c r="H1952" s="183"/>
      <c r="I1952" s="183"/>
      <c r="J1952" s="48"/>
    </row>
    <row r="1953" spans="1:10" s="16" customFormat="1" ht="25.5" outlineLevel="3">
      <c r="A1953" s="91"/>
      <c r="B1953" s="35"/>
      <c r="C1953" s="420" t="s">
        <v>170</v>
      </c>
      <c r="D1953" s="136" t="s">
        <v>28</v>
      </c>
      <c r="E1953" s="137">
        <v>3</v>
      </c>
      <c r="F1953" s="232">
        <v>0</v>
      </c>
      <c r="G1953" s="232">
        <v>0</v>
      </c>
      <c r="H1953" s="138">
        <f>G1953+F1953</f>
        <v>0</v>
      </c>
      <c r="I1953" s="138">
        <f>H1953*E1953</f>
        <v>0</v>
      </c>
      <c r="J1953" s="48"/>
    </row>
    <row r="1954" spans="1:10" s="16" customFormat="1" ht="25.5" outlineLevel="3">
      <c r="A1954" s="91"/>
      <c r="B1954" s="35"/>
      <c r="C1954" s="419" t="s">
        <v>1436</v>
      </c>
      <c r="D1954" s="136" t="s">
        <v>38</v>
      </c>
      <c r="E1954" s="137">
        <v>1</v>
      </c>
      <c r="F1954" s="232">
        <v>0</v>
      </c>
      <c r="G1954" s="232">
        <v>0</v>
      </c>
      <c r="H1954" s="138">
        <f>G1954+F1954</f>
        <v>0</v>
      </c>
      <c r="I1954" s="138">
        <f>H1954*E1954</f>
        <v>0</v>
      </c>
      <c r="J1954" s="48"/>
    </row>
    <row r="1955" spans="1:10" s="16" customFormat="1" ht="25.5" outlineLevel="3">
      <c r="A1955" s="91"/>
      <c r="B1955" s="35">
        <f>MAXA(B$5:B1954)+1</f>
        <v>1055</v>
      </c>
      <c r="C1955" s="420" t="s">
        <v>2111</v>
      </c>
      <c r="D1955" s="136" t="s">
        <v>38</v>
      </c>
      <c r="E1955" s="137">
        <v>1</v>
      </c>
      <c r="F1955" s="232">
        <v>3156210</v>
      </c>
      <c r="G1955" s="232">
        <v>1563188</v>
      </c>
      <c r="H1955" s="138">
        <f>G1955+F1955</f>
        <v>4719398</v>
      </c>
      <c r="I1955" s="138">
        <f>H1955*E1955</f>
        <v>4719398</v>
      </c>
      <c r="J1955" s="48"/>
    </row>
    <row r="1956" spans="1:10" s="16" customFormat="1" ht="25.5" outlineLevel="3">
      <c r="A1956" s="91"/>
      <c r="B1956" s="35"/>
      <c r="C1956" s="112" t="s">
        <v>141</v>
      </c>
      <c r="D1956" s="136"/>
      <c r="E1956" s="137"/>
      <c r="F1956" s="232">
        <v>0</v>
      </c>
      <c r="G1956" s="232">
        <v>0</v>
      </c>
      <c r="H1956" s="183"/>
      <c r="I1956" s="183"/>
      <c r="J1956" s="48"/>
    </row>
    <row r="1957" spans="1:10" s="16" customFormat="1" ht="25.5" outlineLevel="3">
      <c r="A1957" s="91"/>
      <c r="B1957" s="35"/>
      <c r="C1957" s="420" t="s">
        <v>1082</v>
      </c>
      <c r="D1957" s="136" t="s">
        <v>28</v>
      </c>
      <c r="E1957" s="137">
        <v>1</v>
      </c>
      <c r="F1957" s="232">
        <v>0</v>
      </c>
      <c r="G1957" s="232">
        <v>0</v>
      </c>
      <c r="H1957" s="138">
        <f>G1957+F1957</f>
        <v>0</v>
      </c>
      <c r="I1957" s="138">
        <f>H1957*E1957</f>
        <v>0</v>
      </c>
      <c r="J1957" s="48"/>
    </row>
    <row r="1958" spans="1:10" s="16" customFormat="1" ht="25.5" outlineLevel="3">
      <c r="A1958" s="91"/>
      <c r="B1958" s="35"/>
      <c r="C1958" s="411" t="s">
        <v>573</v>
      </c>
      <c r="D1958" s="136" t="s">
        <v>28</v>
      </c>
      <c r="E1958" s="137">
        <v>1</v>
      </c>
      <c r="F1958" s="232">
        <v>0</v>
      </c>
      <c r="G1958" s="232">
        <v>0</v>
      </c>
      <c r="H1958" s="138">
        <f>G1958+F1958</f>
        <v>0</v>
      </c>
      <c r="I1958" s="138">
        <f>H1958*E1958</f>
        <v>0</v>
      </c>
      <c r="J1958" s="48"/>
    </row>
    <row r="1959" spans="1:10" s="16" customFormat="1" ht="25.5" outlineLevel="3">
      <c r="A1959" s="91"/>
      <c r="B1959" s="35"/>
      <c r="C1959" s="411" t="s">
        <v>1439</v>
      </c>
      <c r="D1959" s="136" t="s">
        <v>28</v>
      </c>
      <c r="E1959" s="137">
        <v>1</v>
      </c>
      <c r="F1959" s="232">
        <v>0</v>
      </c>
      <c r="G1959" s="232">
        <v>0</v>
      </c>
      <c r="H1959" s="138">
        <f>G1959+F1959</f>
        <v>0</v>
      </c>
      <c r="I1959" s="138">
        <f>H1959*E1959</f>
        <v>0</v>
      </c>
      <c r="J1959" s="48"/>
    </row>
    <row r="1960" spans="1:10" s="16" customFormat="1" ht="25.5" outlineLevel="3">
      <c r="A1960" s="91"/>
      <c r="B1960" s="35"/>
      <c r="C1960" s="112" t="s">
        <v>148</v>
      </c>
      <c r="D1960" s="136"/>
      <c r="E1960" s="137"/>
      <c r="F1960" s="232">
        <v>0</v>
      </c>
      <c r="G1960" s="232">
        <v>0</v>
      </c>
      <c r="H1960" s="183"/>
      <c r="I1960" s="183"/>
      <c r="J1960" s="48"/>
    </row>
    <row r="1961" spans="1:10" s="16" customFormat="1" ht="25.5" outlineLevel="3">
      <c r="A1961" s="91"/>
      <c r="B1961" s="35"/>
      <c r="C1961" s="420" t="s">
        <v>170</v>
      </c>
      <c r="D1961" s="136" t="s">
        <v>28</v>
      </c>
      <c r="E1961" s="137">
        <v>5</v>
      </c>
      <c r="F1961" s="232">
        <v>0</v>
      </c>
      <c r="G1961" s="232">
        <v>0</v>
      </c>
      <c r="H1961" s="138">
        <f>G1961+F1961</f>
        <v>0</v>
      </c>
      <c r="I1961" s="138">
        <f>H1961*E1961</f>
        <v>0</v>
      </c>
      <c r="J1961" s="48"/>
    </row>
    <row r="1962" spans="1:10" s="16" customFormat="1" ht="25.5" outlineLevel="3">
      <c r="A1962" s="91"/>
      <c r="B1962" s="35"/>
      <c r="C1962" s="419" t="s">
        <v>1436</v>
      </c>
      <c r="D1962" s="136" t="s">
        <v>38</v>
      </c>
      <c r="E1962" s="137">
        <v>1</v>
      </c>
      <c r="F1962" s="232">
        <v>0</v>
      </c>
      <c r="G1962" s="232">
        <v>0</v>
      </c>
      <c r="H1962" s="138">
        <f>G1962+F1962</f>
        <v>0</v>
      </c>
      <c r="I1962" s="138">
        <f>H1962*E1962</f>
        <v>0</v>
      </c>
      <c r="J1962" s="48"/>
    </row>
    <row r="1963" spans="1:10" s="16" customFormat="1" ht="25.5" outlineLevel="3">
      <c r="A1963" s="91"/>
      <c r="B1963" s="35">
        <f>MAXA(B$5:B1962)+1</f>
        <v>1056</v>
      </c>
      <c r="C1963" s="420" t="s">
        <v>2112</v>
      </c>
      <c r="D1963" s="136" t="s">
        <v>38</v>
      </c>
      <c r="E1963" s="137">
        <v>1</v>
      </c>
      <c r="F1963" s="232">
        <v>35884175</v>
      </c>
      <c r="G1963" s="232">
        <v>1563188</v>
      </c>
      <c r="H1963" s="138">
        <f>G1963+F1963</f>
        <v>37447363</v>
      </c>
      <c r="I1963" s="138">
        <f>H1963*E1963</f>
        <v>37447363</v>
      </c>
      <c r="J1963" s="48"/>
    </row>
    <row r="1964" spans="1:10" s="16" customFormat="1" ht="25.5" outlineLevel="3">
      <c r="A1964" s="91"/>
      <c r="B1964" s="35"/>
      <c r="C1964" s="112" t="s">
        <v>141</v>
      </c>
      <c r="D1964" s="136"/>
      <c r="E1964" s="137"/>
      <c r="F1964" s="232">
        <v>0</v>
      </c>
      <c r="G1964" s="232">
        <v>0</v>
      </c>
      <c r="H1964" s="183"/>
      <c r="I1964" s="183"/>
      <c r="J1964" s="48"/>
    </row>
    <row r="1965" spans="1:10" s="16" customFormat="1" ht="25.5" outlineLevel="3">
      <c r="A1965" s="91"/>
      <c r="B1965" s="35"/>
      <c r="C1965" s="420" t="s">
        <v>2113</v>
      </c>
      <c r="D1965" s="136" t="s">
        <v>28</v>
      </c>
      <c r="E1965" s="137">
        <v>1</v>
      </c>
      <c r="F1965" s="232">
        <v>0</v>
      </c>
      <c r="G1965" s="232">
        <v>0</v>
      </c>
      <c r="H1965" s="138">
        <f t="shared" ref="H1965:H1972" si="197">G1965+F1965</f>
        <v>0</v>
      </c>
      <c r="I1965" s="138">
        <f t="shared" ref="I1965:I1972" si="198">H1965*E1965</f>
        <v>0</v>
      </c>
      <c r="J1965" s="48"/>
    </row>
    <row r="1966" spans="1:10" s="16" customFormat="1" ht="25.5" outlineLevel="3">
      <c r="A1966" s="91"/>
      <c r="B1966" s="35"/>
      <c r="C1966" s="411" t="s">
        <v>573</v>
      </c>
      <c r="D1966" s="136" t="s">
        <v>28</v>
      </c>
      <c r="E1966" s="137">
        <v>9</v>
      </c>
      <c r="F1966" s="232">
        <v>0</v>
      </c>
      <c r="G1966" s="232">
        <v>0</v>
      </c>
      <c r="H1966" s="138">
        <f t="shared" si="197"/>
        <v>0</v>
      </c>
      <c r="I1966" s="138">
        <f t="shared" si="198"/>
        <v>0</v>
      </c>
      <c r="J1966" s="48"/>
    </row>
    <row r="1967" spans="1:10" s="16" customFormat="1" ht="25.5" outlineLevel="3">
      <c r="A1967" s="91"/>
      <c r="B1967" s="35"/>
      <c r="C1967" s="411" t="s">
        <v>574</v>
      </c>
      <c r="D1967" s="136" t="s">
        <v>28</v>
      </c>
      <c r="E1967" s="137">
        <v>6</v>
      </c>
      <c r="F1967" s="232">
        <v>0</v>
      </c>
      <c r="G1967" s="232">
        <v>0</v>
      </c>
      <c r="H1967" s="138">
        <f t="shared" si="197"/>
        <v>0</v>
      </c>
      <c r="I1967" s="138">
        <f t="shared" si="198"/>
        <v>0</v>
      </c>
      <c r="J1967" s="48"/>
    </row>
    <row r="1968" spans="1:10" s="16" customFormat="1" ht="25.5" outlineLevel="3">
      <c r="A1968" s="91"/>
      <c r="B1968" s="35"/>
      <c r="C1968" s="411" t="s">
        <v>143</v>
      </c>
      <c r="D1968" s="136" t="s">
        <v>28</v>
      </c>
      <c r="E1968" s="137">
        <v>1</v>
      </c>
      <c r="F1968" s="232">
        <v>0</v>
      </c>
      <c r="G1968" s="232">
        <v>0</v>
      </c>
      <c r="H1968" s="138">
        <f t="shared" si="197"/>
        <v>0</v>
      </c>
      <c r="I1968" s="138">
        <f t="shared" si="198"/>
        <v>0</v>
      </c>
      <c r="J1968" s="48"/>
    </row>
    <row r="1969" spans="1:10" s="16" customFormat="1" ht="25.5" outlineLevel="3">
      <c r="A1969" s="91"/>
      <c r="B1969" s="35"/>
      <c r="C1969" s="411" t="s">
        <v>144</v>
      </c>
      <c r="D1969" s="136" t="s">
        <v>28</v>
      </c>
      <c r="E1969" s="137">
        <v>1</v>
      </c>
      <c r="F1969" s="232">
        <v>0</v>
      </c>
      <c r="G1969" s="232">
        <v>0</v>
      </c>
      <c r="H1969" s="138">
        <f t="shared" si="197"/>
        <v>0</v>
      </c>
      <c r="I1969" s="138">
        <f t="shared" si="198"/>
        <v>0</v>
      </c>
      <c r="J1969" s="48"/>
    </row>
    <row r="1970" spans="1:10" s="16" customFormat="1" ht="25.5" outlineLevel="3">
      <c r="A1970" s="91"/>
      <c r="B1970" s="35"/>
      <c r="C1970" s="411" t="s">
        <v>233</v>
      </c>
      <c r="D1970" s="136" t="s">
        <v>28</v>
      </c>
      <c r="E1970" s="137">
        <v>1</v>
      </c>
      <c r="F1970" s="232">
        <v>0</v>
      </c>
      <c r="G1970" s="232">
        <v>0</v>
      </c>
      <c r="H1970" s="138">
        <f t="shared" si="197"/>
        <v>0</v>
      </c>
      <c r="I1970" s="138">
        <f t="shared" si="198"/>
        <v>0</v>
      </c>
      <c r="J1970" s="48"/>
    </row>
    <row r="1971" spans="1:10" s="16" customFormat="1" ht="25.5" outlineLevel="3">
      <c r="A1971" s="91"/>
      <c r="B1971" s="35"/>
      <c r="C1971" s="411" t="s">
        <v>146</v>
      </c>
      <c r="D1971" s="136" t="s">
        <v>28</v>
      </c>
      <c r="E1971" s="137">
        <v>1</v>
      </c>
      <c r="F1971" s="232">
        <v>0</v>
      </c>
      <c r="G1971" s="232">
        <v>0</v>
      </c>
      <c r="H1971" s="138">
        <f t="shared" si="197"/>
        <v>0</v>
      </c>
      <c r="I1971" s="138">
        <f t="shared" si="198"/>
        <v>0</v>
      </c>
      <c r="J1971" s="48"/>
    </row>
    <row r="1972" spans="1:10" s="16" customFormat="1" ht="25.5" outlineLevel="3">
      <c r="A1972" s="91"/>
      <c r="B1972" s="35"/>
      <c r="C1972" s="411" t="s">
        <v>234</v>
      </c>
      <c r="D1972" s="136" t="s">
        <v>28</v>
      </c>
      <c r="E1972" s="137">
        <v>3</v>
      </c>
      <c r="F1972" s="232">
        <v>0</v>
      </c>
      <c r="G1972" s="232">
        <v>0</v>
      </c>
      <c r="H1972" s="138">
        <f t="shared" si="197"/>
        <v>0</v>
      </c>
      <c r="I1972" s="138">
        <f t="shared" si="198"/>
        <v>0</v>
      </c>
      <c r="J1972" s="48"/>
    </row>
    <row r="1973" spans="1:10" s="16" customFormat="1" ht="25.5" outlineLevel="3">
      <c r="A1973" s="91"/>
      <c r="B1973" s="35"/>
      <c r="C1973" s="112" t="s">
        <v>148</v>
      </c>
      <c r="D1973" s="136"/>
      <c r="E1973" s="137"/>
      <c r="F1973" s="232">
        <v>0</v>
      </c>
      <c r="G1973" s="232">
        <v>0</v>
      </c>
      <c r="H1973" s="183"/>
      <c r="I1973" s="183"/>
      <c r="J1973" s="48"/>
    </row>
    <row r="1974" spans="1:10" s="16" customFormat="1" ht="25.5" outlineLevel="3">
      <c r="A1974" s="91"/>
      <c r="B1974" s="35"/>
      <c r="C1974" s="420" t="s">
        <v>188</v>
      </c>
      <c r="D1974" s="136" t="s">
        <v>28</v>
      </c>
      <c r="E1974" s="137">
        <v>12</v>
      </c>
      <c r="F1974" s="232">
        <v>0</v>
      </c>
      <c r="G1974" s="232">
        <v>0</v>
      </c>
      <c r="H1974" s="138">
        <f t="shared" ref="H1974:H1981" si="199">G1974+F1974</f>
        <v>0</v>
      </c>
      <c r="I1974" s="138">
        <f t="shared" ref="I1974:I1981" si="200">H1974*E1974</f>
        <v>0</v>
      </c>
      <c r="J1974" s="48"/>
    </row>
    <row r="1975" spans="1:10" s="16" customFormat="1" ht="25.5" outlineLevel="3">
      <c r="A1975" s="91"/>
      <c r="B1975" s="35"/>
      <c r="C1975" s="420" t="s">
        <v>1079</v>
      </c>
      <c r="D1975" s="136" t="s">
        <v>28</v>
      </c>
      <c r="E1975" s="137">
        <v>9</v>
      </c>
      <c r="F1975" s="232">
        <v>0</v>
      </c>
      <c r="G1975" s="232">
        <v>0</v>
      </c>
      <c r="H1975" s="138">
        <f t="shared" si="199"/>
        <v>0</v>
      </c>
      <c r="I1975" s="138">
        <f t="shared" si="200"/>
        <v>0</v>
      </c>
      <c r="J1975" s="48"/>
    </row>
    <row r="1976" spans="1:10" s="16" customFormat="1" ht="25.5" outlineLevel="3">
      <c r="A1976" s="91"/>
      <c r="B1976" s="35"/>
      <c r="C1976" s="420" t="s">
        <v>151</v>
      </c>
      <c r="D1976" s="136" t="s">
        <v>28</v>
      </c>
      <c r="E1976" s="137">
        <v>3</v>
      </c>
      <c r="F1976" s="232">
        <v>0</v>
      </c>
      <c r="G1976" s="232">
        <v>0</v>
      </c>
      <c r="H1976" s="138">
        <f t="shared" si="199"/>
        <v>0</v>
      </c>
      <c r="I1976" s="138">
        <f t="shared" si="200"/>
        <v>0</v>
      </c>
      <c r="J1976" s="48"/>
    </row>
    <row r="1977" spans="1:10" s="16" customFormat="1" ht="25.5" outlineLevel="3">
      <c r="A1977" s="91"/>
      <c r="B1977" s="35"/>
      <c r="C1977" s="420" t="s">
        <v>152</v>
      </c>
      <c r="D1977" s="136" t="s">
        <v>28</v>
      </c>
      <c r="E1977" s="137">
        <v>1</v>
      </c>
      <c r="F1977" s="232">
        <v>0</v>
      </c>
      <c r="G1977" s="232">
        <v>0</v>
      </c>
      <c r="H1977" s="138">
        <f t="shared" si="199"/>
        <v>0</v>
      </c>
      <c r="I1977" s="138">
        <f t="shared" si="200"/>
        <v>0</v>
      </c>
      <c r="J1977" s="48"/>
    </row>
    <row r="1978" spans="1:10" s="16" customFormat="1" ht="25.5" outlineLevel="3">
      <c r="A1978" s="91"/>
      <c r="B1978" s="35"/>
      <c r="C1978" s="420" t="s">
        <v>203</v>
      </c>
      <c r="D1978" s="136" t="s">
        <v>28</v>
      </c>
      <c r="E1978" s="137">
        <v>1</v>
      </c>
      <c r="F1978" s="232">
        <v>0</v>
      </c>
      <c r="G1978" s="232">
        <v>0</v>
      </c>
      <c r="H1978" s="138">
        <f t="shared" si="199"/>
        <v>0</v>
      </c>
      <c r="I1978" s="138">
        <f t="shared" si="200"/>
        <v>0</v>
      </c>
      <c r="J1978" s="48"/>
    </row>
    <row r="1979" spans="1:10" s="16" customFormat="1" ht="25.5" outlineLevel="3">
      <c r="A1979" s="91"/>
      <c r="B1979" s="35"/>
      <c r="C1979" s="411" t="s">
        <v>161</v>
      </c>
      <c r="D1979" s="136" t="s">
        <v>194</v>
      </c>
      <c r="E1979" s="137">
        <v>1</v>
      </c>
      <c r="F1979" s="232">
        <v>0</v>
      </c>
      <c r="G1979" s="232">
        <v>0</v>
      </c>
      <c r="H1979" s="138">
        <f t="shared" si="199"/>
        <v>0</v>
      </c>
      <c r="I1979" s="138">
        <f t="shared" si="200"/>
        <v>0</v>
      </c>
      <c r="J1979" s="48"/>
    </row>
    <row r="1980" spans="1:10" s="16" customFormat="1" ht="25.5" outlineLevel="3">
      <c r="A1980" s="91"/>
      <c r="B1980" s="35"/>
      <c r="C1980" s="419" t="s">
        <v>1436</v>
      </c>
      <c r="D1980" s="136" t="s">
        <v>38</v>
      </c>
      <c r="E1980" s="137">
        <v>1</v>
      </c>
      <c r="F1980" s="232">
        <v>0</v>
      </c>
      <c r="G1980" s="232">
        <v>0</v>
      </c>
      <c r="H1980" s="138">
        <f t="shared" si="199"/>
        <v>0</v>
      </c>
      <c r="I1980" s="138">
        <f t="shared" si="200"/>
        <v>0</v>
      </c>
      <c r="J1980" s="48"/>
    </row>
    <row r="1981" spans="1:10" s="16" customFormat="1" ht="25.5" outlineLevel="3">
      <c r="A1981" s="91"/>
      <c r="B1981" s="35">
        <f>MAXA(B$5:B1980)+1</f>
        <v>1057</v>
      </c>
      <c r="C1981" s="420" t="s">
        <v>2114</v>
      </c>
      <c r="D1981" s="136" t="s">
        <v>38</v>
      </c>
      <c r="E1981" s="137">
        <v>1</v>
      </c>
      <c r="F1981" s="232">
        <v>3156210</v>
      </c>
      <c r="G1981" s="232">
        <v>1563188</v>
      </c>
      <c r="H1981" s="138">
        <f t="shared" si="199"/>
        <v>4719398</v>
      </c>
      <c r="I1981" s="138">
        <f t="shared" si="200"/>
        <v>4719398</v>
      </c>
      <c r="J1981" s="48"/>
    </row>
    <row r="1982" spans="1:10" s="16" customFormat="1" ht="25.5" outlineLevel="3">
      <c r="A1982" s="91"/>
      <c r="B1982" s="35"/>
      <c r="C1982" s="112" t="s">
        <v>141</v>
      </c>
      <c r="D1982" s="136"/>
      <c r="E1982" s="137"/>
      <c r="F1982" s="232">
        <v>0</v>
      </c>
      <c r="G1982" s="232">
        <v>0</v>
      </c>
      <c r="H1982" s="183"/>
      <c r="I1982" s="183"/>
      <c r="J1982" s="48"/>
    </row>
    <row r="1983" spans="1:10" s="16" customFormat="1" ht="25.5" outlineLevel="3">
      <c r="A1983" s="91"/>
      <c r="B1983" s="35"/>
      <c r="C1983" s="420" t="s">
        <v>1082</v>
      </c>
      <c r="D1983" s="136" t="s">
        <v>28</v>
      </c>
      <c r="E1983" s="137">
        <v>1</v>
      </c>
      <c r="F1983" s="232">
        <v>0</v>
      </c>
      <c r="G1983" s="232">
        <v>0</v>
      </c>
      <c r="H1983" s="138">
        <f>G1983+F1983</f>
        <v>0</v>
      </c>
      <c r="I1983" s="138">
        <f>H1983*E1983</f>
        <v>0</v>
      </c>
      <c r="J1983" s="48"/>
    </row>
    <row r="1984" spans="1:10" s="16" customFormat="1" ht="25.5" outlineLevel="3">
      <c r="A1984" s="91"/>
      <c r="B1984" s="35"/>
      <c r="C1984" s="411" t="s">
        <v>573</v>
      </c>
      <c r="D1984" s="136" t="s">
        <v>28</v>
      </c>
      <c r="E1984" s="137">
        <v>1</v>
      </c>
      <c r="F1984" s="232">
        <v>0</v>
      </c>
      <c r="G1984" s="232">
        <v>0</v>
      </c>
      <c r="H1984" s="138">
        <f>G1984+F1984</f>
        <v>0</v>
      </c>
      <c r="I1984" s="138">
        <f>H1984*E1984</f>
        <v>0</v>
      </c>
      <c r="J1984" s="48"/>
    </row>
    <row r="1985" spans="1:10" s="16" customFormat="1" ht="25.5" outlineLevel="3">
      <c r="A1985" s="91"/>
      <c r="B1985" s="35"/>
      <c r="C1985" s="411" t="s">
        <v>1439</v>
      </c>
      <c r="D1985" s="136" t="s">
        <v>28</v>
      </c>
      <c r="E1985" s="137">
        <v>1</v>
      </c>
      <c r="F1985" s="232">
        <v>0</v>
      </c>
      <c r="G1985" s="232">
        <v>0</v>
      </c>
      <c r="H1985" s="138">
        <f>G1985+F1985</f>
        <v>0</v>
      </c>
      <c r="I1985" s="138">
        <f>H1985*E1985</f>
        <v>0</v>
      </c>
      <c r="J1985" s="48"/>
    </row>
    <row r="1986" spans="1:10" s="16" customFormat="1" ht="25.5" outlineLevel="3">
      <c r="A1986" s="91"/>
      <c r="B1986" s="35"/>
      <c r="C1986" s="112" t="s">
        <v>148</v>
      </c>
      <c r="D1986" s="136"/>
      <c r="E1986" s="137"/>
      <c r="F1986" s="232">
        <v>0</v>
      </c>
      <c r="G1986" s="232">
        <v>0</v>
      </c>
      <c r="H1986" s="183"/>
      <c r="I1986" s="183"/>
      <c r="J1986" s="48"/>
    </row>
    <row r="1987" spans="1:10" s="16" customFormat="1" ht="25.5" outlineLevel="3">
      <c r="A1987" s="91"/>
      <c r="B1987" s="35"/>
      <c r="C1987" s="420" t="s">
        <v>170</v>
      </c>
      <c r="D1987" s="136" t="s">
        <v>28</v>
      </c>
      <c r="E1987" s="137">
        <v>5</v>
      </c>
      <c r="F1987" s="232">
        <v>0</v>
      </c>
      <c r="G1987" s="232">
        <v>0</v>
      </c>
      <c r="H1987" s="138">
        <f>G1987+F1987</f>
        <v>0</v>
      </c>
      <c r="I1987" s="138">
        <f>H1987*E1987</f>
        <v>0</v>
      </c>
      <c r="J1987" s="48"/>
    </row>
    <row r="1988" spans="1:10" s="16" customFormat="1" ht="25.5" outlineLevel="3">
      <c r="A1988" s="91"/>
      <c r="B1988" s="35"/>
      <c r="C1988" s="419" t="s">
        <v>1436</v>
      </c>
      <c r="D1988" s="136" t="s">
        <v>38</v>
      </c>
      <c r="E1988" s="137">
        <v>1</v>
      </c>
      <c r="F1988" s="232">
        <v>0</v>
      </c>
      <c r="G1988" s="232">
        <v>0</v>
      </c>
      <c r="H1988" s="138">
        <f>G1988+F1988</f>
        <v>0</v>
      </c>
      <c r="I1988" s="138">
        <f>H1988*E1988</f>
        <v>0</v>
      </c>
      <c r="J1988" s="48"/>
    </row>
    <row r="1989" spans="1:10" s="16" customFormat="1" ht="25.5" outlineLevel="3">
      <c r="A1989" s="91"/>
      <c r="B1989" s="35">
        <f>MAXA(B$5:B1988)+1</f>
        <v>1058</v>
      </c>
      <c r="C1989" s="420" t="s">
        <v>2115</v>
      </c>
      <c r="D1989" s="136" t="s">
        <v>38</v>
      </c>
      <c r="E1989" s="137">
        <v>1</v>
      </c>
      <c r="F1989" s="232">
        <v>4372012</v>
      </c>
      <c r="G1989" s="232">
        <v>1563188</v>
      </c>
      <c r="H1989" s="138">
        <f>G1989+F1989</f>
        <v>5935200</v>
      </c>
      <c r="I1989" s="138">
        <f>H1989*E1989</f>
        <v>5935200</v>
      </c>
      <c r="J1989" s="48"/>
    </row>
    <row r="1990" spans="1:10" s="16" customFormat="1" ht="25.5" outlineLevel="3">
      <c r="A1990" s="91"/>
      <c r="B1990" s="35"/>
      <c r="C1990" s="112" t="s">
        <v>141</v>
      </c>
      <c r="D1990" s="136"/>
      <c r="E1990" s="137"/>
      <c r="F1990" s="232">
        <v>0</v>
      </c>
      <c r="G1990" s="232">
        <v>0</v>
      </c>
      <c r="H1990" s="183"/>
      <c r="I1990" s="183"/>
      <c r="J1990" s="48"/>
    </row>
    <row r="1991" spans="1:10" s="16" customFormat="1" ht="25.5" outlineLevel="3">
      <c r="A1991" s="91"/>
      <c r="B1991" s="35"/>
      <c r="C1991" s="420" t="s">
        <v>169</v>
      </c>
      <c r="D1991" s="136" t="s">
        <v>28</v>
      </c>
      <c r="E1991" s="137">
        <v>1</v>
      </c>
      <c r="F1991" s="232">
        <v>0</v>
      </c>
      <c r="G1991" s="232">
        <v>0</v>
      </c>
      <c r="H1991" s="138">
        <f>G1991+F1991</f>
        <v>0</v>
      </c>
      <c r="I1991" s="138">
        <f>H1991*E1991</f>
        <v>0</v>
      </c>
      <c r="J1991" s="48"/>
    </row>
    <row r="1992" spans="1:10" s="16" customFormat="1" ht="25.5" outlineLevel="3">
      <c r="A1992" s="91"/>
      <c r="B1992" s="35"/>
      <c r="C1992" s="411" t="s">
        <v>573</v>
      </c>
      <c r="D1992" s="136" t="s">
        <v>28</v>
      </c>
      <c r="E1992" s="137">
        <v>1</v>
      </c>
      <c r="F1992" s="232">
        <v>0</v>
      </c>
      <c r="G1992" s="232">
        <v>0</v>
      </c>
      <c r="H1992" s="138">
        <f>G1992+F1992</f>
        <v>0</v>
      </c>
      <c r="I1992" s="138">
        <f>H1992*E1992</f>
        <v>0</v>
      </c>
      <c r="J1992" s="48"/>
    </row>
    <row r="1993" spans="1:10" s="16" customFormat="1" ht="25.5" outlineLevel="3">
      <c r="A1993" s="91"/>
      <c r="B1993" s="35"/>
      <c r="C1993" s="411" t="s">
        <v>1439</v>
      </c>
      <c r="D1993" s="136" t="s">
        <v>28</v>
      </c>
      <c r="E1993" s="137">
        <v>1</v>
      </c>
      <c r="F1993" s="232">
        <v>0</v>
      </c>
      <c r="G1993" s="232">
        <v>0</v>
      </c>
      <c r="H1993" s="138">
        <f>G1993+F1993</f>
        <v>0</v>
      </c>
      <c r="I1993" s="138">
        <f>H1993*E1993</f>
        <v>0</v>
      </c>
      <c r="J1993" s="48"/>
    </row>
    <row r="1994" spans="1:10" s="16" customFormat="1" ht="25.5" outlineLevel="3">
      <c r="A1994" s="91"/>
      <c r="B1994" s="35"/>
      <c r="C1994" s="112" t="s">
        <v>148</v>
      </c>
      <c r="D1994" s="136"/>
      <c r="E1994" s="137"/>
      <c r="F1994" s="232">
        <v>0</v>
      </c>
      <c r="G1994" s="232">
        <v>0</v>
      </c>
      <c r="H1994" s="183"/>
      <c r="I1994" s="183"/>
      <c r="J1994" s="48"/>
    </row>
    <row r="1995" spans="1:10" s="16" customFormat="1" ht="25.5" outlineLevel="3">
      <c r="A1995" s="91"/>
      <c r="B1995" s="35"/>
      <c r="C1995" s="420" t="s">
        <v>170</v>
      </c>
      <c r="D1995" s="136" t="s">
        <v>28</v>
      </c>
      <c r="E1995" s="137">
        <v>11</v>
      </c>
      <c r="F1995" s="232">
        <v>0</v>
      </c>
      <c r="G1995" s="232">
        <v>0</v>
      </c>
      <c r="H1995" s="138">
        <f>G1995+F1995</f>
        <v>0</v>
      </c>
      <c r="I1995" s="138">
        <f>H1995*E1995</f>
        <v>0</v>
      </c>
      <c r="J1995" s="48"/>
    </row>
    <row r="1996" spans="1:10" s="16" customFormat="1" ht="25.5" outlineLevel="3">
      <c r="A1996" s="91"/>
      <c r="B1996" s="35"/>
      <c r="C1996" s="419" t="s">
        <v>1436</v>
      </c>
      <c r="D1996" s="136" t="s">
        <v>38</v>
      </c>
      <c r="E1996" s="137">
        <v>1</v>
      </c>
      <c r="F1996" s="232">
        <v>0</v>
      </c>
      <c r="G1996" s="232">
        <v>0</v>
      </c>
      <c r="H1996" s="138">
        <f>G1996+F1996</f>
        <v>0</v>
      </c>
      <c r="I1996" s="138">
        <f>H1996*E1996</f>
        <v>0</v>
      </c>
      <c r="J1996" s="48"/>
    </row>
    <row r="1997" spans="1:10" s="16" customFormat="1" ht="25.5" outlineLevel="3">
      <c r="A1997" s="91"/>
      <c r="B1997" s="35">
        <f>MAXA(B$5:B1996)+1</f>
        <v>1059</v>
      </c>
      <c r="C1997" s="420" t="s">
        <v>2116</v>
      </c>
      <c r="D1997" s="136" t="s">
        <v>44</v>
      </c>
      <c r="E1997" s="137">
        <v>3</v>
      </c>
      <c r="F1997" s="232">
        <v>2907707</v>
      </c>
      <c r="G1997" s="232">
        <v>1563188</v>
      </c>
      <c r="H1997" s="138">
        <f>G1997+F1997</f>
        <v>4470895</v>
      </c>
      <c r="I1997" s="138">
        <f>H1997*E1997</f>
        <v>13412685</v>
      </c>
      <c r="J1997" s="48"/>
    </row>
    <row r="1998" spans="1:10" s="16" customFormat="1" ht="25.5" outlineLevel="3">
      <c r="A1998" s="91"/>
      <c r="B1998" s="35"/>
      <c r="C1998" s="112" t="s">
        <v>141</v>
      </c>
      <c r="D1998" s="136"/>
      <c r="E1998" s="137"/>
      <c r="F1998" s="232">
        <v>0</v>
      </c>
      <c r="G1998" s="232">
        <v>0</v>
      </c>
      <c r="H1998" s="183"/>
      <c r="I1998" s="183"/>
      <c r="J1998" s="48"/>
    </row>
    <row r="1999" spans="1:10" s="16" customFormat="1" ht="25.5" outlineLevel="3">
      <c r="A1999" s="91"/>
      <c r="B1999" s="35"/>
      <c r="C1999" s="420" t="s">
        <v>1082</v>
      </c>
      <c r="D1999" s="136" t="s">
        <v>28</v>
      </c>
      <c r="E1999" s="137">
        <v>3</v>
      </c>
      <c r="F1999" s="232">
        <v>0</v>
      </c>
      <c r="G1999" s="232">
        <v>0</v>
      </c>
      <c r="H1999" s="138">
        <f>G1999+F1999</f>
        <v>0</v>
      </c>
      <c r="I1999" s="138">
        <f>H1999*E1999</f>
        <v>0</v>
      </c>
      <c r="J1999" s="48"/>
    </row>
    <row r="2000" spans="1:10" s="16" customFormat="1" ht="25.5" outlineLevel="3">
      <c r="A2000" s="91"/>
      <c r="B2000" s="35"/>
      <c r="C2000" s="411" t="s">
        <v>573</v>
      </c>
      <c r="D2000" s="136" t="s">
        <v>28</v>
      </c>
      <c r="E2000" s="137">
        <v>3</v>
      </c>
      <c r="F2000" s="232">
        <v>0</v>
      </c>
      <c r="G2000" s="232">
        <v>0</v>
      </c>
      <c r="H2000" s="138">
        <f>G2000+F2000</f>
        <v>0</v>
      </c>
      <c r="I2000" s="138">
        <f>H2000*E2000</f>
        <v>0</v>
      </c>
      <c r="J2000" s="48"/>
    </row>
    <row r="2001" spans="1:10" s="16" customFormat="1" ht="25.5" outlineLevel="3">
      <c r="A2001" s="91"/>
      <c r="B2001" s="35"/>
      <c r="C2001" s="411" t="s">
        <v>1439</v>
      </c>
      <c r="D2001" s="136" t="s">
        <v>28</v>
      </c>
      <c r="E2001" s="137">
        <v>3</v>
      </c>
      <c r="F2001" s="232">
        <v>0</v>
      </c>
      <c r="G2001" s="232">
        <v>0</v>
      </c>
      <c r="H2001" s="138">
        <f>G2001+F2001</f>
        <v>0</v>
      </c>
      <c r="I2001" s="138">
        <f>H2001*E2001</f>
        <v>0</v>
      </c>
      <c r="J2001" s="48"/>
    </row>
    <row r="2002" spans="1:10" s="16" customFormat="1" ht="25.5" outlineLevel="3">
      <c r="A2002" s="91"/>
      <c r="B2002" s="35"/>
      <c r="C2002" s="112" t="s">
        <v>148</v>
      </c>
      <c r="D2002" s="136"/>
      <c r="E2002" s="137"/>
      <c r="F2002" s="232">
        <v>0</v>
      </c>
      <c r="G2002" s="232">
        <v>0</v>
      </c>
      <c r="H2002" s="183"/>
      <c r="I2002" s="183"/>
      <c r="J2002" s="48"/>
    </row>
    <row r="2003" spans="1:10" s="16" customFormat="1" ht="25.5" outlineLevel="3">
      <c r="A2003" s="91"/>
      <c r="B2003" s="35"/>
      <c r="C2003" s="420" t="s">
        <v>170</v>
      </c>
      <c r="D2003" s="136" t="s">
        <v>28</v>
      </c>
      <c r="E2003" s="137">
        <v>9</v>
      </c>
      <c r="F2003" s="232">
        <v>0</v>
      </c>
      <c r="G2003" s="232">
        <v>0</v>
      </c>
      <c r="H2003" s="138">
        <f>G2003+F2003</f>
        <v>0</v>
      </c>
      <c r="I2003" s="138">
        <f>H2003*E2003</f>
        <v>0</v>
      </c>
      <c r="J2003" s="48"/>
    </row>
    <row r="2004" spans="1:10" s="16" customFormat="1" ht="25.5" outlineLevel="3">
      <c r="A2004" s="91"/>
      <c r="B2004" s="35"/>
      <c r="C2004" s="419" t="s">
        <v>1436</v>
      </c>
      <c r="D2004" s="136" t="s">
        <v>38</v>
      </c>
      <c r="E2004" s="137">
        <v>3</v>
      </c>
      <c r="F2004" s="232">
        <v>0</v>
      </c>
      <c r="G2004" s="232">
        <v>0</v>
      </c>
      <c r="H2004" s="138">
        <f>G2004+F2004</f>
        <v>0</v>
      </c>
      <c r="I2004" s="138">
        <f>H2004*E2004</f>
        <v>0</v>
      </c>
      <c r="J2004" s="48"/>
    </row>
    <row r="2005" spans="1:10" s="16" customFormat="1" ht="25.5" outlineLevel="3">
      <c r="A2005" s="91"/>
      <c r="B2005" s="35">
        <f>MAXA(B$5:B2004)+1</f>
        <v>1060</v>
      </c>
      <c r="C2005" s="420" t="s">
        <v>2117</v>
      </c>
      <c r="D2005" s="136" t="s">
        <v>38</v>
      </c>
      <c r="E2005" s="137">
        <v>1</v>
      </c>
      <c r="F2005" s="232">
        <v>3031958</v>
      </c>
      <c r="G2005" s="232">
        <v>1563188</v>
      </c>
      <c r="H2005" s="138">
        <f>G2005+F2005</f>
        <v>4595146</v>
      </c>
      <c r="I2005" s="138">
        <f>H2005*E2005</f>
        <v>4595146</v>
      </c>
      <c r="J2005" s="48"/>
    </row>
    <row r="2006" spans="1:10" s="16" customFormat="1" ht="25.5" outlineLevel="3">
      <c r="A2006" s="91"/>
      <c r="B2006" s="35"/>
      <c r="C2006" s="112" t="s">
        <v>141</v>
      </c>
      <c r="D2006" s="136"/>
      <c r="E2006" s="137"/>
      <c r="F2006" s="232">
        <v>0</v>
      </c>
      <c r="G2006" s="232">
        <v>0</v>
      </c>
      <c r="H2006" s="183"/>
      <c r="I2006" s="183"/>
      <c r="J2006" s="48"/>
    </row>
    <row r="2007" spans="1:10" s="16" customFormat="1" ht="25.5" outlineLevel="3">
      <c r="A2007" s="91"/>
      <c r="B2007" s="35"/>
      <c r="C2007" s="420" t="s">
        <v>1082</v>
      </c>
      <c r="D2007" s="136" t="s">
        <v>28</v>
      </c>
      <c r="E2007" s="137">
        <v>1</v>
      </c>
      <c r="F2007" s="232">
        <v>0</v>
      </c>
      <c r="G2007" s="232">
        <v>0</v>
      </c>
      <c r="H2007" s="138">
        <f>G2007+F2007</f>
        <v>0</v>
      </c>
      <c r="I2007" s="138">
        <f>H2007*E2007</f>
        <v>0</v>
      </c>
      <c r="J2007" s="48"/>
    </row>
    <row r="2008" spans="1:10" s="16" customFormat="1" ht="25.5" outlineLevel="3">
      <c r="A2008" s="91"/>
      <c r="B2008" s="35"/>
      <c r="C2008" s="411" t="s">
        <v>573</v>
      </c>
      <c r="D2008" s="136" t="s">
        <v>28</v>
      </c>
      <c r="E2008" s="137">
        <v>1</v>
      </c>
      <c r="F2008" s="232">
        <v>0</v>
      </c>
      <c r="G2008" s="232">
        <v>0</v>
      </c>
      <c r="H2008" s="138">
        <f>G2008+F2008</f>
        <v>0</v>
      </c>
      <c r="I2008" s="138">
        <f>H2008*E2008</f>
        <v>0</v>
      </c>
      <c r="J2008" s="48"/>
    </row>
    <row r="2009" spans="1:10" s="16" customFormat="1" ht="25.5" outlineLevel="3">
      <c r="A2009" s="91"/>
      <c r="B2009" s="35"/>
      <c r="C2009" s="411" t="s">
        <v>1439</v>
      </c>
      <c r="D2009" s="136" t="s">
        <v>28</v>
      </c>
      <c r="E2009" s="137">
        <v>1</v>
      </c>
      <c r="F2009" s="232">
        <v>0</v>
      </c>
      <c r="G2009" s="232">
        <v>0</v>
      </c>
      <c r="H2009" s="138">
        <f>G2009+F2009</f>
        <v>0</v>
      </c>
      <c r="I2009" s="138">
        <f>H2009*E2009</f>
        <v>0</v>
      </c>
      <c r="J2009" s="48"/>
    </row>
    <row r="2010" spans="1:10" s="16" customFormat="1" ht="25.5" outlineLevel="3">
      <c r="A2010" s="91"/>
      <c r="B2010" s="35"/>
      <c r="C2010" s="112" t="s">
        <v>148</v>
      </c>
      <c r="D2010" s="136"/>
      <c r="E2010" s="137"/>
      <c r="F2010" s="232">
        <v>0</v>
      </c>
      <c r="G2010" s="232">
        <v>0</v>
      </c>
      <c r="H2010" s="183"/>
      <c r="I2010" s="183"/>
      <c r="J2010" s="48"/>
    </row>
    <row r="2011" spans="1:10" s="16" customFormat="1" ht="25.5" outlineLevel="3">
      <c r="A2011" s="91"/>
      <c r="B2011" s="35"/>
      <c r="C2011" s="420" t="s">
        <v>170</v>
      </c>
      <c r="D2011" s="136" t="s">
        <v>28</v>
      </c>
      <c r="E2011" s="137">
        <v>4</v>
      </c>
      <c r="F2011" s="232">
        <v>0</v>
      </c>
      <c r="G2011" s="232">
        <v>0</v>
      </c>
      <c r="H2011" s="138">
        <f>G2011+F2011</f>
        <v>0</v>
      </c>
      <c r="I2011" s="138">
        <f>H2011*E2011</f>
        <v>0</v>
      </c>
      <c r="J2011" s="48"/>
    </row>
    <row r="2012" spans="1:10" s="16" customFormat="1" ht="25.5" outlineLevel="3">
      <c r="A2012" s="91"/>
      <c r="B2012" s="35"/>
      <c r="C2012" s="419" t="s">
        <v>1436</v>
      </c>
      <c r="D2012" s="136" t="s">
        <v>38</v>
      </c>
      <c r="E2012" s="137">
        <v>1</v>
      </c>
      <c r="F2012" s="232">
        <v>0</v>
      </c>
      <c r="G2012" s="232">
        <v>0</v>
      </c>
      <c r="H2012" s="138">
        <f>G2012+F2012</f>
        <v>0</v>
      </c>
      <c r="I2012" s="138">
        <f>H2012*E2012</f>
        <v>0</v>
      </c>
      <c r="J2012" s="48"/>
    </row>
    <row r="2013" spans="1:10" s="16" customFormat="1" ht="25.5" outlineLevel="3">
      <c r="A2013" s="91"/>
      <c r="B2013" s="35">
        <f>MAXA(B$5:B2012)+1</f>
        <v>1061</v>
      </c>
      <c r="C2013" s="420" t="s">
        <v>2118</v>
      </c>
      <c r="D2013" s="136" t="s">
        <v>38</v>
      </c>
      <c r="E2013" s="137">
        <v>1</v>
      </c>
      <c r="F2013" s="232">
        <v>3156210</v>
      </c>
      <c r="G2013" s="232">
        <v>1563188</v>
      </c>
      <c r="H2013" s="138">
        <f>G2013+F2013</f>
        <v>4719398</v>
      </c>
      <c r="I2013" s="138">
        <f>H2013*E2013</f>
        <v>4719398</v>
      </c>
      <c r="J2013" s="48"/>
    </row>
    <row r="2014" spans="1:10" s="16" customFormat="1" ht="25.5" outlineLevel="3">
      <c r="A2014" s="91"/>
      <c r="B2014" s="35"/>
      <c r="C2014" s="112" t="s">
        <v>141</v>
      </c>
      <c r="D2014" s="136"/>
      <c r="E2014" s="137"/>
      <c r="F2014" s="232">
        <v>0</v>
      </c>
      <c r="G2014" s="232">
        <v>0</v>
      </c>
      <c r="H2014" s="183"/>
      <c r="I2014" s="183"/>
      <c r="J2014" s="48"/>
    </row>
    <row r="2015" spans="1:10" s="16" customFormat="1" ht="25.5" outlineLevel="3">
      <c r="A2015" s="91"/>
      <c r="B2015" s="35"/>
      <c r="C2015" s="420" t="s">
        <v>1082</v>
      </c>
      <c r="D2015" s="136" t="s">
        <v>28</v>
      </c>
      <c r="E2015" s="137">
        <v>1</v>
      </c>
      <c r="F2015" s="232">
        <v>0</v>
      </c>
      <c r="G2015" s="232">
        <v>0</v>
      </c>
      <c r="H2015" s="138">
        <f>G2015+F2015</f>
        <v>0</v>
      </c>
      <c r="I2015" s="138">
        <f>H2015*E2015</f>
        <v>0</v>
      </c>
      <c r="J2015" s="48"/>
    </row>
    <row r="2016" spans="1:10" s="16" customFormat="1" ht="25.5" outlineLevel="3">
      <c r="A2016" s="91"/>
      <c r="B2016" s="35"/>
      <c r="C2016" s="411" t="s">
        <v>573</v>
      </c>
      <c r="D2016" s="136" t="s">
        <v>28</v>
      </c>
      <c r="E2016" s="137">
        <v>1</v>
      </c>
      <c r="F2016" s="232">
        <v>0</v>
      </c>
      <c r="G2016" s="232">
        <v>0</v>
      </c>
      <c r="H2016" s="138">
        <f>G2016+F2016</f>
        <v>0</v>
      </c>
      <c r="I2016" s="138">
        <f>H2016*E2016</f>
        <v>0</v>
      </c>
      <c r="J2016" s="48"/>
    </row>
    <row r="2017" spans="1:10" s="16" customFormat="1" ht="25.5" outlineLevel="3">
      <c r="A2017" s="91"/>
      <c r="B2017" s="35"/>
      <c r="C2017" s="411" t="s">
        <v>1439</v>
      </c>
      <c r="D2017" s="136" t="s">
        <v>28</v>
      </c>
      <c r="E2017" s="137">
        <v>1</v>
      </c>
      <c r="F2017" s="232">
        <v>0</v>
      </c>
      <c r="G2017" s="232">
        <v>0</v>
      </c>
      <c r="H2017" s="138">
        <f>G2017+F2017</f>
        <v>0</v>
      </c>
      <c r="I2017" s="138">
        <f>H2017*E2017</f>
        <v>0</v>
      </c>
      <c r="J2017" s="48"/>
    </row>
    <row r="2018" spans="1:10" s="16" customFormat="1" ht="25.5" outlineLevel="3">
      <c r="A2018" s="91"/>
      <c r="B2018" s="35"/>
      <c r="C2018" s="112" t="s">
        <v>148</v>
      </c>
      <c r="D2018" s="136"/>
      <c r="E2018" s="137"/>
      <c r="F2018" s="232">
        <v>0</v>
      </c>
      <c r="G2018" s="232">
        <v>0</v>
      </c>
      <c r="H2018" s="183"/>
      <c r="I2018" s="183"/>
      <c r="J2018" s="48"/>
    </row>
    <row r="2019" spans="1:10" s="16" customFormat="1" ht="25.5" outlineLevel="3">
      <c r="A2019" s="91"/>
      <c r="B2019" s="35"/>
      <c r="C2019" s="420" t="s">
        <v>170</v>
      </c>
      <c r="D2019" s="136" t="s">
        <v>28</v>
      </c>
      <c r="E2019" s="137">
        <v>6</v>
      </c>
      <c r="F2019" s="232">
        <v>0</v>
      </c>
      <c r="G2019" s="232">
        <v>0</v>
      </c>
      <c r="H2019" s="138">
        <f>G2019+F2019</f>
        <v>0</v>
      </c>
      <c r="I2019" s="138">
        <f>H2019*E2019</f>
        <v>0</v>
      </c>
      <c r="J2019" s="48"/>
    </row>
    <row r="2020" spans="1:10" s="16" customFormat="1" ht="25.5" outlineLevel="3">
      <c r="A2020" s="91"/>
      <c r="B2020" s="35"/>
      <c r="C2020" s="419" t="s">
        <v>1436</v>
      </c>
      <c r="D2020" s="136" t="s">
        <v>38</v>
      </c>
      <c r="E2020" s="137">
        <v>1</v>
      </c>
      <c r="F2020" s="232">
        <v>0</v>
      </c>
      <c r="G2020" s="232">
        <v>0</v>
      </c>
      <c r="H2020" s="138">
        <f>G2020+F2020</f>
        <v>0</v>
      </c>
      <c r="I2020" s="138">
        <f>H2020*E2020</f>
        <v>0</v>
      </c>
      <c r="J2020" s="48"/>
    </row>
    <row r="2021" spans="1:10" s="16" customFormat="1" ht="25.5" outlineLevel="3">
      <c r="A2021" s="91"/>
      <c r="B2021" s="35">
        <f>MAXA(B$5:B2020)+1</f>
        <v>1062</v>
      </c>
      <c r="C2021" s="420" t="s">
        <v>2119</v>
      </c>
      <c r="D2021" s="136" t="s">
        <v>38</v>
      </c>
      <c r="E2021" s="137">
        <v>1</v>
      </c>
      <c r="F2021" s="232">
        <v>2783456</v>
      </c>
      <c r="G2021" s="232">
        <v>1563188</v>
      </c>
      <c r="H2021" s="138">
        <f>G2021+F2021</f>
        <v>4346644</v>
      </c>
      <c r="I2021" s="138">
        <f>H2021*E2021</f>
        <v>4346644</v>
      </c>
      <c r="J2021" s="48"/>
    </row>
    <row r="2022" spans="1:10" s="16" customFormat="1" ht="25.5" outlineLevel="3">
      <c r="A2022" s="91"/>
      <c r="B2022" s="35"/>
      <c r="C2022" s="112" t="s">
        <v>141</v>
      </c>
      <c r="D2022" s="136"/>
      <c r="E2022" s="137"/>
      <c r="F2022" s="232">
        <v>0</v>
      </c>
      <c r="G2022" s="232">
        <v>0</v>
      </c>
      <c r="H2022" s="183"/>
      <c r="I2022" s="183"/>
      <c r="J2022" s="48"/>
    </row>
    <row r="2023" spans="1:10" s="16" customFormat="1" ht="25.5" outlineLevel="3">
      <c r="A2023" s="91"/>
      <c r="B2023" s="35"/>
      <c r="C2023" s="420" t="s">
        <v>1082</v>
      </c>
      <c r="D2023" s="136" t="s">
        <v>28</v>
      </c>
      <c r="E2023" s="137">
        <v>1</v>
      </c>
      <c r="F2023" s="232">
        <v>0</v>
      </c>
      <c r="G2023" s="232">
        <v>0</v>
      </c>
      <c r="H2023" s="138">
        <f>G2023+F2023</f>
        <v>0</v>
      </c>
      <c r="I2023" s="138">
        <f>H2023*E2023</f>
        <v>0</v>
      </c>
      <c r="J2023" s="48"/>
    </row>
    <row r="2024" spans="1:10" s="16" customFormat="1" ht="25.5" outlineLevel="3">
      <c r="A2024" s="91"/>
      <c r="B2024" s="35"/>
      <c r="C2024" s="411" t="s">
        <v>573</v>
      </c>
      <c r="D2024" s="136" t="s">
        <v>28</v>
      </c>
      <c r="E2024" s="137">
        <v>1</v>
      </c>
      <c r="F2024" s="232">
        <v>0</v>
      </c>
      <c r="G2024" s="232">
        <v>0</v>
      </c>
      <c r="H2024" s="138">
        <f>G2024+F2024</f>
        <v>0</v>
      </c>
      <c r="I2024" s="138">
        <f>H2024*E2024</f>
        <v>0</v>
      </c>
      <c r="J2024" s="48"/>
    </row>
    <row r="2025" spans="1:10" s="16" customFormat="1" ht="25.5" outlineLevel="3">
      <c r="A2025" s="91"/>
      <c r="B2025" s="35"/>
      <c r="C2025" s="411" t="s">
        <v>1439</v>
      </c>
      <c r="D2025" s="136" t="s">
        <v>28</v>
      </c>
      <c r="E2025" s="137">
        <v>1</v>
      </c>
      <c r="F2025" s="232">
        <v>0</v>
      </c>
      <c r="G2025" s="232">
        <v>0</v>
      </c>
      <c r="H2025" s="138">
        <f>G2025+F2025</f>
        <v>0</v>
      </c>
      <c r="I2025" s="138">
        <f>H2025*E2025</f>
        <v>0</v>
      </c>
      <c r="J2025" s="48"/>
    </row>
    <row r="2026" spans="1:10" s="16" customFormat="1" ht="25.5" outlineLevel="3">
      <c r="A2026" s="91"/>
      <c r="B2026" s="35"/>
      <c r="C2026" s="112" t="s">
        <v>148</v>
      </c>
      <c r="D2026" s="136"/>
      <c r="E2026" s="137"/>
      <c r="F2026" s="232">
        <v>0</v>
      </c>
      <c r="G2026" s="232">
        <v>0</v>
      </c>
      <c r="H2026" s="183"/>
      <c r="I2026" s="183"/>
      <c r="J2026" s="48"/>
    </row>
    <row r="2027" spans="1:10" s="16" customFormat="1" ht="25.5" outlineLevel="3">
      <c r="A2027" s="91"/>
      <c r="B2027" s="35"/>
      <c r="C2027" s="420" t="s">
        <v>170</v>
      </c>
      <c r="D2027" s="136" t="s">
        <v>28</v>
      </c>
      <c r="E2027" s="137">
        <v>2</v>
      </c>
      <c r="F2027" s="232">
        <v>0</v>
      </c>
      <c r="G2027" s="232">
        <v>0</v>
      </c>
      <c r="H2027" s="138">
        <f>G2027+F2027</f>
        <v>0</v>
      </c>
      <c r="I2027" s="138">
        <f>H2027*E2027</f>
        <v>0</v>
      </c>
      <c r="J2027" s="48"/>
    </row>
    <row r="2028" spans="1:10" s="16" customFormat="1" ht="25.5" outlineLevel="3">
      <c r="A2028" s="91"/>
      <c r="B2028" s="35"/>
      <c r="C2028" s="419" t="s">
        <v>1436</v>
      </c>
      <c r="D2028" s="136" t="s">
        <v>38</v>
      </c>
      <c r="E2028" s="137">
        <v>1</v>
      </c>
      <c r="F2028" s="232">
        <v>0</v>
      </c>
      <c r="G2028" s="232">
        <v>0</v>
      </c>
      <c r="H2028" s="138">
        <f>G2028+F2028</f>
        <v>0</v>
      </c>
      <c r="I2028" s="138">
        <f>H2028*E2028</f>
        <v>0</v>
      </c>
      <c r="J2028" s="48"/>
    </row>
    <row r="2029" spans="1:10" s="16" customFormat="1" ht="25.5" outlineLevel="3">
      <c r="A2029" s="91"/>
      <c r="B2029" s="35">
        <f>MAXA(B$5:B2028)+1</f>
        <v>1063</v>
      </c>
      <c r="C2029" s="420" t="s">
        <v>2120</v>
      </c>
      <c r="D2029" s="136" t="s">
        <v>38</v>
      </c>
      <c r="E2029" s="137">
        <v>1</v>
      </c>
      <c r="F2029" s="232">
        <v>2907707</v>
      </c>
      <c r="G2029" s="232">
        <v>1563188</v>
      </c>
      <c r="H2029" s="138">
        <f>G2029+F2029</f>
        <v>4470895</v>
      </c>
      <c r="I2029" s="138">
        <f>H2029*E2029</f>
        <v>4470895</v>
      </c>
      <c r="J2029" s="48"/>
    </row>
    <row r="2030" spans="1:10" s="16" customFormat="1" ht="25.5" outlineLevel="3">
      <c r="A2030" s="91"/>
      <c r="B2030" s="35"/>
      <c r="C2030" s="112" t="s">
        <v>141</v>
      </c>
      <c r="D2030" s="136"/>
      <c r="E2030" s="137"/>
      <c r="F2030" s="232">
        <v>0</v>
      </c>
      <c r="G2030" s="232">
        <v>0</v>
      </c>
      <c r="H2030" s="183"/>
      <c r="I2030" s="183"/>
      <c r="J2030" s="48"/>
    </row>
    <row r="2031" spans="1:10" s="16" customFormat="1" ht="25.5" outlineLevel="3">
      <c r="A2031" s="91"/>
      <c r="B2031" s="35"/>
      <c r="C2031" s="420" t="s">
        <v>1082</v>
      </c>
      <c r="D2031" s="136" t="s">
        <v>28</v>
      </c>
      <c r="E2031" s="137">
        <v>1</v>
      </c>
      <c r="F2031" s="232">
        <v>0</v>
      </c>
      <c r="G2031" s="232">
        <v>0</v>
      </c>
      <c r="H2031" s="138">
        <f>G2031+F2031</f>
        <v>0</v>
      </c>
      <c r="I2031" s="138">
        <f>H2031*E2031</f>
        <v>0</v>
      </c>
      <c r="J2031" s="48"/>
    </row>
    <row r="2032" spans="1:10" s="16" customFormat="1" ht="25.5" outlineLevel="3">
      <c r="A2032" s="91"/>
      <c r="B2032" s="35"/>
      <c r="C2032" s="411" t="s">
        <v>573</v>
      </c>
      <c r="D2032" s="136" t="s">
        <v>28</v>
      </c>
      <c r="E2032" s="137">
        <v>1</v>
      </c>
      <c r="F2032" s="232">
        <v>0</v>
      </c>
      <c r="G2032" s="232">
        <v>0</v>
      </c>
      <c r="H2032" s="138">
        <f>G2032+F2032</f>
        <v>0</v>
      </c>
      <c r="I2032" s="138">
        <f>H2032*E2032</f>
        <v>0</v>
      </c>
      <c r="J2032" s="48"/>
    </row>
    <row r="2033" spans="1:10" s="16" customFormat="1" ht="25.5" outlineLevel="3">
      <c r="A2033" s="91"/>
      <c r="B2033" s="35"/>
      <c r="C2033" s="411" t="s">
        <v>1439</v>
      </c>
      <c r="D2033" s="136" t="s">
        <v>28</v>
      </c>
      <c r="E2033" s="137">
        <v>1</v>
      </c>
      <c r="F2033" s="232">
        <v>0</v>
      </c>
      <c r="G2033" s="232">
        <v>0</v>
      </c>
      <c r="H2033" s="138">
        <f>G2033+F2033</f>
        <v>0</v>
      </c>
      <c r="I2033" s="138">
        <f>H2033*E2033</f>
        <v>0</v>
      </c>
      <c r="J2033" s="48"/>
    </row>
    <row r="2034" spans="1:10" s="16" customFormat="1" ht="25.5" outlineLevel="3">
      <c r="A2034" s="91"/>
      <c r="B2034" s="35"/>
      <c r="C2034" s="112" t="s">
        <v>148</v>
      </c>
      <c r="D2034" s="136"/>
      <c r="E2034" s="137"/>
      <c r="F2034" s="232">
        <v>0</v>
      </c>
      <c r="G2034" s="232">
        <v>0</v>
      </c>
      <c r="H2034" s="183"/>
      <c r="I2034" s="183"/>
      <c r="J2034" s="48"/>
    </row>
    <row r="2035" spans="1:10" s="16" customFormat="1" ht="25.5" outlineLevel="3">
      <c r="A2035" s="91"/>
      <c r="B2035" s="35"/>
      <c r="C2035" s="420" t="s">
        <v>170</v>
      </c>
      <c r="D2035" s="136" t="s">
        <v>28</v>
      </c>
      <c r="E2035" s="137">
        <v>3</v>
      </c>
      <c r="F2035" s="232">
        <v>0</v>
      </c>
      <c r="G2035" s="232">
        <v>0</v>
      </c>
      <c r="H2035" s="138">
        <f>G2035+F2035</f>
        <v>0</v>
      </c>
      <c r="I2035" s="138">
        <f>H2035*E2035</f>
        <v>0</v>
      </c>
      <c r="J2035" s="48"/>
    </row>
    <row r="2036" spans="1:10" s="16" customFormat="1" ht="25.5" outlineLevel="3">
      <c r="A2036" s="91"/>
      <c r="B2036" s="35"/>
      <c r="C2036" s="419" t="s">
        <v>1436</v>
      </c>
      <c r="D2036" s="136" t="s">
        <v>38</v>
      </c>
      <c r="E2036" s="137">
        <v>1</v>
      </c>
      <c r="F2036" s="232">
        <v>0</v>
      </c>
      <c r="G2036" s="232">
        <v>0</v>
      </c>
      <c r="H2036" s="138">
        <f>G2036+F2036</f>
        <v>0</v>
      </c>
      <c r="I2036" s="138">
        <f>H2036*E2036</f>
        <v>0</v>
      </c>
      <c r="J2036" s="48"/>
    </row>
    <row r="2037" spans="1:10" s="16" customFormat="1" ht="25.5" outlineLevel="3">
      <c r="A2037" s="91"/>
      <c r="B2037" s="35">
        <f>MAXA(B$5:B2036)+1</f>
        <v>1064</v>
      </c>
      <c r="C2037" s="420" t="s">
        <v>2121</v>
      </c>
      <c r="D2037" s="136" t="s">
        <v>38</v>
      </c>
      <c r="E2037" s="137">
        <v>1</v>
      </c>
      <c r="F2037" s="232">
        <v>2907707</v>
      </c>
      <c r="G2037" s="232">
        <v>1563188</v>
      </c>
      <c r="H2037" s="138">
        <f>G2037+F2037</f>
        <v>4470895</v>
      </c>
      <c r="I2037" s="138">
        <f>H2037*E2037</f>
        <v>4470895</v>
      </c>
      <c r="J2037" s="48"/>
    </row>
    <row r="2038" spans="1:10" s="16" customFormat="1" ht="25.5" outlineLevel="3">
      <c r="A2038" s="91"/>
      <c r="B2038" s="35"/>
      <c r="C2038" s="112" t="s">
        <v>141</v>
      </c>
      <c r="D2038" s="136"/>
      <c r="E2038" s="137"/>
      <c r="F2038" s="232">
        <v>0</v>
      </c>
      <c r="G2038" s="232">
        <v>0</v>
      </c>
      <c r="H2038" s="183"/>
      <c r="I2038" s="183"/>
      <c r="J2038" s="48"/>
    </row>
    <row r="2039" spans="1:10" s="16" customFormat="1" ht="25.5" outlineLevel="3">
      <c r="A2039" s="91"/>
      <c r="B2039" s="35"/>
      <c r="C2039" s="420" t="s">
        <v>1082</v>
      </c>
      <c r="D2039" s="136" t="s">
        <v>28</v>
      </c>
      <c r="E2039" s="137">
        <v>1</v>
      </c>
      <c r="F2039" s="232">
        <v>0</v>
      </c>
      <c r="G2039" s="232">
        <v>0</v>
      </c>
      <c r="H2039" s="138">
        <f>G2039+F2039</f>
        <v>0</v>
      </c>
      <c r="I2039" s="138">
        <f>H2039*E2039</f>
        <v>0</v>
      </c>
      <c r="J2039" s="48"/>
    </row>
    <row r="2040" spans="1:10" s="16" customFormat="1" ht="25.5" outlineLevel="3">
      <c r="A2040" s="91"/>
      <c r="B2040" s="35"/>
      <c r="C2040" s="411" t="s">
        <v>573</v>
      </c>
      <c r="D2040" s="136" t="s">
        <v>28</v>
      </c>
      <c r="E2040" s="137">
        <v>1</v>
      </c>
      <c r="F2040" s="232">
        <v>0</v>
      </c>
      <c r="G2040" s="232">
        <v>0</v>
      </c>
      <c r="H2040" s="138">
        <f>G2040+F2040</f>
        <v>0</v>
      </c>
      <c r="I2040" s="138">
        <f>H2040*E2040</f>
        <v>0</v>
      </c>
      <c r="J2040" s="48"/>
    </row>
    <row r="2041" spans="1:10" s="16" customFormat="1" ht="25.5" outlineLevel="3">
      <c r="A2041" s="91"/>
      <c r="B2041" s="35"/>
      <c r="C2041" s="411" t="s">
        <v>1439</v>
      </c>
      <c r="D2041" s="136" t="s">
        <v>28</v>
      </c>
      <c r="E2041" s="137">
        <v>1</v>
      </c>
      <c r="F2041" s="232">
        <v>0</v>
      </c>
      <c r="G2041" s="232">
        <v>0</v>
      </c>
      <c r="H2041" s="138">
        <f>G2041+F2041</f>
        <v>0</v>
      </c>
      <c r="I2041" s="138">
        <f>H2041*E2041</f>
        <v>0</v>
      </c>
      <c r="J2041" s="48"/>
    </row>
    <row r="2042" spans="1:10" s="16" customFormat="1" ht="25.5" outlineLevel="3">
      <c r="A2042" s="91"/>
      <c r="B2042" s="35"/>
      <c r="C2042" s="112" t="s">
        <v>148</v>
      </c>
      <c r="D2042" s="136"/>
      <c r="E2042" s="137"/>
      <c r="F2042" s="232">
        <v>0</v>
      </c>
      <c r="G2042" s="232">
        <v>0</v>
      </c>
      <c r="H2042" s="183"/>
      <c r="I2042" s="183"/>
      <c r="J2042" s="48"/>
    </row>
    <row r="2043" spans="1:10" s="16" customFormat="1" ht="25.5" outlineLevel="3">
      <c r="A2043" s="91"/>
      <c r="B2043" s="35"/>
      <c r="C2043" s="420" t="s">
        <v>170</v>
      </c>
      <c r="D2043" s="136" t="s">
        <v>28</v>
      </c>
      <c r="E2043" s="137">
        <v>3</v>
      </c>
      <c r="F2043" s="232">
        <v>0</v>
      </c>
      <c r="G2043" s="232">
        <v>0</v>
      </c>
      <c r="H2043" s="138">
        <f>G2043+F2043</f>
        <v>0</v>
      </c>
      <c r="I2043" s="138">
        <f>H2043*E2043</f>
        <v>0</v>
      </c>
      <c r="J2043" s="48"/>
    </row>
    <row r="2044" spans="1:10" s="16" customFormat="1" ht="25.5" outlineLevel="3">
      <c r="A2044" s="91"/>
      <c r="B2044" s="35"/>
      <c r="C2044" s="419" t="s">
        <v>1436</v>
      </c>
      <c r="D2044" s="136" t="s">
        <v>38</v>
      </c>
      <c r="E2044" s="137">
        <v>1</v>
      </c>
      <c r="F2044" s="232">
        <v>0</v>
      </c>
      <c r="G2044" s="232">
        <v>0</v>
      </c>
      <c r="H2044" s="138">
        <f>G2044+F2044</f>
        <v>0</v>
      </c>
      <c r="I2044" s="138">
        <f>H2044*E2044</f>
        <v>0</v>
      </c>
      <c r="J2044" s="48"/>
    </row>
    <row r="2045" spans="1:10" s="16" customFormat="1" ht="25.5" outlineLevel="3">
      <c r="A2045" s="91"/>
      <c r="B2045" s="35">
        <f>MAXA(B$5:B2044)+1</f>
        <v>1065</v>
      </c>
      <c r="C2045" s="420" t="s">
        <v>2122</v>
      </c>
      <c r="D2045" s="136" t="s">
        <v>38</v>
      </c>
      <c r="E2045" s="137">
        <v>1</v>
      </c>
      <c r="F2045" s="232">
        <v>2907707</v>
      </c>
      <c r="G2045" s="232">
        <v>1563188</v>
      </c>
      <c r="H2045" s="138">
        <f>G2045+F2045</f>
        <v>4470895</v>
      </c>
      <c r="I2045" s="138">
        <f>H2045*E2045</f>
        <v>4470895</v>
      </c>
      <c r="J2045" s="48"/>
    </row>
    <row r="2046" spans="1:10" s="16" customFormat="1" ht="25.5" outlineLevel="3">
      <c r="A2046" s="91"/>
      <c r="B2046" s="35"/>
      <c r="C2046" s="112" t="s">
        <v>141</v>
      </c>
      <c r="D2046" s="136"/>
      <c r="E2046" s="137"/>
      <c r="F2046" s="232">
        <v>0</v>
      </c>
      <c r="G2046" s="232">
        <v>0</v>
      </c>
      <c r="H2046" s="183"/>
      <c r="I2046" s="183"/>
      <c r="J2046" s="48"/>
    </row>
    <row r="2047" spans="1:10" s="16" customFormat="1" ht="25.5" outlineLevel="3">
      <c r="A2047" s="91"/>
      <c r="B2047" s="35"/>
      <c r="C2047" s="420" t="s">
        <v>1082</v>
      </c>
      <c r="D2047" s="136" t="s">
        <v>28</v>
      </c>
      <c r="E2047" s="137">
        <v>1</v>
      </c>
      <c r="F2047" s="232">
        <v>0</v>
      </c>
      <c r="G2047" s="232">
        <v>0</v>
      </c>
      <c r="H2047" s="138">
        <f>G2047+F2047</f>
        <v>0</v>
      </c>
      <c r="I2047" s="138">
        <f>H2047*E2047</f>
        <v>0</v>
      </c>
      <c r="J2047" s="48"/>
    </row>
    <row r="2048" spans="1:10" s="16" customFormat="1" ht="25.5" outlineLevel="3">
      <c r="A2048" s="91"/>
      <c r="B2048" s="35"/>
      <c r="C2048" s="411" t="s">
        <v>573</v>
      </c>
      <c r="D2048" s="136" t="s">
        <v>28</v>
      </c>
      <c r="E2048" s="137">
        <v>1</v>
      </c>
      <c r="F2048" s="232">
        <v>0</v>
      </c>
      <c r="G2048" s="232">
        <v>0</v>
      </c>
      <c r="H2048" s="138">
        <f>G2048+F2048</f>
        <v>0</v>
      </c>
      <c r="I2048" s="138">
        <f>H2048*E2048</f>
        <v>0</v>
      </c>
      <c r="J2048" s="48"/>
    </row>
    <row r="2049" spans="1:10" s="16" customFormat="1" ht="25.5" outlineLevel="3">
      <c r="A2049" s="91"/>
      <c r="B2049" s="35"/>
      <c r="C2049" s="411" t="s">
        <v>1439</v>
      </c>
      <c r="D2049" s="136" t="s">
        <v>28</v>
      </c>
      <c r="E2049" s="137">
        <v>1</v>
      </c>
      <c r="F2049" s="232">
        <v>0</v>
      </c>
      <c r="G2049" s="232">
        <v>0</v>
      </c>
      <c r="H2049" s="138">
        <f>G2049+F2049</f>
        <v>0</v>
      </c>
      <c r="I2049" s="138">
        <f>H2049*E2049</f>
        <v>0</v>
      </c>
      <c r="J2049" s="48"/>
    </row>
    <row r="2050" spans="1:10" s="16" customFormat="1" ht="25.5" outlineLevel="3">
      <c r="A2050" s="91"/>
      <c r="B2050" s="35"/>
      <c r="C2050" s="112" t="s">
        <v>148</v>
      </c>
      <c r="D2050" s="136"/>
      <c r="E2050" s="137"/>
      <c r="F2050" s="232">
        <v>0</v>
      </c>
      <c r="G2050" s="232">
        <v>0</v>
      </c>
      <c r="H2050" s="183"/>
      <c r="I2050" s="183"/>
      <c r="J2050" s="48"/>
    </row>
    <row r="2051" spans="1:10" s="16" customFormat="1" ht="25.5" outlineLevel="3">
      <c r="A2051" s="91"/>
      <c r="B2051" s="35"/>
      <c r="C2051" s="420" t="s">
        <v>170</v>
      </c>
      <c r="D2051" s="136" t="s">
        <v>28</v>
      </c>
      <c r="E2051" s="137">
        <v>3</v>
      </c>
      <c r="F2051" s="232">
        <v>0</v>
      </c>
      <c r="G2051" s="232">
        <v>0</v>
      </c>
      <c r="H2051" s="138">
        <f>G2051+F2051</f>
        <v>0</v>
      </c>
      <c r="I2051" s="138">
        <f>H2051*E2051</f>
        <v>0</v>
      </c>
      <c r="J2051" s="48"/>
    </row>
    <row r="2052" spans="1:10" s="16" customFormat="1" ht="25.5" outlineLevel="3">
      <c r="A2052" s="91"/>
      <c r="B2052" s="35"/>
      <c r="C2052" s="419" t="s">
        <v>1436</v>
      </c>
      <c r="D2052" s="136" t="s">
        <v>38</v>
      </c>
      <c r="E2052" s="137">
        <v>1</v>
      </c>
      <c r="F2052" s="232">
        <v>0</v>
      </c>
      <c r="G2052" s="232">
        <v>0</v>
      </c>
      <c r="H2052" s="138">
        <f>G2052+F2052</f>
        <v>0</v>
      </c>
      <c r="I2052" s="138">
        <f>H2052*E2052</f>
        <v>0</v>
      </c>
      <c r="J2052" s="48"/>
    </row>
    <row r="2053" spans="1:10" s="16" customFormat="1" ht="25.5" outlineLevel="3">
      <c r="A2053" s="91"/>
      <c r="B2053" s="35">
        <f>MAXA(B$5:B2052)+1</f>
        <v>1066</v>
      </c>
      <c r="C2053" s="420" t="s">
        <v>1099</v>
      </c>
      <c r="D2053" s="136" t="s">
        <v>38</v>
      </c>
      <c r="E2053" s="137">
        <v>1</v>
      </c>
      <c r="F2053" s="232">
        <v>36676130</v>
      </c>
      <c r="G2053" s="232">
        <v>1563188</v>
      </c>
      <c r="H2053" s="138">
        <f>G2053+F2053</f>
        <v>38239318</v>
      </c>
      <c r="I2053" s="138">
        <f>H2053*E2053</f>
        <v>38239318</v>
      </c>
      <c r="J2053" s="48"/>
    </row>
    <row r="2054" spans="1:10" s="16" customFormat="1" ht="25.5" outlineLevel="3">
      <c r="A2054" s="91"/>
      <c r="B2054" s="35"/>
      <c r="C2054" s="112" t="s">
        <v>141</v>
      </c>
      <c r="D2054" s="136"/>
      <c r="E2054" s="137"/>
      <c r="F2054" s="232">
        <v>0</v>
      </c>
      <c r="G2054" s="232">
        <v>0</v>
      </c>
      <c r="H2054" s="183"/>
      <c r="I2054" s="183"/>
      <c r="J2054" s="48"/>
    </row>
    <row r="2055" spans="1:10" s="16" customFormat="1" ht="25.5" outlineLevel="3">
      <c r="A2055" s="91"/>
      <c r="B2055" s="35"/>
      <c r="C2055" s="420" t="s">
        <v>207</v>
      </c>
      <c r="D2055" s="136" t="s">
        <v>28</v>
      </c>
      <c r="E2055" s="137">
        <v>1</v>
      </c>
      <c r="F2055" s="232">
        <v>0</v>
      </c>
      <c r="G2055" s="232">
        <v>0</v>
      </c>
      <c r="H2055" s="138">
        <f t="shared" ref="H2055:H2062" si="201">G2055+F2055</f>
        <v>0</v>
      </c>
      <c r="I2055" s="138">
        <f t="shared" ref="I2055:I2062" si="202">H2055*E2055</f>
        <v>0</v>
      </c>
      <c r="J2055" s="48"/>
    </row>
    <row r="2056" spans="1:10" s="16" customFormat="1" ht="25.5" outlineLevel="3">
      <c r="A2056" s="91"/>
      <c r="B2056" s="35"/>
      <c r="C2056" s="411" t="s">
        <v>573</v>
      </c>
      <c r="D2056" s="136" t="s">
        <v>28</v>
      </c>
      <c r="E2056" s="137">
        <v>9</v>
      </c>
      <c r="F2056" s="232">
        <v>0</v>
      </c>
      <c r="G2056" s="232">
        <v>0</v>
      </c>
      <c r="H2056" s="138">
        <f t="shared" si="201"/>
        <v>0</v>
      </c>
      <c r="I2056" s="138">
        <f t="shared" si="202"/>
        <v>0</v>
      </c>
      <c r="J2056" s="48"/>
    </row>
    <row r="2057" spans="1:10" s="16" customFormat="1" ht="25.5" outlineLevel="3">
      <c r="A2057" s="91"/>
      <c r="B2057" s="35"/>
      <c r="C2057" s="411" t="s">
        <v>574</v>
      </c>
      <c r="D2057" s="136" t="s">
        <v>28</v>
      </c>
      <c r="E2057" s="137">
        <v>6</v>
      </c>
      <c r="F2057" s="232">
        <v>0</v>
      </c>
      <c r="G2057" s="232">
        <v>0</v>
      </c>
      <c r="H2057" s="138">
        <f t="shared" si="201"/>
        <v>0</v>
      </c>
      <c r="I2057" s="138">
        <f t="shared" si="202"/>
        <v>0</v>
      </c>
      <c r="J2057" s="48"/>
    </row>
    <row r="2058" spans="1:10" s="16" customFormat="1" ht="25.5" outlineLevel="3">
      <c r="A2058" s="91"/>
      <c r="B2058" s="35"/>
      <c r="C2058" s="411" t="s">
        <v>143</v>
      </c>
      <c r="D2058" s="136" t="s">
        <v>28</v>
      </c>
      <c r="E2058" s="137">
        <v>1</v>
      </c>
      <c r="F2058" s="232">
        <v>0</v>
      </c>
      <c r="G2058" s="232">
        <v>0</v>
      </c>
      <c r="H2058" s="138">
        <f t="shared" si="201"/>
        <v>0</v>
      </c>
      <c r="I2058" s="138">
        <f t="shared" si="202"/>
        <v>0</v>
      </c>
      <c r="J2058" s="48"/>
    </row>
    <row r="2059" spans="1:10" s="16" customFormat="1" ht="25.5" outlineLevel="3">
      <c r="A2059" s="91"/>
      <c r="B2059" s="35"/>
      <c r="C2059" s="411" t="s">
        <v>144</v>
      </c>
      <c r="D2059" s="136" t="s">
        <v>28</v>
      </c>
      <c r="E2059" s="137">
        <v>1</v>
      </c>
      <c r="F2059" s="232">
        <v>0</v>
      </c>
      <c r="G2059" s="232">
        <v>0</v>
      </c>
      <c r="H2059" s="138">
        <f t="shared" si="201"/>
        <v>0</v>
      </c>
      <c r="I2059" s="138">
        <f t="shared" si="202"/>
        <v>0</v>
      </c>
      <c r="J2059" s="48"/>
    </row>
    <row r="2060" spans="1:10" s="16" customFormat="1" ht="25.5" outlineLevel="3">
      <c r="A2060" s="91"/>
      <c r="B2060" s="35"/>
      <c r="C2060" s="411" t="s">
        <v>233</v>
      </c>
      <c r="D2060" s="136" t="s">
        <v>28</v>
      </c>
      <c r="E2060" s="137">
        <v>1</v>
      </c>
      <c r="F2060" s="232">
        <v>0</v>
      </c>
      <c r="G2060" s="232">
        <v>0</v>
      </c>
      <c r="H2060" s="138">
        <f t="shared" si="201"/>
        <v>0</v>
      </c>
      <c r="I2060" s="138">
        <f t="shared" si="202"/>
        <v>0</v>
      </c>
      <c r="J2060" s="48"/>
    </row>
    <row r="2061" spans="1:10" s="16" customFormat="1" ht="25.5" outlineLevel="3">
      <c r="A2061" s="91"/>
      <c r="B2061" s="35"/>
      <c r="C2061" s="411" t="s">
        <v>146</v>
      </c>
      <c r="D2061" s="136" t="s">
        <v>28</v>
      </c>
      <c r="E2061" s="137">
        <v>1</v>
      </c>
      <c r="F2061" s="232">
        <v>0</v>
      </c>
      <c r="G2061" s="232">
        <v>0</v>
      </c>
      <c r="H2061" s="138">
        <f t="shared" si="201"/>
        <v>0</v>
      </c>
      <c r="I2061" s="138">
        <f t="shared" si="202"/>
        <v>0</v>
      </c>
      <c r="J2061" s="48"/>
    </row>
    <row r="2062" spans="1:10" s="16" customFormat="1" ht="25.5" outlineLevel="3">
      <c r="A2062" s="91"/>
      <c r="B2062" s="35"/>
      <c r="C2062" s="411" t="s">
        <v>234</v>
      </c>
      <c r="D2062" s="136" t="s">
        <v>28</v>
      </c>
      <c r="E2062" s="137">
        <v>3</v>
      </c>
      <c r="F2062" s="232">
        <v>0</v>
      </c>
      <c r="G2062" s="232">
        <v>0</v>
      </c>
      <c r="H2062" s="138">
        <f t="shared" si="201"/>
        <v>0</v>
      </c>
      <c r="I2062" s="138">
        <f t="shared" si="202"/>
        <v>0</v>
      </c>
      <c r="J2062" s="48"/>
    </row>
    <row r="2063" spans="1:10" s="16" customFormat="1" ht="25.5" outlineLevel="3">
      <c r="A2063" s="91"/>
      <c r="B2063" s="35"/>
      <c r="C2063" s="112" t="s">
        <v>148</v>
      </c>
      <c r="D2063" s="136"/>
      <c r="E2063" s="137"/>
      <c r="F2063" s="232">
        <v>0</v>
      </c>
      <c r="G2063" s="232">
        <v>0</v>
      </c>
      <c r="H2063" s="183"/>
      <c r="I2063" s="183"/>
      <c r="J2063" s="48"/>
    </row>
    <row r="2064" spans="1:10" s="16" customFormat="1" ht="25.5" outlineLevel="3">
      <c r="A2064" s="91"/>
      <c r="B2064" s="35"/>
      <c r="C2064" s="420" t="s">
        <v>149</v>
      </c>
      <c r="D2064" s="136" t="s">
        <v>28</v>
      </c>
      <c r="E2064" s="137">
        <v>13</v>
      </c>
      <c r="F2064" s="232">
        <v>0</v>
      </c>
      <c r="G2064" s="232">
        <v>0</v>
      </c>
      <c r="H2064" s="138">
        <f t="shared" ref="H2064:H2070" si="203">G2064+F2064</f>
        <v>0</v>
      </c>
      <c r="I2064" s="138">
        <f t="shared" ref="I2064:I2070" si="204">H2064*E2064</f>
        <v>0</v>
      </c>
      <c r="J2064" s="48"/>
    </row>
    <row r="2065" spans="1:10" s="16" customFormat="1" ht="25.5" outlineLevel="3">
      <c r="A2065" s="91"/>
      <c r="B2065" s="35"/>
      <c r="C2065" s="420" t="s">
        <v>1079</v>
      </c>
      <c r="D2065" s="136" t="s">
        <v>28</v>
      </c>
      <c r="E2065" s="137">
        <v>12</v>
      </c>
      <c r="F2065" s="232">
        <v>0</v>
      </c>
      <c r="G2065" s="232">
        <v>0</v>
      </c>
      <c r="H2065" s="138">
        <f t="shared" si="203"/>
        <v>0</v>
      </c>
      <c r="I2065" s="138">
        <f t="shared" si="204"/>
        <v>0</v>
      </c>
      <c r="J2065" s="48"/>
    </row>
    <row r="2066" spans="1:10" s="16" customFormat="1" ht="25.5" outlineLevel="3">
      <c r="A2066" s="91"/>
      <c r="B2066" s="35"/>
      <c r="C2066" s="420" t="s">
        <v>151</v>
      </c>
      <c r="D2066" s="136" t="s">
        <v>28</v>
      </c>
      <c r="E2066" s="137">
        <v>1</v>
      </c>
      <c r="F2066" s="232">
        <v>0</v>
      </c>
      <c r="G2066" s="232">
        <v>0</v>
      </c>
      <c r="H2066" s="138">
        <f t="shared" si="203"/>
        <v>0</v>
      </c>
      <c r="I2066" s="138">
        <f t="shared" si="204"/>
        <v>0</v>
      </c>
      <c r="J2066" s="48"/>
    </row>
    <row r="2067" spans="1:10" s="16" customFormat="1" ht="25.5" outlineLevel="3">
      <c r="A2067" s="91"/>
      <c r="B2067" s="35"/>
      <c r="C2067" s="420" t="s">
        <v>203</v>
      </c>
      <c r="D2067" s="136" t="s">
        <v>28</v>
      </c>
      <c r="E2067" s="137">
        <v>1</v>
      </c>
      <c r="F2067" s="232">
        <v>0</v>
      </c>
      <c r="G2067" s="232">
        <v>0</v>
      </c>
      <c r="H2067" s="138">
        <f t="shared" si="203"/>
        <v>0</v>
      </c>
      <c r="I2067" s="138">
        <f t="shared" si="204"/>
        <v>0</v>
      </c>
      <c r="J2067" s="48"/>
    </row>
    <row r="2068" spans="1:10" s="16" customFormat="1" ht="25.5" outlineLevel="3">
      <c r="A2068" s="91"/>
      <c r="B2068" s="35"/>
      <c r="C2068" s="411" t="s">
        <v>161</v>
      </c>
      <c r="D2068" s="136" t="s">
        <v>194</v>
      </c>
      <c r="E2068" s="137">
        <v>1</v>
      </c>
      <c r="F2068" s="232">
        <v>0</v>
      </c>
      <c r="G2068" s="232">
        <v>0</v>
      </c>
      <c r="H2068" s="138">
        <f t="shared" si="203"/>
        <v>0</v>
      </c>
      <c r="I2068" s="138">
        <f t="shared" si="204"/>
        <v>0</v>
      </c>
      <c r="J2068" s="48"/>
    </row>
    <row r="2069" spans="1:10" s="16" customFormat="1" ht="25.5" outlineLevel="3">
      <c r="A2069" s="91"/>
      <c r="B2069" s="35"/>
      <c r="C2069" s="419" t="s">
        <v>1436</v>
      </c>
      <c r="D2069" s="136" t="s">
        <v>38</v>
      </c>
      <c r="E2069" s="137">
        <v>1</v>
      </c>
      <c r="F2069" s="232">
        <v>0</v>
      </c>
      <c r="G2069" s="232">
        <v>0</v>
      </c>
      <c r="H2069" s="138">
        <f t="shared" si="203"/>
        <v>0</v>
      </c>
      <c r="I2069" s="138">
        <f t="shared" si="204"/>
        <v>0</v>
      </c>
      <c r="J2069" s="48"/>
    </row>
    <row r="2070" spans="1:10" s="16" customFormat="1" ht="25.5" outlineLevel="3">
      <c r="A2070" s="91"/>
      <c r="B2070" s="35">
        <f>MAXA(B$5:B2069)+1</f>
        <v>1067</v>
      </c>
      <c r="C2070" s="420" t="s">
        <v>2123</v>
      </c>
      <c r="D2070" s="136" t="s">
        <v>38</v>
      </c>
      <c r="E2070" s="137">
        <v>1</v>
      </c>
      <c r="F2070" s="232">
        <v>3031958</v>
      </c>
      <c r="G2070" s="232">
        <v>1563188</v>
      </c>
      <c r="H2070" s="138">
        <f t="shared" si="203"/>
        <v>4595146</v>
      </c>
      <c r="I2070" s="138">
        <f t="shared" si="204"/>
        <v>4595146</v>
      </c>
      <c r="J2070" s="48"/>
    </row>
    <row r="2071" spans="1:10" s="16" customFormat="1" ht="25.5" outlineLevel="3">
      <c r="A2071" s="91"/>
      <c r="B2071" s="35"/>
      <c r="C2071" s="112" t="s">
        <v>141</v>
      </c>
      <c r="D2071" s="136"/>
      <c r="E2071" s="137"/>
      <c r="F2071" s="232">
        <v>0</v>
      </c>
      <c r="G2071" s="232">
        <v>0</v>
      </c>
      <c r="H2071" s="183"/>
      <c r="I2071" s="183"/>
      <c r="J2071" s="48"/>
    </row>
    <row r="2072" spans="1:10" s="16" customFormat="1" ht="25.5" outlineLevel="3">
      <c r="A2072" s="91"/>
      <c r="B2072" s="35"/>
      <c r="C2072" s="420" t="s">
        <v>1082</v>
      </c>
      <c r="D2072" s="136" t="s">
        <v>28</v>
      </c>
      <c r="E2072" s="137">
        <v>1</v>
      </c>
      <c r="F2072" s="232">
        <v>0</v>
      </c>
      <c r="G2072" s="232">
        <v>0</v>
      </c>
      <c r="H2072" s="138">
        <f>G2072+F2072</f>
        <v>0</v>
      </c>
      <c r="I2072" s="138">
        <f>H2072*E2072</f>
        <v>0</v>
      </c>
      <c r="J2072" s="48"/>
    </row>
    <row r="2073" spans="1:10" s="16" customFormat="1" ht="25.5" outlineLevel="3">
      <c r="A2073" s="91"/>
      <c r="B2073" s="35"/>
      <c r="C2073" s="411" t="s">
        <v>573</v>
      </c>
      <c r="D2073" s="136" t="s">
        <v>28</v>
      </c>
      <c r="E2073" s="137">
        <v>1</v>
      </c>
      <c r="F2073" s="232">
        <v>0</v>
      </c>
      <c r="G2073" s="232">
        <v>0</v>
      </c>
      <c r="H2073" s="138">
        <f>G2073+F2073</f>
        <v>0</v>
      </c>
      <c r="I2073" s="138">
        <f>H2073*E2073</f>
        <v>0</v>
      </c>
      <c r="J2073" s="48"/>
    </row>
    <row r="2074" spans="1:10" s="16" customFormat="1" ht="25.5" outlineLevel="3">
      <c r="A2074" s="91"/>
      <c r="B2074" s="35"/>
      <c r="C2074" s="411" t="s">
        <v>1439</v>
      </c>
      <c r="D2074" s="136" t="s">
        <v>28</v>
      </c>
      <c r="E2074" s="137">
        <v>1</v>
      </c>
      <c r="F2074" s="232">
        <v>0</v>
      </c>
      <c r="G2074" s="232">
        <v>0</v>
      </c>
      <c r="H2074" s="138">
        <f>G2074+F2074</f>
        <v>0</v>
      </c>
      <c r="I2074" s="138">
        <f>H2074*E2074</f>
        <v>0</v>
      </c>
      <c r="J2074" s="48"/>
    </row>
    <row r="2075" spans="1:10" s="16" customFormat="1" ht="25.5" outlineLevel="3">
      <c r="A2075" s="91"/>
      <c r="B2075" s="35"/>
      <c r="C2075" s="112" t="s">
        <v>148</v>
      </c>
      <c r="D2075" s="136"/>
      <c r="E2075" s="137"/>
      <c r="F2075" s="232">
        <v>0</v>
      </c>
      <c r="G2075" s="232">
        <v>0</v>
      </c>
      <c r="H2075" s="183"/>
      <c r="I2075" s="183"/>
      <c r="J2075" s="48"/>
    </row>
    <row r="2076" spans="1:10" s="16" customFormat="1" ht="25.5" outlineLevel="3">
      <c r="A2076" s="91"/>
      <c r="B2076" s="35"/>
      <c r="C2076" s="420" t="s">
        <v>170</v>
      </c>
      <c r="D2076" s="136" t="s">
        <v>28</v>
      </c>
      <c r="E2076" s="137">
        <v>4</v>
      </c>
      <c r="F2076" s="232">
        <v>0</v>
      </c>
      <c r="G2076" s="232">
        <v>0</v>
      </c>
      <c r="H2076" s="138">
        <f>G2076+F2076</f>
        <v>0</v>
      </c>
      <c r="I2076" s="138">
        <f>H2076*E2076</f>
        <v>0</v>
      </c>
      <c r="J2076" s="48"/>
    </row>
    <row r="2077" spans="1:10" s="16" customFormat="1" ht="25.5" outlineLevel="3">
      <c r="A2077" s="91"/>
      <c r="B2077" s="35"/>
      <c r="C2077" s="419" t="s">
        <v>1436</v>
      </c>
      <c r="D2077" s="136" t="s">
        <v>38</v>
      </c>
      <c r="E2077" s="137">
        <v>1</v>
      </c>
      <c r="F2077" s="232">
        <v>0</v>
      </c>
      <c r="G2077" s="232">
        <v>0</v>
      </c>
      <c r="H2077" s="138">
        <f>G2077+F2077</f>
        <v>0</v>
      </c>
      <c r="I2077" s="138">
        <f>H2077*E2077</f>
        <v>0</v>
      </c>
      <c r="J2077" s="48"/>
    </row>
    <row r="2078" spans="1:10" s="16" customFormat="1" ht="25.5" outlineLevel="3">
      <c r="A2078" s="91"/>
      <c r="B2078" s="35">
        <f>MAXA(B$5:B2077)+1</f>
        <v>1068</v>
      </c>
      <c r="C2078" s="420" t="s">
        <v>2124</v>
      </c>
      <c r="D2078" s="136" t="s">
        <v>44</v>
      </c>
      <c r="E2078" s="137">
        <v>3</v>
      </c>
      <c r="F2078" s="232">
        <v>2907707</v>
      </c>
      <c r="G2078" s="232">
        <v>1563188</v>
      </c>
      <c r="H2078" s="138">
        <f>G2078+F2078</f>
        <v>4470895</v>
      </c>
      <c r="I2078" s="138">
        <f>H2078*E2078</f>
        <v>13412685</v>
      </c>
      <c r="J2078" s="48"/>
    </row>
    <row r="2079" spans="1:10" s="16" customFormat="1" ht="25.5" outlineLevel="3">
      <c r="A2079" s="91"/>
      <c r="B2079" s="35"/>
      <c r="C2079" s="112" t="s">
        <v>141</v>
      </c>
      <c r="D2079" s="136"/>
      <c r="E2079" s="137"/>
      <c r="F2079" s="232">
        <v>0</v>
      </c>
      <c r="G2079" s="232">
        <v>0</v>
      </c>
      <c r="H2079" s="183"/>
      <c r="I2079" s="183"/>
      <c r="J2079" s="48"/>
    </row>
    <row r="2080" spans="1:10" s="16" customFormat="1" ht="25.5" outlineLevel="3">
      <c r="A2080" s="91"/>
      <c r="B2080" s="35"/>
      <c r="C2080" s="420" t="s">
        <v>1082</v>
      </c>
      <c r="D2080" s="136" t="s">
        <v>28</v>
      </c>
      <c r="E2080" s="137">
        <v>3</v>
      </c>
      <c r="F2080" s="232">
        <v>0</v>
      </c>
      <c r="G2080" s="232">
        <v>0</v>
      </c>
      <c r="H2080" s="138">
        <f>G2080+F2080</f>
        <v>0</v>
      </c>
      <c r="I2080" s="138">
        <f>H2080*E2080</f>
        <v>0</v>
      </c>
      <c r="J2080" s="48"/>
    </row>
    <row r="2081" spans="1:10" s="16" customFormat="1" ht="25.5" outlineLevel="3">
      <c r="A2081" s="91"/>
      <c r="B2081" s="35"/>
      <c r="C2081" s="411" t="s">
        <v>573</v>
      </c>
      <c r="D2081" s="136" t="s">
        <v>28</v>
      </c>
      <c r="E2081" s="137">
        <v>3</v>
      </c>
      <c r="F2081" s="232">
        <v>0</v>
      </c>
      <c r="G2081" s="232">
        <v>0</v>
      </c>
      <c r="H2081" s="138">
        <f>G2081+F2081</f>
        <v>0</v>
      </c>
      <c r="I2081" s="138">
        <f>H2081*E2081</f>
        <v>0</v>
      </c>
      <c r="J2081" s="48"/>
    </row>
    <row r="2082" spans="1:10" s="16" customFormat="1" ht="25.5" outlineLevel="3">
      <c r="A2082" s="91"/>
      <c r="B2082" s="35"/>
      <c r="C2082" s="411" t="s">
        <v>1439</v>
      </c>
      <c r="D2082" s="136" t="s">
        <v>28</v>
      </c>
      <c r="E2082" s="137">
        <v>3</v>
      </c>
      <c r="F2082" s="232">
        <v>0</v>
      </c>
      <c r="G2082" s="232">
        <v>0</v>
      </c>
      <c r="H2082" s="138">
        <f>G2082+F2082</f>
        <v>0</v>
      </c>
      <c r="I2082" s="138">
        <f>H2082*E2082</f>
        <v>0</v>
      </c>
      <c r="J2082" s="48"/>
    </row>
    <row r="2083" spans="1:10" s="16" customFormat="1" ht="25.5" outlineLevel="3">
      <c r="A2083" s="91"/>
      <c r="B2083" s="35"/>
      <c r="C2083" s="112" t="s">
        <v>148</v>
      </c>
      <c r="D2083" s="136"/>
      <c r="E2083" s="137"/>
      <c r="F2083" s="232">
        <v>0</v>
      </c>
      <c r="G2083" s="232">
        <v>0</v>
      </c>
      <c r="H2083" s="183"/>
      <c r="I2083" s="183"/>
      <c r="J2083" s="48"/>
    </row>
    <row r="2084" spans="1:10" s="16" customFormat="1" ht="25.5" outlineLevel="3">
      <c r="A2084" s="91"/>
      <c r="B2084" s="35"/>
      <c r="C2084" s="420" t="s">
        <v>170</v>
      </c>
      <c r="D2084" s="136" t="s">
        <v>28</v>
      </c>
      <c r="E2084" s="137">
        <v>9</v>
      </c>
      <c r="F2084" s="232">
        <v>0</v>
      </c>
      <c r="G2084" s="232">
        <v>0</v>
      </c>
      <c r="H2084" s="138">
        <f>G2084+F2084</f>
        <v>0</v>
      </c>
      <c r="I2084" s="138">
        <f>H2084*E2084</f>
        <v>0</v>
      </c>
      <c r="J2084" s="48"/>
    </row>
    <row r="2085" spans="1:10" s="16" customFormat="1" ht="25.5" outlineLevel="3">
      <c r="A2085" s="91"/>
      <c r="B2085" s="35"/>
      <c r="C2085" s="419" t="s">
        <v>1436</v>
      </c>
      <c r="D2085" s="136" t="s">
        <v>38</v>
      </c>
      <c r="E2085" s="137">
        <v>3</v>
      </c>
      <c r="F2085" s="232">
        <v>0</v>
      </c>
      <c r="G2085" s="232">
        <v>0</v>
      </c>
      <c r="H2085" s="138">
        <f>G2085+F2085</f>
        <v>0</v>
      </c>
      <c r="I2085" s="138">
        <f>H2085*E2085</f>
        <v>0</v>
      </c>
      <c r="J2085" s="48"/>
    </row>
    <row r="2086" spans="1:10" s="16" customFormat="1" ht="25.5" outlineLevel="3">
      <c r="A2086" s="91"/>
      <c r="B2086" s="35">
        <f>MAXA(B$5:B2085)+1</f>
        <v>1069</v>
      </c>
      <c r="C2086" s="420" t="s">
        <v>2125</v>
      </c>
      <c r="D2086" s="136" t="s">
        <v>38</v>
      </c>
      <c r="E2086" s="137">
        <v>1</v>
      </c>
      <c r="F2086" s="232">
        <v>3031958</v>
      </c>
      <c r="G2086" s="232">
        <v>1563188</v>
      </c>
      <c r="H2086" s="138">
        <f>G2086+F2086</f>
        <v>4595146</v>
      </c>
      <c r="I2086" s="138">
        <f>H2086*E2086</f>
        <v>4595146</v>
      </c>
      <c r="J2086" s="48"/>
    </row>
    <row r="2087" spans="1:10" s="16" customFormat="1" ht="25.5" outlineLevel="3">
      <c r="A2087" s="91"/>
      <c r="B2087" s="35"/>
      <c r="C2087" s="112" t="s">
        <v>141</v>
      </c>
      <c r="D2087" s="136"/>
      <c r="E2087" s="137"/>
      <c r="F2087" s="232">
        <v>0</v>
      </c>
      <c r="G2087" s="232">
        <v>0</v>
      </c>
      <c r="H2087" s="183"/>
      <c r="I2087" s="183"/>
      <c r="J2087" s="48"/>
    </row>
    <row r="2088" spans="1:10" s="16" customFormat="1" ht="25.5" outlineLevel="3">
      <c r="A2088" s="91"/>
      <c r="B2088" s="35"/>
      <c r="C2088" s="420" t="s">
        <v>1082</v>
      </c>
      <c r="D2088" s="136" t="s">
        <v>28</v>
      </c>
      <c r="E2088" s="137">
        <v>1</v>
      </c>
      <c r="F2088" s="232">
        <v>0</v>
      </c>
      <c r="G2088" s="232">
        <v>0</v>
      </c>
      <c r="H2088" s="138">
        <f>G2088+F2088</f>
        <v>0</v>
      </c>
      <c r="I2088" s="138">
        <f>H2088*E2088</f>
        <v>0</v>
      </c>
      <c r="J2088" s="48"/>
    </row>
    <row r="2089" spans="1:10" s="16" customFormat="1" ht="25.5" outlineLevel="3">
      <c r="A2089" s="91"/>
      <c r="B2089" s="35"/>
      <c r="C2089" s="411" t="s">
        <v>573</v>
      </c>
      <c r="D2089" s="136" t="s">
        <v>28</v>
      </c>
      <c r="E2089" s="137">
        <v>1</v>
      </c>
      <c r="F2089" s="232">
        <v>0</v>
      </c>
      <c r="G2089" s="232">
        <v>0</v>
      </c>
      <c r="H2089" s="138">
        <f>G2089+F2089</f>
        <v>0</v>
      </c>
      <c r="I2089" s="138">
        <f>H2089*E2089</f>
        <v>0</v>
      </c>
      <c r="J2089" s="48"/>
    </row>
    <row r="2090" spans="1:10" s="16" customFormat="1" ht="25.5" outlineLevel="3">
      <c r="A2090" s="91"/>
      <c r="B2090" s="35"/>
      <c r="C2090" s="411" t="s">
        <v>1439</v>
      </c>
      <c r="D2090" s="136" t="s">
        <v>28</v>
      </c>
      <c r="E2090" s="137">
        <v>1</v>
      </c>
      <c r="F2090" s="232">
        <v>0</v>
      </c>
      <c r="G2090" s="232">
        <v>0</v>
      </c>
      <c r="H2090" s="138">
        <f>G2090+F2090</f>
        <v>0</v>
      </c>
      <c r="I2090" s="138">
        <f>H2090*E2090</f>
        <v>0</v>
      </c>
      <c r="J2090" s="48"/>
    </row>
    <row r="2091" spans="1:10" s="16" customFormat="1" ht="25.5" outlineLevel="3">
      <c r="A2091" s="91"/>
      <c r="B2091" s="35"/>
      <c r="C2091" s="112" t="s">
        <v>148</v>
      </c>
      <c r="D2091" s="136"/>
      <c r="E2091" s="137"/>
      <c r="F2091" s="232">
        <v>0</v>
      </c>
      <c r="G2091" s="232">
        <v>0</v>
      </c>
      <c r="H2091" s="183"/>
      <c r="I2091" s="183"/>
      <c r="J2091" s="48"/>
    </row>
    <row r="2092" spans="1:10" s="16" customFormat="1" ht="25.5" outlineLevel="3">
      <c r="A2092" s="91"/>
      <c r="B2092" s="35"/>
      <c r="C2092" s="420" t="s">
        <v>170</v>
      </c>
      <c r="D2092" s="136" t="s">
        <v>28</v>
      </c>
      <c r="E2092" s="137">
        <v>4</v>
      </c>
      <c r="F2092" s="232">
        <v>0</v>
      </c>
      <c r="G2092" s="232">
        <v>0</v>
      </c>
      <c r="H2092" s="138">
        <f>G2092+F2092</f>
        <v>0</v>
      </c>
      <c r="I2092" s="138">
        <f>H2092*E2092</f>
        <v>0</v>
      </c>
      <c r="J2092" s="48"/>
    </row>
    <row r="2093" spans="1:10" s="16" customFormat="1" ht="25.5" outlineLevel="3">
      <c r="A2093" s="91"/>
      <c r="B2093" s="35"/>
      <c r="C2093" s="419" t="s">
        <v>1436</v>
      </c>
      <c r="D2093" s="136" t="s">
        <v>38</v>
      </c>
      <c r="E2093" s="137">
        <v>1</v>
      </c>
      <c r="F2093" s="232">
        <v>0</v>
      </c>
      <c r="G2093" s="232">
        <v>0</v>
      </c>
      <c r="H2093" s="138">
        <f>G2093+F2093</f>
        <v>0</v>
      </c>
      <c r="I2093" s="138">
        <f>H2093*E2093</f>
        <v>0</v>
      </c>
      <c r="J2093" s="48"/>
    </row>
    <row r="2094" spans="1:10" s="16" customFormat="1" ht="25.5" outlineLevel="3">
      <c r="A2094" s="91"/>
      <c r="B2094" s="35">
        <f>MAXA(B$5:B2093)+1</f>
        <v>1070</v>
      </c>
      <c r="C2094" s="420" t="s">
        <v>2126</v>
      </c>
      <c r="D2094" s="136" t="s">
        <v>38</v>
      </c>
      <c r="E2094" s="137">
        <v>1</v>
      </c>
      <c r="F2094" s="232">
        <v>3156210</v>
      </c>
      <c r="G2094" s="232">
        <v>1563188</v>
      </c>
      <c r="H2094" s="138">
        <f>G2094+F2094</f>
        <v>4719398</v>
      </c>
      <c r="I2094" s="138">
        <f>H2094*E2094</f>
        <v>4719398</v>
      </c>
      <c r="J2094" s="48"/>
    </row>
    <row r="2095" spans="1:10" s="16" customFormat="1" ht="25.5" outlineLevel="3">
      <c r="A2095" s="91"/>
      <c r="B2095" s="35"/>
      <c r="C2095" s="112" t="s">
        <v>141</v>
      </c>
      <c r="D2095" s="136"/>
      <c r="E2095" s="137"/>
      <c r="F2095" s="232">
        <v>0</v>
      </c>
      <c r="G2095" s="232">
        <v>0</v>
      </c>
      <c r="H2095" s="183"/>
      <c r="I2095" s="183"/>
      <c r="J2095" s="48"/>
    </row>
    <row r="2096" spans="1:10" s="16" customFormat="1" ht="25.5" outlineLevel="3">
      <c r="A2096" s="91"/>
      <c r="B2096" s="35"/>
      <c r="C2096" s="420" t="s">
        <v>1082</v>
      </c>
      <c r="D2096" s="136" t="s">
        <v>28</v>
      </c>
      <c r="E2096" s="137">
        <v>1</v>
      </c>
      <c r="F2096" s="232">
        <v>0</v>
      </c>
      <c r="G2096" s="232">
        <v>0</v>
      </c>
      <c r="H2096" s="138">
        <f>G2096+F2096</f>
        <v>0</v>
      </c>
      <c r="I2096" s="138">
        <f>H2096*E2096</f>
        <v>0</v>
      </c>
      <c r="J2096" s="48"/>
    </row>
    <row r="2097" spans="1:10" s="16" customFormat="1" ht="25.5" outlineLevel="3">
      <c r="A2097" s="91"/>
      <c r="B2097" s="35"/>
      <c r="C2097" s="411" t="s">
        <v>573</v>
      </c>
      <c r="D2097" s="136" t="s">
        <v>28</v>
      </c>
      <c r="E2097" s="137">
        <v>1</v>
      </c>
      <c r="F2097" s="232">
        <v>0</v>
      </c>
      <c r="G2097" s="232">
        <v>0</v>
      </c>
      <c r="H2097" s="138">
        <f>G2097+F2097</f>
        <v>0</v>
      </c>
      <c r="I2097" s="138">
        <f>H2097*E2097</f>
        <v>0</v>
      </c>
      <c r="J2097" s="48"/>
    </row>
    <row r="2098" spans="1:10" s="16" customFormat="1" ht="25.5" outlineLevel="3">
      <c r="A2098" s="91"/>
      <c r="B2098" s="35"/>
      <c r="C2098" s="411" t="s">
        <v>1439</v>
      </c>
      <c r="D2098" s="136" t="s">
        <v>28</v>
      </c>
      <c r="E2098" s="137">
        <v>1</v>
      </c>
      <c r="F2098" s="232">
        <v>0</v>
      </c>
      <c r="G2098" s="232">
        <v>0</v>
      </c>
      <c r="H2098" s="138">
        <f>G2098+F2098</f>
        <v>0</v>
      </c>
      <c r="I2098" s="138">
        <f>H2098*E2098</f>
        <v>0</v>
      </c>
      <c r="J2098" s="48"/>
    </row>
    <row r="2099" spans="1:10" s="16" customFormat="1" ht="25.5" outlineLevel="3">
      <c r="A2099" s="91"/>
      <c r="B2099" s="35"/>
      <c r="C2099" s="112" t="s">
        <v>148</v>
      </c>
      <c r="D2099" s="136"/>
      <c r="E2099" s="137"/>
      <c r="F2099" s="232">
        <v>0</v>
      </c>
      <c r="G2099" s="232">
        <v>0</v>
      </c>
      <c r="H2099" s="183"/>
      <c r="I2099" s="183"/>
      <c r="J2099" s="48"/>
    </row>
    <row r="2100" spans="1:10" s="16" customFormat="1" ht="25.5" outlineLevel="3">
      <c r="A2100" s="91"/>
      <c r="B2100" s="35"/>
      <c r="C2100" s="420" t="s">
        <v>170</v>
      </c>
      <c r="D2100" s="136" t="s">
        <v>28</v>
      </c>
      <c r="E2100" s="137">
        <v>6</v>
      </c>
      <c r="F2100" s="232">
        <v>0</v>
      </c>
      <c r="G2100" s="232">
        <v>0</v>
      </c>
      <c r="H2100" s="138">
        <f>G2100+F2100</f>
        <v>0</v>
      </c>
      <c r="I2100" s="138">
        <f>H2100*E2100</f>
        <v>0</v>
      </c>
      <c r="J2100" s="48"/>
    </row>
    <row r="2101" spans="1:10" s="16" customFormat="1" ht="25.5" outlineLevel="3">
      <c r="A2101" s="91"/>
      <c r="B2101" s="35"/>
      <c r="C2101" s="419" t="s">
        <v>1436</v>
      </c>
      <c r="D2101" s="136" t="s">
        <v>38</v>
      </c>
      <c r="E2101" s="137">
        <v>1</v>
      </c>
      <c r="F2101" s="232">
        <v>0</v>
      </c>
      <c r="G2101" s="232">
        <v>0</v>
      </c>
      <c r="H2101" s="138">
        <f>G2101+F2101</f>
        <v>0</v>
      </c>
      <c r="I2101" s="138">
        <f>H2101*E2101</f>
        <v>0</v>
      </c>
      <c r="J2101" s="48"/>
    </row>
    <row r="2102" spans="1:10" s="16" customFormat="1" ht="25.5" outlineLevel="3">
      <c r="A2102" s="91"/>
      <c r="B2102" s="35">
        <f>MAXA(B$5:B2101)+1</f>
        <v>1071</v>
      </c>
      <c r="C2102" s="420" t="s">
        <v>2127</v>
      </c>
      <c r="D2102" s="136" t="s">
        <v>38</v>
      </c>
      <c r="E2102" s="137">
        <v>1</v>
      </c>
      <c r="F2102" s="232">
        <v>2783456</v>
      </c>
      <c r="G2102" s="232">
        <v>1563188</v>
      </c>
      <c r="H2102" s="138">
        <f>G2102+F2102</f>
        <v>4346644</v>
      </c>
      <c r="I2102" s="138">
        <f>H2102*E2102</f>
        <v>4346644</v>
      </c>
      <c r="J2102" s="48"/>
    </row>
    <row r="2103" spans="1:10" s="16" customFormat="1" ht="25.5" outlineLevel="3">
      <c r="A2103" s="91"/>
      <c r="B2103" s="35"/>
      <c r="C2103" s="112" t="s">
        <v>141</v>
      </c>
      <c r="D2103" s="136"/>
      <c r="E2103" s="137"/>
      <c r="F2103" s="232">
        <v>0</v>
      </c>
      <c r="G2103" s="232">
        <v>0</v>
      </c>
      <c r="H2103" s="183"/>
      <c r="I2103" s="183"/>
      <c r="J2103" s="48"/>
    </row>
    <row r="2104" spans="1:10" s="16" customFormat="1" ht="25.5" outlineLevel="3">
      <c r="A2104" s="91"/>
      <c r="B2104" s="35"/>
      <c r="C2104" s="420" t="s">
        <v>1082</v>
      </c>
      <c r="D2104" s="136" t="s">
        <v>28</v>
      </c>
      <c r="E2104" s="137">
        <v>1</v>
      </c>
      <c r="F2104" s="232">
        <v>0</v>
      </c>
      <c r="G2104" s="232">
        <v>0</v>
      </c>
      <c r="H2104" s="138">
        <f>G2104+F2104</f>
        <v>0</v>
      </c>
      <c r="I2104" s="138">
        <f>H2104*E2104</f>
        <v>0</v>
      </c>
      <c r="J2104" s="48"/>
    </row>
    <row r="2105" spans="1:10" s="16" customFormat="1" ht="25.5" outlineLevel="3">
      <c r="A2105" s="91"/>
      <c r="B2105" s="35"/>
      <c r="C2105" s="411" t="s">
        <v>573</v>
      </c>
      <c r="D2105" s="136" t="s">
        <v>28</v>
      </c>
      <c r="E2105" s="137">
        <v>1</v>
      </c>
      <c r="F2105" s="232">
        <v>0</v>
      </c>
      <c r="G2105" s="232">
        <v>0</v>
      </c>
      <c r="H2105" s="138">
        <f>G2105+F2105</f>
        <v>0</v>
      </c>
      <c r="I2105" s="138">
        <f>H2105*E2105</f>
        <v>0</v>
      </c>
      <c r="J2105" s="48"/>
    </row>
    <row r="2106" spans="1:10" s="16" customFormat="1" ht="25.5" outlineLevel="3">
      <c r="A2106" s="91"/>
      <c r="B2106" s="35"/>
      <c r="C2106" s="411" t="s">
        <v>1439</v>
      </c>
      <c r="D2106" s="136" t="s">
        <v>28</v>
      </c>
      <c r="E2106" s="137">
        <v>1</v>
      </c>
      <c r="F2106" s="232">
        <v>0</v>
      </c>
      <c r="G2106" s="232">
        <v>0</v>
      </c>
      <c r="H2106" s="138">
        <f>G2106+F2106</f>
        <v>0</v>
      </c>
      <c r="I2106" s="138">
        <f>H2106*E2106</f>
        <v>0</v>
      </c>
      <c r="J2106" s="48"/>
    </row>
    <row r="2107" spans="1:10" s="16" customFormat="1" ht="25.5" outlineLevel="3">
      <c r="A2107" s="91"/>
      <c r="B2107" s="35"/>
      <c r="C2107" s="112" t="s">
        <v>148</v>
      </c>
      <c r="D2107" s="136"/>
      <c r="E2107" s="137"/>
      <c r="F2107" s="232">
        <v>0</v>
      </c>
      <c r="G2107" s="232">
        <v>0</v>
      </c>
      <c r="H2107" s="183"/>
      <c r="I2107" s="183"/>
      <c r="J2107" s="48"/>
    </row>
    <row r="2108" spans="1:10" s="16" customFormat="1" ht="25.5" outlineLevel="3">
      <c r="A2108" s="91"/>
      <c r="B2108" s="35"/>
      <c r="C2108" s="420" t="s">
        <v>170</v>
      </c>
      <c r="D2108" s="136" t="s">
        <v>28</v>
      </c>
      <c r="E2108" s="137">
        <v>2</v>
      </c>
      <c r="F2108" s="232">
        <v>0</v>
      </c>
      <c r="G2108" s="232">
        <v>0</v>
      </c>
      <c r="H2108" s="138">
        <f>G2108+F2108</f>
        <v>0</v>
      </c>
      <c r="I2108" s="138">
        <f>H2108*E2108</f>
        <v>0</v>
      </c>
      <c r="J2108" s="48"/>
    </row>
    <row r="2109" spans="1:10" s="16" customFormat="1" ht="25.5" outlineLevel="3">
      <c r="A2109" s="91"/>
      <c r="B2109" s="35"/>
      <c r="C2109" s="419" t="s">
        <v>1436</v>
      </c>
      <c r="D2109" s="136" t="s">
        <v>38</v>
      </c>
      <c r="E2109" s="137">
        <v>1</v>
      </c>
      <c r="F2109" s="232">
        <v>0</v>
      </c>
      <c r="G2109" s="232">
        <v>0</v>
      </c>
      <c r="H2109" s="138">
        <f>G2109+F2109</f>
        <v>0</v>
      </c>
      <c r="I2109" s="138">
        <f>H2109*E2109</f>
        <v>0</v>
      </c>
      <c r="J2109" s="48"/>
    </row>
    <row r="2110" spans="1:10" s="16" customFormat="1" ht="25.5" outlineLevel="3">
      <c r="A2110" s="91"/>
      <c r="B2110" s="35">
        <f>MAXA(B$5:B2109)+1</f>
        <v>1072</v>
      </c>
      <c r="C2110" s="420" t="s">
        <v>2128</v>
      </c>
      <c r="D2110" s="136" t="s">
        <v>38</v>
      </c>
      <c r="E2110" s="137">
        <v>1</v>
      </c>
      <c r="F2110" s="232">
        <v>2907707</v>
      </c>
      <c r="G2110" s="232">
        <v>1563188</v>
      </c>
      <c r="H2110" s="138">
        <f>G2110+F2110</f>
        <v>4470895</v>
      </c>
      <c r="I2110" s="138">
        <f>H2110*E2110</f>
        <v>4470895</v>
      </c>
      <c r="J2110" s="48"/>
    </row>
    <row r="2111" spans="1:10" s="16" customFormat="1" ht="25.5" outlineLevel="3">
      <c r="A2111" s="91"/>
      <c r="B2111" s="35"/>
      <c r="C2111" s="112" t="s">
        <v>141</v>
      </c>
      <c r="D2111" s="136"/>
      <c r="E2111" s="137"/>
      <c r="F2111" s="232">
        <v>0</v>
      </c>
      <c r="G2111" s="232">
        <v>0</v>
      </c>
      <c r="H2111" s="183"/>
      <c r="I2111" s="183"/>
      <c r="J2111" s="48"/>
    </row>
    <row r="2112" spans="1:10" s="16" customFormat="1" ht="25.5" outlineLevel="3">
      <c r="A2112" s="91"/>
      <c r="B2112" s="35"/>
      <c r="C2112" s="420" t="s">
        <v>1082</v>
      </c>
      <c r="D2112" s="136" t="s">
        <v>28</v>
      </c>
      <c r="E2112" s="137">
        <v>1</v>
      </c>
      <c r="F2112" s="232">
        <v>0</v>
      </c>
      <c r="G2112" s="232">
        <v>0</v>
      </c>
      <c r="H2112" s="138">
        <f>G2112+F2112</f>
        <v>0</v>
      </c>
      <c r="I2112" s="138">
        <f>H2112*E2112</f>
        <v>0</v>
      </c>
      <c r="J2112" s="48"/>
    </row>
    <row r="2113" spans="1:10" s="16" customFormat="1" ht="25.5" outlineLevel="3">
      <c r="A2113" s="91"/>
      <c r="B2113" s="35"/>
      <c r="C2113" s="411" t="s">
        <v>573</v>
      </c>
      <c r="D2113" s="136" t="s">
        <v>28</v>
      </c>
      <c r="E2113" s="137">
        <v>1</v>
      </c>
      <c r="F2113" s="232">
        <v>0</v>
      </c>
      <c r="G2113" s="232">
        <v>0</v>
      </c>
      <c r="H2113" s="138">
        <f>G2113+F2113</f>
        <v>0</v>
      </c>
      <c r="I2113" s="138">
        <f>H2113*E2113</f>
        <v>0</v>
      </c>
      <c r="J2113" s="48"/>
    </row>
    <row r="2114" spans="1:10" s="16" customFormat="1" ht="25.5" outlineLevel="3">
      <c r="A2114" s="91"/>
      <c r="B2114" s="35"/>
      <c r="C2114" s="411" t="s">
        <v>1439</v>
      </c>
      <c r="D2114" s="136" t="s">
        <v>28</v>
      </c>
      <c r="E2114" s="137">
        <v>1</v>
      </c>
      <c r="F2114" s="232">
        <v>0</v>
      </c>
      <c r="G2114" s="232">
        <v>0</v>
      </c>
      <c r="H2114" s="138">
        <f>G2114+F2114</f>
        <v>0</v>
      </c>
      <c r="I2114" s="138">
        <f>H2114*E2114</f>
        <v>0</v>
      </c>
      <c r="J2114" s="48"/>
    </row>
    <row r="2115" spans="1:10" s="16" customFormat="1" ht="25.5" outlineLevel="3">
      <c r="A2115" s="91"/>
      <c r="B2115" s="35"/>
      <c r="C2115" s="112" t="s">
        <v>148</v>
      </c>
      <c r="D2115" s="136"/>
      <c r="E2115" s="137"/>
      <c r="F2115" s="232">
        <v>0</v>
      </c>
      <c r="G2115" s="232">
        <v>0</v>
      </c>
      <c r="H2115" s="183"/>
      <c r="I2115" s="183"/>
      <c r="J2115" s="48"/>
    </row>
    <row r="2116" spans="1:10" s="16" customFormat="1" ht="25.5" outlineLevel="3">
      <c r="A2116" s="91"/>
      <c r="B2116" s="35"/>
      <c r="C2116" s="420" t="s">
        <v>170</v>
      </c>
      <c r="D2116" s="136" t="s">
        <v>28</v>
      </c>
      <c r="E2116" s="137">
        <v>3</v>
      </c>
      <c r="F2116" s="232">
        <v>0</v>
      </c>
      <c r="G2116" s="232">
        <v>0</v>
      </c>
      <c r="H2116" s="138">
        <f>G2116+F2116</f>
        <v>0</v>
      </c>
      <c r="I2116" s="138">
        <f>H2116*E2116</f>
        <v>0</v>
      </c>
      <c r="J2116" s="48"/>
    </row>
    <row r="2117" spans="1:10" s="16" customFormat="1" ht="25.5" outlineLevel="3">
      <c r="A2117" s="91"/>
      <c r="B2117" s="35"/>
      <c r="C2117" s="419" t="s">
        <v>1436</v>
      </c>
      <c r="D2117" s="136" t="s">
        <v>38</v>
      </c>
      <c r="E2117" s="137">
        <v>1</v>
      </c>
      <c r="F2117" s="232">
        <v>0</v>
      </c>
      <c r="G2117" s="232">
        <v>0</v>
      </c>
      <c r="H2117" s="138">
        <f>G2117+F2117</f>
        <v>0</v>
      </c>
      <c r="I2117" s="138">
        <f>H2117*E2117</f>
        <v>0</v>
      </c>
      <c r="J2117" s="48"/>
    </row>
    <row r="2118" spans="1:10" s="16" customFormat="1" ht="25.5" outlineLevel="3">
      <c r="A2118" s="91"/>
      <c r="B2118" s="35">
        <f>MAXA(B$5:B2117)+1</f>
        <v>1073</v>
      </c>
      <c r="C2118" s="420" t="s">
        <v>2129</v>
      </c>
      <c r="D2118" s="136" t="s">
        <v>38</v>
      </c>
      <c r="E2118" s="137">
        <v>1</v>
      </c>
      <c r="F2118" s="232">
        <v>2783456</v>
      </c>
      <c r="G2118" s="232">
        <v>1563188</v>
      </c>
      <c r="H2118" s="138">
        <f>G2118+F2118</f>
        <v>4346644</v>
      </c>
      <c r="I2118" s="138">
        <f>H2118*E2118</f>
        <v>4346644</v>
      </c>
      <c r="J2118" s="48"/>
    </row>
    <row r="2119" spans="1:10" s="16" customFormat="1" ht="25.5" outlineLevel="3">
      <c r="A2119" s="91"/>
      <c r="B2119" s="35"/>
      <c r="C2119" s="112" t="s">
        <v>141</v>
      </c>
      <c r="D2119" s="136"/>
      <c r="E2119" s="137"/>
      <c r="F2119" s="232">
        <v>0</v>
      </c>
      <c r="G2119" s="232">
        <v>0</v>
      </c>
      <c r="H2119" s="183"/>
      <c r="I2119" s="183"/>
      <c r="J2119" s="48"/>
    </row>
    <row r="2120" spans="1:10" s="16" customFormat="1" ht="25.5" outlineLevel="3">
      <c r="A2120" s="91"/>
      <c r="B2120" s="35"/>
      <c r="C2120" s="420" t="s">
        <v>1082</v>
      </c>
      <c r="D2120" s="136" t="s">
        <v>28</v>
      </c>
      <c r="E2120" s="137">
        <v>1</v>
      </c>
      <c r="F2120" s="232">
        <v>0</v>
      </c>
      <c r="G2120" s="232">
        <v>0</v>
      </c>
      <c r="H2120" s="138">
        <f>G2120+F2120</f>
        <v>0</v>
      </c>
      <c r="I2120" s="138">
        <f>H2120*E2120</f>
        <v>0</v>
      </c>
      <c r="J2120" s="48"/>
    </row>
    <row r="2121" spans="1:10" s="16" customFormat="1" ht="25.5" outlineLevel="3">
      <c r="A2121" s="91"/>
      <c r="B2121" s="35"/>
      <c r="C2121" s="411" t="s">
        <v>573</v>
      </c>
      <c r="D2121" s="136" t="s">
        <v>28</v>
      </c>
      <c r="E2121" s="137">
        <v>1</v>
      </c>
      <c r="F2121" s="232">
        <v>0</v>
      </c>
      <c r="G2121" s="232">
        <v>0</v>
      </c>
      <c r="H2121" s="138">
        <f>G2121+F2121</f>
        <v>0</v>
      </c>
      <c r="I2121" s="138">
        <f>H2121*E2121</f>
        <v>0</v>
      </c>
      <c r="J2121" s="48"/>
    </row>
    <row r="2122" spans="1:10" s="16" customFormat="1" ht="25.5" outlineLevel="3">
      <c r="A2122" s="91"/>
      <c r="B2122" s="35"/>
      <c r="C2122" s="411" t="s">
        <v>1439</v>
      </c>
      <c r="D2122" s="136" t="s">
        <v>28</v>
      </c>
      <c r="E2122" s="137">
        <v>1</v>
      </c>
      <c r="F2122" s="232">
        <v>0</v>
      </c>
      <c r="G2122" s="232">
        <v>0</v>
      </c>
      <c r="H2122" s="138">
        <f>G2122+F2122</f>
        <v>0</v>
      </c>
      <c r="I2122" s="138">
        <f>H2122*E2122</f>
        <v>0</v>
      </c>
      <c r="J2122" s="48"/>
    </row>
    <row r="2123" spans="1:10" s="16" customFormat="1" ht="25.5" outlineLevel="3">
      <c r="A2123" s="91"/>
      <c r="B2123" s="35"/>
      <c r="C2123" s="112" t="s">
        <v>148</v>
      </c>
      <c r="D2123" s="136"/>
      <c r="E2123" s="137"/>
      <c r="F2123" s="232">
        <v>0</v>
      </c>
      <c r="G2123" s="232">
        <v>0</v>
      </c>
      <c r="H2123" s="183"/>
      <c r="I2123" s="183"/>
      <c r="J2123" s="48"/>
    </row>
    <row r="2124" spans="1:10" s="16" customFormat="1" ht="25.5" outlineLevel="3">
      <c r="A2124" s="91"/>
      <c r="B2124" s="35"/>
      <c r="C2124" s="420" t="s">
        <v>170</v>
      </c>
      <c r="D2124" s="136" t="s">
        <v>28</v>
      </c>
      <c r="E2124" s="137">
        <v>2</v>
      </c>
      <c r="F2124" s="232">
        <v>0</v>
      </c>
      <c r="G2124" s="232">
        <v>0</v>
      </c>
      <c r="H2124" s="138">
        <f>G2124+F2124</f>
        <v>0</v>
      </c>
      <c r="I2124" s="138">
        <f>H2124*E2124</f>
        <v>0</v>
      </c>
      <c r="J2124" s="48"/>
    </row>
    <row r="2125" spans="1:10" s="16" customFormat="1" ht="25.5" outlineLevel="3">
      <c r="A2125" s="91"/>
      <c r="B2125" s="35"/>
      <c r="C2125" s="419" t="s">
        <v>1436</v>
      </c>
      <c r="D2125" s="136" t="s">
        <v>38</v>
      </c>
      <c r="E2125" s="137">
        <v>1</v>
      </c>
      <c r="F2125" s="232">
        <v>0</v>
      </c>
      <c r="G2125" s="232">
        <v>0</v>
      </c>
      <c r="H2125" s="138">
        <f>G2125+F2125</f>
        <v>0</v>
      </c>
      <c r="I2125" s="138">
        <f>H2125*E2125</f>
        <v>0</v>
      </c>
      <c r="J2125" s="48"/>
    </row>
    <row r="2126" spans="1:10" s="16" customFormat="1" ht="25.5" outlineLevel="3">
      <c r="A2126" s="91"/>
      <c r="B2126" s="35">
        <f>MAXA(B$5:B2125)+1</f>
        <v>1074</v>
      </c>
      <c r="C2126" s="420" t="s">
        <v>1111</v>
      </c>
      <c r="D2126" s="136" t="s">
        <v>38</v>
      </c>
      <c r="E2126" s="137">
        <v>1</v>
      </c>
      <c r="F2126" s="232">
        <v>32830153</v>
      </c>
      <c r="G2126" s="232">
        <v>1563188</v>
      </c>
      <c r="H2126" s="138">
        <f>G2126+F2126</f>
        <v>34393341</v>
      </c>
      <c r="I2126" s="138">
        <f>H2126*E2126</f>
        <v>34393341</v>
      </c>
      <c r="J2126" s="48"/>
    </row>
    <row r="2127" spans="1:10" s="16" customFormat="1" ht="25.5" outlineLevel="3">
      <c r="A2127" s="91"/>
      <c r="B2127" s="35"/>
      <c r="C2127" s="112" t="s">
        <v>141</v>
      </c>
      <c r="D2127" s="136"/>
      <c r="E2127" s="137"/>
      <c r="F2127" s="232">
        <v>0</v>
      </c>
      <c r="G2127" s="232">
        <v>0</v>
      </c>
      <c r="H2127" s="183"/>
      <c r="I2127" s="183"/>
      <c r="J2127" s="48"/>
    </row>
    <row r="2128" spans="1:10" s="16" customFormat="1" ht="25.5" outlineLevel="3">
      <c r="A2128" s="91"/>
      <c r="B2128" s="35"/>
      <c r="C2128" s="420" t="s">
        <v>200</v>
      </c>
      <c r="D2128" s="136" t="s">
        <v>28</v>
      </c>
      <c r="E2128" s="137">
        <v>1</v>
      </c>
      <c r="F2128" s="232">
        <v>0</v>
      </c>
      <c r="G2128" s="232">
        <v>0</v>
      </c>
      <c r="H2128" s="138">
        <f t="shared" ref="H2128:H2135" si="205">G2128+F2128</f>
        <v>0</v>
      </c>
      <c r="I2128" s="138">
        <f t="shared" ref="I2128:I2135" si="206">H2128*E2128</f>
        <v>0</v>
      </c>
      <c r="J2128" s="48"/>
    </row>
    <row r="2129" spans="1:10" s="16" customFormat="1" ht="25.5" outlineLevel="3">
      <c r="A2129" s="91"/>
      <c r="B2129" s="35"/>
      <c r="C2129" s="411" t="s">
        <v>573</v>
      </c>
      <c r="D2129" s="136" t="s">
        <v>28</v>
      </c>
      <c r="E2129" s="137">
        <v>9</v>
      </c>
      <c r="F2129" s="232">
        <v>0</v>
      </c>
      <c r="G2129" s="232">
        <v>0</v>
      </c>
      <c r="H2129" s="138">
        <f t="shared" si="205"/>
        <v>0</v>
      </c>
      <c r="I2129" s="138">
        <f t="shared" si="206"/>
        <v>0</v>
      </c>
      <c r="J2129" s="48"/>
    </row>
    <row r="2130" spans="1:10" s="16" customFormat="1" ht="25.5" outlineLevel="3">
      <c r="A2130" s="91"/>
      <c r="B2130" s="35"/>
      <c r="C2130" s="411" t="s">
        <v>574</v>
      </c>
      <c r="D2130" s="136" t="s">
        <v>28</v>
      </c>
      <c r="E2130" s="137">
        <v>6</v>
      </c>
      <c r="F2130" s="232">
        <v>0</v>
      </c>
      <c r="G2130" s="232">
        <v>0</v>
      </c>
      <c r="H2130" s="138">
        <f t="shared" si="205"/>
        <v>0</v>
      </c>
      <c r="I2130" s="138">
        <f t="shared" si="206"/>
        <v>0</v>
      </c>
      <c r="J2130" s="48"/>
    </row>
    <row r="2131" spans="1:10" s="16" customFormat="1" ht="25.5" outlineLevel="3">
      <c r="A2131" s="91"/>
      <c r="B2131" s="35"/>
      <c r="C2131" s="411" t="s">
        <v>143</v>
      </c>
      <c r="D2131" s="136" t="s">
        <v>28</v>
      </c>
      <c r="E2131" s="137">
        <v>1</v>
      </c>
      <c r="F2131" s="232">
        <v>0</v>
      </c>
      <c r="G2131" s="232">
        <v>0</v>
      </c>
      <c r="H2131" s="138">
        <f t="shared" si="205"/>
        <v>0</v>
      </c>
      <c r="I2131" s="138">
        <f t="shared" si="206"/>
        <v>0</v>
      </c>
      <c r="J2131" s="48"/>
    </row>
    <row r="2132" spans="1:10" s="16" customFormat="1" ht="25.5" outlineLevel="3">
      <c r="A2132" s="91"/>
      <c r="B2132" s="35"/>
      <c r="C2132" s="411" t="s">
        <v>144</v>
      </c>
      <c r="D2132" s="136" t="s">
        <v>28</v>
      </c>
      <c r="E2132" s="137">
        <v>1</v>
      </c>
      <c r="F2132" s="232">
        <v>0</v>
      </c>
      <c r="G2132" s="232">
        <v>0</v>
      </c>
      <c r="H2132" s="138">
        <f t="shared" si="205"/>
        <v>0</v>
      </c>
      <c r="I2132" s="138">
        <f t="shared" si="206"/>
        <v>0</v>
      </c>
      <c r="J2132" s="48"/>
    </row>
    <row r="2133" spans="1:10" s="16" customFormat="1" ht="25.5" outlineLevel="3">
      <c r="A2133" s="91"/>
      <c r="B2133" s="35"/>
      <c r="C2133" s="411" t="s">
        <v>201</v>
      </c>
      <c r="D2133" s="136" t="s">
        <v>28</v>
      </c>
      <c r="E2133" s="137">
        <v>1</v>
      </c>
      <c r="F2133" s="232">
        <v>0</v>
      </c>
      <c r="G2133" s="232">
        <v>0</v>
      </c>
      <c r="H2133" s="138">
        <f t="shared" si="205"/>
        <v>0</v>
      </c>
      <c r="I2133" s="138">
        <f t="shared" si="206"/>
        <v>0</v>
      </c>
      <c r="J2133" s="48"/>
    </row>
    <row r="2134" spans="1:10" s="16" customFormat="1" ht="25.5" outlineLevel="3">
      <c r="A2134" s="91"/>
      <c r="B2134" s="35"/>
      <c r="C2134" s="411" t="s">
        <v>146</v>
      </c>
      <c r="D2134" s="136" t="s">
        <v>28</v>
      </c>
      <c r="E2134" s="137">
        <v>1</v>
      </c>
      <c r="F2134" s="232">
        <v>0</v>
      </c>
      <c r="G2134" s="232">
        <v>0</v>
      </c>
      <c r="H2134" s="138">
        <f t="shared" si="205"/>
        <v>0</v>
      </c>
      <c r="I2134" s="138">
        <f t="shared" si="206"/>
        <v>0</v>
      </c>
      <c r="J2134" s="48"/>
    </row>
    <row r="2135" spans="1:10" s="16" customFormat="1" ht="25.5" outlineLevel="3">
      <c r="A2135" s="91"/>
      <c r="B2135" s="35"/>
      <c r="C2135" s="419" t="s">
        <v>1078</v>
      </c>
      <c r="D2135" s="136" t="s">
        <v>28</v>
      </c>
      <c r="E2135" s="137">
        <v>3</v>
      </c>
      <c r="F2135" s="232">
        <v>0</v>
      </c>
      <c r="G2135" s="232">
        <v>0</v>
      </c>
      <c r="H2135" s="138">
        <f t="shared" si="205"/>
        <v>0</v>
      </c>
      <c r="I2135" s="138">
        <f t="shared" si="206"/>
        <v>0</v>
      </c>
      <c r="J2135" s="48"/>
    </row>
    <row r="2136" spans="1:10" s="16" customFormat="1" ht="25.5" outlineLevel="3">
      <c r="A2136" s="91"/>
      <c r="B2136" s="35"/>
      <c r="C2136" s="112" t="s">
        <v>148</v>
      </c>
      <c r="D2136" s="136"/>
      <c r="E2136" s="137"/>
      <c r="F2136" s="232">
        <v>0</v>
      </c>
      <c r="G2136" s="232">
        <v>0</v>
      </c>
      <c r="H2136" s="183"/>
      <c r="I2136" s="183"/>
      <c r="J2136" s="48"/>
    </row>
    <row r="2137" spans="1:10" s="16" customFormat="1" ht="25.5" outlineLevel="3">
      <c r="A2137" s="91"/>
      <c r="B2137" s="35"/>
      <c r="C2137" s="420" t="s">
        <v>149</v>
      </c>
      <c r="D2137" s="136" t="s">
        <v>28</v>
      </c>
      <c r="E2137" s="137">
        <v>11</v>
      </c>
      <c r="F2137" s="232">
        <v>0</v>
      </c>
      <c r="G2137" s="232">
        <v>0</v>
      </c>
      <c r="H2137" s="138">
        <f t="shared" ref="H2137:H2142" si="207">G2137+F2137</f>
        <v>0</v>
      </c>
      <c r="I2137" s="138">
        <f t="shared" ref="I2137:I2142" si="208">H2137*E2137</f>
        <v>0</v>
      </c>
      <c r="J2137" s="48"/>
    </row>
    <row r="2138" spans="1:10" s="16" customFormat="1" ht="25.5" outlineLevel="3">
      <c r="A2138" s="91"/>
      <c r="B2138" s="35"/>
      <c r="C2138" s="420" t="s">
        <v>1079</v>
      </c>
      <c r="D2138" s="136" t="s">
        <v>28</v>
      </c>
      <c r="E2138" s="137">
        <v>11</v>
      </c>
      <c r="F2138" s="232">
        <v>0</v>
      </c>
      <c r="G2138" s="232">
        <v>0</v>
      </c>
      <c r="H2138" s="138">
        <f t="shared" si="207"/>
        <v>0</v>
      </c>
      <c r="I2138" s="138">
        <f t="shared" si="208"/>
        <v>0</v>
      </c>
      <c r="J2138" s="48"/>
    </row>
    <row r="2139" spans="1:10" s="16" customFormat="1" ht="25.5" outlineLevel="3">
      <c r="A2139" s="91"/>
      <c r="B2139" s="35"/>
      <c r="C2139" s="420" t="s">
        <v>203</v>
      </c>
      <c r="D2139" s="136" t="s">
        <v>28</v>
      </c>
      <c r="E2139" s="137">
        <v>1</v>
      </c>
      <c r="F2139" s="232">
        <v>0</v>
      </c>
      <c r="G2139" s="232">
        <v>0</v>
      </c>
      <c r="H2139" s="138">
        <f t="shared" si="207"/>
        <v>0</v>
      </c>
      <c r="I2139" s="138">
        <f t="shared" si="208"/>
        <v>0</v>
      </c>
      <c r="J2139" s="48"/>
    </row>
    <row r="2140" spans="1:10" s="16" customFormat="1" ht="25.5" outlineLevel="3">
      <c r="A2140" s="91"/>
      <c r="B2140" s="35"/>
      <c r="C2140" s="411" t="s">
        <v>161</v>
      </c>
      <c r="D2140" s="136" t="s">
        <v>194</v>
      </c>
      <c r="E2140" s="137">
        <v>1</v>
      </c>
      <c r="F2140" s="232">
        <v>0</v>
      </c>
      <c r="G2140" s="232">
        <v>0</v>
      </c>
      <c r="H2140" s="138">
        <f t="shared" si="207"/>
        <v>0</v>
      </c>
      <c r="I2140" s="138">
        <f t="shared" si="208"/>
        <v>0</v>
      </c>
      <c r="J2140" s="48"/>
    </row>
    <row r="2141" spans="1:10" s="16" customFormat="1" ht="25.5" outlineLevel="3">
      <c r="A2141" s="91"/>
      <c r="B2141" s="35"/>
      <c r="C2141" s="419" t="s">
        <v>1436</v>
      </c>
      <c r="D2141" s="136" t="s">
        <v>38</v>
      </c>
      <c r="E2141" s="137">
        <v>1</v>
      </c>
      <c r="F2141" s="232">
        <v>0</v>
      </c>
      <c r="G2141" s="232">
        <v>0</v>
      </c>
      <c r="H2141" s="138">
        <f t="shared" si="207"/>
        <v>0</v>
      </c>
      <c r="I2141" s="138">
        <f t="shared" si="208"/>
        <v>0</v>
      </c>
      <c r="J2141" s="48"/>
    </row>
    <row r="2142" spans="1:10" s="16" customFormat="1" ht="25.5" outlineLevel="3">
      <c r="A2142" s="91"/>
      <c r="B2142" s="35">
        <f>MAXA(B$5:B2141)+1</f>
        <v>1075</v>
      </c>
      <c r="C2142" s="420" t="s">
        <v>2130</v>
      </c>
      <c r="D2142" s="136" t="s">
        <v>38</v>
      </c>
      <c r="E2142" s="137">
        <v>1</v>
      </c>
      <c r="F2142" s="232">
        <v>3031958</v>
      </c>
      <c r="G2142" s="232">
        <v>1563188</v>
      </c>
      <c r="H2142" s="138">
        <f t="shared" si="207"/>
        <v>4595146</v>
      </c>
      <c r="I2142" s="138">
        <f t="shared" si="208"/>
        <v>4595146</v>
      </c>
      <c r="J2142" s="48"/>
    </row>
    <row r="2143" spans="1:10" s="16" customFormat="1" ht="25.5" outlineLevel="3">
      <c r="A2143" s="91"/>
      <c r="B2143" s="35"/>
      <c r="C2143" s="112" t="s">
        <v>141</v>
      </c>
      <c r="D2143" s="136"/>
      <c r="E2143" s="137"/>
      <c r="F2143" s="232">
        <v>0</v>
      </c>
      <c r="G2143" s="232">
        <v>0</v>
      </c>
      <c r="H2143" s="183"/>
      <c r="I2143" s="183"/>
      <c r="J2143" s="48"/>
    </row>
    <row r="2144" spans="1:10" s="16" customFormat="1" ht="25.5" outlineLevel="3">
      <c r="A2144" s="91"/>
      <c r="B2144" s="35"/>
      <c r="C2144" s="420" t="s">
        <v>1082</v>
      </c>
      <c r="D2144" s="136" t="s">
        <v>28</v>
      </c>
      <c r="E2144" s="137">
        <v>1</v>
      </c>
      <c r="F2144" s="232">
        <v>0</v>
      </c>
      <c r="G2144" s="232">
        <v>0</v>
      </c>
      <c r="H2144" s="138">
        <f>G2144+F2144</f>
        <v>0</v>
      </c>
      <c r="I2144" s="138">
        <f>H2144*E2144</f>
        <v>0</v>
      </c>
      <c r="J2144" s="48"/>
    </row>
    <row r="2145" spans="1:10" s="16" customFormat="1" ht="25.5" outlineLevel="3">
      <c r="A2145" s="91"/>
      <c r="B2145" s="35"/>
      <c r="C2145" s="411" t="s">
        <v>573</v>
      </c>
      <c r="D2145" s="136" t="s">
        <v>28</v>
      </c>
      <c r="E2145" s="137">
        <v>1</v>
      </c>
      <c r="F2145" s="232">
        <v>0</v>
      </c>
      <c r="G2145" s="232">
        <v>0</v>
      </c>
      <c r="H2145" s="138">
        <f>G2145+F2145</f>
        <v>0</v>
      </c>
      <c r="I2145" s="138">
        <f>H2145*E2145</f>
        <v>0</v>
      </c>
      <c r="J2145" s="48"/>
    </row>
    <row r="2146" spans="1:10" s="16" customFormat="1" ht="25.5" outlineLevel="3">
      <c r="A2146" s="91"/>
      <c r="B2146" s="35"/>
      <c r="C2146" s="411" t="s">
        <v>1439</v>
      </c>
      <c r="D2146" s="136" t="s">
        <v>28</v>
      </c>
      <c r="E2146" s="137">
        <v>1</v>
      </c>
      <c r="F2146" s="232">
        <v>0</v>
      </c>
      <c r="G2146" s="232">
        <v>0</v>
      </c>
      <c r="H2146" s="138">
        <f>G2146+F2146</f>
        <v>0</v>
      </c>
      <c r="I2146" s="138">
        <f>H2146*E2146</f>
        <v>0</v>
      </c>
      <c r="J2146" s="48"/>
    </row>
    <row r="2147" spans="1:10" s="16" customFormat="1" ht="25.5" outlineLevel="3">
      <c r="A2147" s="91"/>
      <c r="B2147" s="35"/>
      <c r="C2147" s="112" t="s">
        <v>148</v>
      </c>
      <c r="D2147" s="136"/>
      <c r="E2147" s="137"/>
      <c r="F2147" s="232">
        <v>0</v>
      </c>
      <c r="G2147" s="232">
        <v>0</v>
      </c>
      <c r="H2147" s="183"/>
      <c r="I2147" s="183"/>
      <c r="J2147" s="48"/>
    </row>
    <row r="2148" spans="1:10" s="16" customFormat="1" ht="25.5" outlineLevel="3">
      <c r="A2148" s="91"/>
      <c r="B2148" s="35"/>
      <c r="C2148" s="420" t="s">
        <v>170</v>
      </c>
      <c r="D2148" s="136" t="s">
        <v>28</v>
      </c>
      <c r="E2148" s="137">
        <v>4</v>
      </c>
      <c r="F2148" s="232">
        <v>0</v>
      </c>
      <c r="G2148" s="232">
        <v>0</v>
      </c>
      <c r="H2148" s="138">
        <f>G2148+F2148</f>
        <v>0</v>
      </c>
      <c r="I2148" s="138">
        <f>H2148*E2148</f>
        <v>0</v>
      </c>
      <c r="J2148" s="48"/>
    </row>
    <row r="2149" spans="1:10" s="16" customFormat="1" ht="25.5" outlineLevel="3">
      <c r="A2149" s="91"/>
      <c r="B2149" s="35"/>
      <c r="C2149" s="419" t="s">
        <v>1436</v>
      </c>
      <c r="D2149" s="136" t="s">
        <v>38</v>
      </c>
      <c r="E2149" s="137">
        <v>1</v>
      </c>
      <c r="F2149" s="232">
        <v>0</v>
      </c>
      <c r="G2149" s="232">
        <v>0</v>
      </c>
      <c r="H2149" s="138">
        <f>G2149+F2149</f>
        <v>0</v>
      </c>
      <c r="I2149" s="138">
        <f>H2149*E2149</f>
        <v>0</v>
      </c>
      <c r="J2149" s="48"/>
    </row>
    <row r="2150" spans="1:10" s="16" customFormat="1" ht="25.5" outlineLevel="3">
      <c r="A2150" s="91"/>
      <c r="B2150" s="35">
        <f>MAXA(B$5:B2149)+1</f>
        <v>1076</v>
      </c>
      <c r="C2150" s="420" t="s">
        <v>2131</v>
      </c>
      <c r="D2150" s="136" t="s">
        <v>44</v>
      </c>
      <c r="E2150" s="137">
        <v>3</v>
      </c>
      <c r="F2150" s="232">
        <v>2907707</v>
      </c>
      <c r="G2150" s="232">
        <v>1563188</v>
      </c>
      <c r="H2150" s="138">
        <f>G2150+F2150</f>
        <v>4470895</v>
      </c>
      <c r="I2150" s="138">
        <f>H2150*E2150</f>
        <v>13412685</v>
      </c>
      <c r="J2150" s="48"/>
    </row>
    <row r="2151" spans="1:10" s="16" customFormat="1" ht="25.5" outlineLevel="3">
      <c r="A2151" s="91"/>
      <c r="B2151" s="35"/>
      <c r="C2151" s="112" t="s">
        <v>141</v>
      </c>
      <c r="D2151" s="136"/>
      <c r="E2151" s="137"/>
      <c r="F2151" s="232">
        <v>0</v>
      </c>
      <c r="G2151" s="232">
        <v>0</v>
      </c>
      <c r="H2151" s="183"/>
      <c r="I2151" s="183"/>
      <c r="J2151" s="48"/>
    </row>
    <row r="2152" spans="1:10" s="16" customFormat="1" ht="25.5" outlineLevel="3">
      <c r="A2152" s="91"/>
      <c r="B2152" s="35"/>
      <c r="C2152" s="420" t="s">
        <v>1082</v>
      </c>
      <c r="D2152" s="136" t="s">
        <v>28</v>
      </c>
      <c r="E2152" s="137">
        <v>3</v>
      </c>
      <c r="F2152" s="232">
        <v>0</v>
      </c>
      <c r="G2152" s="232">
        <v>0</v>
      </c>
      <c r="H2152" s="138">
        <f>G2152+F2152</f>
        <v>0</v>
      </c>
      <c r="I2152" s="138">
        <f>H2152*E2152</f>
        <v>0</v>
      </c>
      <c r="J2152" s="48"/>
    </row>
    <row r="2153" spans="1:10" s="16" customFormat="1" ht="25.5" outlineLevel="3">
      <c r="A2153" s="91"/>
      <c r="B2153" s="35"/>
      <c r="C2153" s="411" t="s">
        <v>573</v>
      </c>
      <c r="D2153" s="136" t="s">
        <v>28</v>
      </c>
      <c r="E2153" s="137">
        <v>3</v>
      </c>
      <c r="F2153" s="232">
        <v>0</v>
      </c>
      <c r="G2153" s="232">
        <v>0</v>
      </c>
      <c r="H2153" s="138">
        <f>G2153+F2153</f>
        <v>0</v>
      </c>
      <c r="I2153" s="138">
        <f>H2153*E2153</f>
        <v>0</v>
      </c>
      <c r="J2153" s="48"/>
    </row>
    <row r="2154" spans="1:10" s="16" customFormat="1" ht="25.5" outlineLevel="3">
      <c r="A2154" s="91"/>
      <c r="B2154" s="35"/>
      <c r="C2154" s="411" t="s">
        <v>1439</v>
      </c>
      <c r="D2154" s="136" t="s">
        <v>28</v>
      </c>
      <c r="E2154" s="137">
        <v>3</v>
      </c>
      <c r="F2154" s="232">
        <v>0</v>
      </c>
      <c r="G2154" s="232">
        <v>0</v>
      </c>
      <c r="H2154" s="138">
        <f>G2154+F2154</f>
        <v>0</v>
      </c>
      <c r="I2154" s="138">
        <f>H2154*E2154</f>
        <v>0</v>
      </c>
      <c r="J2154" s="48"/>
    </row>
    <row r="2155" spans="1:10" s="16" customFormat="1" ht="25.5" outlineLevel="3">
      <c r="A2155" s="91"/>
      <c r="B2155" s="35"/>
      <c r="C2155" s="112" t="s">
        <v>148</v>
      </c>
      <c r="D2155" s="136"/>
      <c r="E2155" s="137"/>
      <c r="F2155" s="232">
        <v>0</v>
      </c>
      <c r="G2155" s="232">
        <v>0</v>
      </c>
      <c r="H2155" s="183"/>
      <c r="I2155" s="183"/>
      <c r="J2155" s="48"/>
    </row>
    <row r="2156" spans="1:10" s="16" customFormat="1" ht="25.5" outlineLevel="3">
      <c r="A2156" s="91"/>
      <c r="B2156" s="35"/>
      <c r="C2156" s="420" t="s">
        <v>170</v>
      </c>
      <c r="D2156" s="136" t="s">
        <v>28</v>
      </c>
      <c r="E2156" s="137">
        <v>9</v>
      </c>
      <c r="F2156" s="232">
        <v>0</v>
      </c>
      <c r="G2156" s="232">
        <v>0</v>
      </c>
      <c r="H2156" s="138">
        <f>G2156+F2156</f>
        <v>0</v>
      </c>
      <c r="I2156" s="138">
        <f>H2156*E2156</f>
        <v>0</v>
      </c>
      <c r="J2156" s="48"/>
    </row>
    <row r="2157" spans="1:10" s="16" customFormat="1" ht="25.5" outlineLevel="3">
      <c r="A2157" s="91"/>
      <c r="B2157" s="35"/>
      <c r="C2157" s="419" t="s">
        <v>1436</v>
      </c>
      <c r="D2157" s="136" t="s">
        <v>38</v>
      </c>
      <c r="E2157" s="137">
        <v>3</v>
      </c>
      <c r="F2157" s="232">
        <v>0</v>
      </c>
      <c r="G2157" s="232">
        <v>0</v>
      </c>
      <c r="H2157" s="138">
        <f>G2157+F2157</f>
        <v>0</v>
      </c>
      <c r="I2157" s="138">
        <f>H2157*E2157</f>
        <v>0</v>
      </c>
      <c r="J2157" s="48"/>
    </row>
    <row r="2158" spans="1:10" s="16" customFormat="1" ht="25.5" outlineLevel="3">
      <c r="A2158" s="91"/>
      <c r="B2158" s="35">
        <f>MAXA(B$5:B2157)+1</f>
        <v>1077</v>
      </c>
      <c r="C2158" s="420" t="s">
        <v>2132</v>
      </c>
      <c r="D2158" s="136" t="s">
        <v>38</v>
      </c>
      <c r="E2158" s="137">
        <v>1</v>
      </c>
      <c r="F2158" s="232">
        <v>3031958</v>
      </c>
      <c r="G2158" s="232">
        <v>1563188</v>
      </c>
      <c r="H2158" s="138">
        <f>G2158+F2158</f>
        <v>4595146</v>
      </c>
      <c r="I2158" s="138">
        <f>H2158*E2158</f>
        <v>4595146</v>
      </c>
      <c r="J2158" s="48"/>
    </row>
    <row r="2159" spans="1:10" s="16" customFormat="1" ht="25.5" outlineLevel="3">
      <c r="A2159" s="91"/>
      <c r="B2159" s="35"/>
      <c r="C2159" s="112" t="s">
        <v>141</v>
      </c>
      <c r="D2159" s="136"/>
      <c r="E2159" s="137"/>
      <c r="F2159" s="232">
        <v>0</v>
      </c>
      <c r="G2159" s="232">
        <v>0</v>
      </c>
      <c r="H2159" s="183"/>
      <c r="I2159" s="183"/>
      <c r="J2159" s="48"/>
    </row>
    <row r="2160" spans="1:10" s="16" customFormat="1" ht="25.5" outlineLevel="3">
      <c r="A2160" s="91"/>
      <c r="B2160" s="35"/>
      <c r="C2160" s="420" t="s">
        <v>1082</v>
      </c>
      <c r="D2160" s="136" t="s">
        <v>28</v>
      </c>
      <c r="E2160" s="137">
        <v>1</v>
      </c>
      <c r="F2160" s="232">
        <v>0</v>
      </c>
      <c r="G2160" s="232">
        <v>0</v>
      </c>
      <c r="H2160" s="138">
        <f>G2160+F2160</f>
        <v>0</v>
      </c>
      <c r="I2160" s="138">
        <f>H2160*E2160</f>
        <v>0</v>
      </c>
      <c r="J2160" s="48"/>
    </row>
    <row r="2161" spans="1:10" s="16" customFormat="1" ht="25.5" outlineLevel="3">
      <c r="A2161" s="91"/>
      <c r="B2161" s="35"/>
      <c r="C2161" s="411" t="s">
        <v>573</v>
      </c>
      <c r="D2161" s="136" t="s">
        <v>28</v>
      </c>
      <c r="E2161" s="137">
        <v>1</v>
      </c>
      <c r="F2161" s="232">
        <v>0</v>
      </c>
      <c r="G2161" s="232">
        <v>0</v>
      </c>
      <c r="H2161" s="138">
        <f>G2161+F2161</f>
        <v>0</v>
      </c>
      <c r="I2161" s="138">
        <f>H2161*E2161</f>
        <v>0</v>
      </c>
      <c r="J2161" s="48"/>
    </row>
    <row r="2162" spans="1:10" s="16" customFormat="1" ht="25.5" outlineLevel="3">
      <c r="A2162" s="91"/>
      <c r="B2162" s="35"/>
      <c r="C2162" s="411" t="s">
        <v>1439</v>
      </c>
      <c r="D2162" s="136" t="s">
        <v>28</v>
      </c>
      <c r="E2162" s="137">
        <v>1</v>
      </c>
      <c r="F2162" s="232">
        <v>0</v>
      </c>
      <c r="G2162" s="232">
        <v>0</v>
      </c>
      <c r="H2162" s="138">
        <f>G2162+F2162</f>
        <v>0</v>
      </c>
      <c r="I2162" s="138">
        <f>H2162*E2162</f>
        <v>0</v>
      </c>
      <c r="J2162" s="48"/>
    </row>
    <row r="2163" spans="1:10" s="16" customFormat="1" ht="25.5" outlineLevel="3">
      <c r="A2163" s="91"/>
      <c r="B2163" s="35"/>
      <c r="C2163" s="112" t="s">
        <v>148</v>
      </c>
      <c r="D2163" s="136"/>
      <c r="E2163" s="137"/>
      <c r="F2163" s="232">
        <v>0</v>
      </c>
      <c r="G2163" s="232">
        <v>0</v>
      </c>
      <c r="H2163" s="183"/>
      <c r="I2163" s="183"/>
      <c r="J2163" s="48"/>
    </row>
    <row r="2164" spans="1:10" s="16" customFormat="1" ht="25.5" outlineLevel="3">
      <c r="A2164" s="91"/>
      <c r="B2164" s="35"/>
      <c r="C2164" s="420" t="s">
        <v>170</v>
      </c>
      <c r="D2164" s="136" t="s">
        <v>28</v>
      </c>
      <c r="E2164" s="137">
        <v>4</v>
      </c>
      <c r="F2164" s="232">
        <v>0</v>
      </c>
      <c r="G2164" s="232">
        <v>0</v>
      </c>
      <c r="H2164" s="138">
        <f>G2164+F2164</f>
        <v>0</v>
      </c>
      <c r="I2164" s="138">
        <f>H2164*E2164</f>
        <v>0</v>
      </c>
      <c r="J2164" s="48"/>
    </row>
    <row r="2165" spans="1:10" s="16" customFormat="1" ht="25.5" outlineLevel="3">
      <c r="A2165" s="91"/>
      <c r="B2165" s="35"/>
      <c r="C2165" s="419" t="s">
        <v>1436</v>
      </c>
      <c r="D2165" s="136" t="s">
        <v>38</v>
      </c>
      <c r="E2165" s="137">
        <v>1</v>
      </c>
      <c r="F2165" s="232">
        <v>0</v>
      </c>
      <c r="G2165" s="232">
        <v>0</v>
      </c>
      <c r="H2165" s="138">
        <f>G2165+F2165</f>
        <v>0</v>
      </c>
      <c r="I2165" s="138">
        <f>H2165*E2165</f>
        <v>0</v>
      </c>
      <c r="J2165" s="48"/>
    </row>
    <row r="2166" spans="1:10" s="16" customFormat="1" ht="25.5" outlineLevel="3">
      <c r="A2166" s="91"/>
      <c r="B2166" s="35">
        <f>MAXA(B$5:B2165)+1</f>
        <v>1078</v>
      </c>
      <c r="C2166" s="420" t="s">
        <v>2133</v>
      </c>
      <c r="D2166" s="136" t="s">
        <v>38</v>
      </c>
      <c r="E2166" s="137">
        <v>1</v>
      </c>
      <c r="F2166" s="232">
        <v>3156210</v>
      </c>
      <c r="G2166" s="232">
        <v>1563188</v>
      </c>
      <c r="H2166" s="138">
        <f>G2166+F2166</f>
        <v>4719398</v>
      </c>
      <c r="I2166" s="138">
        <f>H2166*E2166</f>
        <v>4719398</v>
      </c>
      <c r="J2166" s="48"/>
    </row>
    <row r="2167" spans="1:10" s="16" customFormat="1" ht="25.5" outlineLevel="3">
      <c r="A2167" s="91"/>
      <c r="B2167" s="35"/>
      <c r="C2167" s="112" t="s">
        <v>141</v>
      </c>
      <c r="D2167" s="136"/>
      <c r="E2167" s="137"/>
      <c r="F2167" s="232">
        <v>0</v>
      </c>
      <c r="G2167" s="232">
        <v>0</v>
      </c>
      <c r="H2167" s="183"/>
      <c r="I2167" s="183"/>
      <c r="J2167" s="48"/>
    </row>
    <row r="2168" spans="1:10" s="16" customFormat="1" ht="25.5" outlineLevel="3">
      <c r="A2168" s="91"/>
      <c r="B2168" s="35"/>
      <c r="C2168" s="420" t="s">
        <v>1082</v>
      </c>
      <c r="D2168" s="136" t="s">
        <v>28</v>
      </c>
      <c r="E2168" s="137">
        <v>1</v>
      </c>
      <c r="F2168" s="232">
        <v>0</v>
      </c>
      <c r="G2168" s="232">
        <v>0</v>
      </c>
      <c r="H2168" s="138">
        <f>G2168+F2168</f>
        <v>0</v>
      </c>
      <c r="I2168" s="138">
        <f>H2168*E2168</f>
        <v>0</v>
      </c>
      <c r="J2168" s="48"/>
    </row>
    <row r="2169" spans="1:10" s="16" customFormat="1" ht="25.5" outlineLevel="3">
      <c r="A2169" s="91"/>
      <c r="B2169" s="35"/>
      <c r="C2169" s="411" t="s">
        <v>573</v>
      </c>
      <c r="D2169" s="136" t="s">
        <v>28</v>
      </c>
      <c r="E2169" s="137">
        <v>1</v>
      </c>
      <c r="F2169" s="232">
        <v>0</v>
      </c>
      <c r="G2169" s="232">
        <v>0</v>
      </c>
      <c r="H2169" s="138">
        <f>G2169+F2169</f>
        <v>0</v>
      </c>
      <c r="I2169" s="138">
        <f>H2169*E2169</f>
        <v>0</v>
      </c>
      <c r="J2169" s="48"/>
    </row>
    <row r="2170" spans="1:10" s="16" customFormat="1" ht="25.5" outlineLevel="3">
      <c r="A2170" s="91"/>
      <c r="B2170" s="35"/>
      <c r="C2170" s="411" t="s">
        <v>1439</v>
      </c>
      <c r="D2170" s="136" t="s">
        <v>28</v>
      </c>
      <c r="E2170" s="137">
        <v>1</v>
      </c>
      <c r="F2170" s="232">
        <v>0</v>
      </c>
      <c r="G2170" s="232">
        <v>0</v>
      </c>
      <c r="H2170" s="138">
        <f>G2170+F2170</f>
        <v>0</v>
      </c>
      <c r="I2170" s="138">
        <f>H2170*E2170</f>
        <v>0</v>
      </c>
      <c r="J2170" s="48"/>
    </row>
    <row r="2171" spans="1:10" s="16" customFormat="1" ht="25.5" outlineLevel="3">
      <c r="A2171" s="91"/>
      <c r="B2171" s="35"/>
      <c r="C2171" s="112" t="s">
        <v>148</v>
      </c>
      <c r="D2171" s="136"/>
      <c r="E2171" s="137"/>
      <c r="F2171" s="232">
        <v>0</v>
      </c>
      <c r="G2171" s="232">
        <v>0</v>
      </c>
      <c r="H2171" s="183"/>
      <c r="I2171" s="183"/>
      <c r="J2171" s="48"/>
    </row>
    <row r="2172" spans="1:10" s="16" customFormat="1" ht="25.5" outlineLevel="3">
      <c r="A2172" s="91"/>
      <c r="B2172" s="35"/>
      <c r="C2172" s="420" t="s">
        <v>170</v>
      </c>
      <c r="D2172" s="136" t="s">
        <v>28</v>
      </c>
      <c r="E2172" s="137">
        <v>6</v>
      </c>
      <c r="F2172" s="232">
        <v>0</v>
      </c>
      <c r="G2172" s="232">
        <v>0</v>
      </c>
      <c r="H2172" s="138">
        <f>G2172+F2172</f>
        <v>0</v>
      </c>
      <c r="I2172" s="138">
        <f>H2172*E2172</f>
        <v>0</v>
      </c>
      <c r="J2172" s="48"/>
    </row>
    <row r="2173" spans="1:10" s="16" customFormat="1" ht="25.5" outlineLevel="3">
      <c r="A2173" s="91"/>
      <c r="B2173" s="35"/>
      <c r="C2173" s="419" t="s">
        <v>1436</v>
      </c>
      <c r="D2173" s="136" t="s">
        <v>38</v>
      </c>
      <c r="E2173" s="137">
        <v>1</v>
      </c>
      <c r="F2173" s="232">
        <v>0</v>
      </c>
      <c r="G2173" s="232">
        <v>0</v>
      </c>
      <c r="H2173" s="138">
        <f>G2173+F2173</f>
        <v>0</v>
      </c>
      <c r="I2173" s="138">
        <f>H2173*E2173</f>
        <v>0</v>
      </c>
      <c r="J2173" s="48"/>
    </row>
    <row r="2174" spans="1:10" s="16" customFormat="1" ht="25.5" outlineLevel="3">
      <c r="A2174" s="91"/>
      <c r="B2174" s="35">
        <f>MAXA(B$5:B2173)+1</f>
        <v>1079</v>
      </c>
      <c r="C2174" s="420" t="s">
        <v>2134</v>
      </c>
      <c r="D2174" s="136" t="s">
        <v>38</v>
      </c>
      <c r="E2174" s="137">
        <v>1</v>
      </c>
      <c r="F2174" s="232">
        <v>2783456</v>
      </c>
      <c r="G2174" s="232">
        <v>1563188</v>
      </c>
      <c r="H2174" s="138">
        <f>G2174+F2174</f>
        <v>4346644</v>
      </c>
      <c r="I2174" s="138">
        <f>H2174*E2174</f>
        <v>4346644</v>
      </c>
      <c r="J2174" s="48"/>
    </row>
    <row r="2175" spans="1:10" s="16" customFormat="1" ht="25.5" outlineLevel="3">
      <c r="A2175" s="91"/>
      <c r="B2175" s="35"/>
      <c r="C2175" s="112" t="s">
        <v>141</v>
      </c>
      <c r="D2175" s="136"/>
      <c r="E2175" s="137"/>
      <c r="F2175" s="232">
        <v>0</v>
      </c>
      <c r="G2175" s="232">
        <v>0</v>
      </c>
      <c r="H2175" s="183"/>
      <c r="I2175" s="183"/>
      <c r="J2175" s="48"/>
    </row>
    <row r="2176" spans="1:10" s="16" customFormat="1" ht="25.5" outlineLevel="3">
      <c r="A2176" s="91"/>
      <c r="B2176" s="35"/>
      <c r="C2176" s="420" t="s">
        <v>1082</v>
      </c>
      <c r="D2176" s="136" t="s">
        <v>28</v>
      </c>
      <c r="E2176" s="137">
        <v>1</v>
      </c>
      <c r="F2176" s="232">
        <v>0</v>
      </c>
      <c r="G2176" s="232">
        <v>0</v>
      </c>
      <c r="H2176" s="138">
        <f>G2176+F2176</f>
        <v>0</v>
      </c>
      <c r="I2176" s="138">
        <f>H2176*E2176</f>
        <v>0</v>
      </c>
      <c r="J2176" s="48"/>
    </row>
    <row r="2177" spans="1:10" s="16" customFormat="1" ht="25.5" outlineLevel="3">
      <c r="A2177" s="91"/>
      <c r="B2177" s="35"/>
      <c r="C2177" s="411" t="s">
        <v>573</v>
      </c>
      <c r="D2177" s="136" t="s">
        <v>28</v>
      </c>
      <c r="E2177" s="137">
        <v>1</v>
      </c>
      <c r="F2177" s="232">
        <v>0</v>
      </c>
      <c r="G2177" s="232">
        <v>0</v>
      </c>
      <c r="H2177" s="138">
        <f>G2177+F2177</f>
        <v>0</v>
      </c>
      <c r="I2177" s="138">
        <f>H2177*E2177</f>
        <v>0</v>
      </c>
      <c r="J2177" s="48"/>
    </row>
    <row r="2178" spans="1:10" s="16" customFormat="1" ht="25.5" outlineLevel="3">
      <c r="A2178" s="91"/>
      <c r="B2178" s="35"/>
      <c r="C2178" s="411" t="s">
        <v>1439</v>
      </c>
      <c r="D2178" s="136" t="s">
        <v>28</v>
      </c>
      <c r="E2178" s="137">
        <v>1</v>
      </c>
      <c r="F2178" s="232">
        <v>0</v>
      </c>
      <c r="G2178" s="232">
        <v>0</v>
      </c>
      <c r="H2178" s="138">
        <f>G2178+F2178</f>
        <v>0</v>
      </c>
      <c r="I2178" s="138">
        <f>H2178*E2178</f>
        <v>0</v>
      </c>
      <c r="J2178" s="48"/>
    </row>
    <row r="2179" spans="1:10" s="16" customFormat="1" ht="25.5" outlineLevel="3">
      <c r="A2179" s="91"/>
      <c r="B2179" s="35"/>
      <c r="C2179" s="112" t="s">
        <v>148</v>
      </c>
      <c r="D2179" s="136"/>
      <c r="E2179" s="137"/>
      <c r="F2179" s="232">
        <v>0</v>
      </c>
      <c r="G2179" s="232">
        <v>0</v>
      </c>
      <c r="H2179" s="183"/>
      <c r="I2179" s="183"/>
      <c r="J2179" s="48"/>
    </row>
    <row r="2180" spans="1:10" s="16" customFormat="1" ht="25.5" outlineLevel="3">
      <c r="A2180" s="91"/>
      <c r="B2180" s="35"/>
      <c r="C2180" s="420" t="s">
        <v>170</v>
      </c>
      <c r="D2180" s="136" t="s">
        <v>28</v>
      </c>
      <c r="E2180" s="137">
        <v>2</v>
      </c>
      <c r="F2180" s="232">
        <v>0</v>
      </c>
      <c r="G2180" s="232">
        <v>0</v>
      </c>
      <c r="H2180" s="138">
        <f>G2180+F2180</f>
        <v>0</v>
      </c>
      <c r="I2180" s="138">
        <f>H2180*E2180</f>
        <v>0</v>
      </c>
      <c r="J2180" s="48"/>
    </row>
    <row r="2181" spans="1:10" s="16" customFormat="1" ht="25.5" outlineLevel="3">
      <c r="A2181" s="91"/>
      <c r="B2181" s="35"/>
      <c r="C2181" s="419" t="s">
        <v>1436</v>
      </c>
      <c r="D2181" s="136" t="s">
        <v>38</v>
      </c>
      <c r="E2181" s="137">
        <v>1</v>
      </c>
      <c r="F2181" s="232">
        <v>0</v>
      </c>
      <c r="G2181" s="232">
        <v>0</v>
      </c>
      <c r="H2181" s="138">
        <f>G2181+F2181</f>
        <v>0</v>
      </c>
      <c r="I2181" s="138">
        <f>H2181*E2181</f>
        <v>0</v>
      </c>
      <c r="J2181" s="48"/>
    </row>
    <row r="2182" spans="1:10" s="16" customFormat="1" ht="25.5" outlineLevel="3">
      <c r="A2182" s="91"/>
      <c r="B2182" s="35">
        <f>MAXA(B$5:B2181)+1</f>
        <v>1080</v>
      </c>
      <c r="C2182" s="420" t="s">
        <v>2135</v>
      </c>
      <c r="D2182" s="136" t="s">
        <v>38</v>
      </c>
      <c r="E2182" s="137">
        <v>1</v>
      </c>
      <c r="F2182" s="232">
        <v>2907707</v>
      </c>
      <c r="G2182" s="232">
        <v>1563188</v>
      </c>
      <c r="H2182" s="138">
        <f>G2182+F2182</f>
        <v>4470895</v>
      </c>
      <c r="I2182" s="138">
        <f>H2182*E2182</f>
        <v>4470895</v>
      </c>
      <c r="J2182" s="48"/>
    </row>
    <row r="2183" spans="1:10" s="16" customFormat="1" ht="25.5" outlineLevel="3">
      <c r="A2183" s="91"/>
      <c r="B2183" s="35"/>
      <c r="C2183" s="112" t="s">
        <v>141</v>
      </c>
      <c r="D2183" s="136"/>
      <c r="E2183" s="137"/>
      <c r="F2183" s="232">
        <v>0</v>
      </c>
      <c r="G2183" s="232">
        <v>0</v>
      </c>
      <c r="H2183" s="183"/>
      <c r="I2183" s="183"/>
      <c r="J2183" s="48"/>
    </row>
    <row r="2184" spans="1:10" s="16" customFormat="1" ht="25.5" outlineLevel="3">
      <c r="A2184" s="91"/>
      <c r="B2184" s="35"/>
      <c r="C2184" s="420" t="s">
        <v>1082</v>
      </c>
      <c r="D2184" s="136" t="s">
        <v>28</v>
      </c>
      <c r="E2184" s="137">
        <v>1</v>
      </c>
      <c r="F2184" s="232">
        <v>0</v>
      </c>
      <c r="G2184" s="232">
        <v>0</v>
      </c>
      <c r="H2184" s="138">
        <f>G2184+F2184</f>
        <v>0</v>
      </c>
      <c r="I2184" s="138">
        <f>H2184*E2184</f>
        <v>0</v>
      </c>
      <c r="J2184" s="48"/>
    </row>
    <row r="2185" spans="1:10" s="16" customFormat="1" ht="25.5" outlineLevel="3">
      <c r="A2185" s="91"/>
      <c r="B2185" s="35"/>
      <c r="C2185" s="411" t="s">
        <v>573</v>
      </c>
      <c r="D2185" s="136" t="s">
        <v>28</v>
      </c>
      <c r="E2185" s="137">
        <v>1</v>
      </c>
      <c r="F2185" s="232">
        <v>0</v>
      </c>
      <c r="G2185" s="232">
        <v>0</v>
      </c>
      <c r="H2185" s="138">
        <f>G2185+F2185</f>
        <v>0</v>
      </c>
      <c r="I2185" s="138">
        <f>H2185*E2185</f>
        <v>0</v>
      </c>
      <c r="J2185" s="48"/>
    </row>
    <row r="2186" spans="1:10" s="16" customFormat="1" ht="25.5" outlineLevel="3">
      <c r="A2186" s="91"/>
      <c r="B2186" s="35"/>
      <c r="C2186" s="411" t="s">
        <v>1439</v>
      </c>
      <c r="D2186" s="136" t="s">
        <v>28</v>
      </c>
      <c r="E2186" s="137">
        <v>1</v>
      </c>
      <c r="F2186" s="232">
        <v>0</v>
      </c>
      <c r="G2186" s="232">
        <v>0</v>
      </c>
      <c r="H2186" s="138">
        <f>G2186+F2186</f>
        <v>0</v>
      </c>
      <c r="I2186" s="138">
        <f>H2186*E2186</f>
        <v>0</v>
      </c>
      <c r="J2186" s="48"/>
    </row>
    <row r="2187" spans="1:10" s="16" customFormat="1" ht="25.5" outlineLevel="3">
      <c r="A2187" s="91"/>
      <c r="B2187" s="35"/>
      <c r="C2187" s="112" t="s">
        <v>148</v>
      </c>
      <c r="D2187" s="136"/>
      <c r="E2187" s="137"/>
      <c r="F2187" s="232">
        <v>0</v>
      </c>
      <c r="G2187" s="232">
        <v>0</v>
      </c>
      <c r="H2187" s="183"/>
      <c r="I2187" s="183"/>
      <c r="J2187" s="48"/>
    </row>
    <row r="2188" spans="1:10" s="16" customFormat="1" ht="25.5" outlineLevel="3">
      <c r="A2188" s="91"/>
      <c r="B2188" s="35"/>
      <c r="C2188" s="420" t="s">
        <v>170</v>
      </c>
      <c r="D2188" s="136" t="s">
        <v>28</v>
      </c>
      <c r="E2188" s="137">
        <v>3</v>
      </c>
      <c r="F2188" s="232">
        <v>0</v>
      </c>
      <c r="G2188" s="232">
        <v>0</v>
      </c>
      <c r="H2188" s="138">
        <f>G2188+F2188</f>
        <v>0</v>
      </c>
      <c r="I2188" s="138">
        <f>H2188*E2188</f>
        <v>0</v>
      </c>
      <c r="J2188" s="48"/>
    </row>
    <row r="2189" spans="1:10" s="16" customFormat="1" ht="25.5" outlineLevel="3">
      <c r="A2189" s="91"/>
      <c r="B2189" s="35"/>
      <c r="C2189" s="419" t="s">
        <v>1436</v>
      </c>
      <c r="D2189" s="136" t="s">
        <v>38</v>
      </c>
      <c r="E2189" s="137">
        <v>1</v>
      </c>
      <c r="F2189" s="232">
        <v>0</v>
      </c>
      <c r="G2189" s="232">
        <v>0</v>
      </c>
      <c r="H2189" s="138">
        <f>G2189+F2189</f>
        <v>0</v>
      </c>
      <c r="I2189" s="138">
        <f>H2189*E2189</f>
        <v>0</v>
      </c>
      <c r="J2189" s="48"/>
    </row>
    <row r="2190" spans="1:10" s="16" customFormat="1" ht="25.5" outlineLevel="3">
      <c r="A2190" s="91"/>
      <c r="B2190" s="35">
        <f>MAXA(B$5:B2189)+1</f>
        <v>1081</v>
      </c>
      <c r="C2190" s="420" t="s">
        <v>2136</v>
      </c>
      <c r="D2190" s="136" t="s">
        <v>38</v>
      </c>
      <c r="E2190" s="137">
        <v>1</v>
      </c>
      <c r="F2190" s="232">
        <v>2907707</v>
      </c>
      <c r="G2190" s="232">
        <v>1563188</v>
      </c>
      <c r="H2190" s="138">
        <f>G2190+F2190</f>
        <v>4470895</v>
      </c>
      <c r="I2190" s="138">
        <f>H2190*E2190</f>
        <v>4470895</v>
      </c>
      <c r="J2190" s="48"/>
    </row>
    <row r="2191" spans="1:10" s="16" customFormat="1" ht="25.5" outlineLevel="3">
      <c r="A2191" s="91"/>
      <c r="B2191" s="35"/>
      <c r="C2191" s="112" t="s">
        <v>141</v>
      </c>
      <c r="D2191" s="136"/>
      <c r="E2191" s="137"/>
      <c r="F2191" s="232">
        <v>0</v>
      </c>
      <c r="G2191" s="232">
        <v>0</v>
      </c>
      <c r="H2191" s="183"/>
      <c r="I2191" s="183"/>
      <c r="J2191" s="48"/>
    </row>
    <row r="2192" spans="1:10" s="16" customFormat="1" ht="25.5" outlineLevel="3">
      <c r="A2192" s="91"/>
      <c r="B2192" s="35"/>
      <c r="C2192" s="420" t="s">
        <v>1082</v>
      </c>
      <c r="D2192" s="136" t="s">
        <v>28</v>
      </c>
      <c r="E2192" s="137">
        <v>1</v>
      </c>
      <c r="F2192" s="232">
        <v>0</v>
      </c>
      <c r="G2192" s="232">
        <v>0</v>
      </c>
      <c r="H2192" s="138">
        <f>G2192+F2192</f>
        <v>0</v>
      </c>
      <c r="I2192" s="138">
        <f>H2192*E2192</f>
        <v>0</v>
      </c>
      <c r="J2192" s="48"/>
    </row>
    <row r="2193" spans="1:10" s="16" customFormat="1" ht="25.5" outlineLevel="3">
      <c r="A2193" s="91"/>
      <c r="B2193" s="35"/>
      <c r="C2193" s="411" t="s">
        <v>573</v>
      </c>
      <c r="D2193" s="136" t="s">
        <v>28</v>
      </c>
      <c r="E2193" s="137">
        <v>1</v>
      </c>
      <c r="F2193" s="232">
        <v>0</v>
      </c>
      <c r="G2193" s="232">
        <v>0</v>
      </c>
      <c r="H2193" s="138">
        <f>G2193+F2193</f>
        <v>0</v>
      </c>
      <c r="I2193" s="138">
        <f>H2193*E2193</f>
        <v>0</v>
      </c>
      <c r="J2193" s="48"/>
    </row>
    <row r="2194" spans="1:10" s="16" customFormat="1" ht="25.5" outlineLevel="3">
      <c r="A2194" s="91"/>
      <c r="B2194" s="35"/>
      <c r="C2194" s="411" t="s">
        <v>1439</v>
      </c>
      <c r="D2194" s="136" t="s">
        <v>28</v>
      </c>
      <c r="E2194" s="137">
        <v>1</v>
      </c>
      <c r="F2194" s="232">
        <v>0</v>
      </c>
      <c r="G2194" s="232">
        <v>0</v>
      </c>
      <c r="H2194" s="138">
        <f>G2194+F2194</f>
        <v>0</v>
      </c>
      <c r="I2194" s="138">
        <f>H2194*E2194</f>
        <v>0</v>
      </c>
      <c r="J2194" s="48"/>
    </row>
    <row r="2195" spans="1:10" s="16" customFormat="1" ht="25.5" outlineLevel="3">
      <c r="A2195" s="91"/>
      <c r="B2195" s="35"/>
      <c r="C2195" s="112" t="s">
        <v>148</v>
      </c>
      <c r="D2195" s="136"/>
      <c r="E2195" s="137"/>
      <c r="F2195" s="232">
        <v>0</v>
      </c>
      <c r="G2195" s="232">
        <v>0</v>
      </c>
      <c r="H2195" s="183"/>
      <c r="I2195" s="183"/>
      <c r="J2195" s="48"/>
    </row>
    <row r="2196" spans="1:10" s="16" customFormat="1" ht="25.5" outlineLevel="3">
      <c r="A2196" s="91"/>
      <c r="B2196" s="35"/>
      <c r="C2196" s="420" t="s">
        <v>170</v>
      </c>
      <c r="D2196" s="136" t="s">
        <v>28</v>
      </c>
      <c r="E2196" s="137">
        <v>3</v>
      </c>
      <c r="F2196" s="232">
        <v>0</v>
      </c>
      <c r="G2196" s="232">
        <v>0</v>
      </c>
      <c r="H2196" s="138">
        <f>G2196+F2196</f>
        <v>0</v>
      </c>
      <c r="I2196" s="138">
        <f>H2196*E2196</f>
        <v>0</v>
      </c>
      <c r="J2196" s="48"/>
    </row>
    <row r="2197" spans="1:10" s="16" customFormat="1" ht="25.5" outlineLevel="3">
      <c r="A2197" s="91"/>
      <c r="B2197" s="35"/>
      <c r="C2197" s="419" t="s">
        <v>1436</v>
      </c>
      <c r="D2197" s="136" t="s">
        <v>38</v>
      </c>
      <c r="E2197" s="137">
        <v>1</v>
      </c>
      <c r="F2197" s="232">
        <v>0</v>
      </c>
      <c r="G2197" s="232">
        <v>0</v>
      </c>
      <c r="H2197" s="138">
        <f>G2197+F2197</f>
        <v>0</v>
      </c>
      <c r="I2197" s="138">
        <f>H2197*E2197</f>
        <v>0</v>
      </c>
      <c r="J2197" s="48"/>
    </row>
    <row r="2198" spans="1:10" s="16" customFormat="1" ht="25.5" outlineLevel="3">
      <c r="A2198" s="91"/>
      <c r="B2198" s="35">
        <f>MAXA(B$5:B2197)+1</f>
        <v>1082</v>
      </c>
      <c r="C2198" s="420" t="s">
        <v>1121</v>
      </c>
      <c r="D2198" s="136" t="s">
        <v>38</v>
      </c>
      <c r="E2198" s="137">
        <v>1</v>
      </c>
      <c r="F2198" s="232">
        <v>22816910</v>
      </c>
      <c r="G2198" s="232">
        <v>1563188</v>
      </c>
      <c r="H2198" s="138">
        <f>G2198+F2198</f>
        <v>24380098</v>
      </c>
      <c r="I2198" s="138">
        <f>H2198*E2198</f>
        <v>24380098</v>
      </c>
      <c r="J2198" s="48"/>
    </row>
    <row r="2199" spans="1:10" s="16" customFormat="1" ht="25.5" outlineLevel="3">
      <c r="A2199" s="91"/>
      <c r="B2199" s="35"/>
      <c r="C2199" s="112" t="s">
        <v>141</v>
      </c>
      <c r="D2199" s="136"/>
      <c r="E2199" s="137"/>
      <c r="F2199" s="232">
        <v>0</v>
      </c>
      <c r="G2199" s="232">
        <v>0</v>
      </c>
      <c r="H2199" s="183"/>
      <c r="I2199" s="183"/>
      <c r="J2199" s="48"/>
    </row>
    <row r="2200" spans="1:10" s="16" customFormat="1" ht="25.5" outlineLevel="3">
      <c r="A2200" s="91"/>
      <c r="B2200" s="35"/>
      <c r="C2200" s="420" t="s">
        <v>207</v>
      </c>
      <c r="D2200" s="136" t="s">
        <v>28</v>
      </c>
      <c r="E2200" s="137">
        <v>1</v>
      </c>
      <c r="F2200" s="232">
        <v>0</v>
      </c>
      <c r="G2200" s="232">
        <v>0</v>
      </c>
      <c r="H2200" s="138">
        <f t="shared" ref="H2200:H2207" si="209">G2200+F2200</f>
        <v>0</v>
      </c>
      <c r="I2200" s="138">
        <f t="shared" ref="I2200:I2207" si="210">H2200*E2200</f>
        <v>0</v>
      </c>
      <c r="J2200" s="48"/>
    </row>
    <row r="2201" spans="1:10" s="16" customFormat="1" ht="25.5" outlineLevel="3">
      <c r="A2201" s="91"/>
      <c r="B2201" s="35"/>
      <c r="C2201" s="411" t="s">
        <v>573</v>
      </c>
      <c r="D2201" s="136" t="s">
        <v>28</v>
      </c>
      <c r="E2201" s="137">
        <v>9</v>
      </c>
      <c r="F2201" s="232">
        <v>0</v>
      </c>
      <c r="G2201" s="232">
        <v>0</v>
      </c>
      <c r="H2201" s="138">
        <f t="shared" si="209"/>
        <v>0</v>
      </c>
      <c r="I2201" s="138">
        <f t="shared" si="210"/>
        <v>0</v>
      </c>
      <c r="J2201" s="48"/>
    </row>
    <row r="2202" spans="1:10" s="16" customFormat="1" ht="25.5" outlineLevel="3">
      <c r="A2202" s="91"/>
      <c r="B2202" s="35"/>
      <c r="C2202" s="411" t="s">
        <v>574</v>
      </c>
      <c r="D2202" s="136" t="s">
        <v>28</v>
      </c>
      <c r="E2202" s="137">
        <v>6</v>
      </c>
      <c r="F2202" s="232">
        <v>0</v>
      </c>
      <c r="G2202" s="232">
        <v>0</v>
      </c>
      <c r="H2202" s="138">
        <f t="shared" si="209"/>
        <v>0</v>
      </c>
      <c r="I2202" s="138">
        <f t="shared" si="210"/>
        <v>0</v>
      </c>
      <c r="J2202" s="48"/>
    </row>
    <row r="2203" spans="1:10" s="16" customFormat="1" ht="25.5" outlineLevel="3">
      <c r="A2203" s="91"/>
      <c r="B2203" s="35"/>
      <c r="C2203" s="411" t="s">
        <v>143</v>
      </c>
      <c r="D2203" s="136" t="s">
        <v>28</v>
      </c>
      <c r="E2203" s="137">
        <v>1</v>
      </c>
      <c r="F2203" s="232">
        <v>0</v>
      </c>
      <c r="G2203" s="232">
        <v>0</v>
      </c>
      <c r="H2203" s="138">
        <f t="shared" si="209"/>
        <v>0</v>
      </c>
      <c r="I2203" s="138">
        <f t="shared" si="210"/>
        <v>0</v>
      </c>
      <c r="J2203" s="48"/>
    </row>
    <row r="2204" spans="1:10" s="16" customFormat="1" ht="25.5" outlineLevel="3">
      <c r="A2204" s="91"/>
      <c r="B2204" s="35"/>
      <c r="C2204" s="411" t="s">
        <v>144</v>
      </c>
      <c r="D2204" s="136" t="s">
        <v>28</v>
      </c>
      <c r="E2204" s="137">
        <v>1</v>
      </c>
      <c r="F2204" s="232">
        <v>0</v>
      </c>
      <c r="G2204" s="232">
        <v>0</v>
      </c>
      <c r="H2204" s="138">
        <f t="shared" si="209"/>
        <v>0</v>
      </c>
      <c r="I2204" s="138">
        <f t="shared" si="210"/>
        <v>0</v>
      </c>
      <c r="J2204" s="48"/>
    </row>
    <row r="2205" spans="1:10" s="16" customFormat="1" ht="25.5" outlineLevel="3">
      <c r="A2205" s="91"/>
      <c r="B2205" s="35"/>
      <c r="C2205" s="411" t="s">
        <v>233</v>
      </c>
      <c r="D2205" s="136" t="s">
        <v>28</v>
      </c>
      <c r="E2205" s="137">
        <v>1</v>
      </c>
      <c r="F2205" s="232">
        <v>0</v>
      </c>
      <c r="G2205" s="232">
        <v>0</v>
      </c>
      <c r="H2205" s="138">
        <f t="shared" si="209"/>
        <v>0</v>
      </c>
      <c r="I2205" s="138">
        <f t="shared" si="210"/>
        <v>0</v>
      </c>
      <c r="J2205" s="48"/>
    </row>
    <row r="2206" spans="1:10" s="16" customFormat="1" ht="25.5" outlineLevel="3">
      <c r="A2206" s="91"/>
      <c r="B2206" s="35"/>
      <c r="C2206" s="411" t="s">
        <v>146</v>
      </c>
      <c r="D2206" s="136" t="s">
        <v>28</v>
      </c>
      <c r="E2206" s="137">
        <v>1</v>
      </c>
      <c r="F2206" s="232">
        <v>0</v>
      </c>
      <c r="G2206" s="232">
        <v>0</v>
      </c>
      <c r="H2206" s="138">
        <f t="shared" si="209"/>
        <v>0</v>
      </c>
      <c r="I2206" s="138">
        <f t="shared" si="210"/>
        <v>0</v>
      </c>
      <c r="J2206" s="48"/>
    </row>
    <row r="2207" spans="1:10" s="16" customFormat="1" ht="25.5" outlineLevel="3">
      <c r="A2207" s="91"/>
      <c r="B2207" s="35"/>
      <c r="C2207" s="411" t="s">
        <v>234</v>
      </c>
      <c r="D2207" s="136" t="s">
        <v>28</v>
      </c>
      <c r="E2207" s="137">
        <v>3</v>
      </c>
      <c r="F2207" s="232">
        <v>0</v>
      </c>
      <c r="G2207" s="232">
        <v>0</v>
      </c>
      <c r="H2207" s="138">
        <f t="shared" si="209"/>
        <v>0</v>
      </c>
      <c r="I2207" s="138">
        <f t="shared" si="210"/>
        <v>0</v>
      </c>
      <c r="J2207" s="48"/>
    </row>
    <row r="2208" spans="1:10" s="16" customFormat="1" ht="25.5" outlineLevel="3">
      <c r="A2208" s="91"/>
      <c r="B2208" s="35"/>
      <c r="C2208" s="112" t="s">
        <v>148</v>
      </c>
      <c r="D2208" s="136"/>
      <c r="E2208" s="137"/>
      <c r="F2208" s="232">
        <v>0</v>
      </c>
      <c r="G2208" s="232">
        <v>0</v>
      </c>
      <c r="H2208" s="183"/>
      <c r="I2208" s="183"/>
      <c r="J2208" s="48"/>
    </row>
    <row r="2209" spans="1:10" s="16" customFormat="1" ht="25.5" outlineLevel="3">
      <c r="A2209" s="91"/>
      <c r="B2209" s="35"/>
      <c r="C2209" s="420" t="s">
        <v>149</v>
      </c>
      <c r="D2209" s="136" t="s">
        <v>28</v>
      </c>
      <c r="E2209" s="137">
        <v>11</v>
      </c>
      <c r="F2209" s="232">
        <v>0</v>
      </c>
      <c r="G2209" s="232">
        <v>0</v>
      </c>
      <c r="H2209" s="138">
        <f t="shared" ref="H2209:H2214" si="211">G2209+F2209</f>
        <v>0</v>
      </c>
      <c r="I2209" s="138">
        <f t="shared" ref="I2209:I2214" si="212">H2209*E2209</f>
        <v>0</v>
      </c>
      <c r="J2209" s="48"/>
    </row>
    <row r="2210" spans="1:10" s="16" customFormat="1" ht="25.5" outlineLevel="3">
      <c r="A2210" s="91"/>
      <c r="B2210" s="35"/>
      <c r="C2210" s="420" t="s">
        <v>1079</v>
      </c>
      <c r="D2210" s="136" t="s">
        <v>28</v>
      </c>
      <c r="E2210" s="137">
        <v>11</v>
      </c>
      <c r="F2210" s="232">
        <v>0</v>
      </c>
      <c r="G2210" s="232">
        <v>0</v>
      </c>
      <c r="H2210" s="138">
        <f t="shared" si="211"/>
        <v>0</v>
      </c>
      <c r="I2210" s="138">
        <f t="shared" si="212"/>
        <v>0</v>
      </c>
      <c r="J2210" s="48"/>
    </row>
    <row r="2211" spans="1:10" s="16" customFormat="1" ht="25.5" outlineLevel="3">
      <c r="A2211" s="91"/>
      <c r="B2211" s="35"/>
      <c r="C2211" s="420" t="s">
        <v>203</v>
      </c>
      <c r="D2211" s="136" t="s">
        <v>28</v>
      </c>
      <c r="E2211" s="137">
        <v>1</v>
      </c>
      <c r="F2211" s="232">
        <v>0</v>
      </c>
      <c r="G2211" s="232">
        <v>0</v>
      </c>
      <c r="H2211" s="138">
        <f t="shared" si="211"/>
        <v>0</v>
      </c>
      <c r="I2211" s="138">
        <f t="shared" si="212"/>
        <v>0</v>
      </c>
      <c r="J2211" s="48"/>
    </row>
    <row r="2212" spans="1:10" s="16" customFormat="1" ht="25.5" outlineLevel="3">
      <c r="A2212" s="91"/>
      <c r="B2212" s="35"/>
      <c r="C2212" s="411" t="s">
        <v>161</v>
      </c>
      <c r="D2212" s="136" t="s">
        <v>194</v>
      </c>
      <c r="E2212" s="137">
        <v>1</v>
      </c>
      <c r="F2212" s="232">
        <v>0</v>
      </c>
      <c r="G2212" s="232">
        <v>0</v>
      </c>
      <c r="H2212" s="138">
        <f t="shared" si="211"/>
        <v>0</v>
      </c>
      <c r="I2212" s="138">
        <f t="shared" si="212"/>
        <v>0</v>
      </c>
      <c r="J2212" s="48"/>
    </row>
    <row r="2213" spans="1:10" s="16" customFormat="1" ht="25.5" outlineLevel="3">
      <c r="A2213" s="91"/>
      <c r="B2213" s="35"/>
      <c r="C2213" s="419" t="s">
        <v>1436</v>
      </c>
      <c r="D2213" s="136" t="s">
        <v>38</v>
      </c>
      <c r="E2213" s="137">
        <v>1</v>
      </c>
      <c r="F2213" s="232">
        <v>0</v>
      </c>
      <c r="G2213" s="232">
        <v>0</v>
      </c>
      <c r="H2213" s="138">
        <f t="shared" si="211"/>
        <v>0</v>
      </c>
      <c r="I2213" s="138">
        <f t="shared" si="212"/>
        <v>0</v>
      </c>
      <c r="J2213" s="48"/>
    </row>
    <row r="2214" spans="1:10" s="16" customFormat="1" ht="25.5" outlineLevel="3">
      <c r="A2214" s="91"/>
      <c r="B2214" s="35">
        <f>MAXA(B$5:B2213)+1</f>
        <v>1083</v>
      </c>
      <c r="C2214" s="420" t="s">
        <v>2137</v>
      </c>
      <c r="D2214" s="136" t="s">
        <v>38</v>
      </c>
      <c r="E2214" s="137">
        <v>1</v>
      </c>
      <c r="F2214" s="232">
        <v>42819011</v>
      </c>
      <c r="G2214" s="232">
        <v>1563188</v>
      </c>
      <c r="H2214" s="138">
        <f t="shared" si="211"/>
        <v>44382199</v>
      </c>
      <c r="I2214" s="138">
        <f t="shared" si="212"/>
        <v>44382199</v>
      </c>
      <c r="J2214" s="48"/>
    </row>
    <row r="2215" spans="1:10" s="16" customFormat="1" ht="25.5" outlineLevel="3">
      <c r="A2215" s="91"/>
      <c r="B2215" s="35"/>
      <c r="C2215" s="112" t="s">
        <v>141</v>
      </c>
      <c r="D2215" s="136"/>
      <c r="E2215" s="137"/>
      <c r="F2215" s="232">
        <v>0</v>
      </c>
      <c r="G2215" s="232">
        <v>0</v>
      </c>
      <c r="H2215" s="183"/>
      <c r="I2215" s="183"/>
      <c r="J2215" s="48"/>
    </row>
    <row r="2216" spans="1:10" s="16" customFormat="1" ht="25.5" outlineLevel="3">
      <c r="A2216" s="91"/>
      <c r="B2216" s="35"/>
      <c r="C2216" s="420" t="s">
        <v>2138</v>
      </c>
      <c r="D2216" s="136" t="s">
        <v>28</v>
      </c>
      <c r="E2216" s="137">
        <v>1</v>
      </c>
      <c r="F2216" s="232">
        <v>0</v>
      </c>
      <c r="G2216" s="232">
        <v>0</v>
      </c>
      <c r="H2216" s="138">
        <f t="shared" ref="H2216:H2223" si="213">G2216+F2216</f>
        <v>0</v>
      </c>
      <c r="I2216" s="138">
        <f t="shared" ref="I2216:I2223" si="214">H2216*E2216</f>
        <v>0</v>
      </c>
      <c r="J2216" s="48"/>
    </row>
    <row r="2217" spans="1:10" s="16" customFormat="1" ht="25.5" outlineLevel="3">
      <c r="A2217" s="91"/>
      <c r="B2217" s="35"/>
      <c r="C2217" s="411" t="s">
        <v>573</v>
      </c>
      <c r="D2217" s="136" t="s">
        <v>28</v>
      </c>
      <c r="E2217" s="137">
        <v>9</v>
      </c>
      <c r="F2217" s="232">
        <v>0</v>
      </c>
      <c r="G2217" s="232">
        <v>0</v>
      </c>
      <c r="H2217" s="138">
        <f t="shared" si="213"/>
        <v>0</v>
      </c>
      <c r="I2217" s="138">
        <f t="shared" si="214"/>
        <v>0</v>
      </c>
      <c r="J2217" s="48"/>
    </row>
    <row r="2218" spans="1:10" s="16" customFormat="1" ht="25.5" outlineLevel="3">
      <c r="A2218" s="91"/>
      <c r="B2218" s="35"/>
      <c r="C2218" s="411" t="s">
        <v>574</v>
      </c>
      <c r="D2218" s="136" t="s">
        <v>28</v>
      </c>
      <c r="E2218" s="137">
        <v>6</v>
      </c>
      <c r="F2218" s="232">
        <v>0</v>
      </c>
      <c r="G2218" s="232">
        <v>0</v>
      </c>
      <c r="H2218" s="138">
        <f t="shared" si="213"/>
        <v>0</v>
      </c>
      <c r="I2218" s="138">
        <f t="shared" si="214"/>
        <v>0</v>
      </c>
      <c r="J2218" s="48"/>
    </row>
    <row r="2219" spans="1:10" s="16" customFormat="1" ht="25.5" outlineLevel="3">
      <c r="A2219" s="91"/>
      <c r="B2219" s="35"/>
      <c r="C2219" s="411" t="s">
        <v>143</v>
      </c>
      <c r="D2219" s="136" t="s">
        <v>28</v>
      </c>
      <c r="E2219" s="137">
        <v>1</v>
      </c>
      <c r="F2219" s="232">
        <v>0</v>
      </c>
      <c r="G2219" s="232">
        <v>0</v>
      </c>
      <c r="H2219" s="138">
        <f t="shared" si="213"/>
        <v>0</v>
      </c>
      <c r="I2219" s="138">
        <f t="shared" si="214"/>
        <v>0</v>
      </c>
      <c r="J2219" s="48"/>
    </row>
    <row r="2220" spans="1:10" s="16" customFormat="1" ht="25.5" outlineLevel="3">
      <c r="A2220" s="91"/>
      <c r="B2220" s="35"/>
      <c r="C2220" s="411" t="s">
        <v>144</v>
      </c>
      <c r="D2220" s="136" t="s">
        <v>28</v>
      </c>
      <c r="E2220" s="137">
        <v>1</v>
      </c>
      <c r="F2220" s="232">
        <v>0</v>
      </c>
      <c r="G2220" s="232">
        <v>0</v>
      </c>
      <c r="H2220" s="138">
        <f t="shared" si="213"/>
        <v>0</v>
      </c>
      <c r="I2220" s="138">
        <f t="shared" si="214"/>
        <v>0</v>
      </c>
      <c r="J2220" s="48"/>
    </row>
    <row r="2221" spans="1:10" s="16" customFormat="1" ht="25.5" outlineLevel="3">
      <c r="A2221" s="91"/>
      <c r="B2221" s="35"/>
      <c r="C2221" s="411" t="s">
        <v>2139</v>
      </c>
      <c r="D2221" s="136" t="s">
        <v>28</v>
      </c>
      <c r="E2221" s="137">
        <v>1</v>
      </c>
      <c r="F2221" s="232">
        <v>0</v>
      </c>
      <c r="G2221" s="232">
        <v>0</v>
      </c>
      <c r="H2221" s="138">
        <f t="shared" si="213"/>
        <v>0</v>
      </c>
      <c r="I2221" s="138">
        <f t="shared" si="214"/>
        <v>0</v>
      </c>
      <c r="J2221" s="48"/>
    </row>
    <row r="2222" spans="1:10" s="16" customFormat="1" ht="25.5" outlineLevel="3">
      <c r="A2222" s="91"/>
      <c r="B2222" s="35"/>
      <c r="C2222" s="411" t="s">
        <v>146</v>
      </c>
      <c r="D2222" s="136" t="s">
        <v>28</v>
      </c>
      <c r="E2222" s="137">
        <v>1</v>
      </c>
      <c r="F2222" s="232">
        <v>0</v>
      </c>
      <c r="G2222" s="232">
        <v>0</v>
      </c>
      <c r="H2222" s="138">
        <f t="shared" si="213"/>
        <v>0</v>
      </c>
      <c r="I2222" s="138">
        <f t="shared" si="214"/>
        <v>0</v>
      </c>
      <c r="J2222" s="48"/>
    </row>
    <row r="2223" spans="1:10" s="16" customFormat="1" ht="25.5" outlineLevel="3">
      <c r="A2223" s="91"/>
      <c r="B2223" s="35"/>
      <c r="C2223" s="419" t="s">
        <v>211</v>
      </c>
      <c r="D2223" s="136" t="s">
        <v>28</v>
      </c>
      <c r="E2223" s="137">
        <v>3</v>
      </c>
      <c r="F2223" s="232">
        <v>0</v>
      </c>
      <c r="G2223" s="232">
        <v>0</v>
      </c>
      <c r="H2223" s="138">
        <f t="shared" si="213"/>
        <v>0</v>
      </c>
      <c r="I2223" s="138">
        <f t="shared" si="214"/>
        <v>0</v>
      </c>
      <c r="J2223" s="48"/>
    </row>
    <row r="2224" spans="1:10" s="16" customFormat="1" ht="25.5" outlineLevel="3">
      <c r="A2224" s="91"/>
      <c r="B2224" s="35"/>
      <c r="C2224" s="112" t="s">
        <v>148</v>
      </c>
      <c r="D2224" s="136"/>
      <c r="E2224" s="137"/>
      <c r="F2224" s="232">
        <v>0</v>
      </c>
      <c r="G2224" s="232">
        <v>0</v>
      </c>
      <c r="H2224" s="183"/>
      <c r="I2224" s="183"/>
      <c r="J2224" s="48"/>
    </row>
    <row r="2225" spans="1:10" s="16" customFormat="1" ht="25.5" outlineLevel="3">
      <c r="A2225" s="91"/>
      <c r="B2225" s="35"/>
      <c r="C2225" s="420" t="s">
        <v>1440</v>
      </c>
      <c r="D2225" s="136" t="s">
        <v>28</v>
      </c>
      <c r="E2225" s="137">
        <v>6</v>
      </c>
      <c r="F2225" s="232">
        <v>0</v>
      </c>
      <c r="G2225" s="232">
        <v>0</v>
      </c>
      <c r="H2225" s="138">
        <f t="shared" ref="H2225:H2231" si="215">G2225+F2225</f>
        <v>0</v>
      </c>
      <c r="I2225" s="138">
        <f t="shared" ref="I2225:I2231" si="216">H2225*E2225</f>
        <v>0</v>
      </c>
      <c r="J2225" s="48"/>
    </row>
    <row r="2226" spans="1:10" s="16" customFormat="1" ht="25.5" outlineLevel="3">
      <c r="A2226" s="91"/>
      <c r="B2226" s="35"/>
      <c r="C2226" s="420" t="s">
        <v>2140</v>
      </c>
      <c r="D2226" s="136" t="s">
        <v>28</v>
      </c>
      <c r="E2226" s="137">
        <v>14</v>
      </c>
      <c r="F2226" s="232">
        <v>0</v>
      </c>
      <c r="G2226" s="232">
        <v>0</v>
      </c>
      <c r="H2226" s="138">
        <f t="shared" si="215"/>
        <v>0</v>
      </c>
      <c r="I2226" s="138">
        <f t="shared" si="216"/>
        <v>0</v>
      </c>
      <c r="J2226" s="48"/>
    </row>
    <row r="2227" spans="1:10" s="16" customFormat="1" ht="25.5" outlineLevel="3">
      <c r="A2227" s="91"/>
      <c r="B2227" s="35"/>
      <c r="C2227" s="420" t="s">
        <v>192</v>
      </c>
      <c r="D2227" s="136" t="s">
        <v>28</v>
      </c>
      <c r="E2227" s="137">
        <v>2</v>
      </c>
      <c r="F2227" s="232">
        <v>0</v>
      </c>
      <c r="G2227" s="232">
        <v>0</v>
      </c>
      <c r="H2227" s="138">
        <f t="shared" si="215"/>
        <v>0</v>
      </c>
      <c r="I2227" s="138">
        <f t="shared" si="216"/>
        <v>0</v>
      </c>
      <c r="J2227" s="48"/>
    </row>
    <row r="2228" spans="1:10" s="16" customFormat="1" ht="25.5" outlineLevel="3">
      <c r="A2228" s="91"/>
      <c r="B2228" s="35"/>
      <c r="C2228" s="420" t="s">
        <v>203</v>
      </c>
      <c r="D2228" s="136" t="s">
        <v>28</v>
      </c>
      <c r="E2228" s="137">
        <v>1</v>
      </c>
      <c r="F2228" s="232">
        <v>0</v>
      </c>
      <c r="G2228" s="232">
        <v>0</v>
      </c>
      <c r="H2228" s="138">
        <f t="shared" si="215"/>
        <v>0</v>
      </c>
      <c r="I2228" s="138">
        <f t="shared" si="216"/>
        <v>0</v>
      </c>
      <c r="J2228" s="48"/>
    </row>
    <row r="2229" spans="1:10" s="16" customFormat="1" ht="25.5" outlineLevel="3">
      <c r="A2229" s="91"/>
      <c r="B2229" s="35"/>
      <c r="C2229" s="411" t="s">
        <v>161</v>
      </c>
      <c r="D2229" s="136" t="s">
        <v>194</v>
      </c>
      <c r="E2229" s="137">
        <v>1</v>
      </c>
      <c r="F2229" s="232">
        <v>0</v>
      </c>
      <c r="G2229" s="232">
        <v>0</v>
      </c>
      <c r="H2229" s="138">
        <f t="shared" si="215"/>
        <v>0</v>
      </c>
      <c r="I2229" s="138">
        <f t="shared" si="216"/>
        <v>0</v>
      </c>
      <c r="J2229" s="48"/>
    </row>
    <row r="2230" spans="1:10" s="16" customFormat="1" ht="25.5" outlineLevel="3">
      <c r="A2230" s="91"/>
      <c r="B2230" s="35"/>
      <c r="C2230" s="419" t="s">
        <v>1436</v>
      </c>
      <c r="D2230" s="136" t="s">
        <v>38</v>
      </c>
      <c r="E2230" s="137">
        <v>1</v>
      </c>
      <c r="F2230" s="232">
        <v>0</v>
      </c>
      <c r="G2230" s="232">
        <v>0</v>
      </c>
      <c r="H2230" s="138">
        <f t="shared" si="215"/>
        <v>0</v>
      </c>
      <c r="I2230" s="138">
        <f t="shared" si="216"/>
        <v>0</v>
      </c>
      <c r="J2230" s="48"/>
    </row>
    <row r="2231" spans="1:10" s="16" customFormat="1" ht="25.5" outlineLevel="3">
      <c r="A2231" s="91"/>
      <c r="B2231" s="35">
        <f>MAXA(B$5:B2230)+1</f>
        <v>1084</v>
      </c>
      <c r="C2231" s="420" t="s">
        <v>1150</v>
      </c>
      <c r="D2231" s="136" t="s">
        <v>38</v>
      </c>
      <c r="E2231" s="137">
        <v>1</v>
      </c>
      <c r="F2231" s="232">
        <v>278997080</v>
      </c>
      <c r="G2231" s="232">
        <v>10421250</v>
      </c>
      <c r="H2231" s="138">
        <f t="shared" si="215"/>
        <v>289418330</v>
      </c>
      <c r="I2231" s="138">
        <f t="shared" si="216"/>
        <v>289418330</v>
      </c>
      <c r="J2231" s="48"/>
    </row>
    <row r="2232" spans="1:10" s="16" customFormat="1" ht="25.5" outlineLevel="3">
      <c r="A2232" s="91"/>
      <c r="B2232" s="35"/>
      <c r="C2232" s="112" t="s">
        <v>141</v>
      </c>
      <c r="D2232" s="136"/>
      <c r="E2232" s="137"/>
      <c r="F2232" s="232">
        <v>0</v>
      </c>
      <c r="G2232" s="232">
        <v>0</v>
      </c>
      <c r="H2232" s="183"/>
      <c r="I2232" s="183"/>
      <c r="J2232" s="48"/>
    </row>
    <row r="2233" spans="1:10" s="16" customFormat="1" ht="25.5" outlineLevel="3">
      <c r="A2233" s="91"/>
      <c r="B2233" s="35"/>
      <c r="C2233" s="420" t="s">
        <v>2141</v>
      </c>
      <c r="D2233" s="136" t="s">
        <v>28</v>
      </c>
      <c r="E2233" s="137">
        <v>1</v>
      </c>
      <c r="F2233" s="232">
        <v>0</v>
      </c>
      <c r="G2233" s="232">
        <v>0</v>
      </c>
      <c r="H2233" s="138">
        <f t="shared" ref="H2233:H2240" si="217">G2233+F2233</f>
        <v>0</v>
      </c>
      <c r="I2233" s="138">
        <f t="shared" ref="I2233:I2240" si="218">H2233*E2233</f>
        <v>0</v>
      </c>
      <c r="J2233" s="48"/>
    </row>
    <row r="2234" spans="1:10" s="16" customFormat="1" ht="25.5" outlineLevel="3">
      <c r="A2234" s="91"/>
      <c r="B2234" s="35"/>
      <c r="C2234" s="411" t="s">
        <v>573</v>
      </c>
      <c r="D2234" s="136" t="s">
        <v>28</v>
      </c>
      <c r="E2234" s="137">
        <v>9</v>
      </c>
      <c r="F2234" s="232">
        <v>0</v>
      </c>
      <c r="G2234" s="232">
        <v>0</v>
      </c>
      <c r="H2234" s="138">
        <f t="shared" si="217"/>
        <v>0</v>
      </c>
      <c r="I2234" s="138">
        <f t="shared" si="218"/>
        <v>0</v>
      </c>
      <c r="J2234" s="48"/>
    </row>
    <row r="2235" spans="1:10" s="16" customFormat="1" ht="25.5" outlineLevel="3">
      <c r="A2235" s="91"/>
      <c r="B2235" s="35"/>
      <c r="C2235" s="411" t="s">
        <v>574</v>
      </c>
      <c r="D2235" s="136" t="s">
        <v>28</v>
      </c>
      <c r="E2235" s="137">
        <v>6</v>
      </c>
      <c r="F2235" s="232">
        <v>0</v>
      </c>
      <c r="G2235" s="232">
        <v>0</v>
      </c>
      <c r="H2235" s="138">
        <f t="shared" si="217"/>
        <v>0</v>
      </c>
      <c r="I2235" s="138">
        <f t="shared" si="218"/>
        <v>0</v>
      </c>
      <c r="J2235" s="48"/>
    </row>
    <row r="2236" spans="1:10" s="16" customFormat="1" ht="25.5" outlineLevel="3">
      <c r="A2236" s="91"/>
      <c r="B2236" s="35"/>
      <c r="C2236" s="411" t="s">
        <v>143</v>
      </c>
      <c r="D2236" s="136" t="s">
        <v>28</v>
      </c>
      <c r="E2236" s="137">
        <v>1</v>
      </c>
      <c r="F2236" s="232">
        <v>0</v>
      </c>
      <c r="G2236" s="232">
        <v>0</v>
      </c>
      <c r="H2236" s="138">
        <f t="shared" si="217"/>
        <v>0</v>
      </c>
      <c r="I2236" s="138">
        <f t="shared" si="218"/>
        <v>0</v>
      </c>
      <c r="J2236" s="48"/>
    </row>
    <row r="2237" spans="1:10" s="16" customFormat="1" ht="25.5" outlineLevel="3">
      <c r="A2237" s="91"/>
      <c r="B2237" s="35"/>
      <c r="C2237" s="411" t="s">
        <v>144</v>
      </c>
      <c r="D2237" s="136" t="s">
        <v>28</v>
      </c>
      <c r="E2237" s="137">
        <v>1</v>
      </c>
      <c r="F2237" s="232">
        <v>0</v>
      </c>
      <c r="G2237" s="232">
        <v>0</v>
      </c>
      <c r="H2237" s="138">
        <f t="shared" si="217"/>
        <v>0</v>
      </c>
      <c r="I2237" s="138">
        <f t="shared" si="218"/>
        <v>0</v>
      </c>
      <c r="J2237" s="48"/>
    </row>
    <row r="2238" spans="1:10" s="16" customFormat="1" ht="25.5" outlineLevel="3">
      <c r="A2238" s="91"/>
      <c r="B2238" s="35"/>
      <c r="C2238" s="411" t="s">
        <v>1152</v>
      </c>
      <c r="D2238" s="136" t="s">
        <v>28</v>
      </c>
      <c r="E2238" s="137">
        <v>1</v>
      </c>
      <c r="F2238" s="232">
        <v>0</v>
      </c>
      <c r="G2238" s="232">
        <v>0</v>
      </c>
      <c r="H2238" s="138">
        <f t="shared" si="217"/>
        <v>0</v>
      </c>
      <c r="I2238" s="138">
        <f t="shared" si="218"/>
        <v>0</v>
      </c>
      <c r="J2238" s="48"/>
    </row>
    <row r="2239" spans="1:10" s="16" customFormat="1" ht="25.5" outlineLevel="3">
      <c r="A2239" s="91"/>
      <c r="B2239" s="35"/>
      <c r="C2239" s="411" t="s">
        <v>146</v>
      </c>
      <c r="D2239" s="136" t="s">
        <v>28</v>
      </c>
      <c r="E2239" s="137">
        <v>1</v>
      </c>
      <c r="F2239" s="232">
        <v>0</v>
      </c>
      <c r="G2239" s="232">
        <v>0</v>
      </c>
      <c r="H2239" s="138">
        <f t="shared" si="217"/>
        <v>0</v>
      </c>
      <c r="I2239" s="138">
        <f t="shared" si="218"/>
        <v>0</v>
      </c>
      <c r="J2239" s="48"/>
    </row>
    <row r="2240" spans="1:10" s="16" customFormat="1" ht="25.5" outlineLevel="3">
      <c r="A2240" s="91"/>
      <c r="B2240" s="35"/>
      <c r="C2240" s="419" t="s">
        <v>108</v>
      </c>
      <c r="D2240" s="136" t="s">
        <v>28</v>
      </c>
      <c r="E2240" s="137">
        <v>3</v>
      </c>
      <c r="F2240" s="232">
        <v>0</v>
      </c>
      <c r="G2240" s="232">
        <v>0</v>
      </c>
      <c r="H2240" s="138">
        <f t="shared" si="217"/>
        <v>0</v>
      </c>
      <c r="I2240" s="138">
        <f t="shared" si="218"/>
        <v>0</v>
      </c>
      <c r="J2240" s="48"/>
    </row>
    <row r="2241" spans="1:10" s="16" customFormat="1" ht="25.5" outlineLevel="3">
      <c r="A2241" s="91"/>
      <c r="B2241" s="35"/>
      <c r="C2241" s="112" t="s">
        <v>148</v>
      </c>
      <c r="D2241" s="136"/>
      <c r="E2241" s="137"/>
      <c r="F2241" s="232">
        <v>0</v>
      </c>
      <c r="G2241" s="232">
        <v>0</v>
      </c>
      <c r="H2241" s="183"/>
      <c r="I2241" s="183"/>
      <c r="J2241" s="48"/>
    </row>
    <row r="2242" spans="1:10" s="16" customFormat="1" ht="25.5" outlineLevel="3">
      <c r="A2242" s="91"/>
      <c r="B2242" s="35"/>
      <c r="C2242" s="420" t="s">
        <v>2142</v>
      </c>
      <c r="D2242" s="136" t="s">
        <v>28</v>
      </c>
      <c r="E2242" s="137">
        <v>2</v>
      </c>
      <c r="F2242" s="232">
        <v>0</v>
      </c>
      <c r="G2242" s="232">
        <v>0</v>
      </c>
      <c r="H2242" s="138">
        <f t="shared" ref="H2242:H2250" si="219">G2242+F2242</f>
        <v>0</v>
      </c>
      <c r="I2242" s="138">
        <f t="shared" ref="I2242:I2250" si="220">H2242*E2242</f>
        <v>0</v>
      </c>
      <c r="J2242" s="48"/>
    </row>
    <row r="2243" spans="1:10" s="16" customFormat="1" ht="25.5" outlineLevel="3">
      <c r="A2243" s="91"/>
      <c r="B2243" s="35"/>
      <c r="C2243" s="420" t="s">
        <v>2081</v>
      </c>
      <c r="D2243" s="136" t="s">
        <v>28</v>
      </c>
      <c r="E2243" s="137">
        <v>6</v>
      </c>
      <c r="F2243" s="232">
        <v>0</v>
      </c>
      <c r="G2243" s="232">
        <v>0</v>
      </c>
      <c r="H2243" s="138">
        <f t="shared" si="219"/>
        <v>0</v>
      </c>
      <c r="I2243" s="138">
        <f t="shared" si="220"/>
        <v>0</v>
      </c>
      <c r="J2243" s="48"/>
    </row>
    <row r="2244" spans="1:10" s="16" customFormat="1" ht="25.5" outlineLevel="3">
      <c r="A2244" s="91"/>
      <c r="B2244" s="35"/>
      <c r="C2244" s="420" t="s">
        <v>2113</v>
      </c>
      <c r="D2244" s="136" t="s">
        <v>28</v>
      </c>
      <c r="E2244" s="137">
        <v>1</v>
      </c>
      <c r="F2244" s="232">
        <v>0</v>
      </c>
      <c r="G2244" s="232">
        <v>0</v>
      </c>
      <c r="H2244" s="138">
        <f t="shared" si="219"/>
        <v>0</v>
      </c>
      <c r="I2244" s="138">
        <f t="shared" si="220"/>
        <v>0</v>
      </c>
      <c r="J2244" s="48"/>
    </row>
    <row r="2245" spans="1:10" s="16" customFormat="1" ht="25.5" outlineLevel="3">
      <c r="A2245" s="91"/>
      <c r="B2245" s="35"/>
      <c r="C2245" s="420" t="s">
        <v>1082</v>
      </c>
      <c r="D2245" s="136" t="s">
        <v>28</v>
      </c>
      <c r="E2245" s="137">
        <v>1</v>
      </c>
      <c r="F2245" s="232">
        <v>0</v>
      </c>
      <c r="G2245" s="232">
        <v>0</v>
      </c>
      <c r="H2245" s="138">
        <f t="shared" si="219"/>
        <v>0</v>
      </c>
      <c r="I2245" s="138">
        <f t="shared" si="220"/>
        <v>0</v>
      </c>
      <c r="J2245" s="48"/>
    </row>
    <row r="2246" spans="1:10" s="16" customFormat="1" ht="25.5" outlineLevel="3">
      <c r="A2246" s="91"/>
      <c r="B2246" s="35"/>
      <c r="C2246" s="420" t="s">
        <v>1079</v>
      </c>
      <c r="D2246" s="136" t="s">
        <v>28</v>
      </c>
      <c r="E2246" s="137">
        <v>1</v>
      </c>
      <c r="F2246" s="232">
        <v>0</v>
      </c>
      <c r="G2246" s="232">
        <v>0</v>
      </c>
      <c r="H2246" s="138">
        <f t="shared" si="219"/>
        <v>0</v>
      </c>
      <c r="I2246" s="138">
        <f t="shared" si="220"/>
        <v>0</v>
      </c>
      <c r="J2246" s="48"/>
    </row>
    <row r="2247" spans="1:10" s="16" customFormat="1" ht="25.5" outlineLevel="3">
      <c r="A2247" s="91"/>
      <c r="B2247" s="35"/>
      <c r="C2247" s="420" t="s">
        <v>263</v>
      </c>
      <c r="D2247" s="136" t="s">
        <v>28</v>
      </c>
      <c r="E2247" s="137">
        <v>1</v>
      </c>
      <c r="F2247" s="232">
        <v>0</v>
      </c>
      <c r="G2247" s="232">
        <v>0</v>
      </c>
      <c r="H2247" s="138">
        <f t="shared" si="219"/>
        <v>0</v>
      </c>
      <c r="I2247" s="138">
        <f t="shared" si="220"/>
        <v>0</v>
      </c>
      <c r="J2247" s="48"/>
    </row>
    <row r="2248" spans="1:10" s="16" customFormat="1" ht="25.5" outlineLevel="3">
      <c r="A2248" s="91"/>
      <c r="B2248" s="35"/>
      <c r="C2248" s="420" t="s">
        <v>639</v>
      </c>
      <c r="D2248" s="136" t="s">
        <v>28</v>
      </c>
      <c r="E2248" s="137">
        <v>1</v>
      </c>
      <c r="F2248" s="232">
        <v>0</v>
      </c>
      <c r="G2248" s="232">
        <v>0</v>
      </c>
      <c r="H2248" s="138">
        <f t="shared" si="219"/>
        <v>0</v>
      </c>
      <c r="I2248" s="138">
        <f t="shared" si="220"/>
        <v>0</v>
      </c>
      <c r="J2248" s="48"/>
    </row>
    <row r="2249" spans="1:10" s="16" customFormat="1" ht="25.5" outlineLevel="3">
      <c r="A2249" s="91"/>
      <c r="B2249" s="35"/>
      <c r="C2249" s="420" t="s">
        <v>203</v>
      </c>
      <c r="D2249" s="136" t="s">
        <v>28</v>
      </c>
      <c r="E2249" s="137">
        <v>1</v>
      </c>
      <c r="F2249" s="232">
        <v>0</v>
      </c>
      <c r="G2249" s="232">
        <v>0</v>
      </c>
      <c r="H2249" s="138">
        <f t="shared" si="219"/>
        <v>0</v>
      </c>
      <c r="I2249" s="138">
        <f t="shared" si="220"/>
        <v>0</v>
      </c>
      <c r="J2249" s="48"/>
    </row>
    <row r="2250" spans="1:10" s="16" customFormat="1" ht="25.5" outlineLevel="3">
      <c r="A2250" s="91"/>
      <c r="B2250" s="35"/>
      <c r="C2250" s="411" t="s">
        <v>161</v>
      </c>
      <c r="D2250" s="136" t="s">
        <v>194</v>
      </c>
      <c r="E2250" s="137">
        <v>1</v>
      </c>
      <c r="F2250" s="232">
        <v>0</v>
      </c>
      <c r="G2250" s="232">
        <v>0</v>
      </c>
      <c r="H2250" s="138">
        <f t="shared" si="219"/>
        <v>0</v>
      </c>
      <c r="I2250" s="138">
        <f t="shared" si="220"/>
        <v>0</v>
      </c>
      <c r="J2250" s="48"/>
    </row>
    <row r="2251" spans="1:10" s="16" customFormat="1" ht="25.5" outlineLevel="3">
      <c r="A2251" s="91"/>
      <c r="B2251" s="35"/>
      <c r="C2251" s="423" t="s">
        <v>2143</v>
      </c>
      <c r="D2251" s="136"/>
      <c r="E2251" s="137"/>
      <c r="F2251" s="232">
        <v>0</v>
      </c>
      <c r="G2251" s="232">
        <v>0</v>
      </c>
      <c r="H2251" s="183"/>
      <c r="I2251" s="183"/>
      <c r="J2251" s="48"/>
    </row>
    <row r="2252" spans="1:10" s="16" customFormat="1" ht="25.5" outlineLevel="3">
      <c r="A2252" s="91"/>
      <c r="B2252" s="35"/>
      <c r="C2252" s="411" t="s">
        <v>2144</v>
      </c>
      <c r="D2252" s="136" t="s">
        <v>28</v>
      </c>
      <c r="E2252" s="137">
        <v>3</v>
      </c>
      <c r="F2252" s="232">
        <v>0</v>
      </c>
      <c r="G2252" s="232">
        <v>0</v>
      </c>
      <c r="H2252" s="138">
        <f>G2252+F2252</f>
        <v>0</v>
      </c>
      <c r="I2252" s="138">
        <f>H2252*E2252</f>
        <v>0</v>
      </c>
      <c r="J2252" s="48"/>
    </row>
    <row r="2253" spans="1:10" s="16" customFormat="1" ht="25.5" outlineLevel="3">
      <c r="A2253" s="91"/>
      <c r="B2253" s="35"/>
      <c r="C2253" s="129" t="s">
        <v>578</v>
      </c>
      <c r="D2253" s="136" t="s">
        <v>38</v>
      </c>
      <c r="E2253" s="418">
        <v>1</v>
      </c>
      <c r="F2253" s="232">
        <v>0</v>
      </c>
      <c r="G2253" s="232">
        <v>0</v>
      </c>
      <c r="H2253" s="138">
        <f>G2253+F2253</f>
        <v>0</v>
      </c>
      <c r="I2253" s="138">
        <f>H2253*E2253</f>
        <v>0</v>
      </c>
      <c r="J2253" s="48"/>
    </row>
    <row r="2254" spans="1:10" s="16" customFormat="1" ht="25.5" outlineLevel="3">
      <c r="A2254" s="91"/>
      <c r="B2254" s="35"/>
      <c r="C2254" s="421" t="s">
        <v>2145</v>
      </c>
      <c r="D2254" s="136"/>
      <c r="E2254" s="137"/>
      <c r="F2254" s="232">
        <v>0</v>
      </c>
      <c r="G2254" s="232">
        <v>0</v>
      </c>
      <c r="H2254" s="183"/>
      <c r="I2254" s="183"/>
      <c r="J2254" s="48"/>
    </row>
    <row r="2255" spans="1:10" s="16" customFormat="1" ht="25.5" outlineLevel="3">
      <c r="A2255" s="91"/>
      <c r="B2255" s="35"/>
      <c r="C2255" s="420" t="s">
        <v>2085</v>
      </c>
      <c r="D2255" s="136" t="s">
        <v>28</v>
      </c>
      <c r="E2255" s="137">
        <v>6</v>
      </c>
      <c r="F2255" s="232">
        <v>0</v>
      </c>
      <c r="G2255" s="232">
        <v>0</v>
      </c>
      <c r="H2255" s="138">
        <f t="shared" ref="H2255:H2260" si="221">G2255+F2255</f>
        <v>0</v>
      </c>
      <c r="I2255" s="138">
        <f t="shared" ref="I2255:I2260" si="222">H2255*E2255</f>
        <v>0</v>
      </c>
      <c r="J2255" s="48"/>
    </row>
    <row r="2256" spans="1:10" s="16" customFormat="1" ht="25.5" outlineLevel="3">
      <c r="A2256" s="91"/>
      <c r="B2256" s="35"/>
      <c r="C2256" s="420" t="s">
        <v>2085</v>
      </c>
      <c r="D2256" s="136" t="s">
        <v>28</v>
      </c>
      <c r="E2256" s="137">
        <v>3</v>
      </c>
      <c r="F2256" s="232">
        <v>0</v>
      </c>
      <c r="G2256" s="232">
        <v>0</v>
      </c>
      <c r="H2256" s="138">
        <f t="shared" si="221"/>
        <v>0</v>
      </c>
      <c r="I2256" s="138">
        <f t="shared" si="222"/>
        <v>0</v>
      </c>
      <c r="J2256" s="48"/>
    </row>
    <row r="2257" spans="1:10" s="16" customFormat="1" ht="25.5" outlineLevel="3">
      <c r="A2257" s="91"/>
      <c r="B2257" s="35"/>
      <c r="C2257" s="411" t="s">
        <v>2087</v>
      </c>
      <c r="D2257" s="136" t="s">
        <v>28</v>
      </c>
      <c r="E2257" s="137">
        <v>3</v>
      </c>
      <c r="F2257" s="232">
        <v>0</v>
      </c>
      <c r="G2257" s="232">
        <v>0</v>
      </c>
      <c r="H2257" s="138">
        <f t="shared" si="221"/>
        <v>0</v>
      </c>
      <c r="I2257" s="138">
        <f t="shared" si="222"/>
        <v>0</v>
      </c>
      <c r="J2257" s="48"/>
    </row>
    <row r="2258" spans="1:10" s="16" customFormat="1" ht="25.5" outlineLevel="3">
      <c r="A2258" s="91"/>
      <c r="B2258" s="35"/>
      <c r="C2258" s="129" t="s">
        <v>2094</v>
      </c>
      <c r="D2258" s="136" t="s">
        <v>38</v>
      </c>
      <c r="E2258" s="418">
        <v>1</v>
      </c>
      <c r="F2258" s="232">
        <v>0</v>
      </c>
      <c r="G2258" s="232">
        <v>0</v>
      </c>
      <c r="H2258" s="138">
        <f t="shared" si="221"/>
        <v>0</v>
      </c>
      <c r="I2258" s="138">
        <f t="shared" si="222"/>
        <v>0</v>
      </c>
      <c r="J2258" s="48"/>
    </row>
    <row r="2259" spans="1:10" s="16" customFormat="1" ht="25.5" outlineLevel="3">
      <c r="A2259" s="91"/>
      <c r="B2259" s="35"/>
      <c r="C2259" s="419" t="s">
        <v>1436</v>
      </c>
      <c r="D2259" s="136" t="s">
        <v>38</v>
      </c>
      <c r="E2259" s="137">
        <v>1</v>
      </c>
      <c r="F2259" s="232">
        <v>0</v>
      </c>
      <c r="G2259" s="232">
        <v>0</v>
      </c>
      <c r="H2259" s="138">
        <f t="shared" si="221"/>
        <v>0</v>
      </c>
      <c r="I2259" s="138">
        <f t="shared" si="222"/>
        <v>0</v>
      </c>
      <c r="J2259" s="48"/>
    </row>
    <row r="2260" spans="1:10" s="16" customFormat="1" ht="25.5" outlineLevel="3">
      <c r="A2260" s="91"/>
      <c r="B2260" s="35">
        <f>MAXA(B$5:B2259)+1</f>
        <v>1085</v>
      </c>
      <c r="C2260" s="420" t="s">
        <v>1147</v>
      </c>
      <c r="D2260" s="136" t="s">
        <v>38</v>
      </c>
      <c r="E2260" s="137">
        <v>1</v>
      </c>
      <c r="F2260" s="232">
        <v>26720948</v>
      </c>
      <c r="G2260" s="232">
        <v>1563188</v>
      </c>
      <c r="H2260" s="138">
        <f t="shared" si="221"/>
        <v>28284136</v>
      </c>
      <c r="I2260" s="138">
        <f t="shared" si="222"/>
        <v>28284136</v>
      </c>
      <c r="J2260" s="48"/>
    </row>
    <row r="2261" spans="1:10" s="16" customFormat="1" ht="25.5" outlineLevel="3">
      <c r="A2261" s="91"/>
      <c r="B2261" s="35"/>
      <c r="C2261" s="112" t="s">
        <v>141</v>
      </c>
      <c r="D2261" s="136"/>
      <c r="E2261" s="137"/>
      <c r="F2261" s="232">
        <v>0</v>
      </c>
      <c r="G2261" s="232">
        <v>0</v>
      </c>
      <c r="H2261" s="183"/>
      <c r="I2261" s="183"/>
      <c r="J2261" s="48"/>
    </row>
    <row r="2262" spans="1:10" s="16" customFormat="1" ht="25.5" outlineLevel="3">
      <c r="A2262" s="91"/>
      <c r="B2262" s="35"/>
      <c r="C2262" s="420" t="s">
        <v>2113</v>
      </c>
      <c r="D2262" s="136" t="s">
        <v>28</v>
      </c>
      <c r="E2262" s="137">
        <v>1</v>
      </c>
      <c r="F2262" s="232">
        <v>0</v>
      </c>
      <c r="G2262" s="232">
        <v>0</v>
      </c>
      <c r="H2262" s="138">
        <f>G2262+F2262</f>
        <v>0</v>
      </c>
      <c r="I2262" s="138">
        <f>H2262*E2262</f>
        <v>0</v>
      </c>
      <c r="J2262" s="48"/>
    </row>
    <row r="2263" spans="1:10" s="16" customFormat="1" ht="25.5" outlineLevel="3">
      <c r="A2263" s="91"/>
      <c r="B2263" s="35"/>
      <c r="C2263" s="411" t="s">
        <v>573</v>
      </c>
      <c r="D2263" s="136" t="s">
        <v>28</v>
      </c>
      <c r="E2263" s="137">
        <v>3</v>
      </c>
      <c r="F2263" s="232">
        <v>0</v>
      </c>
      <c r="G2263" s="232">
        <v>0</v>
      </c>
      <c r="H2263" s="138">
        <f>G2263+F2263</f>
        <v>0</v>
      </c>
      <c r="I2263" s="138">
        <f>H2263*E2263</f>
        <v>0</v>
      </c>
      <c r="J2263" s="48"/>
    </row>
    <row r="2264" spans="1:10" s="16" customFormat="1" ht="25.5" outlineLevel="3">
      <c r="A2264" s="91"/>
      <c r="B2264" s="35"/>
      <c r="C2264" s="411" t="s">
        <v>574</v>
      </c>
      <c r="D2264" s="136" t="s">
        <v>28</v>
      </c>
      <c r="E2264" s="137">
        <v>3</v>
      </c>
      <c r="F2264" s="232">
        <v>0</v>
      </c>
      <c r="G2264" s="232">
        <v>0</v>
      </c>
      <c r="H2264" s="138">
        <f>G2264+F2264</f>
        <v>0</v>
      </c>
      <c r="I2264" s="138">
        <f>H2264*E2264</f>
        <v>0</v>
      </c>
      <c r="J2264" s="48"/>
    </row>
    <row r="2265" spans="1:10" s="16" customFormat="1" ht="25.5" outlineLevel="3">
      <c r="A2265" s="91"/>
      <c r="B2265" s="35"/>
      <c r="C2265" s="112" t="s">
        <v>148</v>
      </c>
      <c r="D2265" s="136"/>
      <c r="E2265" s="137"/>
      <c r="F2265" s="232">
        <v>0</v>
      </c>
      <c r="G2265" s="232">
        <v>0</v>
      </c>
      <c r="H2265" s="183"/>
      <c r="I2265" s="183"/>
      <c r="J2265" s="48"/>
    </row>
    <row r="2266" spans="1:10" s="16" customFormat="1" ht="25.5" outlineLevel="3">
      <c r="A2266" s="91"/>
      <c r="B2266" s="35"/>
      <c r="C2266" s="420" t="s">
        <v>159</v>
      </c>
      <c r="D2266" s="136" t="s">
        <v>28</v>
      </c>
      <c r="E2266" s="137">
        <v>2</v>
      </c>
      <c r="F2266" s="232">
        <v>0</v>
      </c>
      <c r="G2266" s="232">
        <v>0</v>
      </c>
      <c r="H2266" s="138">
        <f>G2266+F2266</f>
        <v>0</v>
      </c>
      <c r="I2266" s="138">
        <f>H2266*E2266</f>
        <v>0</v>
      </c>
      <c r="J2266" s="48"/>
    </row>
    <row r="2267" spans="1:10" s="16" customFormat="1" ht="25.5" outlineLevel="3">
      <c r="A2267" s="91"/>
      <c r="B2267" s="35"/>
      <c r="C2267" s="420" t="s">
        <v>170</v>
      </c>
      <c r="D2267" s="136" t="s">
        <v>28</v>
      </c>
      <c r="E2267" s="137">
        <v>1</v>
      </c>
      <c r="F2267" s="232">
        <v>0</v>
      </c>
      <c r="G2267" s="232">
        <v>0</v>
      </c>
      <c r="H2267" s="138">
        <f>G2267+F2267</f>
        <v>0</v>
      </c>
      <c r="I2267" s="138">
        <f>H2267*E2267</f>
        <v>0</v>
      </c>
      <c r="J2267" s="48"/>
    </row>
    <row r="2268" spans="1:10" s="16" customFormat="1" ht="25.5" outlineLevel="3">
      <c r="A2268" s="91"/>
      <c r="B2268" s="35"/>
      <c r="C2268" s="420" t="s">
        <v>639</v>
      </c>
      <c r="D2268" s="136" t="s">
        <v>28</v>
      </c>
      <c r="E2268" s="137">
        <v>1</v>
      </c>
      <c r="F2268" s="232">
        <v>0</v>
      </c>
      <c r="G2268" s="232">
        <v>0</v>
      </c>
      <c r="H2268" s="138">
        <f>G2268+F2268</f>
        <v>0</v>
      </c>
      <c r="I2268" s="138">
        <f>H2268*E2268</f>
        <v>0</v>
      </c>
      <c r="J2268" s="48"/>
    </row>
    <row r="2269" spans="1:10" s="16" customFormat="1" ht="25.5" outlineLevel="3">
      <c r="A2269" s="91"/>
      <c r="B2269" s="35"/>
      <c r="C2269" s="420" t="s">
        <v>203</v>
      </c>
      <c r="D2269" s="136" t="s">
        <v>28</v>
      </c>
      <c r="E2269" s="137">
        <v>1</v>
      </c>
      <c r="F2269" s="232">
        <v>0</v>
      </c>
      <c r="G2269" s="232">
        <v>0</v>
      </c>
      <c r="H2269" s="138">
        <f>G2269+F2269</f>
        <v>0</v>
      </c>
      <c r="I2269" s="138">
        <f>H2269*E2269</f>
        <v>0</v>
      </c>
      <c r="J2269" s="48"/>
    </row>
    <row r="2270" spans="1:10" s="16" customFormat="1" ht="25.5" outlineLevel="3">
      <c r="A2270" s="91"/>
      <c r="B2270" s="35"/>
      <c r="C2270" s="411" t="s">
        <v>161</v>
      </c>
      <c r="D2270" s="136" t="s">
        <v>194</v>
      </c>
      <c r="E2270" s="137">
        <v>1</v>
      </c>
      <c r="F2270" s="232">
        <v>0</v>
      </c>
      <c r="G2270" s="232">
        <v>0</v>
      </c>
      <c r="H2270" s="138">
        <f>G2270+F2270</f>
        <v>0</v>
      </c>
      <c r="I2270" s="138">
        <f>H2270*E2270</f>
        <v>0</v>
      </c>
      <c r="J2270" s="48"/>
    </row>
    <row r="2271" spans="1:10" s="16" customFormat="1" ht="25.5" outlineLevel="3">
      <c r="A2271" s="91"/>
      <c r="B2271" s="35"/>
      <c r="C2271" s="421" t="s">
        <v>1139</v>
      </c>
      <c r="D2271" s="136"/>
      <c r="E2271" s="137"/>
      <c r="F2271" s="232">
        <v>0</v>
      </c>
      <c r="G2271" s="232">
        <v>0</v>
      </c>
      <c r="H2271" s="183"/>
      <c r="I2271" s="183"/>
      <c r="J2271" s="48"/>
    </row>
    <row r="2272" spans="1:10" s="16" customFormat="1" ht="25.5" outlineLevel="3">
      <c r="A2272" s="91"/>
      <c r="B2272" s="35"/>
      <c r="C2272" s="420" t="s">
        <v>1126</v>
      </c>
      <c r="D2272" s="136" t="s">
        <v>28</v>
      </c>
      <c r="E2272" s="137">
        <v>6</v>
      </c>
      <c r="F2272" s="232">
        <v>0</v>
      </c>
      <c r="G2272" s="232">
        <v>0</v>
      </c>
      <c r="H2272" s="138">
        <f t="shared" ref="H2272:H2277" si="223">G2272+F2272</f>
        <v>0</v>
      </c>
      <c r="I2272" s="138">
        <f t="shared" ref="I2272:I2277" si="224">H2272*E2272</f>
        <v>0</v>
      </c>
      <c r="J2272" s="48"/>
    </row>
    <row r="2273" spans="1:10" s="16" customFormat="1" ht="25.5" outlineLevel="3">
      <c r="A2273" s="91"/>
      <c r="B2273" s="35"/>
      <c r="C2273" s="411" t="s">
        <v>266</v>
      </c>
      <c r="D2273" s="136" t="s">
        <v>28</v>
      </c>
      <c r="E2273" s="137">
        <v>6</v>
      </c>
      <c r="F2273" s="232">
        <v>0</v>
      </c>
      <c r="G2273" s="232">
        <v>0</v>
      </c>
      <c r="H2273" s="138">
        <f t="shared" si="223"/>
        <v>0</v>
      </c>
      <c r="I2273" s="138">
        <f t="shared" si="224"/>
        <v>0</v>
      </c>
      <c r="J2273" s="48"/>
    </row>
    <row r="2274" spans="1:10" s="16" customFormat="1" ht="25.5" outlineLevel="3">
      <c r="A2274" s="91"/>
      <c r="B2274" s="35"/>
      <c r="C2274" s="411" t="s">
        <v>1127</v>
      </c>
      <c r="D2274" s="136" t="s">
        <v>28</v>
      </c>
      <c r="E2274" s="137">
        <v>2</v>
      </c>
      <c r="F2274" s="232">
        <v>0</v>
      </c>
      <c r="G2274" s="232">
        <v>0</v>
      </c>
      <c r="H2274" s="138">
        <f t="shared" si="223"/>
        <v>0</v>
      </c>
      <c r="I2274" s="138">
        <f t="shared" si="224"/>
        <v>0</v>
      </c>
      <c r="J2274" s="48"/>
    </row>
    <row r="2275" spans="1:10" s="16" customFormat="1" ht="25.5" outlineLevel="3">
      <c r="A2275" s="91"/>
      <c r="B2275" s="35"/>
      <c r="C2275" s="129" t="s">
        <v>2094</v>
      </c>
      <c r="D2275" s="136" t="s">
        <v>38</v>
      </c>
      <c r="E2275" s="418">
        <v>1</v>
      </c>
      <c r="F2275" s="232">
        <v>0</v>
      </c>
      <c r="G2275" s="232">
        <v>0</v>
      </c>
      <c r="H2275" s="138">
        <f t="shared" si="223"/>
        <v>0</v>
      </c>
      <c r="I2275" s="138">
        <f t="shared" si="224"/>
        <v>0</v>
      </c>
      <c r="J2275" s="48"/>
    </row>
    <row r="2276" spans="1:10" s="16" customFormat="1" ht="25.5" outlineLevel="3">
      <c r="A2276" s="91"/>
      <c r="B2276" s="35"/>
      <c r="C2276" s="419" t="s">
        <v>1436</v>
      </c>
      <c r="D2276" s="136" t="s">
        <v>38</v>
      </c>
      <c r="E2276" s="137">
        <v>1</v>
      </c>
      <c r="F2276" s="232">
        <v>0</v>
      </c>
      <c r="G2276" s="232">
        <v>0</v>
      </c>
      <c r="H2276" s="138">
        <f t="shared" si="223"/>
        <v>0</v>
      </c>
      <c r="I2276" s="138">
        <f t="shared" si="224"/>
        <v>0</v>
      </c>
      <c r="J2276" s="48"/>
    </row>
    <row r="2277" spans="1:10" s="16" customFormat="1" ht="25.5" outlineLevel="3">
      <c r="A2277" s="91"/>
      <c r="B2277" s="35">
        <f>MAXA(B$5:B2276)+1</f>
        <v>1086</v>
      </c>
      <c r="C2277" s="420" t="s">
        <v>2146</v>
      </c>
      <c r="D2277" s="136" t="s">
        <v>38</v>
      </c>
      <c r="E2277" s="137">
        <v>1</v>
      </c>
      <c r="F2277" s="232">
        <v>93480935</v>
      </c>
      <c r="G2277" s="232">
        <v>2605313</v>
      </c>
      <c r="H2277" s="138">
        <f t="shared" si="223"/>
        <v>96086248</v>
      </c>
      <c r="I2277" s="138">
        <f t="shared" si="224"/>
        <v>96086248</v>
      </c>
      <c r="J2277" s="48"/>
    </row>
    <row r="2278" spans="1:10" s="16" customFormat="1" ht="25.5" outlineLevel="3">
      <c r="A2278" s="91"/>
      <c r="B2278" s="35"/>
      <c r="C2278" s="112" t="s">
        <v>141</v>
      </c>
      <c r="D2278" s="136"/>
      <c r="E2278" s="137"/>
      <c r="F2278" s="232">
        <v>0</v>
      </c>
      <c r="G2278" s="232">
        <v>0</v>
      </c>
      <c r="H2278" s="183"/>
      <c r="I2278" s="183"/>
      <c r="J2278" s="48"/>
    </row>
    <row r="2279" spans="1:10" s="16" customFormat="1" ht="25.5" outlineLevel="3">
      <c r="A2279" s="91"/>
      <c r="B2279" s="35"/>
      <c r="C2279" s="420" t="s">
        <v>192</v>
      </c>
      <c r="D2279" s="136" t="s">
        <v>28</v>
      </c>
      <c r="E2279" s="137">
        <v>1</v>
      </c>
      <c r="F2279" s="232">
        <v>0</v>
      </c>
      <c r="G2279" s="232">
        <v>0</v>
      </c>
      <c r="H2279" s="138">
        <f>G2279+F2279</f>
        <v>0</v>
      </c>
      <c r="I2279" s="138">
        <f>H2279*E2279</f>
        <v>0</v>
      </c>
      <c r="J2279" s="48"/>
    </row>
    <row r="2280" spans="1:10" s="16" customFormat="1" ht="25.5" outlineLevel="3">
      <c r="A2280" s="91"/>
      <c r="B2280" s="35"/>
      <c r="C2280" s="411" t="s">
        <v>573</v>
      </c>
      <c r="D2280" s="136" t="s">
        <v>28</v>
      </c>
      <c r="E2280" s="137">
        <v>3</v>
      </c>
      <c r="F2280" s="232">
        <v>0</v>
      </c>
      <c r="G2280" s="232">
        <v>0</v>
      </c>
      <c r="H2280" s="138">
        <f>G2280+F2280</f>
        <v>0</v>
      </c>
      <c r="I2280" s="138">
        <f>H2280*E2280</f>
        <v>0</v>
      </c>
      <c r="J2280" s="48"/>
    </row>
    <row r="2281" spans="1:10" s="16" customFormat="1" ht="25.5" outlineLevel="3">
      <c r="A2281" s="91"/>
      <c r="B2281" s="35"/>
      <c r="C2281" s="411" t="s">
        <v>574</v>
      </c>
      <c r="D2281" s="136" t="s">
        <v>28</v>
      </c>
      <c r="E2281" s="137">
        <v>3</v>
      </c>
      <c r="F2281" s="232">
        <v>0</v>
      </c>
      <c r="G2281" s="232">
        <v>0</v>
      </c>
      <c r="H2281" s="138">
        <f>G2281+F2281</f>
        <v>0</v>
      </c>
      <c r="I2281" s="138">
        <f>H2281*E2281</f>
        <v>0</v>
      </c>
      <c r="J2281" s="48"/>
    </row>
    <row r="2282" spans="1:10" s="16" customFormat="1" ht="25.5" outlineLevel="3">
      <c r="A2282" s="91"/>
      <c r="B2282" s="35"/>
      <c r="C2282" s="112" t="s">
        <v>148</v>
      </c>
      <c r="D2282" s="136"/>
      <c r="E2282" s="137"/>
      <c r="F2282" s="232">
        <v>0</v>
      </c>
      <c r="G2282" s="232">
        <v>0</v>
      </c>
      <c r="H2282" s="183"/>
      <c r="I2282" s="183"/>
      <c r="J2282" s="48"/>
    </row>
    <row r="2283" spans="1:10" s="16" customFormat="1" ht="25.5" outlineLevel="3">
      <c r="A2283" s="91"/>
      <c r="B2283" s="35"/>
      <c r="C2283" s="420" t="s">
        <v>2081</v>
      </c>
      <c r="D2283" s="136" t="s">
        <v>28</v>
      </c>
      <c r="E2283" s="137">
        <v>2</v>
      </c>
      <c r="F2283" s="232">
        <v>0</v>
      </c>
      <c r="G2283" s="232">
        <v>0</v>
      </c>
      <c r="H2283" s="138">
        <f t="shared" ref="H2283:H2289" si="225">G2283+F2283</f>
        <v>0</v>
      </c>
      <c r="I2283" s="138">
        <f t="shared" ref="I2283:I2289" si="226">H2283*E2283</f>
        <v>0</v>
      </c>
      <c r="J2283" s="48"/>
    </row>
    <row r="2284" spans="1:10" s="16" customFormat="1" ht="25.5" outlineLevel="3">
      <c r="A2284" s="91"/>
      <c r="B2284" s="35"/>
      <c r="C2284" s="420" t="s">
        <v>263</v>
      </c>
      <c r="D2284" s="136" t="s">
        <v>28</v>
      </c>
      <c r="E2284" s="137">
        <v>1</v>
      </c>
      <c r="F2284" s="232">
        <v>0</v>
      </c>
      <c r="G2284" s="232">
        <v>0</v>
      </c>
      <c r="H2284" s="138">
        <f t="shared" si="225"/>
        <v>0</v>
      </c>
      <c r="I2284" s="138">
        <f t="shared" si="226"/>
        <v>0</v>
      </c>
      <c r="J2284" s="48"/>
    </row>
    <row r="2285" spans="1:10" s="16" customFormat="1" ht="25.5" outlineLevel="3">
      <c r="A2285" s="91"/>
      <c r="B2285" s="35"/>
      <c r="C2285" s="420" t="s">
        <v>639</v>
      </c>
      <c r="D2285" s="136" t="s">
        <v>28</v>
      </c>
      <c r="E2285" s="137">
        <v>1</v>
      </c>
      <c r="F2285" s="232">
        <v>0</v>
      </c>
      <c r="G2285" s="232">
        <v>0</v>
      </c>
      <c r="H2285" s="138">
        <f t="shared" si="225"/>
        <v>0</v>
      </c>
      <c r="I2285" s="138">
        <f t="shared" si="226"/>
        <v>0</v>
      </c>
      <c r="J2285" s="48"/>
    </row>
    <row r="2286" spans="1:10" s="16" customFormat="1" ht="25.5" outlineLevel="3">
      <c r="A2286" s="91"/>
      <c r="B2286" s="35"/>
      <c r="C2286" s="420" t="s">
        <v>1082</v>
      </c>
      <c r="D2286" s="136" t="s">
        <v>28</v>
      </c>
      <c r="E2286" s="137">
        <v>1</v>
      </c>
      <c r="F2286" s="232">
        <v>0</v>
      </c>
      <c r="G2286" s="232">
        <v>0</v>
      </c>
      <c r="H2286" s="138">
        <f t="shared" si="225"/>
        <v>0</v>
      </c>
      <c r="I2286" s="138">
        <f t="shared" si="226"/>
        <v>0</v>
      </c>
      <c r="J2286" s="48"/>
    </row>
    <row r="2287" spans="1:10" s="16" customFormat="1" ht="25.5" outlineLevel="3">
      <c r="A2287" s="91"/>
      <c r="B2287" s="35"/>
      <c r="C2287" s="420" t="s">
        <v>203</v>
      </c>
      <c r="D2287" s="136" t="s">
        <v>28</v>
      </c>
      <c r="E2287" s="137">
        <v>1</v>
      </c>
      <c r="F2287" s="232">
        <v>0</v>
      </c>
      <c r="G2287" s="232">
        <v>0</v>
      </c>
      <c r="H2287" s="138">
        <f t="shared" si="225"/>
        <v>0</v>
      </c>
      <c r="I2287" s="138">
        <f t="shared" si="226"/>
        <v>0</v>
      </c>
      <c r="J2287" s="48"/>
    </row>
    <row r="2288" spans="1:10" s="16" customFormat="1" ht="25.5" outlineLevel="3">
      <c r="A2288" s="91"/>
      <c r="B2288" s="35"/>
      <c r="C2288" s="411" t="s">
        <v>161</v>
      </c>
      <c r="D2288" s="136" t="s">
        <v>194</v>
      </c>
      <c r="E2288" s="137">
        <v>1</v>
      </c>
      <c r="F2288" s="232">
        <v>0</v>
      </c>
      <c r="G2288" s="232">
        <v>0</v>
      </c>
      <c r="H2288" s="138">
        <f t="shared" si="225"/>
        <v>0</v>
      </c>
      <c r="I2288" s="138">
        <f t="shared" si="226"/>
        <v>0</v>
      </c>
      <c r="J2288" s="48"/>
    </row>
    <row r="2289" spans="1:14" s="16" customFormat="1" ht="25.5" outlineLevel="3">
      <c r="A2289" s="91"/>
      <c r="B2289" s="35"/>
      <c r="C2289" s="411" t="s">
        <v>575</v>
      </c>
      <c r="D2289" s="136" t="s">
        <v>28</v>
      </c>
      <c r="E2289" s="137">
        <v>1</v>
      </c>
      <c r="F2289" s="232">
        <v>0</v>
      </c>
      <c r="G2289" s="232">
        <v>0</v>
      </c>
      <c r="H2289" s="138">
        <f t="shared" si="225"/>
        <v>0</v>
      </c>
      <c r="I2289" s="138">
        <f t="shared" si="226"/>
        <v>0</v>
      </c>
      <c r="J2289" s="48"/>
    </row>
    <row r="2290" spans="1:14" s="16" customFormat="1" ht="25.5" outlineLevel="3">
      <c r="A2290" s="91"/>
      <c r="B2290" s="35"/>
      <c r="C2290" s="421" t="s">
        <v>1154</v>
      </c>
      <c r="D2290" s="136"/>
      <c r="E2290" s="137"/>
      <c r="F2290" s="232">
        <v>0</v>
      </c>
      <c r="G2290" s="232">
        <v>0</v>
      </c>
      <c r="H2290" s="183"/>
      <c r="I2290" s="183"/>
      <c r="J2290" s="48"/>
    </row>
    <row r="2291" spans="1:14" s="16" customFormat="1" ht="25.5" outlineLevel="3">
      <c r="A2291" s="91"/>
      <c r="B2291" s="35"/>
      <c r="C2291" s="411" t="s">
        <v>2147</v>
      </c>
      <c r="D2291" s="136" t="s">
        <v>28</v>
      </c>
      <c r="E2291" s="137">
        <v>2</v>
      </c>
      <c r="F2291" s="232">
        <v>0</v>
      </c>
      <c r="G2291" s="232">
        <v>0</v>
      </c>
      <c r="H2291" s="138">
        <f>G2291+F2291</f>
        <v>0</v>
      </c>
      <c r="I2291" s="138">
        <f>H2291*E2291</f>
        <v>0</v>
      </c>
      <c r="J2291" s="48"/>
    </row>
    <row r="2292" spans="1:14" s="16" customFormat="1" ht="25.5" outlineLevel="3">
      <c r="A2292" s="91"/>
      <c r="B2292" s="35"/>
      <c r="C2292" s="129" t="s">
        <v>578</v>
      </c>
      <c r="D2292" s="136" t="s">
        <v>38</v>
      </c>
      <c r="E2292" s="418">
        <v>1</v>
      </c>
      <c r="F2292" s="232">
        <v>0</v>
      </c>
      <c r="G2292" s="232">
        <v>0</v>
      </c>
      <c r="H2292" s="138">
        <f>G2292+F2292</f>
        <v>0</v>
      </c>
      <c r="I2292" s="138">
        <f>H2292*E2292</f>
        <v>0</v>
      </c>
      <c r="J2292" s="48"/>
    </row>
    <row r="2293" spans="1:14" s="16" customFormat="1" ht="25.5" outlineLevel="3">
      <c r="A2293" s="91"/>
      <c r="B2293" s="35"/>
      <c r="C2293" s="419" t="s">
        <v>1436</v>
      </c>
      <c r="D2293" s="136" t="s">
        <v>38</v>
      </c>
      <c r="E2293" s="137">
        <v>1</v>
      </c>
      <c r="F2293" s="232">
        <v>0</v>
      </c>
      <c r="G2293" s="232">
        <v>0</v>
      </c>
      <c r="H2293" s="138">
        <f>G2293+F2293</f>
        <v>0</v>
      </c>
      <c r="I2293" s="138">
        <f>H2293*E2293</f>
        <v>0</v>
      </c>
      <c r="J2293" s="48"/>
    </row>
    <row r="2294" spans="1:14" s="16" customFormat="1" ht="27" outlineLevel="2">
      <c r="A2294" s="91" t="s">
        <v>154</v>
      </c>
      <c r="B2294" s="30" t="s">
        <v>563</v>
      </c>
      <c r="C2294" s="147" t="s">
        <v>2148</v>
      </c>
      <c r="D2294" s="148"/>
      <c r="E2294" s="105"/>
      <c r="F2294" s="232">
        <v>0</v>
      </c>
      <c r="G2294" s="232">
        <v>0</v>
      </c>
      <c r="H2294" s="183"/>
      <c r="I2294" s="180">
        <f>SUBTOTAL(9,I2295:I2333)</f>
        <v>1976283740</v>
      </c>
      <c r="J2294" s="48"/>
      <c r="K2294" s="16" t="s">
        <v>482</v>
      </c>
      <c r="L2294" s="16" t="s">
        <v>1159</v>
      </c>
      <c r="M2294" s="33" t="s">
        <v>563</v>
      </c>
      <c r="N2294" s="16" t="s">
        <v>563</v>
      </c>
    </row>
    <row r="2295" spans="1:14" s="16" customFormat="1" ht="25.5" outlineLevel="3">
      <c r="A2295" s="91"/>
      <c r="B2295" s="35"/>
      <c r="C2295" s="424" t="s">
        <v>1160</v>
      </c>
      <c r="D2295" s="149"/>
      <c r="E2295" s="425"/>
      <c r="F2295" s="232">
        <v>0</v>
      </c>
      <c r="G2295" s="232">
        <v>0</v>
      </c>
      <c r="H2295" s="183"/>
      <c r="I2295" s="183"/>
      <c r="J2295" s="48"/>
    </row>
    <row r="2296" spans="1:14" s="16" customFormat="1" ht="25.5" outlineLevel="3">
      <c r="A2296" s="91"/>
      <c r="B2296" s="35">
        <f>MAXA(B$5:B2295)+1</f>
        <v>1087</v>
      </c>
      <c r="C2296" s="424" t="s">
        <v>1161</v>
      </c>
      <c r="D2296" s="136" t="s">
        <v>44</v>
      </c>
      <c r="E2296" s="426">
        <v>1</v>
      </c>
      <c r="F2296" s="232">
        <v>38516940</v>
      </c>
      <c r="G2296" s="232">
        <v>1257994</v>
      </c>
      <c r="H2296" s="138">
        <f t="shared" ref="H2296:H2305" si="227">G2296+F2296</f>
        <v>39774934</v>
      </c>
      <c r="I2296" s="138">
        <f t="shared" ref="I2296:I2305" si="228">H2296*E2296</f>
        <v>39774934</v>
      </c>
      <c r="J2296" s="48"/>
    </row>
    <row r="2297" spans="1:14" s="16" customFormat="1" ht="25.5" outlineLevel="3">
      <c r="A2297" s="91"/>
      <c r="B2297" s="35">
        <f>MAXA(B$5:B2296)+1</f>
        <v>1088</v>
      </c>
      <c r="C2297" s="419" t="s">
        <v>1436</v>
      </c>
      <c r="D2297" s="136" t="s">
        <v>38</v>
      </c>
      <c r="E2297" s="426">
        <v>1</v>
      </c>
      <c r="F2297" s="232">
        <v>14433372</v>
      </c>
      <c r="G2297" s="232">
        <v>1425726</v>
      </c>
      <c r="H2297" s="138">
        <f t="shared" si="227"/>
        <v>15859098</v>
      </c>
      <c r="I2297" s="138">
        <f t="shared" si="228"/>
        <v>15859098</v>
      </c>
      <c r="J2297" s="48"/>
    </row>
    <row r="2298" spans="1:14" s="16" customFormat="1" ht="25.5" outlineLevel="3">
      <c r="A2298" s="91"/>
      <c r="B2298" s="35">
        <f>MAXA(B$5:B2297)+1</f>
        <v>1089</v>
      </c>
      <c r="C2298" s="424" t="s">
        <v>1163</v>
      </c>
      <c r="D2298" s="136" t="s">
        <v>44</v>
      </c>
      <c r="E2298" s="426">
        <v>6</v>
      </c>
      <c r="F2298" s="232">
        <v>1643699</v>
      </c>
      <c r="G2298" s="232">
        <v>251599</v>
      </c>
      <c r="H2298" s="138">
        <f t="shared" si="227"/>
        <v>1895298</v>
      </c>
      <c r="I2298" s="138">
        <f t="shared" si="228"/>
        <v>11371788</v>
      </c>
      <c r="J2298" s="48"/>
    </row>
    <row r="2299" spans="1:14" s="16" customFormat="1" ht="25.5" outlineLevel="3">
      <c r="A2299" s="91"/>
      <c r="B2299" s="35">
        <f>MAXA(B$5:B2298)+1</f>
        <v>1090</v>
      </c>
      <c r="C2299" s="424" t="s">
        <v>1164</v>
      </c>
      <c r="D2299" s="136" t="s">
        <v>44</v>
      </c>
      <c r="E2299" s="426">
        <v>1</v>
      </c>
      <c r="F2299" s="232">
        <v>5520047</v>
      </c>
      <c r="G2299" s="232">
        <v>251599</v>
      </c>
      <c r="H2299" s="138">
        <f t="shared" si="227"/>
        <v>5771646</v>
      </c>
      <c r="I2299" s="138">
        <f t="shared" si="228"/>
        <v>5771646</v>
      </c>
      <c r="J2299" s="48"/>
    </row>
    <row r="2300" spans="1:14" s="16" customFormat="1" ht="25.5" outlineLevel="3">
      <c r="A2300" s="91"/>
      <c r="B2300" s="35">
        <f>MAXA(B$5:B2299)+1</f>
        <v>1091</v>
      </c>
      <c r="C2300" s="424" t="s">
        <v>1165</v>
      </c>
      <c r="D2300" s="136" t="s">
        <v>44</v>
      </c>
      <c r="E2300" s="426">
        <v>1</v>
      </c>
      <c r="F2300" s="232">
        <v>5520047</v>
      </c>
      <c r="G2300" s="232">
        <v>251599</v>
      </c>
      <c r="H2300" s="138">
        <f t="shared" si="227"/>
        <v>5771646</v>
      </c>
      <c r="I2300" s="138">
        <f t="shared" si="228"/>
        <v>5771646</v>
      </c>
      <c r="J2300" s="48"/>
    </row>
    <row r="2301" spans="1:14" s="16" customFormat="1" ht="25.5" outlineLevel="3">
      <c r="A2301" s="91"/>
      <c r="B2301" s="35">
        <f>MAXA(B$5:B2300)+1</f>
        <v>1092</v>
      </c>
      <c r="C2301" s="424" t="s">
        <v>1166</v>
      </c>
      <c r="D2301" s="136" t="s">
        <v>44</v>
      </c>
      <c r="E2301" s="426">
        <v>1</v>
      </c>
      <c r="F2301" s="232">
        <v>70745400</v>
      </c>
      <c r="G2301" s="232">
        <v>251599</v>
      </c>
      <c r="H2301" s="138">
        <f t="shared" si="227"/>
        <v>70996999</v>
      </c>
      <c r="I2301" s="138">
        <f t="shared" si="228"/>
        <v>70996999</v>
      </c>
      <c r="J2301" s="48"/>
    </row>
    <row r="2302" spans="1:14" s="16" customFormat="1" ht="25.5" outlineLevel="3">
      <c r="A2302" s="91"/>
      <c r="B2302" s="35">
        <f>MAXA(B$5:B2301)+1</f>
        <v>1093</v>
      </c>
      <c r="C2302" s="424" t="s">
        <v>1167</v>
      </c>
      <c r="D2302" s="136" t="s">
        <v>44</v>
      </c>
      <c r="E2302" s="426">
        <v>6</v>
      </c>
      <c r="F2302" s="232">
        <v>3755342</v>
      </c>
      <c r="G2302" s="232">
        <v>251599</v>
      </c>
      <c r="H2302" s="138">
        <f t="shared" si="227"/>
        <v>4006941</v>
      </c>
      <c r="I2302" s="138">
        <f t="shared" si="228"/>
        <v>24041646</v>
      </c>
      <c r="J2302" s="48"/>
    </row>
    <row r="2303" spans="1:14" s="16" customFormat="1" ht="25.5" outlineLevel="3">
      <c r="A2303" s="91"/>
      <c r="B2303" s="35">
        <f>MAXA(B$5:B2302)+1</f>
        <v>1094</v>
      </c>
      <c r="C2303" s="150" t="s">
        <v>1168</v>
      </c>
      <c r="D2303" s="136" t="s">
        <v>44</v>
      </c>
      <c r="E2303" s="426">
        <v>2</v>
      </c>
      <c r="F2303" s="232">
        <v>4847370</v>
      </c>
      <c r="G2303" s="232">
        <v>251599</v>
      </c>
      <c r="H2303" s="138">
        <f t="shared" si="227"/>
        <v>5098969</v>
      </c>
      <c r="I2303" s="138">
        <f t="shared" si="228"/>
        <v>10197938</v>
      </c>
      <c r="J2303" s="48"/>
    </row>
    <row r="2304" spans="1:14" s="16" customFormat="1" ht="25.5" outlineLevel="3">
      <c r="A2304" s="91"/>
      <c r="B2304" s="35">
        <f>MAXA(B$5:B2303)+1</f>
        <v>1095</v>
      </c>
      <c r="C2304" s="424" t="s">
        <v>1169</v>
      </c>
      <c r="D2304" s="136" t="s">
        <v>44</v>
      </c>
      <c r="E2304" s="426">
        <v>1</v>
      </c>
      <c r="F2304" s="232">
        <v>15896039</v>
      </c>
      <c r="G2304" s="232">
        <v>251599</v>
      </c>
      <c r="H2304" s="138">
        <f t="shared" si="227"/>
        <v>16147638</v>
      </c>
      <c r="I2304" s="138">
        <f t="shared" si="228"/>
        <v>16147638</v>
      </c>
      <c r="J2304" s="48"/>
    </row>
    <row r="2305" spans="1:10" s="16" customFormat="1" ht="25.5" outlineLevel="3">
      <c r="A2305" s="91"/>
      <c r="B2305" s="35">
        <f>MAXA(B$5:B2304)+1</f>
        <v>1096</v>
      </c>
      <c r="C2305" s="424" t="s">
        <v>1170</v>
      </c>
      <c r="D2305" s="136" t="s">
        <v>44</v>
      </c>
      <c r="E2305" s="426">
        <v>1</v>
      </c>
      <c r="F2305" s="232">
        <v>15896039</v>
      </c>
      <c r="G2305" s="232">
        <v>251599</v>
      </c>
      <c r="H2305" s="138">
        <f t="shared" si="227"/>
        <v>16147638</v>
      </c>
      <c r="I2305" s="138">
        <f t="shared" si="228"/>
        <v>16147638</v>
      </c>
      <c r="J2305" s="48"/>
    </row>
    <row r="2306" spans="1:10" s="16" customFormat="1" ht="25.5" outlineLevel="3">
      <c r="A2306" s="91"/>
      <c r="B2306" s="35"/>
      <c r="C2306" s="424" t="s">
        <v>1171</v>
      </c>
      <c r="D2306" s="149"/>
      <c r="E2306" s="426"/>
      <c r="F2306" s="232">
        <v>0</v>
      </c>
      <c r="G2306" s="232">
        <v>0</v>
      </c>
      <c r="H2306" s="183"/>
      <c r="I2306" s="183"/>
      <c r="J2306" s="48"/>
    </row>
    <row r="2307" spans="1:10" s="16" customFormat="1" ht="25.5" outlineLevel="3">
      <c r="A2307" s="91"/>
      <c r="B2307" s="35">
        <f>MAXA(B$5:B2306)+1</f>
        <v>1097</v>
      </c>
      <c r="C2307" s="424" t="s">
        <v>1172</v>
      </c>
      <c r="D2307" s="136" t="s">
        <v>44</v>
      </c>
      <c r="E2307" s="426">
        <v>1</v>
      </c>
      <c r="F2307" s="232">
        <v>54500160</v>
      </c>
      <c r="G2307" s="232">
        <v>2515988</v>
      </c>
      <c r="H2307" s="138">
        <f>G2307+F2307</f>
        <v>57016148</v>
      </c>
      <c r="I2307" s="138">
        <f>H2307*E2307</f>
        <v>57016148</v>
      </c>
      <c r="J2307" s="48"/>
    </row>
    <row r="2308" spans="1:10" s="16" customFormat="1" ht="51" outlineLevel="3">
      <c r="A2308" s="91"/>
      <c r="B2308" s="35">
        <f>MAXA(B$5:B2307)+1</f>
        <v>1098</v>
      </c>
      <c r="C2308" s="427" t="s">
        <v>1173</v>
      </c>
      <c r="D2308" s="136" t="s">
        <v>28</v>
      </c>
      <c r="E2308" s="426">
        <v>164</v>
      </c>
      <c r="F2308" s="232">
        <v>2307324</v>
      </c>
      <c r="G2308" s="232">
        <v>419331</v>
      </c>
      <c r="H2308" s="138">
        <f>G2308+F2308</f>
        <v>2726655</v>
      </c>
      <c r="I2308" s="138">
        <f>H2308*E2308</f>
        <v>447171420</v>
      </c>
      <c r="J2308" s="48"/>
    </row>
    <row r="2309" spans="1:10" s="16" customFormat="1" ht="25.5" outlineLevel="3">
      <c r="A2309" s="91"/>
      <c r="B2309" s="35">
        <f>MAXA(B$5:B2308)+1</f>
        <v>1099</v>
      </c>
      <c r="C2309" s="428" t="s">
        <v>2149</v>
      </c>
      <c r="D2309" s="136" t="s">
        <v>44</v>
      </c>
      <c r="E2309" s="426">
        <v>164</v>
      </c>
      <c r="F2309" s="232">
        <v>1441110</v>
      </c>
      <c r="G2309" s="232">
        <v>251599</v>
      </c>
      <c r="H2309" s="138">
        <f>G2309+F2309</f>
        <v>1692709</v>
      </c>
      <c r="I2309" s="138">
        <f>H2309*E2309</f>
        <v>277604276</v>
      </c>
      <c r="J2309" s="48"/>
    </row>
    <row r="2310" spans="1:10" s="16" customFormat="1" ht="25.5" outlineLevel="3">
      <c r="A2310" s="91"/>
      <c r="B2310" s="35"/>
      <c r="C2310" s="424" t="s">
        <v>1175</v>
      </c>
      <c r="D2310" s="149"/>
      <c r="E2310" s="425"/>
      <c r="F2310" s="232">
        <v>0</v>
      </c>
      <c r="G2310" s="232">
        <v>0</v>
      </c>
      <c r="H2310" s="183"/>
      <c r="I2310" s="183"/>
      <c r="J2310" s="48"/>
    </row>
    <row r="2311" spans="1:10" s="16" customFormat="1" ht="25.5" outlineLevel="3">
      <c r="A2311" s="91"/>
      <c r="B2311" s="35">
        <f>MAXA(B$5:B2310)+1</f>
        <v>1100</v>
      </c>
      <c r="C2311" s="424" t="s">
        <v>1161</v>
      </c>
      <c r="D2311" s="136" t="s">
        <v>44</v>
      </c>
      <c r="E2311" s="426">
        <v>1</v>
      </c>
      <c r="F2311" s="232">
        <v>20222108</v>
      </c>
      <c r="G2311" s="232">
        <v>419331</v>
      </c>
      <c r="H2311" s="138">
        <f t="shared" ref="H2311:H2319" si="229">G2311+F2311</f>
        <v>20641439</v>
      </c>
      <c r="I2311" s="138">
        <f t="shared" ref="I2311:I2319" si="230">H2311*E2311</f>
        <v>20641439</v>
      </c>
      <c r="J2311" s="48"/>
    </row>
    <row r="2312" spans="1:10" s="16" customFormat="1" ht="25.5" outlineLevel="3">
      <c r="A2312" s="91"/>
      <c r="B2312" s="35">
        <f>MAXA(B$5:B2311)+1</f>
        <v>1101</v>
      </c>
      <c r="C2312" s="419" t="s">
        <v>1436</v>
      </c>
      <c r="D2312" s="136" t="s">
        <v>38</v>
      </c>
      <c r="E2312" s="426">
        <v>1</v>
      </c>
      <c r="F2312" s="232">
        <v>4585350</v>
      </c>
      <c r="G2312" s="232">
        <v>587064</v>
      </c>
      <c r="H2312" s="138">
        <f t="shared" si="229"/>
        <v>5172414</v>
      </c>
      <c r="I2312" s="138">
        <f t="shared" si="230"/>
        <v>5172414</v>
      </c>
      <c r="J2312" s="48"/>
    </row>
    <row r="2313" spans="1:10" s="16" customFormat="1" ht="25.5" outlineLevel="3">
      <c r="A2313" s="91"/>
      <c r="B2313" s="35">
        <f>MAXA(B$5:B2312)+1</f>
        <v>1102</v>
      </c>
      <c r="C2313" s="150" t="s">
        <v>1176</v>
      </c>
      <c r="D2313" s="136" t="s">
        <v>44</v>
      </c>
      <c r="E2313" s="426">
        <v>3</v>
      </c>
      <c r="F2313" s="232">
        <v>654574</v>
      </c>
      <c r="G2313" s="232">
        <v>251599</v>
      </c>
      <c r="H2313" s="138">
        <f t="shared" si="229"/>
        <v>906173</v>
      </c>
      <c r="I2313" s="138">
        <f t="shared" si="230"/>
        <v>2718519</v>
      </c>
      <c r="J2313" s="48"/>
    </row>
    <row r="2314" spans="1:10" s="16" customFormat="1" ht="25.5" outlineLevel="3">
      <c r="A2314" s="91"/>
      <c r="B2314" s="35">
        <f>MAXA(B$5:B2313)+1</f>
        <v>1103</v>
      </c>
      <c r="C2314" s="150" t="s">
        <v>1177</v>
      </c>
      <c r="D2314" s="136" t="s">
        <v>44</v>
      </c>
      <c r="E2314" s="426">
        <v>1</v>
      </c>
      <c r="F2314" s="232">
        <v>2003977</v>
      </c>
      <c r="G2314" s="232">
        <v>251599</v>
      </c>
      <c r="H2314" s="138">
        <f t="shared" si="229"/>
        <v>2255576</v>
      </c>
      <c r="I2314" s="138">
        <f t="shared" si="230"/>
        <v>2255576</v>
      </c>
      <c r="J2314" s="48"/>
    </row>
    <row r="2315" spans="1:10" s="16" customFormat="1" ht="25.5" outlineLevel="3">
      <c r="A2315" s="91"/>
      <c r="B2315" s="35">
        <f>MAXA(B$5:B2314)+1</f>
        <v>1104</v>
      </c>
      <c r="C2315" s="150" t="s">
        <v>1178</v>
      </c>
      <c r="D2315" s="136" t="s">
        <v>44</v>
      </c>
      <c r="E2315" s="426">
        <v>1</v>
      </c>
      <c r="F2315" s="232">
        <v>7857503</v>
      </c>
      <c r="G2315" s="232">
        <v>251599</v>
      </c>
      <c r="H2315" s="138">
        <f t="shared" si="229"/>
        <v>8109102</v>
      </c>
      <c r="I2315" s="138">
        <f t="shared" si="230"/>
        <v>8109102</v>
      </c>
      <c r="J2315" s="48"/>
    </row>
    <row r="2316" spans="1:10" s="16" customFormat="1" ht="25.5" outlineLevel="3">
      <c r="A2316" s="91"/>
      <c r="B2316" s="35">
        <f>MAXA(B$5:B2315)+1</f>
        <v>1105</v>
      </c>
      <c r="C2316" s="150" t="s">
        <v>1179</v>
      </c>
      <c r="D2316" s="136" t="s">
        <v>44</v>
      </c>
      <c r="E2316" s="426">
        <v>1</v>
      </c>
      <c r="F2316" s="232">
        <v>5727281</v>
      </c>
      <c r="G2316" s="232">
        <v>251599</v>
      </c>
      <c r="H2316" s="138">
        <f t="shared" si="229"/>
        <v>5978880</v>
      </c>
      <c r="I2316" s="138">
        <f t="shared" si="230"/>
        <v>5978880</v>
      </c>
      <c r="J2316" s="48"/>
    </row>
    <row r="2317" spans="1:10" s="16" customFormat="1" ht="25.5" outlineLevel="3">
      <c r="A2317" s="91"/>
      <c r="B2317" s="35">
        <f>MAXA(B$5:B2316)+1</f>
        <v>1106</v>
      </c>
      <c r="C2317" s="429" t="s">
        <v>1180</v>
      </c>
      <c r="D2317" s="136" t="s">
        <v>44</v>
      </c>
      <c r="E2317" s="426">
        <v>1</v>
      </c>
      <c r="F2317" s="232">
        <v>2003977</v>
      </c>
      <c r="G2317" s="232">
        <v>251599</v>
      </c>
      <c r="H2317" s="138">
        <f t="shared" si="229"/>
        <v>2255576</v>
      </c>
      <c r="I2317" s="138">
        <f t="shared" si="230"/>
        <v>2255576</v>
      </c>
      <c r="J2317" s="48"/>
    </row>
    <row r="2318" spans="1:10" s="16" customFormat="1" ht="25.5" outlineLevel="3">
      <c r="A2318" s="91"/>
      <c r="B2318" s="35">
        <f>MAXA(B$5:B2317)+1</f>
        <v>1107</v>
      </c>
      <c r="C2318" s="151" t="s">
        <v>2150</v>
      </c>
      <c r="D2318" s="136" t="s">
        <v>38</v>
      </c>
      <c r="E2318" s="426">
        <v>1</v>
      </c>
      <c r="F2318" s="232">
        <v>321760560</v>
      </c>
      <c r="G2318" s="232">
        <v>41195102</v>
      </c>
      <c r="H2318" s="138">
        <f t="shared" si="229"/>
        <v>362955662</v>
      </c>
      <c r="I2318" s="138">
        <f t="shared" si="230"/>
        <v>362955662</v>
      </c>
      <c r="J2318" s="48"/>
    </row>
    <row r="2319" spans="1:10" s="16" customFormat="1" ht="25.5" outlineLevel="3">
      <c r="A2319" s="91"/>
      <c r="B2319" s="35">
        <f>MAXA(B$5:B2318)+1</f>
        <v>1108</v>
      </c>
      <c r="C2319" s="423" t="s">
        <v>828</v>
      </c>
      <c r="D2319" s="136" t="s">
        <v>38</v>
      </c>
      <c r="E2319" s="426">
        <v>1</v>
      </c>
      <c r="F2319" s="232">
        <v>31997049</v>
      </c>
      <c r="G2319" s="232">
        <v>6144945</v>
      </c>
      <c r="H2319" s="138">
        <f t="shared" si="229"/>
        <v>38141994</v>
      </c>
      <c r="I2319" s="138">
        <f t="shared" si="230"/>
        <v>38141994</v>
      </c>
      <c r="J2319" s="48"/>
    </row>
    <row r="2320" spans="1:10" s="16" customFormat="1" ht="25.5" outlineLevel="3">
      <c r="A2320" s="91"/>
      <c r="B2320" s="35"/>
      <c r="C2320" s="424" t="s">
        <v>2151</v>
      </c>
      <c r="D2320" s="149"/>
      <c r="E2320" s="425"/>
      <c r="F2320" s="232">
        <v>0</v>
      </c>
      <c r="G2320" s="232">
        <v>0</v>
      </c>
      <c r="H2320" s="183"/>
      <c r="I2320" s="183"/>
      <c r="J2320" s="48"/>
    </row>
    <row r="2321" spans="1:15" s="16" customFormat="1" ht="25.5" outlineLevel="3">
      <c r="A2321" s="91"/>
      <c r="B2321" s="35">
        <f>MAXA(B$5:B2320)+1</f>
        <v>1109</v>
      </c>
      <c r="C2321" s="424" t="s">
        <v>1161</v>
      </c>
      <c r="D2321" s="136" t="s">
        <v>44</v>
      </c>
      <c r="E2321" s="426">
        <v>1</v>
      </c>
      <c r="F2321" s="232">
        <v>45198450</v>
      </c>
      <c r="G2321" s="232">
        <v>1845058</v>
      </c>
      <c r="H2321" s="138">
        <f t="shared" ref="H2321:H2328" si="231">G2321+F2321</f>
        <v>47043508</v>
      </c>
      <c r="I2321" s="138">
        <f t="shared" ref="I2321:I2328" si="232">H2321*E2321</f>
        <v>47043508</v>
      </c>
      <c r="J2321" s="48"/>
    </row>
    <row r="2322" spans="1:15" s="16" customFormat="1" ht="25.5" outlineLevel="3">
      <c r="A2322" s="91"/>
      <c r="B2322" s="35">
        <f>MAXA(B$5:B2321)+1</f>
        <v>1110</v>
      </c>
      <c r="C2322" s="419" t="s">
        <v>1436</v>
      </c>
      <c r="D2322" s="136" t="s">
        <v>38</v>
      </c>
      <c r="E2322" s="426">
        <v>1</v>
      </c>
      <c r="F2322" s="232">
        <v>4585350</v>
      </c>
      <c r="G2322" s="232">
        <v>587064</v>
      </c>
      <c r="H2322" s="138">
        <f t="shared" si="231"/>
        <v>5172414</v>
      </c>
      <c r="I2322" s="138">
        <f t="shared" si="232"/>
        <v>5172414</v>
      </c>
      <c r="J2322" s="48"/>
    </row>
    <row r="2323" spans="1:15" s="16" customFormat="1" ht="25.5" outlineLevel="3">
      <c r="A2323" s="91"/>
      <c r="B2323" s="35">
        <f>MAXA(B$5:B2322)+1</f>
        <v>1111</v>
      </c>
      <c r="C2323" s="150" t="s">
        <v>1176</v>
      </c>
      <c r="D2323" s="136" t="s">
        <v>44</v>
      </c>
      <c r="E2323" s="426">
        <v>3</v>
      </c>
      <c r="F2323" s="232">
        <v>654574</v>
      </c>
      <c r="G2323" s="232">
        <v>251599</v>
      </c>
      <c r="H2323" s="138">
        <f t="shared" si="231"/>
        <v>906173</v>
      </c>
      <c r="I2323" s="138">
        <f t="shared" si="232"/>
        <v>2718519</v>
      </c>
      <c r="J2323" s="48"/>
    </row>
    <row r="2324" spans="1:15" s="16" customFormat="1" ht="25.5" outlineLevel="3">
      <c r="A2324" s="91"/>
      <c r="B2324" s="35">
        <f>MAXA(B$5:B2323)+1</f>
        <v>1112</v>
      </c>
      <c r="C2324" s="150" t="s">
        <v>1177</v>
      </c>
      <c r="D2324" s="136" t="s">
        <v>44</v>
      </c>
      <c r="E2324" s="426">
        <v>1</v>
      </c>
      <c r="F2324" s="232">
        <v>2003977</v>
      </c>
      <c r="G2324" s="232">
        <v>251599</v>
      </c>
      <c r="H2324" s="138">
        <f t="shared" si="231"/>
        <v>2255576</v>
      </c>
      <c r="I2324" s="138">
        <f t="shared" si="232"/>
        <v>2255576</v>
      </c>
      <c r="J2324" s="48"/>
    </row>
    <row r="2325" spans="1:15" s="16" customFormat="1" ht="25.5" outlineLevel="3">
      <c r="A2325" s="91"/>
      <c r="B2325" s="35">
        <f>MAXA(B$5:B2324)+1</f>
        <v>1113</v>
      </c>
      <c r="C2325" s="150" t="s">
        <v>1178</v>
      </c>
      <c r="D2325" s="136" t="s">
        <v>44</v>
      </c>
      <c r="E2325" s="426">
        <v>1</v>
      </c>
      <c r="F2325" s="232">
        <v>7857503</v>
      </c>
      <c r="G2325" s="232">
        <v>251599</v>
      </c>
      <c r="H2325" s="138">
        <f t="shared" si="231"/>
        <v>8109102</v>
      </c>
      <c r="I2325" s="138">
        <f t="shared" si="232"/>
        <v>8109102</v>
      </c>
      <c r="J2325" s="48"/>
    </row>
    <row r="2326" spans="1:15" s="16" customFormat="1" ht="25.5" outlineLevel="3">
      <c r="A2326" s="91"/>
      <c r="B2326" s="35">
        <f>MAXA(B$5:B2325)+1</f>
        <v>1114</v>
      </c>
      <c r="C2326" s="150" t="s">
        <v>1179</v>
      </c>
      <c r="D2326" s="136" t="s">
        <v>44</v>
      </c>
      <c r="E2326" s="426">
        <v>1</v>
      </c>
      <c r="F2326" s="232">
        <v>5727281</v>
      </c>
      <c r="G2326" s="232">
        <v>251599</v>
      </c>
      <c r="H2326" s="138">
        <f t="shared" si="231"/>
        <v>5978880</v>
      </c>
      <c r="I2326" s="138">
        <f t="shared" si="232"/>
        <v>5978880</v>
      </c>
      <c r="J2326" s="48"/>
    </row>
    <row r="2327" spans="1:15" s="16" customFormat="1" ht="25.5" outlineLevel="3">
      <c r="A2327" s="91"/>
      <c r="B2327" s="35">
        <f>MAXA(B$5:B2326)+1</f>
        <v>1115</v>
      </c>
      <c r="C2327" s="429" t="s">
        <v>1180</v>
      </c>
      <c r="D2327" s="136" t="s">
        <v>44</v>
      </c>
      <c r="E2327" s="426">
        <v>1</v>
      </c>
      <c r="F2327" s="232">
        <v>2003977</v>
      </c>
      <c r="G2327" s="232">
        <v>251599</v>
      </c>
      <c r="H2327" s="138">
        <f t="shared" si="231"/>
        <v>2255576</v>
      </c>
      <c r="I2327" s="138">
        <f t="shared" si="232"/>
        <v>2255576</v>
      </c>
      <c r="J2327" s="48"/>
    </row>
    <row r="2328" spans="1:15" s="16" customFormat="1" ht="25.5" outlineLevel="3">
      <c r="A2328" s="91"/>
      <c r="B2328" s="35">
        <f>MAXA(B$5:B2327)+1</f>
        <v>1116</v>
      </c>
      <c r="C2328" s="152" t="s">
        <v>2152</v>
      </c>
      <c r="D2328" s="136" t="s">
        <v>44</v>
      </c>
      <c r="E2328" s="426">
        <v>1</v>
      </c>
      <c r="F2328" s="232">
        <v>4192320</v>
      </c>
      <c r="G2328" s="232">
        <v>310305</v>
      </c>
      <c r="H2328" s="138">
        <f t="shared" si="231"/>
        <v>4502625</v>
      </c>
      <c r="I2328" s="138">
        <f t="shared" si="232"/>
        <v>4502625</v>
      </c>
      <c r="J2328" s="48"/>
    </row>
    <row r="2329" spans="1:15" s="16" customFormat="1" ht="25.5" outlineLevel="3">
      <c r="A2329" s="91"/>
      <c r="B2329" s="35"/>
      <c r="C2329" s="152" t="s">
        <v>1181</v>
      </c>
      <c r="D2329" s="149"/>
      <c r="E2329" s="426"/>
      <c r="F2329" s="232">
        <v>0</v>
      </c>
      <c r="G2329" s="232">
        <v>0</v>
      </c>
      <c r="H2329" s="183"/>
      <c r="I2329" s="183"/>
      <c r="J2329" s="48"/>
    </row>
    <row r="2330" spans="1:15" s="16" customFormat="1" ht="25.5" outlineLevel="3">
      <c r="A2330" s="91"/>
      <c r="B2330" s="35">
        <f>MAXA(B$5:B2328)+1</f>
        <v>1117</v>
      </c>
      <c r="C2330" s="151" t="s">
        <v>2150</v>
      </c>
      <c r="D2330" s="136" t="s">
        <v>38</v>
      </c>
      <c r="E2330" s="426">
        <v>1</v>
      </c>
      <c r="F2330" s="232">
        <v>281540490</v>
      </c>
      <c r="G2330" s="232">
        <v>36045714</v>
      </c>
      <c r="H2330" s="138">
        <f>G2330+F2330</f>
        <v>317586204</v>
      </c>
      <c r="I2330" s="138">
        <f>H2330*E2330</f>
        <v>317586204</v>
      </c>
      <c r="J2330" s="48"/>
    </row>
    <row r="2331" spans="1:15" s="16" customFormat="1" ht="25.5" outlineLevel="3">
      <c r="A2331" s="91"/>
      <c r="B2331" s="35">
        <f>MAXA(B$5:B2330)+1</f>
        <v>1118</v>
      </c>
      <c r="C2331" s="423" t="s">
        <v>828</v>
      </c>
      <c r="D2331" s="136" t="s">
        <v>38</v>
      </c>
      <c r="E2331" s="426">
        <v>1</v>
      </c>
      <c r="F2331" s="232">
        <v>19379833</v>
      </c>
      <c r="G2331" s="232">
        <v>2481151</v>
      </c>
      <c r="H2331" s="138">
        <f>G2331+F2331</f>
        <v>21860984</v>
      </c>
      <c r="I2331" s="138">
        <f>H2331*E2331</f>
        <v>21860984</v>
      </c>
      <c r="J2331" s="48"/>
    </row>
    <row r="2332" spans="1:15" s="16" customFormat="1" ht="26.25" outlineLevel="3">
      <c r="A2332" s="91"/>
      <c r="B2332" s="35"/>
      <c r="C2332" s="153" t="s">
        <v>1184</v>
      </c>
      <c r="D2332" s="148"/>
      <c r="E2332" s="426"/>
      <c r="F2332" s="232">
        <v>0</v>
      </c>
      <c r="G2332" s="232">
        <v>0</v>
      </c>
      <c r="H2332" s="183"/>
      <c r="I2332" s="183"/>
      <c r="J2332" s="48"/>
    </row>
    <row r="2333" spans="1:15" s="16" customFormat="1" ht="25.5" outlineLevel="3">
      <c r="A2333" s="91"/>
      <c r="B2333" s="35">
        <f>MAXA(B$5:B2332)+1</f>
        <v>1119</v>
      </c>
      <c r="C2333" s="154" t="s">
        <v>2153</v>
      </c>
      <c r="D2333" s="136" t="s">
        <v>38</v>
      </c>
      <c r="E2333" s="426">
        <v>1</v>
      </c>
      <c r="F2333" s="232">
        <v>87538500</v>
      </c>
      <c r="G2333" s="232">
        <v>25159875</v>
      </c>
      <c r="H2333" s="138">
        <f>G2333+F2333</f>
        <v>112698375</v>
      </c>
      <c r="I2333" s="138">
        <f>H2333*E2333</f>
        <v>112698375</v>
      </c>
      <c r="J2333" s="48"/>
    </row>
    <row r="2334" spans="1:15" s="16" customFormat="1" ht="26.25" outlineLevel="1">
      <c r="A2334" s="91"/>
      <c r="B2334" s="28" t="s">
        <v>1186</v>
      </c>
      <c r="C2334" s="430" t="s">
        <v>1187</v>
      </c>
      <c r="D2334" s="221"/>
      <c r="E2334" s="345"/>
      <c r="F2334" s="232">
        <v>0</v>
      </c>
      <c r="G2334" s="232">
        <v>0</v>
      </c>
      <c r="H2334" s="346"/>
      <c r="I2334" s="224">
        <f>SUBTOTAL(9,I2335:I2522)</f>
        <v>9830831368</v>
      </c>
      <c r="J2334" s="103"/>
      <c r="M2334" s="33" t="s">
        <v>1186</v>
      </c>
      <c r="O2334" s="16" t="s">
        <v>1186</v>
      </c>
    </row>
    <row r="2335" spans="1:15" s="125" customFormat="1" ht="27" outlineLevel="3">
      <c r="A2335" s="124"/>
      <c r="B2335" s="30" t="s">
        <v>20</v>
      </c>
      <c r="C2335" s="104" t="s">
        <v>1188</v>
      </c>
      <c r="D2335" s="212"/>
      <c r="E2335" s="105"/>
      <c r="F2335" s="232">
        <v>0</v>
      </c>
      <c r="G2335" s="232">
        <v>0</v>
      </c>
      <c r="H2335" s="276"/>
      <c r="I2335" s="180">
        <f>SUBTOTAL(9,I2336:I2360)</f>
        <v>1858515339</v>
      </c>
      <c r="J2335" s="48"/>
      <c r="M2335" s="33" t="s">
        <v>20</v>
      </c>
      <c r="N2335" s="125" t="s">
        <v>20</v>
      </c>
    </row>
    <row r="2336" spans="1:15" s="16" customFormat="1" ht="25.5" outlineLevel="3">
      <c r="A2336" s="91"/>
      <c r="B2336" s="35">
        <f>MAX($B$5:B2335)+1</f>
        <v>1120</v>
      </c>
      <c r="C2336" s="431" t="s">
        <v>2154</v>
      </c>
      <c r="D2336" s="136" t="s">
        <v>1190</v>
      </c>
      <c r="E2336" s="137">
        <v>1</v>
      </c>
      <c r="F2336" s="232">
        <v>114395758</v>
      </c>
      <c r="G2336" s="232">
        <v>3647438</v>
      </c>
      <c r="H2336" s="138">
        <f t="shared" ref="H2336:H2360" si="233">G2336+F2336</f>
        <v>118043196</v>
      </c>
      <c r="I2336" s="138">
        <f t="shared" ref="I2336:I2360" si="234">H2336*E2336</f>
        <v>118043196</v>
      </c>
      <c r="J2336" s="108"/>
    </row>
    <row r="2337" spans="1:10" s="16" customFormat="1" ht="25.5" outlineLevel="3">
      <c r="A2337" s="91"/>
      <c r="B2337" s="35">
        <f>MAX($B$5:B2336)+1</f>
        <v>1121</v>
      </c>
      <c r="C2337" s="431" t="s">
        <v>1191</v>
      </c>
      <c r="D2337" s="136" t="s">
        <v>44</v>
      </c>
      <c r="E2337" s="137">
        <v>1</v>
      </c>
      <c r="F2337" s="232">
        <v>20654181</v>
      </c>
      <c r="G2337" s="232">
        <v>2605313</v>
      </c>
      <c r="H2337" s="138">
        <f t="shared" si="233"/>
        <v>23259494</v>
      </c>
      <c r="I2337" s="138">
        <f t="shared" si="234"/>
        <v>23259494</v>
      </c>
      <c r="J2337" s="108"/>
    </row>
    <row r="2338" spans="1:10" s="16" customFormat="1" ht="25.5" outlineLevel="3">
      <c r="A2338" s="91"/>
      <c r="B2338" s="35">
        <f>MAX($B$5:B2337)+1</f>
        <v>1122</v>
      </c>
      <c r="C2338" s="431" t="s">
        <v>1192</v>
      </c>
      <c r="D2338" s="136" t="s">
        <v>44</v>
      </c>
      <c r="E2338" s="137">
        <v>1</v>
      </c>
      <c r="F2338" s="232">
        <v>81285750</v>
      </c>
      <c r="G2338" s="232">
        <v>521063</v>
      </c>
      <c r="H2338" s="138">
        <f t="shared" si="233"/>
        <v>81806813</v>
      </c>
      <c r="I2338" s="138">
        <f t="shared" si="234"/>
        <v>81806813</v>
      </c>
      <c r="J2338" s="108"/>
    </row>
    <row r="2339" spans="1:10" s="16" customFormat="1" ht="25.5" outlineLevel="3">
      <c r="A2339" s="91"/>
      <c r="B2339" s="35">
        <f>MAX($B$5:B2338)+1</f>
        <v>1123</v>
      </c>
      <c r="C2339" s="256" t="s">
        <v>1193</v>
      </c>
      <c r="D2339" s="136" t="s">
        <v>44</v>
      </c>
      <c r="E2339" s="137">
        <v>1</v>
      </c>
      <c r="F2339" s="232">
        <v>35730000</v>
      </c>
      <c r="G2339" s="232">
        <v>6451250</v>
      </c>
      <c r="H2339" s="138">
        <f t="shared" si="233"/>
        <v>42181250</v>
      </c>
      <c r="I2339" s="138">
        <f t="shared" si="234"/>
        <v>42181250</v>
      </c>
      <c r="J2339" s="108"/>
    </row>
    <row r="2340" spans="1:10" s="16" customFormat="1" ht="25.5" outlineLevel="3">
      <c r="A2340" s="91"/>
      <c r="B2340" s="35">
        <f>MAX($B$5:B2339)+1</f>
        <v>1124</v>
      </c>
      <c r="C2340" s="431" t="s">
        <v>2155</v>
      </c>
      <c r="D2340" s="136" t="s">
        <v>44</v>
      </c>
      <c r="E2340" s="137">
        <v>1</v>
      </c>
      <c r="F2340" s="232">
        <v>25899540</v>
      </c>
      <c r="G2340" s="232">
        <v>260531</v>
      </c>
      <c r="H2340" s="138">
        <f t="shared" si="233"/>
        <v>26160071</v>
      </c>
      <c r="I2340" s="138">
        <f t="shared" si="234"/>
        <v>26160071</v>
      </c>
      <c r="J2340" s="108"/>
    </row>
    <row r="2341" spans="1:10" s="16" customFormat="1" ht="25.5" outlineLevel="3">
      <c r="A2341" s="91"/>
      <c r="B2341" s="35">
        <f>MAX($B$5:B2340)+1</f>
        <v>1125</v>
      </c>
      <c r="C2341" s="431" t="s">
        <v>1195</v>
      </c>
      <c r="D2341" s="136" t="s">
        <v>28</v>
      </c>
      <c r="E2341" s="137">
        <v>1</v>
      </c>
      <c r="F2341" s="232">
        <v>23224500</v>
      </c>
      <c r="G2341" s="232">
        <v>2084250</v>
      </c>
      <c r="H2341" s="138">
        <f t="shared" si="233"/>
        <v>25308750</v>
      </c>
      <c r="I2341" s="138">
        <f t="shared" si="234"/>
        <v>25308750</v>
      </c>
      <c r="J2341" s="108"/>
    </row>
    <row r="2342" spans="1:10" s="16" customFormat="1" ht="25.5" outlineLevel="3">
      <c r="A2342" s="91"/>
      <c r="B2342" s="35">
        <f>MAX($B$5:B2341)+1</f>
        <v>1126</v>
      </c>
      <c r="C2342" s="431" t="s">
        <v>1196</v>
      </c>
      <c r="D2342" s="136" t="s">
        <v>44</v>
      </c>
      <c r="E2342" s="137">
        <v>1</v>
      </c>
      <c r="F2342" s="232">
        <v>12338016</v>
      </c>
      <c r="G2342" s="232">
        <v>88581</v>
      </c>
      <c r="H2342" s="138">
        <f t="shared" si="233"/>
        <v>12426597</v>
      </c>
      <c r="I2342" s="138">
        <f t="shared" si="234"/>
        <v>12426597</v>
      </c>
      <c r="J2342" s="108"/>
    </row>
    <row r="2343" spans="1:10" s="16" customFormat="1" ht="25.5" outlineLevel="3">
      <c r="A2343" s="91"/>
      <c r="B2343" s="35">
        <f>MAX($B$5:B2342)+1</f>
        <v>1127</v>
      </c>
      <c r="C2343" s="431" t="s">
        <v>1197</v>
      </c>
      <c r="D2343" s="136" t="s">
        <v>44</v>
      </c>
      <c r="E2343" s="137">
        <v>14</v>
      </c>
      <c r="F2343" s="232">
        <v>2612756</v>
      </c>
      <c r="G2343" s="232">
        <v>88581</v>
      </c>
      <c r="H2343" s="138">
        <f t="shared" si="233"/>
        <v>2701337</v>
      </c>
      <c r="I2343" s="138">
        <f t="shared" si="234"/>
        <v>37818718</v>
      </c>
      <c r="J2343" s="108"/>
    </row>
    <row r="2344" spans="1:10" s="16" customFormat="1" ht="25.5" outlineLevel="3">
      <c r="A2344" s="91"/>
      <c r="B2344" s="35">
        <f>MAX($B$5:B2343)+1</f>
        <v>1128</v>
      </c>
      <c r="C2344" s="431" t="s">
        <v>1198</v>
      </c>
      <c r="D2344" s="136" t="s">
        <v>28</v>
      </c>
      <c r="E2344" s="137">
        <v>381</v>
      </c>
      <c r="F2344" s="232">
        <v>781452</v>
      </c>
      <c r="G2344" s="232">
        <v>125055</v>
      </c>
      <c r="H2344" s="138">
        <f t="shared" si="233"/>
        <v>906507</v>
      </c>
      <c r="I2344" s="138">
        <f t="shared" si="234"/>
        <v>345379167</v>
      </c>
      <c r="J2344" s="108"/>
    </row>
    <row r="2345" spans="1:10" s="16" customFormat="1" ht="25.5" outlineLevel="3">
      <c r="A2345" s="91"/>
      <c r="B2345" s="35">
        <f>MAX($B$5:B2344)+1</f>
        <v>1129</v>
      </c>
      <c r="C2345" s="431" t="s">
        <v>1199</v>
      </c>
      <c r="D2345" s="136" t="s">
        <v>28</v>
      </c>
      <c r="E2345" s="137">
        <v>260</v>
      </c>
      <c r="F2345" s="232">
        <v>736797</v>
      </c>
      <c r="G2345" s="232">
        <v>125055</v>
      </c>
      <c r="H2345" s="138">
        <f t="shared" si="233"/>
        <v>861852</v>
      </c>
      <c r="I2345" s="138">
        <f t="shared" si="234"/>
        <v>224081520</v>
      </c>
      <c r="J2345" s="108"/>
    </row>
    <row r="2346" spans="1:10" s="16" customFormat="1" ht="25.5" outlineLevel="3">
      <c r="A2346" s="91"/>
      <c r="B2346" s="35">
        <f>MAX($B$5:B2345)+1</f>
        <v>1130</v>
      </c>
      <c r="C2346" s="431" t="s">
        <v>2156</v>
      </c>
      <c r="D2346" s="136" t="s">
        <v>28</v>
      </c>
      <c r="E2346" s="137">
        <v>18</v>
      </c>
      <c r="F2346" s="232">
        <v>4064288</v>
      </c>
      <c r="G2346" s="232">
        <v>125055</v>
      </c>
      <c r="H2346" s="138">
        <f t="shared" si="233"/>
        <v>4189343</v>
      </c>
      <c r="I2346" s="138">
        <f t="shared" si="234"/>
        <v>75408174</v>
      </c>
      <c r="J2346" s="108"/>
    </row>
    <row r="2347" spans="1:10" s="16" customFormat="1" ht="25.5" outlineLevel="3">
      <c r="A2347" s="91"/>
      <c r="B2347" s="35">
        <f>MAX($B$5:B2346)+1</f>
        <v>1131</v>
      </c>
      <c r="C2347" s="431" t="s">
        <v>1200</v>
      </c>
      <c r="D2347" s="136" t="s">
        <v>28</v>
      </c>
      <c r="E2347" s="137">
        <v>26</v>
      </c>
      <c r="F2347" s="232">
        <v>870760</v>
      </c>
      <c r="G2347" s="232">
        <v>125055</v>
      </c>
      <c r="H2347" s="138">
        <f t="shared" si="233"/>
        <v>995815</v>
      </c>
      <c r="I2347" s="138">
        <f t="shared" si="234"/>
        <v>25891190</v>
      </c>
      <c r="J2347" s="108"/>
    </row>
    <row r="2348" spans="1:10" s="16" customFormat="1" ht="25.5" outlineLevel="3">
      <c r="A2348" s="91"/>
      <c r="B2348" s="35">
        <f>MAX($B$5:B2347)+1</f>
        <v>1132</v>
      </c>
      <c r="C2348" s="431" t="s">
        <v>1201</v>
      </c>
      <c r="D2348" s="136" t="s">
        <v>28</v>
      </c>
      <c r="E2348" s="137">
        <v>26</v>
      </c>
      <c r="F2348" s="232">
        <v>759093</v>
      </c>
      <c r="G2348" s="232">
        <v>125055</v>
      </c>
      <c r="H2348" s="138">
        <f t="shared" si="233"/>
        <v>884148</v>
      </c>
      <c r="I2348" s="138">
        <f t="shared" si="234"/>
        <v>22987848</v>
      </c>
      <c r="J2348" s="108"/>
    </row>
    <row r="2349" spans="1:10" s="16" customFormat="1" ht="25.5" outlineLevel="3">
      <c r="A2349" s="91"/>
      <c r="B2349" s="35">
        <f>MAX($B$5:B2348)+1</f>
        <v>1133</v>
      </c>
      <c r="C2349" s="431" t="s">
        <v>1202</v>
      </c>
      <c r="D2349" s="136" t="s">
        <v>28</v>
      </c>
      <c r="E2349" s="137">
        <v>5</v>
      </c>
      <c r="F2349" s="232">
        <v>1071705</v>
      </c>
      <c r="G2349" s="232">
        <v>156319</v>
      </c>
      <c r="H2349" s="138">
        <f t="shared" si="233"/>
        <v>1228024</v>
      </c>
      <c r="I2349" s="138">
        <f t="shared" si="234"/>
        <v>6140120</v>
      </c>
      <c r="J2349" s="108"/>
    </row>
    <row r="2350" spans="1:10" s="16" customFormat="1" ht="25.5" outlineLevel="3">
      <c r="A2350" s="91"/>
      <c r="B2350" s="35">
        <f>MAX($B$5:B2349)+1</f>
        <v>1134</v>
      </c>
      <c r="C2350" s="431" t="s">
        <v>1203</v>
      </c>
      <c r="D2350" s="136" t="s">
        <v>28</v>
      </c>
      <c r="E2350" s="137">
        <v>36</v>
      </c>
      <c r="F2350" s="232">
        <v>1027051</v>
      </c>
      <c r="G2350" s="232">
        <v>156319</v>
      </c>
      <c r="H2350" s="138">
        <f t="shared" si="233"/>
        <v>1183370</v>
      </c>
      <c r="I2350" s="138">
        <f t="shared" si="234"/>
        <v>42601320</v>
      </c>
      <c r="J2350" s="157"/>
    </row>
    <row r="2351" spans="1:10" s="16" customFormat="1" ht="25.5" outlineLevel="3">
      <c r="A2351" s="91"/>
      <c r="B2351" s="35">
        <f>MAX($B$5:B2350)+1</f>
        <v>1135</v>
      </c>
      <c r="C2351" s="431" t="s">
        <v>1204</v>
      </c>
      <c r="D2351" s="136" t="s">
        <v>28</v>
      </c>
      <c r="E2351" s="137">
        <v>48</v>
      </c>
      <c r="F2351" s="232">
        <v>692143</v>
      </c>
      <c r="G2351" s="232">
        <v>156319</v>
      </c>
      <c r="H2351" s="138">
        <f t="shared" si="233"/>
        <v>848462</v>
      </c>
      <c r="I2351" s="138">
        <f t="shared" si="234"/>
        <v>40726176</v>
      </c>
      <c r="J2351" s="108"/>
    </row>
    <row r="2352" spans="1:10" s="16" customFormat="1" ht="25.5" outlineLevel="3">
      <c r="A2352" s="91"/>
      <c r="B2352" s="35">
        <f>MAX($B$5:B2351)+1</f>
        <v>1136</v>
      </c>
      <c r="C2352" s="431" t="s">
        <v>2157</v>
      </c>
      <c r="D2352" s="136" t="s">
        <v>28</v>
      </c>
      <c r="E2352" s="137">
        <v>6</v>
      </c>
      <c r="F2352" s="232">
        <v>960069</v>
      </c>
      <c r="G2352" s="232">
        <v>156319</v>
      </c>
      <c r="H2352" s="138">
        <f t="shared" si="233"/>
        <v>1116388</v>
      </c>
      <c r="I2352" s="138">
        <f t="shared" si="234"/>
        <v>6698328</v>
      </c>
      <c r="J2352" s="108"/>
    </row>
    <row r="2353" spans="1:14" s="16" customFormat="1" ht="25.5" outlineLevel="3">
      <c r="A2353" s="91"/>
      <c r="B2353" s="35">
        <f>MAX($B$5:B2352)+1</f>
        <v>1137</v>
      </c>
      <c r="C2353" s="431" t="s">
        <v>1205</v>
      </c>
      <c r="D2353" s="136" t="s">
        <v>28</v>
      </c>
      <c r="E2353" s="137">
        <v>21</v>
      </c>
      <c r="F2353" s="232">
        <v>513525</v>
      </c>
      <c r="G2353" s="232">
        <v>156319</v>
      </c>
      <c r="H2353" s="138">
        <f t="shared" si="233"/>
        <v>669844</v>
      </c>
      <c r="I2353" s="138">
        <f t="shared" si="234"/>
        <v>14066724</v>
      </c>
      <c r="J2353" s="122"/>
    </row>
    <row r="2354" spans="1:14" s="16" customFormat="1" ht="25.5" outlineLevel="3">
      <c r="A2354" s="91"/>
      <c r="B2354" s="35">
        <f>MAX($B$5:B2353)+1</f>
        <v>1138</v>
      </c>
      <c r="C2354" s="431" t="s">
        <v>1206</v>
      </c>
      <c r="D2354" s="230" t="s">
        <v>25</v>
      </c>
      <c r="E2354" s="137">
        <v>5696</v>
      </c>
      <c r="F2354" s="232">
        <v>38077</v>
      </c>
      <c r="G2354" s="232">
        <v>10421</v>
      </c>
      <c r="H2354" s="138">
        <f t="shared" si="233"/>
        <v>48498</v>
      </c>
      <c r="I2354" s="138">
        <f t="shared" si="234"/>
        <v>276244608</v>
      </c>
      <c r="J2354" s="108"/>
    </row>
    <row r="2355" spans="1:14" s="16" customFormat="1" ht="25.5" outlineLevel="3">
      <c r="A2355" s="91"/>
      <c r="B2355" s="35">
        <f>MAX($B$5:B2354)+1</f>
        <v>1139</v>
      </c>
      <c r="C2355" s="431" t="s">
        <v>1207</v>
      </c>
      <c r="D2355" s="230" t="s">
        <v>25</v>
      </c>
      <c r="E2355" s="137">
        <v>2454</v>
      </c>
      <c r="F2355" s="232">
        <v>24920</v>
      </c>
      <c r="G2355" s="232">
        <v>10421</v>
      </c>
      <c r="H2355" s="138">
        <f t="shared" si="233"/>
        <v>35341</v>
      </c>
      <c r="I2355" s="138">
        <f t="shared" si="234"/>
        <v>86726814</v>
      </c>
      <c r="J2355" s="108"/>
    </row>
    <row r="2356" spans="1:14" s="16" customFormat="1" ht="25.5" outlineLevel="3">
      <c r="A2356" s="91"/>
      <c r="B2356" s="35">
        <f>MAX($B$5:B2355)+1</f>
        <v>1140</v>
      </c>
      <c r="C2356" s="431" t="s">
        <v>2158</v>
      </c>
      <c r="D2356" s="230" t="s">
        <v>25</v>
      </c>
      <c r="E2356" s="137">
        <v>6120</v>
      </c>
      <c r="F2356" s="232">
        <v>7548</v>
      </c>
      <c r="G2356" s="232">
        <v>14590</v>
      </c>
      <c r="H2356" s="138">
        <f t="shared" si="233"/>
        <v>22138</v>
      </c>
      <c r="I2356" s="138">
        <f t="shared" si="234"/>
        <v>135484560</v>
      </c>
      <c r="J2356" s="108"/>
    </row>
    <row r="2357" spans="1:14" s="16" customFormat="1" ht="25.5" outlineLevel="3">
      <c r="A2357" s="91"/>
      <c r="B2357" s="35">
        <f>MAX($B$5:B2356)+1</f>
        <v>1141</v>
      </c>
      <c r="C2357" s="431" t="s">
        <v>2159</v>
      </c>
      <c r="D2357" s="230" t="s">
        <v>25</v>
      </c>
      <c r="E2357" s="137">
        <v>1026</v>
      </c>
      <c r="F2357" s="232">
        <v>22063</v>
      </c>
      <c r="G2357" s="232">
        <v>5211</v>
      </c>
      <c r="H2357" s="138">
        <f t="shared" si="233"/>
        <v>27274</v>
      </c>
      <c r="I2357" s="138">
        <f t="shared" si="234"/>
        <v>27983124</v>
      </c>
      <c r="J2357" s="108"/>
    </row>
    <row r="2358" spans="1:14" s="16" customFormat="1" ht="25.5" outlineLevel="3">
      <c r="A2358" s="91"/>
      <c r="B2358" s="35">
        <f>MAX($B$5:B2357)+1</f>
        <v>1142</v>
      </c>
      <c r="C2358" s="431" t="s">
        <v>2160</v>
      </c>
      <c r="D2358" s="136" t="s">
        <v>38</v>
      </c>
      <c r="E2358" s="137">
        <v>1</v>
      </c>
      <c r="F2358" s="232">
        <v>20325153</v>
      </c>
      <c r="G2358" s="232">
        <v>7296209</v>
      </c>
      <c r="H2358" s="138">
        <f t="shared" si="233"/>
        <v>27621362</v>
      </c>
      <c r="I2358" s="138">
        <f t="shared" si="234"/>
        <v>27621362</v>
      </c>
      <c r="J2358" s="157"/>
    </row>
    <row r="2359" spans="1:14" s="16" customFormat="1" ht="25.5" outlineLevel="3">
      <c r="A2359" s="91"/>
      <c r="B2359" s="35">
        <f>MAX($B$5:B2358)+1</f>
        <v>1143</v>
      </c>
      <c r="C2359" s="423" t="s">
        <v>828</v>
      </c>
      <c r="D2359" s="136" t="s">
        <v>38</v>
      </c>
      <c r="E2359" s="137">
        <v>1</v>
      </c>
      <c r="F2359" s="232">
        <v>51326145</v>
      </c>
      <c r="G2359" s="232">
        <v>18424770</v>
      </c>
      <c r="H2359" s="138">
        <f t="shared" si="233"/>
        <v>69750915</v>
      </c>
      <c r="I2359" s="138">
        <f t="shared" si="234"/>
        <v>69750915</v>
      </c>
      <c r="J2359" s="157"/>
    </row>
    <row r="2360" spans="1:14" s="16" customFormat="1" ht="25.5" outlineLevel="3">
      <c r="A2360" s="91"/>
      <c r="B2360" s="35">
        <f>MAX($B$5:B2359)+1</f>
        <v>1144</v>
      </c>
      <c r="C2360" s="256" t="s">
        <v>1212</v>
      </c>
      <c r="D2360" s="136" t="s">
        <v>38</v>
      </c>
      <c r="E2360" s="137">
        <v>1</v>
      </c>
      <c r="F2360" s="232">
        <v>11612250</v>
      </c>
      <c r="G2360" s="232">
        <v>52106250</v>
      </c>
      <c r="H2360" s="138">
        <f t="shared" si="233"/>
        <v>63718500</v>
      </c>
      <c r="I2360" s="138">
        <f t="shared" si="234"/>
        <v>63718500</v>
      </c>
      <c r="J2360" s="108"/>
    </row>
    <row r="2361" spans="1:14" s="125" customFormat="1" ht="26.25" outlineLevel="3">
      <c r="A2361" s="124"/>
      <c r="B2361" s="30" t="s">
        <v>83</v>
      </c>
      <c r="C2361" s="104" t="s">
        <v>2161</v>
      </c>
      <c r="D2361" s="212"/>
      <c r="E2361" s="105"/>
      <c r="F2361" s="232">
        <v>0</v>
      </c>
      <c r="G2361" s="232">
        <v>0</v>
      </c>
      <c r="H2361" s="276"/>
      <c r="I2361" s="180">
        <f>SUBTOTAL(9,I2362:I2521)</f>
        <v>7972316029</v>
      </c>
      <c r="J2361" s="48"/>
      <c r="M2361" s="33" t="s">
        <v>83</v>
      </c>
      <c r="N2361" s="125" t="s">
        <v>83</v>
      </c>
    </row>
    <row r="2362" spans="1:14" s="16" customFormat="1" ht="27" outlineLevel="3">
      <c r="A2362" s="91"/>
      <c r="B2362" s="38"/>
      <c r="C2362" s="432" t="s">
        <v>2162</v>
      </c>
      <c r="D2362" s="363"/>
      <c r="E2362" s="352"/>
      <c r="F2362" s="232">
        <v>0</v>
      </c>
      <c r="G2362" s="232">
        <v>0</v>
      </c>
      <c r="H2362" s="367"/>
      <c r="I2362" s="367"/>
      <c r="J2362" s="111"/>
    </row>
    <row r="2363" spans="1:14" s="16" customFormat="1" ht="51" outlineLevel="3">
      <c r="A2363" s="91"/>
      <c r="B2363" s="35">
        <f>MAX($B$5:B2362)+1</f>
        <v>1145</v>
      </c>
      <c r="C2363" s="431" t="s">
        <v>2163</v>
      </c>
      <c r="D2363" s="136" t="s">
        <v>44</v>
      </c>
      <c r="E2363" s="137">
        <v>2</v>
      </c>
      <c r="F2363" s="232">
        <v>350754862</v>
      </c>
      <c r="G2363" s="232">
        <v>15631875</v>
      </c>
      <c r="H2363" s="138">
        <f>G2363+F2363</f>
        <v>366386737</v>
      </c>
      <c r="I2363" s="138">
        <f>H2363*E2363</f>
        <v>732773474</v>
      </c>
      <c r="J2363" s="108"/>
    </row>
    <row r="2364" spans="1:14" s="16" customFormat="1" ht="25.5" outlineLevel="3">
      <c r="A2364" s="91"/>
      <c r="B2364" s="35">
        <f>MAX($B$5:B2363)+1</f>
        <v>1146</v>
      </c>
      <c r="C2364" s="431" t="s">
        <v>2164</v>
      </c>
      <c r="D2364" s="136" t="s">
        <v>44</v>
      </c>
      <c r="E2364" s="137">
        <v>1</v>
      </c>
      <c r="F2364" s="232">
        <v>52061781</v>
      </c>
      <c r="G2364" s="232">
        <v>4689563</v>
      </c>
      <c r="H2364" s="138">
        <f>G2364+F2364</f>
        <v>56751344</v>
      </c>
      <c r="I2364" s="138">
        <f>H2364*E2364</f>
        <v>56751344</v>
      </c>
      <c r="J2364" s="108"/>
    </row>
    <row r="2365" spans="1:14" s="16" customFormat="1" ht="25.5" outlineLevel="3">
      <c r="A2365" s="91"/>
      <c r="B2365" s="35">
        <f>MAX($B$5:B2364)+1</f>
        <v>1147</v>
      </c>
      <c r="C2365" s="431" t="s">
        <v>2165</v>
      </c>
      <c r="D2365" s="136" t="s">
        <v>38</v>
      </c>
      <c r="E2365" s="137">
        <v>1</v>
      </c>
      <c r="F2365" s="232">
        <v>23820000</v>
      </c>
      <c r="G2365" s="232">
        <v>1290250</v>
      </c>
      <c r="H2365" s="138">
        <f>G2365+F2365</f>
        <v>25110250</v>
      </c>
      <c r="I2365" s="138">
        <f>H2365*E2365</f>
        <v>25110250</v>
      </c>
      <c r="J2365" s="108"/>
    </row>
    <row r="2366" spans="1:14" s="16" customFormat="1" ht="25.5" outlineLevel="3">
      <c r="A2366" s="91"/>
      <c r="B2366" s="35">
        <f>MAX($B$5:B2365)+1</f>
        <v>1148</v>
      </c>
      <c r="C2366" s="431" t="s">
        <v>1218</v>
      </c>
      <c r="D2366" s="136" t="s">
        <v>38</v>
      </c>
      <c r="E2366" s="137">
        <v>1</v>
      </c>
      <c r="F2366" s="232">
        <v>287983800</v>
      </c>
      <c r="G2366" s="232">
        <v>10421250</v>
      </c>
      <c r="H2366" s="138">
        <f>G2366+F2366</f>
        <v>298405050</v>
      </c>
      <c r="I2366" s="138">
        <f>H2366*E2366</f>
        <v>298405050</v>
      </c>
      <c r="J2366" s="108"/>
    </row>
    <row r="2367" spans="1:14" s="33" customFormat="1" ht="25.5" outlineLevel="3">
      <c r="A2367" s="100"/>
      <c r="B2367" s="40"/>
      <c r="C2367" s="432" t="s">
        <v>1219</v>
      </c>
      <c r="D2367" s="136" t="s">
        <v>38</v>
      </c>
      <c r="E2367" s="137">
        <v>1</v>
      </c>
      <c r="F2367" s="232">
        <v>0</v>
      </c>
      <c r="G2367" s="232">
        <v>0</v>
      </c>
      <c r="H2367" s="138">
        <f>G2367+F2367</f>
        <v>0</v>
      </c>
      <c r="I2367" s="138">
        <f>H2367*E2367</f>
        <v>0</v>
      </c>
      <c r="J2367" s="115"/>
    </row>
    <row r="2368" spans="1:14" s="16" customFormat="1" ht="25.5" outlineLevel="3">
      <c r="A2368" s="91"/>
      <c r="B2368" s="35"/>
      <c r="C2368" s="112" t="s">
        <v>141</v>
      </c>
      <c r="D2368" s="433"/>
      <c r="E2368" s="362"/>
      <c r="F2368" s="232">
        <v>0</v>
      </c>
      <c r="G2368" s="232">
        <v>0</v>
      </c>
      <c r="H2368" s="138"/>
      <c r="I2368" s="138"/>
      <c r="J2368" s="108"/>
    </row>
    <row r="2369" spans="1:10" s="16" customFormat="1" ht="25.5" outlineLevel="3">
      <c r="A2369" s="91"/>
      <c r="B2369" s="35"/>
      <c r="C2369" s="434" t="s">
        <v>1220</v>
      </c>
      <c r="D2369" s="136" t="s">
        <v>28</v>
      </c>
      <c r="E2369" s="362">
        <v>1</v>
      </c>
      <c r="F2369" s="232">
        <v>0</v>
      </c>
      <c r="G2369" s="232">
        <v>0</v>
      </c>
      <c r="H2369" s="138">
        <f>G2369+F2369</f>
        <v>0</v>
      </c>
      <c r="I2369" s="138">
        <f>H2369*E2369</f>
        <v>0</v>
      </c>
      <c r="J2369" s="108"/>
    </row>
    <row r="2370" spans="1:10" s="16" customFormat="1" ht="25.5" outlineLevel="3">
      <c r="A2370" s="91"/>
      <c r="B2370" s="35"/>
      <c r="C2370" s="434" t="s">
        <v>573</v>
      </c>
      <c r="D2370" s="136" t="s">
        <v>28</v>
      </c>
      <c r="E2370" s="362">
        <v>3</v>
      </c>
      <c r="F2370" s="232">
        <v>0</v>
      </c>
      <c r="G2370" s="232">
        <v>0</v>
      </c>
      <c r="H2370" s="138">
        <f>G2370+F2370</f>
        <v>0</v>
      </c>
      <c r="I2370" s="138">
        <f>H2370*E2370</f>
        <v>0</v>
      </c>
      <c r="J2370" s="108"/>
    </row>
    <row r="2371" spans="1:10" s="16" customFormat="1" ht="25.5" outlineLevel="3">
      <c r="A2371" s="91"/>
      <c r="B2371" s="35"/>
      <c r="C2371" s="411" t="s">
        <v>574</v>
      </c>
      <c r="D2371" s="136" t="s">
        <v>28</v>
      </c>
      <c r="E2371" s="362">
        <v>3</v>
      </c>
      <c r="F2371" s="232">
        <v>0</v>
      </c>
      <c r="G2371" s="232">
        <v>0</v>
      </c>
      <c r="H2371" s="138">
        <f>G2371+F2371</f>
        <v>0</v>
      </c>
      <c r="I2371" s="138">
        <f>H2371*E2371</f>
        <v>0</v>
      </c>
      <c r="J2371" s="108"/>
    </row>
    <row r="2372" spans="1:10" s="16" customFormat="1" ht="25.5" outlineLevel="3">
      <c r="A2372" s="91"/>
      <c r="B2372" s="35"/>
      <c r="C2372" s="112" t="s">
        <v>148</v>
      </c>
      <c r="D2372" s="433"/>
      <c r="E2372" s="362"/>
      <c r="F2372" s="232">
        <v>0</v>
      </c>
      <c r="G2372" s="232">
        <v>0</v>
      </c>
      <c r="H2372" s="138"/>
      <c r="I2372" s="138"/>
      <c r="J2372" s="108"/>
    </row>
    <row r="2373" spans="1:10" s="16" customFormat="1" ht="25.5" outlineLevel="3">
      <c r="A2373" s="91"/>
      <c r="B2373" s="35"/>
      <c r="C2373" s="434" t="s">
        <v>1221</v>
      </c>
      <c r="D2373" s="136" t="s">
        <v>28</v>
      </c>
      <c r="E2373" s="362">
        <v>1</v>
      </c>
      <c r="F2373" s="232">
        <v>0</v>
      </c>
      <c r="G2373" s="232">
        <v>0</v>
      </c>
      <c r="H2373" s="138">
        <f t="shared" ref="H2373:H2381" si="235">G2373+F2373</f>
        <v>0</v>
      </c>
      <c r="I2373" s="138">
        <f t="shared" ref="I2373:I2381" si="236">H2373*E2373</f>
        <v>0</v>
      </c>
      <c r="J2373" s="108"/>
    </row>
    <row r="2374" spans="1:10" s="16" customFormat="1" ht="25.5" outlineLevel="3">
      <c r="A2374" s="91"/>
      <c r="B2374" s="35"/>
      <c r="C2374" s="434" t="s">
        <v>1222</v>
      </c>
      <c r="D2374" s="136" t="s">
        <v>28</v>
      </c>
      <c r="E2374" s="362">
        <v>1</v>
      </c>
      <c r="F2374" s="232">
        <v>0</v>
      </c>
      <c r="G2374" s="232">
        <v>0</v>
      </c>
      <c r="H2374" s="138">
        <f t="shared" si="235"/>
        <v>0</v>
      </c>
      <c r="I2374" s="138">
        <f t="shared" si="236"/>
        <v>0</v>
      </c>
      <c r="J2374" s="108"/>
    </row>
    <row r="2375" spans="1:10" s="16" customFormat="1" ht="25.5" outlineLevel="3">
      <c r="A2375" s="91"/>
      <c r="B2375" s="35"/>
      <c r="C2375" s="434" t="s">
        <v>1223</v>
      </c>
      <c r="D2375" s="136" t="s">
        <v>28</v>
      </c>
      <c r="E2375" s="362">
        <v>1</v>
      </c>
      <c r="F2375" s="232">
        <v>0</v>
      </c>
      <c r="G2375" s="232">
        <v>0</v>
      </c>
      <c r="H2375" s="138">
        <f t="shared" si="235"/>
        <v>0</v>
      </c>
      <c r="I2375" s="138">
        <f t="shared" si="236"/>
        <v>0</v>
      </c>
      <c r="J2375" s="108"/>
    </row>
    <row r="2376" spans="1:10" s="16" customFormat="1" ht="38.25" outlineLevel="3">
      <c r="A2376" s="91"/>
      <c r="B2376" s="35"/>
      <c r="C2376" s="434" t="s">
        <v>2166</v>
      </c>
      <c r="D2376" s="136" t="s">
        <v>44</v>
      </c>
      <c r="E2376" s="362">
        <v>1</v>
      </c>
      <c r="F2376" s="232">
        <v>0</v>
      </c>
      <c r="G2376" s="232">
        <v>0</v>
      </c>
      <c r="H2376" s="138">
        <f t="shared" si="235"/>
        <v>0</v>
      </c>
      <c r="I2376" s="138">
        <f t="shared" si="236"/>
        <v>0</v>
      </c>
      <c r="J2376" s="108"/>
    </row>
    <row r="2377" spans="1:10" s="16" customFormat="1" ht="25.5" outlineLevel="3">
      <c r="A2377" s="91"/>
      <c r="B2377" s="35"/>
      <c r="C2377" s="435" t="s">
        <v>1225</v>
      </c>
      <c r="D2377" s="136" t="s">
        <v>44</v>
      </c>
      <c r="E2377" s="362">
        <v>1</v>
      </c>
      <c r="F2377" s="232">
        <v>0</v>
      </c>
      <c r="G2377" s="232">
        <v>0</v>
      </c>
      <c r="H2377" s="138">
        <f t="shared" si="235"/>
        <v>0</v>
      </c>
      <c r="I2377" s="138">
        <f t="shared" si="236"/>
        <v>0</v>
      </c>
      <c r="J2377" s="108"/>
    </row>
    <row r="2378" spans="1:10" s="16" customFormat="1" ht="25.5" outlineLevel="3">
      <c r="A2378" s="91"/>
      <c r="B2378" s="35"/>
      <c r="C2378" s="434" t="s">
        <v>1226</v>
      </c>
      <c r="D2378" s="136" t="s">
        <v>28</v>
      </c>
      <c r="E2378" s="362">
        <v>1</v>
      </c>
      <c r="F2378" s="232">
        <v>0</v>
      </c>
      <c r="G2378" s="232">
        <v>0</v>
      </c>
      <c r="H2378" s="138">
        <f t="shared" si="235"/>
        <v>0</v>
      </c>
      <c r="I2378" s="138">
        <f t="shared" si="236"/>
        <v>0</v>
      </c>
      <c r="J2378" s="108"/>
    </row>
    <row r="2379" spans="1:10" s="16" customFormat="1" ht="25.5" outlineLevel="3">
      <c r="A2379" s="91"/>
      <c r="B2379" s="35"/>
      <c r="C2379" s="434" t="s">
        <v>1227</v>
      </c>
      <c r="D2379" s="136" t="s">
        <v>38</v>
      </c>
      <c r="E2379" s="362">
        <v>1</v>
      </c>
      <c r="F2379" s="232">
        <v>0</v>
      </c>
      <c r="G2379" s="232">
        <v>0</v>
      </c>
      <c r="H2379" s="138">
        <f t="shared" si="235"/>
        <v>0</v>
      </c>
      <c r="I2379" s="138">
        <f t="shared" si="236"/>
        <v>0</v>
      </c>
      <c r="J2379" s="108"/>
    </row>
    <row r="2380" spans="1:10" s="16" customFormat="1" ht="25.5" outlineLevel="3">
      <c r="A2380" s="91"/>
      <c r="B2380" s="35"/>
      <c r="C2380" s="419" t="s">
        <v>1436</v>
      </c>
      <c r="D2380" s="136" t="s">
        <v>38</v>
      </c>
      <c r="E2380" s="362">
        <v>1</v>
      </c>
      <c r="F2380" s="232">
        <v>0</v>
      </c>
      <c r="G2380" s="232">
        <v>0</v>
      </c>
      <c r="H2380" s="138">
        <f t="shared" si="235"/>
        <v>0</v>
      </c>
      <c r="I2380" s="138">
        <f t="shared" si="236"/>
        <v>0</v>
      </c>
      <c r="J2380" s="108"/>
    </row>
    <row r="2381" spans="1:10" s="33" customFormat="1" ht="25.5" outlineLevel="3">
      <c r="A2381" s="100"/>
      <c r="B2381" s="40"/>
      <c r="C2381" s="432" t="s">
        <v>1228</v>
      </c>
      <c r="D2381" s="136" t="s">
        <v>38</v>
      </c>
      <c r="E2381" s="137">
        <v>1</v>
      </c>
      <c r="F2381" s="232">
        <v>0</v>
      </c>
      <c r="G2381" s="232">
        <v>0</v>
      </c>
      <c r="H2381" s="138">
        <f t="shared" si="235"/>
        <v>0</v>
      </c>
      <c r="I2381" s="138">
        <f t="shared" si="236"/>
        <v>0</v>
      </c>
      <c r="J2381" s="115"/>
    </row>
    <row r="2382" spans="1:10" s="16" customFormat="1" ht="25.5" outlineLevel="3">
      <c r="A2382" s="91"/>
      <c r="B2382" s="35"/>
      <c r="C2382" s="112" t="s">
        <v>141</v>
      </c>
      <c r="D2382" s="433"/>
      <c r="E2382" s="362"/>
      <c r="F2382" s="232">
        <v>0</v>
      </c>
      <c r="G2382" s="232">
        <v>0</v>
      </c>
      <c r="H2382" s="138"/>
      <c r="I2382" s="138"/>
      <c r="J2382" s="108"/>
    </row>
    <row r="2383" spans="1:10" s="16" customFormat="1" ht="25.5" outlineLevel="3">
      <c r="A2383" s="91"/>
      <c r="B2383" s="35"/>
      <c r="C2383" s="434" t="s">
        <v>1220</v>
      </c>
      <c r="D2383" s="136" t="s">
        <v>28</v>
      </c>
      <c r="E2383" s="362">
        <v>1</v>
      </c>
      <c r="F2383" s="232">
        <v>0</v>
      </c>
      <c r="G2383" s="232">
        <v>0</v>
      </c>
      <c r="H2383" s="138">
        <f>G2383+F2383</f>
        <v>0</v>
      </c>
      <c r="I2383" s="138">
        <f>H2383*E2383</f>
        <v>0</v>
      </c>
      <c r="J2383" s="108"/>
    </row>
    <row r="2384" spans="1:10" s="16" customFormat="1" ht="25.5" outlineLevel="3">
      <c r="A2384" s="91"/>
      <c r="B2384" s="35"/>
      <c r="C2384" s="434" t="s">
        <v>573</v>
      </c>
      <c r="D2384" s="136" t="s">
        <v>28</v>
      </c>
      <c r="E2384" s="362">
        <v>3</v>
      </c>
      <c r="F2384" s="232">
        <v>0</v>
      </c>
      <c r="G2384" s="232">
        <v>0</v>
      </c>
      <c r="H2384" s="138">
        <f>G2384+F2384</f>
        <v>0</v>
      </c>
      <c r="I2384" s="138">
        <f>H2384*E2384</f>
        <v>0</v>
      </c>
      <c r="J2384" s="108"/>
    </row>
    <row r="2385" spans="1:10" s="16" customFormat="1" ht="25.5" outlineLevel="3">
      <c r="A2385" s="91"/>
      <c r="B2385" s="35"/>
      <c r="C2385" s="411" t="s">
        <v>574</v>
      </c>
      <c r="D2385" s="136" t="s">
        <v>28</v>
      </c>
      <c r="E2385" s="362">
        <v>3</v>
      </c>
      <c r="F2385" s="232">
        <v>0</v>
      </c>
      <c r="G2385" s="232">
        <v>0</v>
      </c>
      <c r="H2385" s="138">
        <f>G2385+F2385</f>
        <v>0</v>
      </c>
      <c r="I2385" s="138">
        <f>H2385*E2385</f>
        <v>0</v>
      </c>
      <c r="J2385" s="108"/>
    </row>
    <row r="2386" spans="1:10" s="16" customFormat="1" ht="25.5" outlineLevel="3">
      <c r="A2386" s="91"/>
      <c r="B2386" s="35"/>
      <c r="C2386" s="112" t="s">
        <v>148</v>
      </c>
      <c r="D2386" s="433"/>
      <c r="E2386" s="362"/>
      <c r="F2386" s="232">
        <v>0</v>
      </c>
      <c r="G2386" s="232">
        <v>0</v>
      </c>
      <c r="H2386" s="138"/>
      <c r="I2386" s="138"/>
      <c r="J2386" s="108"/>
    </row>
    <row r="2387" spans="1:10" s="16" customFormat="1" ht="25.5" outlineLevel="3">
      <c r="A2387" s="91"/>
      <c r="B2387" s="35"/>
      <c r="C2387" s="434" t="s">
        <v>1221</v>
      </c>
      <c r="D2387" s="136" t="s">
        <v>28</v>
      </c>
      <c r="E2387" s="362">
        <v>1</v>
      </c>
      <c r="F2387" s="232">
        <v>0</v>
      </c>
      <c r="G2387" s="232">
        <v>0</v>
      </c>
      <c r="H2387" s="138">
        <f>G2387+F2387</f>
        <v>0</v>
      </c>
      <c r="I2387" s="138">
        <f>H2387*E2387</f>
        <v>0</v>
      </c>
      <c r="J2387" s="108"/>
    </row>
    <row r="2388" spans="1:10" s="16" customFormat="1" ht="25.5" outlineLevel="3">
      <c r="A2388" s="91"/>
      <c r="B2388" s="35"/>
      <c r="C2388" s="434" t="s">
        <v>1222</v>
      </c>
      <c r="D2388" s="136" t="s">
        <v>28</v>
      </c>
      <c r="E2388" s="362">
        <v>1</v>
      </c>
      <c r="F2388" s="232">
        <v>0</v>
      </c>
      <c r="G2388" s="232">
        <v>0</v>
      </c>
      <c r="H2388" s="138">
        <f>G2388+F2388</f>
        <v>0</v>
      </c>
      <c r="I2388" s="138">
        <f>H2388*E2388</f>
        <v>0</v>
      </c>
      <c r="J2388" s="108"/>
    </row>
    <row r="2389" spans="1:10" s="16" customFormat="1" ht="25.5" outlineLevel="3">
      <c r="A2389" s="91"/>
      <c r="B2389" s="35"/>
      <c r="C2389" s="434" t="s">
        <v>1223</v>
      </c>
      <c r="D2389" s="136" t="s">
        <v>28</v>
      </c>
      <c r="E2389" s="362">
        <v>1</v>
      </c>
      <c r="F2389" s="232">
        <v>0</v>
      </c>
      <c r="G2389" s="232">
        <v>0</v>
      </c>
      <c r="H2389" s="138">
        <f>G2389+F2389</f>
        <v>0</v>
      </c>
      <c r="I2389" s="138">
        <f>H2389*E2389</f>
        <v>0</v>
      </c>
      <c r="J2389" s="108"/>
    </row>
    <row r="2390" spans="1:10" s="16" customFormat="1" ht="25.5" outlineLevel="3">
      <c r="A2390" s="91"/>
      <c r="B2390" s="35"/>
      <c r="C2390" s="434" t="s">
        <v>1224</v>
      </c>
      <c r="D2390" s="136" t="s">
        <v>44</v>
      </c>
      <c r="E2390" s="362">
        <v>1</v>
      </c>
      <c r="F2390" s="232">
        <v>0</v>
      </c>
      <c r="G2390" s="232">
        <v>0</v>
      </c>
      <c r="H2390" s="138">
        <f>G2390+F2390</f>
        <v>0</v>
      </c>
      <c r="I2390" s="138">
        <f>H2390*E2390</f>
        <v>0</v>
      </c>
      <c r="J2390" s="108"/>
    </row>
    <row r="2391" spans="1:10" s="16" customFormat="1" ht="25.5" outlineLevel="3">
      <c r="A2391" s="91"/>
      <c r="B2391" s="35"/>
      <c r="C2391" s="435" t="s">
        <v>1225</v>
      </c>
      <c r="D2391" s="433"/>
      <c r="E2391" s="362"/>
      <c r="F2391" s="232">
        <v>0</v>
      </c>
      <c r="G2391" s="232">
        <v>0</v>
      </c>
      <c r="H2391" s="138"/>
      <c r="I2391" s="138"/>
      <c r="J2391" s="108"/>
    </row>
    <row r="2392" spans="1:10" s="16" customFormat="1" ht="25.5" outlineLevel="3">
      <c r="A2392" s="91"/>
      <c r="B2392" s="35"/>
      <c r="C2392" s="434" t="s">
        <v>1226</v>
      </c>
      <c r="D2392" s="136" t="s">
        <v>28</v>
      </c>
      <c r="E2392" s="362">
        <v>1</v>
      </c>
      <c r="F2392" s="232">
        <v>0</v>
      </c>
      <c r="G2392" s="232">
        <v>0</v>
      </c>
      <c r="H2392" s="138">
        <f>G2392+F2392</f>
        <v>0</v>
      </c>
      <c r="I2392" s="138">
        <f>H2392*E2392</f>
        <v>0</v>
      </c>
      <c r="J2392" s="108"/>
    </row>
    <row r="2393" spans="1:10" s="16" customFormat="1" ht="25.5" outlineLevel="3">
      <c r="A2393" s="91"/>
      <c r="B2393" s="35"/>
      <c r="C2393" s="434" t="s">
        <v>1227</v>
      </c>
      <c r="D2393" s="136" t="s">
        <v>38</v>
      </c>
      <c r="E2393" s="362">
        <v>1</v>
      </c>
      <c r="F2393" s="232">
        <v>0</v>
      </c>
      <c r="G2393" s="232">
        <v>0</v>
      </c>
      <c r="H2393" s="138">
        <f>G2393+F2393</f>
        <v>0</v>
      </c>
      <c r="I2393" s="138">
        <f>H2393*E2393</f>
        <v>0</v>
      </c>
      <c r="J2393" s="108"/>
    </row>
    <row r="2394" spans="1:10" s="16" customFormat="1" ht="25.5" outlineLevel="3">
      <c r="A2394" s="91"/>
      <c r="B2394" s="35"/>
      <c r="C2394" s="419" t="s">
        <v>1436</v>
      </c>
      <c r="D2394" s="136" t="s">
        <v>38</v>
      </c>
      <c r="E2394" s="362">
        <v>1</v>
      </c>
      <c r="F2394" s="232">
        <v>0</v>
      </c>
      <c r="G2394" s="232">
        <v>0</v>
      </c>
      <c r="H2394" s="138">
        <f>G2394+F2394</f>
        <v>0</v>
      </c>
      <c r="I2394" s="138">
        <f>H2394*E2394</f>
        <v>0</v>
      </c>
      <c r="J2394" s="108"/>
    </row>
    <row r="2395" spans="1:10" s="33" customFormat="1" ht="25.5" outlineLevel="3">
      <c r="A2395" s="100"/>
      <c r="B2395" s="40"/>
      <c r="C2395" s="432" t="s">
        <v>1230</v>
      </c>
      <c r="D2395" s="136" t="s">
        <v>38</v>
      </c>
      <c r="E2395" s="137">
        <v>1</v>
      </c>
      <c r="F2395" s="232">
        <v>0</v>
      </c>
      <c r="G2395" s="232">
        <v>0</v>
      </c>
      <c r="H2395" s="138">
        <f>G2395+F2395</f>
        <v>0</v>
      </c>
      <c r="I2395" s="138">
        <f>H2395*E2395</f>
        <v>0</v>
      </c>
      <c r="J2395" s="115"/>
    </row>
    <row r="2396" spans="1:10" s="16" customFormat="1" ht="25.5" outlineLevel="3">
      <c r="A2396" s="91"/>
      <c r="B2396" s="35"/>
      <c r="C2396" s="112" t="s">
        <v>141</v>
      </c>
      <c r="D2396" s="433"/>
      <c r="E2396" s="362"/>
      <c r="F2396" s="232">
        <v>0</v>
      </c>
      <c r="G2396" s="232">
        <v>0</v>
      </c>
      <c r="H2396" s="138"/>
      <c r="I2396" s="138"/>
      <c r="J2396" s="108"/>
    </row>
    <row r="2397" spans="1:10" s="16" customFormat="1" ht="25.5" outlineLevel="3">
      <c r="A2397" s="91"/>
      <c r="B2397" s="35"/>
      <c r="C2397" s="434" t="s">
        <v>2167</v>
      </c>
      <c r="D2397" s="136" t="s">
        <v>28</v>
      </c>
      <c r="E2397" s="362">
        <v>1</v>
      </c>
      <c r="F2397" s="232">
        <v>0</v>
      </c>
      <c r="G2397" s="232">
        <v>0</v>
      </c>
      <c r="H2397" s="138">
        <f>G2397+F2397</f>
        <v>0</v>
      </c>
      <c r="I2397" s="138">
        <f>H2397*E2397</f>
        <v>0</v>
      </c>
      <c r="J2397" s="108"/>
    </row>
    <row r="2398" spans="1:10" s="16" customFormat="1" ht="25.5" outlineLevel="3">
      <c r="A2398" s="91"/>
      <c r="B2398" s="35"/>
      <c r="C2398" s="434" t="s">
        <v>573</v>
      </c>
      <c r="D2398" s="136" t="s">
        <v>28</v>
      </c>
      <c r="E2398" s="362">
        <v>3</v>
      </c>
      <c r="F2398" s="232">
        <v>0</v>
      </c>
      <c r="G2398" s="232">
        <v>0</v>
      </c>
      <c r="H2398" s="138">
        <f>G2398+F2398</f>
        <v>0</v>
      </c>
      <c r="I2398" s="138">
        <f>H2398*E2398</f>
        <v>0</v>
      </c>
      <c r="J2398" s="108"/>
    </row>
    <row r="2399" spans="1:10" s="16" customFormat="1" ht="25.5" outlineLevel="3">
      <c r="A2399" s="91"/>
      <c r="B2399" s="35"/>
      <c r="C2399" s="411" t="s">
        <v>574</v>
      </c>
      <c r="D2399" s="136" t="s">
        <v>28</v>
      </c>
      <c r="E2399" s="362">
        <v>3</v>
      </c>
      <c r="F2399" s="232">
        <v>0</v>
      </c>
      <c r="G2399" s="232">
        <v>0</v>
      </c>
      <c r="H2399" s="138">
        <f>G2399+F2399</f>
        <v>0</v>
      </c>
      <c r="I2399" s="138">
        <f>H2399*E2399</f>
        <v>0</v>
      </c>
      <c r="J2399" s="108"/>
    </row>
    <row r="2400" spans="1:10" s="16" customFormat="1" ht="25.5" outlineLevel="3">
      <c r="A2400" s="91"/>
      <c r="B2400" s="35"/>
      <c r="C2400" s="112" t="s">
        <v>148</v>
      </c>
      <c r="D2400" s="433"/>
      <c r="E2400" s="362"/>
      <c r="F2400" s="232">
        <v>0</v>
      </c>
      <c r="G2400" s="232">
        <v>0</v>
      </c>
      <c r="H2400" s="138"/>
      <c r="I2400" s="138"/>
      <c r="J2400" s="108"/>
    </row>
    <row r="2401" spans="1:10" s="16" customFormat="1" ht="25.5" outlineLevel="3">
      <c r="A2401" s="91"/>
      <c r="B2401" s="35"/>
      <c r="C2401" s="434" t="s">
        <v>1221</v>
      </c>
      <c r="D2401" s="136" t="s">
        <v>28</v>
      </c>
      <c r="E2401" s="362">
        <v>1</v>
      </c>
      <c r="F2401" s="232">
        <v>0</v>
      </c>
      <c r="G2401" s="232">
        <v>0</v>
      </c>
      <c r="H2401" s="138">
        <f>G2401+F2401</f>
        <v>0</v>
      </c>
      <c r="I2401" s="138">
        <f>H2401*E2401</f>
        <v>0</v>
      </c>
      <c r="J2401" s="108"/>
    </row>
    <row r="2402" spans="1:10" s="16" customFormat="1" ht="25.5" outlineLevel="3">
      <c r="A2402" s="91"/>
      <c r="B2402" s="35"/>
      <c r="C2402" s="434" t="s">
        <v>1233</v>
      </c>
      <c r="D2402" s="136" t="s">
        <v>28</v>
      </c>
      <c r="E2402" s="362">
        <v>1</v>
      </c>
      <c r="F2402" s="232">
        <v>0</v>
      </c>
      <c r="G2402" s="232">
        <v>0</v>
      </c>
      <c r="H2402" s="138">
        <f>G2402+F2402</f>
        <v>0</v>
      </c>
      <c r="I2402" s="138">
        <f>H2402*E2402</f>
        <v>0</v>
      </c>
      <c r="J2402" s="108"/>
    </row>
    <row r="2403" spans="1:10" s="16" customFormat="1" ht="25.5" outlineLevel="3">
      <c r="A2403" s="91"/>
      <c r="B2403" s="35"/>
      <c r="C2403" s="435" t="s">
        <v>1234</v>
      </c>
      <c r="D2403" s="433"/>
      <c r="E2403" s="362"/>
      <c r="F2403" s="232">
        <v>0</v>
      </c>
      <c r="G2403" s="232">
        <v>0</v>
      </c>
      <c r="H2403" s="138"/>
      <c r="I2403" s="138"/>
      <c r="J2403" s="108"/>
    </row>
    <row r="2404" spans="1:10" s="16" customFormat="1" ht="25.5" outlineLevel="3">
      <c r="A2404" s="91"/>
      <c r="B2404" s="35"/>
      <c r="C2404" s="434" t="s">
        <v>647</v>
      </c>
      <c r="D2404" s="136" t="s">
        <v>28</v>
      </c>
      <c r="E2404" s="362">
        <v>1</v>
      </c>
      <c r="F2404" s="232">
        <v>0</v>
      </c>
      <c r="G2404" s="232">
        <v>0</v>
      </c>
      <c r="H2404" s="138">
        <f t="shared" ref="H2404:H2409" si="237">G2404+F2404</f>
        <v>0</v>
      </c>
      <c r="I2404" s="138">
        <f t="shared" ref="I2404:I2409" si="238">H2404*E2404</f>
        <v>0</v>
      </c>
      <c r="J2404" s="108"/>
    </row>
    <row r="2405" spans="1:10" s="16" customFormat="1" ht="25.5" outlineLevel="3">
      <c r="A2405" s="91"/>
      <c r="B2405" s="35"/>
      <c r="C2405" s="434" t="s">
        <v>1235</v>
      </c>
      <c r="D2405" s="136" t="s">
        <v>38</v>
      </c>
      <c r="E2405" s="362">
        <v>1</v>
      </c>
      <c r="F2405" s="232">
        <v>0</v>
      </c>
      <c r="G2405" s="232">
        <v>0</v>
      </c>
      <c r="H2405" s="138">
        <f t="shared" si="237"/>
        <v>0</v>
      </c>
      <c r="I2405" s="138">
        <f t="shared" si="238"/>
        <v>0</v>
      </c>
      <c r="J2405" s="108"/>
    </row>
    <row r="2406" spans="1:10" s="16" customFormat="1" ht="25.5" outlineLevel="3">
      <c r="A2406" s="91"/>
      <c r="B2406" s="35"/>
      <c r="C2406" s="129" t="s">
        <v>1745</v>
      </c>
      <c r="D2406" s="136" t="s">
        <v>38</v>
      </c>
      <c r="E2406" s="137">
        <v>1</v>
      </c>
      <c r="F2406" s="232">
        <v>0</v>
      </c>
      <c r="G2406" s="232">
        <v>0</v>
      </c>
      <c r="H2406" s="138">
        <f t="shared" si="237"/>
        <v>0</v>
      </c>
      <c r="I2406" s="138">
        <f t="shared" si="238"/>
        <v>0</v>
      </c>
      <c r="J2406" s="108"/>
    </row>
    <row r="2407" spans="1:10" s="16" customFormat="1" ht="25.5" outlineLevel="3">
      <c r="A2407" s="91"/>
      <c r="B2407" s="35"/>
      <c r="C2407" s="419" t="s">
        <v>1436</v>
      </c>
      <c r="D2407" s="136" t="s">
        <v>38</v>
      </c>
      <c r="E2407" s="137">
        <v>1</v>
      </c>
      <c r="F2407" s="232">
        <v>0</v>
      </c>
      <c r="G2407" s="232">
        <v>0</v>
      </c>
      <c r="H2407" s="138">
        <f t="shared" si="237"/>
        <v>0</v>
      </c>
      <c r="I2407" s="138">
        <f t="shared" si="238"/>
        <v>0</v>
      </c>
      <c r="J2407" s="108"/>
    </row>
    <row r="2408" spans="1:10" s="16" customFormat="1" ht="25.5" outlineLevel="3">
      <c r="A2408" s="91"/>
      <c r="B2408" s="35">
        <f>MAX($B$5:B2407)+1</f>
        <v>1149</v>
      </c>
      <c r="C2408" s="436" t="s">
        <v>1237</v>
      </c>
      <c r="D2408" s="136" t="s">
        <v>38</v>
      </c>
      <c r="E2408" s="137">
        <v>1</v>
      </c>
      <c r="F2408" s="232">
        <v>29030625</v>
      </c>
      <c r="G2408" s="232">
        <v>1563188</v>
      </c>
      <c r="H2408" s="138">
        <f t="shared" si="237"/>
        <v>30593813</v>
      </c>
      <c r="I2408" s="138">
        <f t="shared" si="238"/>
        <v>30593813</v>
      </c>
      <c r="J2408" s="108"/>
    </row>
    <row r="2409" spans="1:10" s="16" customFormat="1" ht="25.5" outlineLevel="3">
      <c r="A2409" s="91"/>
      <c r="B2409" s="40"/>
      <c r="C2409" s="436" t="s">
        <v>1238</v>
      </c>
      <c r="D2409" s="136" t="s">
        <v>38</v>
      </c>
      <c r="E2409" s="137">
        <v>1</v>
      </c>
      <c r="F2409" s="232">
        <v>0</v>
      </c>
      <c r="G2409" s="232">
        <v>0</v>
      </c>
      <c r="H2409" s="138">
        <f t="shared" si="237"/>
        <v>0</v>
      </c>
      <c r="I2409" s="138">
        <f t="shared" si="238"/>
        <v>0</v>
      </c>
      <c r="J2409" s="108"/>
    </row>
    <row r="2410" spans="1:10" s="16" customFormat="1" ht="25.5" outlineLevel="3">
      <c r="A2410" s="91"/>
      <c r="B2410" s="35"/>
      <c r="C2410" s="112" t="s">
        <v>141</v>
      </c>
      <c r="D2410" s="433"/>
      <c r="E2410" s="362"/>
      <c r="F2410" s="232">
        <v>0</v>
      </c>
      <c r="G2410" s="232">
        <v>0</v>
      </c>
      <c r="H2410" s="138"/>
      <c r="I2410" s="138"/>
      <c r="J2410" s="108"/>
    </row>
    <row r="2411" spans="1:10" s="16" customFormat="1" ht="25.5" outlineLevel="3">
      <c r="A2411" s="91"/>
      <c r="B2411" s="35"/>
      <c r="C2411" s="434" t="s">
        <v>2168</v>
      </c>
      <c r="D2411" s="136" t="s">
        <v>28</v>
      </c>
      <c r="E2411" s="362">
        <v>1</v>
      </c>
      <c r="F2411" s="232">
        <v>0</v>
      </c>
      <c r="G2411" s="232">
        <v>0</v>
      </c>
      <c r="H2411" s="138">
        <f>G2411+F2411</f>
        <v>0</v>
      </c>
      <c r="I2411" s="138">
        <f>H2411*E2411</f>
        <v>0</v>
      </c>
      <c r="J2411" s="108"/>
    </row>
    <row r="2412" spans="1:10" s="16" customFormat="1" ht="25.5" outlineLevel="3">
      <c r="A2412" s="91"/>
      <c r="B2412" s="35"/>
      <c r="C2412" s="434" t="s">
        <v>573</v>
      </c>
      <c r="D2412" s="136" t="s">
        <v>28</v>
      </c>
      <c r="E2412" s="362">
        <v>3</v>
      </c>
      <c r="F2412" s="232">
        <v>0</v>
      </c>
      <c r="G2412" s="232">
        <v>0</v>
      </c>
      <c r="H2412" s="138">
        <f>G2412+F2412</f>
        <v>0</v>
      </c>
      <c r="I2412" s="138">
        <f>H2412*E2412</f>
        <v>0</v>
      </c>
      <c r="J2412" s="108"/>
    </row>
    <row r="2413" spans="1:10" s="16" customFormat="1" ht="25.5" outlineLevel="3">
      <c r="A2413" s="91"/>
      <c r="B2413" s="35"/>
      <c r="C2413" s="411" t="s">
        <v>574</v>
      </c>
      <c r="D2413" s="136" t="s">
        <v>28</v>
      </c>
      <c r="E2413" s="362">
        <v>3</v>
      </c>
      <c r="F2413" s="232">
        <v>0</v>
      </c>
      <c r="G2413" s="232">
        <v>0</v>
      </c>
      <c r="H2413" s="138">
        <f>G2413+F2413</f>
        <v>0</v>
      </c>
      <c r="I2413" s="138">
        <f>H2413*E2413</f>
        <v>0</v>
      </c>
      <c r="J2413" s="108"/>
    </row>
    <row r="2414" spans="1:10" s="16" customFormat="1" ht="25.5" outlineLevel="3">
      <c r="A2414" s="91"/>
      <c r="B2414" s="35"/>
      <c r="C2414" s="112" t="s">
        <v>148</v>
      </c>
      <c r="D2414" s="433"/>
      <c r="E2414" s="362"/>
      <c r="F2414" s="232">
        <v>0</v>
      </c>
      <c r="G2414" s="232">
        <v>0</v>
      </c>
      <c r="H2414" s="138"/>
      <c r="I2414" s="138"/>
      <c r="J2414" s="108"/>
    </row>
    <row r="2415" spans="1:10" s="16" customFormat="1" ht="25.5" outlineLevel="3">
      <c r="A2415" s="91"/>
      <c r="B2415" s="35"/>
      <c r="C2415" s="434" t="s">
        <v>1221</v>
      </c>
      <c r="D2415" s="136" t="s">
        <v>28</v>
      </c>
      <c r="E2415" s="362">
        <v>1</v>
      </c>
      <c r="F2415" s="232">
        <v>0</v>
      </c>
      <c r="G2415" s="232">
        <v>0</v>
      </c>
      <c r="H2415" s="138">
        <f>G2415+F2415</f>
        <v>0</v>
      </c>
      <c r="I2415" s="138">
        <f>H2415*E2415</f>
        <v>0</v>
      </c>
      <c r="J2415" s="108"/>
    </row>
    <row r="2416" spans="1:10" s="16" customFormat="1" ht="25.5" outlineLevel="3">
      <c r="A2416" s="91"/>
      <c r="B2416" s="35"/>
      <c r="C2416" s="434" t="s">
        <v>2169</v>
      </c>
      <c r="D2416" s="136" t="s">
        <v>28</v>
      </c>
      <c r="E2416" s="362">
        <v>3</v>
      </c>
      <c r="F2416" s="232">
        <v>0</v>
      </c>
      <c r="G2416" s="232">
        <v>0</v>
      </c>
      <c r="H2416" s="138">
        <f>G2416+F2416</f>
        <v>0</v>
      </c>
      <c r="I2416" s="138">
        <f>H2416*E2416</f>
        <v>0</v>
      </c>
      <c r="J2416" s="108"/>
    </row>
    <row r="2417" spans="1:10" s="16" customFormat="1" ht="25.5" outlineLevel="3">
      <c r="A2417" s="91"/>
      <c r="B2417" s="35"/>
      <c r="C2417" s="435" t="s">
        <v>1242</v>
      </c>
      <c r="D2417" s="433"/>
      <c r="E2417" s="362"/>
      <c r="F2417" s="232">
        <v>0</v>
      </c>
      <c r="G2417" s="232">
        <v>0</v>
      </c>
      <c r="H2417" s="138"/>
      <c r="I2417" s="138"/>
      <c r="J2417" s="108"/>
    </row>
    <row r="2418" spans="1:10" s="16" customFormat="1" ht="25.5" outlineLevel="3">
      <c r="A2418" s="91"/>
      <c r="B2418" s="35"/>
      <c r="C2418" s="434" t="s">
        <v>647</v>
      </c>
      <c r="D2418" s="136" t="s">
        <v>28</v>
      </c>
      <c r="E2418" s="362">
        <v>3</v>
      </c>
      <c r="F2418" s="232">
        <v>0</v>
      </c>
      <c r="G2418" s="232">
        <v>0</v>
      </c>
      <c r="H2418" s="138">
        <f t="shared" ref="H2418:H2444" si="239">G2418+F2418</f>
        <v>0</v>
      </c>
      <c r="I2418" s="138">
        <f t="shared" ref="I2418:I2444" si="240">H2418*E2418</f>
        <v>0</v>
      </c>
      <c r="J2418" s="108"/>
    </row>
    <row r="2419" spans="1:10" s="16" customFormat="1" ht="25.5" outlineLevel="3">
      <c r="A2419" s="91"/>
      <c r="B2419" s="35"/>
      <c r="C2419" s="434" t="s">
        <v>1243</v>
      </c>
      <c r="D2419" s="136" t="s">
        <v>38</v>
      </c>
      <c r="E2419" s="362">
        <v>3</v>
      </c>
      <c r="F2419" s="232">
        <v>0</v>
      </c>
      <c r="G2419" s="232">
        <v>0</v>
      </c>
      <c r="H2419" s="138">
        <f t="shared" si="239"/>
        <v>0</v>
      </c>
      <c r="I2419" s="138">
        <f t="shared" si="240"/>
        <v>0</v>
      </c>
      <c r="J2419" s="108"/>
    </row>
    <row r="2420" spans="1:10" s="16" customFormat="1" ht="25.5" outlineLevel="3">
      <c r="A2420" s="91"/>
      <c r="B2420" s="35"/>
      <c r="C2420" s="129" t="s">
        <v>1745</v>
      </c>
      <c r="D2420" s="136" t="s">
        <v>38</v>
      </c>
      <c r="E2420" s="137">
        <v>3</v>
      </c>
      <c r="F2420" s="232">
        <v>0</v>
      </c>
      <c r="G2420" s="232">
        <v>0</v>
      </c>
      <c r="H2420" s="138">
        <f t="shared" si="239"/>
        <v>0</v>
      </c>
      <c r="I2420" s="138">
        <f t="shared" si="240"/>
        <v>0</v>
      </c>
      <c r="J2420" s="108"/>
    </row>
    <row r="2421" spans="1:10" s="16" customFormat="1" ht="25.5" outlineLevel="3">
      <c r="A2421" s="91"/>
      <c r="B2421" s="35"/>
      <c r="C2421" s="419" t="s">
        <v>1436</v>
      </c>
      <c r="D2421" s="136" t="s">
        <v>38</v>
      </c>
      <c r="E2421" s="137">
        <v>1</v>
      </c>
      <c r="F2421" s="232">
        <v>0</v>
      </c>
      <c r="G2421" s="232">
        <v>0</v>
      </c>
      <c r="H2421" s="138">
        <f t="shared" si="239"/>
        <v>0</v>
      </c>
      <c r="I2421" s="138">
        <f t="shared" si="240"/>
        <v>0</v>
      </c>
      <c r="J2421" s="108"/>
    </row>
    <row r="2422" spans="1:10" s="16" customFormat="1" ht="25.5" outlineLevel="3">
      <c r="A2422" s="91"/>
      <c r="B2422" s="35">
        <f>MAX($B$5:B2421)+1</f>
        <v>1150</v>
      </c>
      <c r="C2422" s="436" t="s">
        <v>2170</v>
      </c>
      <c r="D2422" s="136" t="s">
        <v>38</v>
      </c>
      <c r="E2422" s="137">
        <v>1</v>
      </c>
      <c r="F2422" s="232">
        <v>0</v>
      </c>
      <c r="G2422" s="232">
        <v>0</v>
      </c>
      <c r="H2422" s="138">
        <f t="shared" si="239"/>
        <v>0</v>
      </c>
      <c r="I2422" s="138">
        <f t="shared" si="240"/>
        <v>0</v>
      </c>
      <c r="J2422" s="108"/>
    </row>
    <row r="2423" spans="1:10" s="16" customFormat="1" ht="25.5" outlineLevel="3">
      <c r="A2423" s="91"/>
      <c r="B2423" s="35">
        <f>MAX($B$5:B2422)+1</f>
        <v>1151</v>
      </c>
      <c r="C2423" s="431" t="s">
        <v>2171</v>
      </c>
      <c r="D2423" s="136" t="s">
        <v>28</v>
      </c>
      <c r="E2423" s="137">
        <v>2</v>
      </c>
      <c r="F2423" s="232">
        <v>36659873</v>
      </c>
      <c r="G2423" s="232">
        <v>2084250</v>
      </c>
      <c r="H2423" s="138">
        <f t="shared" si="239"/>
        <v>38744123</v>
      </c>
      <c r="I2423" s="138">
        <f t="shared" si="240"/>
        <v>77488246</v>
      </c>
      <c r="J2423" s="108"/>
    </row>
    <row r="2424" spans="1:10" s="16" customFormat="1" ht="25.5" outlineLevel="3">
      <c r="A2424" s="91"/>
      <c r="B2424" s="35">
        <f>MAX($B$5:B2423)+1</f>
        <v>1152</v>
      </c>
      <c r="C2424" s="431" t="s">
        <v>2172</v>
      </c>
      <c r="D2424" s="136" t="s">
        <v>28</v>
      </c>
      <c r="E2424" s="137">
        <v>2</v>
      </c>
      <c r="F2424" s="232">
        <v>18260263</v>
      </c>
      <c r="G2424" s="232">
        <v>2605313</v>
      </c>
      <c r="H2424" s="138">
        <f t="shared" si="239"/>
        <v>20865576</v>
      </c>
      <c r="I2424" s="138">
        <f t="shared" si="240"/>
        <v>41731152</v>
      </c>
      <c r="J2424" s="108"/>
    </row>
    <row r="2425" spans="1:10" s="16" customFormat="1" ht="25.5" outlineLevel="3">
      <c r="A2425" s="91"/>
      <c r="B2425" s="35">
        <f>MAX($B$5:B2424)+1</f>
        <v>1153</v>
      </c>
      <c r="C2425" s="431" t="s">
        <v>2173</v>
      </c>
      <c r="D2425" s="136" t="s">
        <v>28</v>
      </c>
      <c r="E2425" s="137">
        <v>2</v>
      </c>
      <c r="F2425" s="232">
        <v>17535659</v>
      </c>
      <c r="G2425" s="232">
        <v>1563188</v>
      </c>
      <c r="H2425" s="138">
        <f t="shared" si="239"/>
        <v>19098847</v>
      </c>
      <c r="I2425" s="138">
        <f t="shared" si="240"/>
        <v>38197694</v>
      </c>
      <c r="J2425" s="108"/>
    </row>
    <row r="2426" spans="1:10" s="16" customFormat="1" ht="25.5" outlineLevel="3">
      <c r="A2426" s="91"/>
      <c r="B2426" s="35">
        <f>MAX($B$5:B2425)+1</f>
        <v>1154</v>
      </c>
      <c r="C2426" s="431" t="s">
        <v>1247</v>
      </c>
      <c r="D2426" s="136" t="s">
        <v>28</v>
      </c>
      <c r="E2426" s="137">
        <v>2</v>
      </c>
      <c r="F2426" s="232">
        <v>10608952</v>
      </c>
      <c r="G2426" s="232">
        <v>1563188</v>
      </c>
      <c r="H2426" s="138">
        <f t="shared" si="239"/>
        <v>12172140</v>
      </c>
      <c r="I2426" s="138">
        <f t="shared" si="240"/>
        <v>24344280</v>
      </c>
      <c r="J2426" s="108"/>
    </row>
    <row r="2427" spans="1:10" s="16" customFormat="1" ht="25.5" outlineLevel="3">
      <c r="A2427" s="91"/>
      <c r="B2427" s="35">
        <f>MAX($B$5:B2426)+1</f>
        <v>1155</v>
      </c>
      <c r="C2427" s="431" t="s">
        <v>1249</v>
      </c>
      <c r="D2427" s="136" t="s">
        <v>28</v>
      </c>
      <c r="E2427" s="137">
        <v>2</v>
      </c>
      <c r="F2427" s="232">
        <v>6112688</v>
      </c>
      <c r="G2427" s="232">
        <v>677381</v>
      </c>
      <c r="H2427" s="138">
        <f t="shared" si="239"/>
        <v>6790069</v>
      </c>
      <c r="I2427" s="138">
        <f t="shared" si="240"/>
        <v>13580138</v>
      </c>
      <c r="J2427" s="108"/>
    </row>
    <row r="2428" spans="1:10" s="16" customFormat="1" ht="25.5" outlineLevel="3">
      <c r="A2428" s="91"/>
      <c r="B2428" s="35">
        <f>MAX($B$5:B2427)+1</f>
        <v>1156</v>
      </c>
      <c r="C2428" s="431" t="s">
        <v>2174</v>
      </c>
      <c r="D2428" s="136" t="s">
        <v>28</v>
      </c>
      <c r="E2428" s="137">
        <v>2</v>
      </c>
      <c r="F2428" s="232">
        <v>15591768</v>
      </c>
      <c r="G2428" s="232">
        <v>1563188</v>
      </c>
      <c r="H2428" s="138">
        <f t="shared" si="239"/>
        <v>17154956</v>
      </c>
      <c r="I2428" s="138">
        <f t="shared" si="240"/>
        <v>34309912</v>
      </c>
      <c r="J2428" s="108"/>
    </row>
    <row r="2429" spans="1:10" s="16" customFormat="1" ht="25.5" outlineLevel="3">
      <c r="A2429" s="91"/>
      <c r="B2429" s="35">
        <f>MAX($B$5:B2428)+1</f>
        <v>1157</v>
      </c>
      <c r="C2429" s="431" t="s">
        <v>1251</v>
      </c>
      <c r="D2429" s="136" t="s">
        <v>28</v>
      </c>
      <c r="E2429" s="137">
        <v>1</v>
      </c>
      <c r="F2429" s="232">
        <v>700219</v>
      </c>
      <c r="G2429" s="232">
        <v>208425</v>
      </c>
      <c r="H2429" s="138">
        <f t="shared" si="239"/>
        <v>908644</v>
      </c>
      <c r="I2429" s="138">
        <f t="shared" si="240"/>
        <v>908644</v>
      </c>
      <c r="J2429" s="108"/>
    </row>
    <row r="2430" spans="1:10" s="16" customFormat="1" ht="25.5" outlineLevel="3">
      <c r="A2430" s="91"/>
      <c r="B2430" s="35">
        <f>MAX($B$5:B2429)+1</f>
        <v>1158</v>
      </c>
      <c r="C2430" s="431" t="s">
        <v>2175</v>
      </c>
      <c r="D2430" s="136" t="s">
        <v>28</v>
      </c>
      <c r="E2430" s="137">
        <v>2</v>
      </c>
      <c r="F2430" s="232">
        <v>14499055</v>
      </c>
      <c r="G2430" s="232">
        <v>1563188</v>
      </c>
      <c r="H2430" s="138">
        <f t="shared" si="239"/>
        <v>16062243</v>
      </c>
      <c r="I2430" s="138">
        <f t="shared" si="240"/>
        <v>32124486</v>
      </c>
      <c r="J2430" s="108"/>
    </row>
    <row r="2431" spans="1:10" s="16" customFormat="1" ht="25.5" outlineLevel="3">
      <c r="A2431" s="91"/>
      <c r="B2431" s="35">
        <f>MAX($B$5:B2430)+1</f>
        <v>1159</v>
      </c>
      <c r="C2431" s="431" t="s">
        <v>1252</v>
      </c>
      <c r="D2431" s="136" t="s">
        <v>28</v>
      </c>
      <c r="E2431" s="137">
        <v>2</v>
      </c>
      <c r="F2431" s="232">
        <v>7834785</v>
      </c>
      <c r="G2431" s="232">
        <v>1563188</v>
      </c>
      <c r="H2431" s="138">
        <f t="shared" si="239"/>
        <v>9397973</v>
      </c>
      <c r="I2431" s="138">
        <f t="shared" si="240"/>
        <v>18795946</v>
      </c>
      <c r="J2431" s="108"/>
    </row>
    <row r="2432" spans="1:10" s="16" customFormat="1" ht="25.5" outlineLevel="3">
      <c r="A2432" s="91"/>
      <c r="B2432" s="35">
        <f>MAX($B$5:B2431)+1</f>
        <v>1160</v>
      </c>
      <c r="C2432" s="431" t="s">
        <v>1254</v>
      </c>
      <c r="D2432" s="136" t="s">
        <v>28</v>
      </c>
      <c r="E2432" s="137">
        <v>2</v>
      </c>
      <c r="F2432" s="232">
        <v>877886</v>
      </c>
      <c r="G2432" s="232">
        <v>208425</v>
      </c>
      <c r="H2432" s="138">
        <f t="shared" si="239"/>
        <v>1086311</v>
      </c>
      <c r="I2432" s="138">
        <f t="shared" si="240"/>
        <v>2172622</v>
      </c>
      <c r="J2432" s="108"/>
    </row>
    <row r="2433" spans="1:10" s="16" customFormat="1" ht="25.5" outlineLevel="3">
      <c r="A2433" s="91"/>
      <c r="B2433" s="35">
        <f>MAX($B$5:B2432)+1</f>
        <v>1161</v>
      </c>
      <c r="C2433" s="431" t="s">
        <v>2176</v>
      </c>
      <c r="D2433" s="136" t="s">
        <v>28</v>
      </c>
      <c r="E2433" s="137">
        <v>2</v>
      </c>
      <c r="F2433" s="232">
        <v>4937529</v>
      </c>
      <c r="G2433" s="232">
        <v>677381</v>
      </c>
      <c r="H2433" s="138">
        <f t="shared" si="239"/>
        <v>5614910</v>
      </c>
      <c r="I2433" s="138">
        <f t="shared" si="240"/>
        <v>11229820</v>
      </c>
      <c r="J2433" s="108"/>
    </row>
    <row r="2434" spans="1:10" s="16" customFormat="1" ht="25.5" outlineLevel="3">
      <c r="A2434" s="91"/>
      <c r="B2434" s="35">
        <f>MAX($B$5:B2433)+1</f>
        <v>1162</v>
      </c>
      <c r="C2434" s="431" t="s">
        <v>1256</v>
      </c>
      <c r="D2434" s="136" t="s">
        <v>28</v>
      </c>
      <c r="E2434" s="137">
        <v>1</v>
      </c>
      <c r="F2434" s="232">
        <v>838404</v>
      </c>
      <c r="G2434" s="232">
        <v>208425</v>
      </c>
      <c r="H2434" s="138">
        <f t="shared" si="239"/>
        <v>1046829</v>
      </c>
      <c r="I2434" s="138">
        <f t="shared" si="240"/>
        <v>1046829</v>
      </c>
      <c r="J2434" s="108"/>
    </row>
    <row r="2435" spans="1:10" s="16" customFormat="1" ht="25.5" outlineLevel="3">
      <c r="A2435" s="91"/>
      <c r="B2435" s="35">
        <f>MAX($B$5:B2434)+1</f>
        <v>1163</v>
      </c>
      <c r="C2435" s="423" t="s">
        <v>588</v>
      </c>
      <c r="D2435" s="136" t="s">
        <v>28</v>
      </c>
      <c r="E2435" s="137">
        <v>1</v>
      </c>
      <c r="F2435" s="232">
        <v>1245994</v>
      </c>
      <c r="G2435" s="232">
        <v>208425</v>
      </c>
      <c r="H2435" s="138">
        <f t="shared" si="239"/>
        <v>1454419</v>
      </c>
      <c r="I2435" s="138">
        <f t="shared" si="240"/>
        <v>1454419</v>
      </c>
      <c r="J2435" s="108"/>
    </row>
    <row r="2436" spans="1:10" s="16" customFormat="1" ht="25.5" outlineLevel="3">
      <c r="A2436" s="91"/>
      <c r="B2436" s="35">
        <f>MAX($B$5:B2435)+1</f>
        <v>1164</v>
      </c>
      <c r="C2436" s="431" t="s">
        <v>925</v>
      </c>
      <c r="D2436" s="136" t="s">
        <v>28</v>
      </c>
      <c r="E2436" s="137">
        <v>2</v>
      </c>
      <c r="F2436" s="232">
        <v>391333</v>
      </c>
      <c r="G2436" s="232">
        <v>156319</v>
      </c>
      <c r="H2436" s="138">
        <f t="shared" si="239"/>
        <v>547652</v>
      </c>
      <c r="I2436" s="138">
        <f t="shared" si="240"/>
        <v>1095304</v>
      </c>
      <c r="J2436" s="108"/>
    </row>
    <row r="2437" spans="1:10" s="16" customFormat="1" ht="25.5" outlineLevel="3">
      <c r="A2437" s="91"/>
      <c r="B2437" s="35">
        <f>MAX($B$5:B2436)+1</f>
        <v>1165</v>
      </c>
      <c r="C2437" s="431" t="s">
        <v>590</v>
      </c>
      <c r="D2437" s="136" t="s">
        <v>162</v>
      </c>
      <c r="E2437" s="137">
        <v>7</v>
      </c>
      <c r="F2437" s="232">
        <v>971945</v>
      </c>
      <c r="G2437" s="232">
        <v>208425</v>
      </c>
      <c r="H2437" s="138">
        <f t="shared" si="239"/>
        <v>1180370</v>
      </c>
      <c r="I2437" s="138">
        <f t="shared" si="240"/>
        <v>8262590</v>
      </c>
      <c r="J2437" s="108"/>
    </row>
    <row r="2438" spans="1:10" s="16" customFormat="1" ht="25.5" outlineLevel="3">
      <c r="A2438" s="91"/>
      <c r="B2438" s="35">
        <f>MAX($B$5:B2437)+1</f>
        <v>1166</v>
      </c>
      <c r="C2438" s="431" t="s">
        <v>591</v>
      </c>
      <c r="D2438" s="136" t="s">
        <v>28</v>
      </c>
      <c r="E2438" s="137">
        <v>3</v>
      </c>
      <c r="F2438" s="232">
        <v>1456176</v>
      </c>
      <c r="G2438" s="232">
        <v>208425</v>
      </c>
      <c r="H2438" s="138">
        <f t="shared" si="239"/>
        <v>1664601</v>
      </c>
      <c r="I2438" s="138">
        <f t="shared" si="240"/>
        <v>4993803</v>
      </c>
      <c r="J2438" s="108"/>
    </row>
    <row r="2439" spans="1:10" s="16" customFormat="1" ht="25.5" outlineLevel="3">
      <c r="A2439" s="91"/>
      <c r="B2439" s="35">
        <f>MAX($B$5:B2438)+1</f>
        <v>1167</v>
      </c>
      <c r="C2439" s="431" t="s">
        <v>592</v>
      </c>
      <c r="D2439" s="136" t="s">
        <v>28</v>
      </c>
      <c r="E2439" s="137">
        <v>2</v>
      </c>
      <c r="F2439" s="232">
        <v>3135308</v>
      </c>
      <c r="G2439" s="232">
        <v>260531</v>
      </c>
      <c r="H2439" s="138">
        <f t="shared" si="239"/>
        <v>3395839</v>
      </c>
      <c r="I2439" s="138">
        <f t="shared" si="240"/>
        <v>6791678</v>
      </c>
      <c r="J2439" s="108"/>
    </row>
    <row r="2440" spans="1:10" s="16" customFormat="1" ht="25.5" outlineLevel="3">
      <c r="A2440" s="91"/>
      <c r="B2440" s="35">
        <f>MAX($B$5:B2439)+1</f>
        <v>1168</v>
      </c>
      <c r="C2440" s="431" t="s">
        <v>1257</v>
      </c>
      <c r="D2440" s="136" t="s">
        <v>28</v>
      </c>
      <c r="E2440" s="137">
        <v>1</v>
      </c>
      <c r="F2440" s="232">
        <v>11130342</v>
      </c>
      <c r="G2440" s="232">
        <v>1563188</v>
      </c>
      <c r="H2440" s="138">
        <f t="shared" si="239"/>
        <v>12693530</v>
      </c>
      <c r="I2440" s="138">
        <f t="shared" si="240"/>
        <v>12693530</v>
      </c>
      <c r="J2440" s="108"/>
    </row>
    <row r="2441" spans="1:10" s="16" customFormat="1" ht="25.5" outlineLevel="3">
      <c r="A2441" s="91"/>
      <c r="B2441" s="35">
        <f>MAX($B$5:B2440)+1</f>
        <v>1169</v>
      </c>
      <c r="C2441" s="431" t="s">
        <v>1258</v>
      </c>
      <c r="D2441" s="136" t="s">
        <v>28</v>
      </c>
      <c r="E2441" s="137">
        <v>1</v>
      </c>
      <c r="F2441" s="232">
        <v>19104474</v>
      </c>
      <c r="G2441" s="232">
        <v>1563188</v>
      </c>
      <c r="H2441" s="138">
        <f t="shared" si="239"/>
        <v>20667662</v>
      </c>
      <c r="I2441" s="138">
        <f t="shared" si="240"/>
        <v>20667662</v>
      </c>
      <c r="J2441" s="157"/>
    </row>
    <row r="2442" spans="1:10" s="16" customFormat="1" ht="25.5" outlineLevel="3">
      <c r="A2442" s="91"/>
      <c r="B2442" s="35">
        <f>MAX($B$5:B2441)+1</f>
        <v>1170</v>
      </c>
      <c r="C2442" s="411" t="s">
        <v>1259</v>
      </c>
      <c r="D2442" s="136" t="s">
        <v>28</v>
      </c>
      <c r="E2442" s="137">
        <v>1</v>
      </c>
      <c r="F2442" s="232">
        <v>1279670</v>
      </c>
      <c r="G2442" s="232">
        <v>521063</v>
      </c>
      <c r="H2442" s="138">
        <f t="shared" si="239"/>
        <v>1800733</v>
      </c>
      <c r="I2442" s="138">
        <f t="shared" si="240"/>
        <v>1800733</v>
      </c>
      <c r="J2442" s="108"/>
    </row>
    <row r="2443" spans="1:10" s="16" customFormat="1" ht="25.5" outlineLevel="3">
      <c r="A2443" s="91"/>
      <c r="B2443" s="35">
        <f>MAX($B$5:B2442)+1</f>
        <v>1171</v>
      </c>
      <c r="C2443" s="431" t="s">
        <v>922</v>
      </c>
      <c r="D2443" s="136" t="s">
        <v>28</v>
      </c>
      <c r="E2443" s="137">
        <v>2</v>
      </c>
      <c r="F2443" s="232">
        <v>5147710</v>
      </c>
      <c r="G2443" s="232">
        <v>729488</v>
      </c>
      <c r="H2443" s="138">
        <f t="shared" si="239"/>
        <v>5877198</v>
      </c>
      <c r="I2443" s="138">
        <f t="shared" si="240"/>
        <v>11754396</v>
      </c>
      <c r="J2443" s="159"/>
    </row>
    <row r="2444" spans="1:10" s="16" customFormat="1" ht="25.5" outlineLevel="3">
      <c r="A2444" s="91"/>
      <c r="B2444" s="35">
        <f>MAX($B$5:B2443)+1</f>
        <v>1172</v>
      </c>
      <c r="C2444" s="423" t="s">
        <v>2177</v>
      </c>
      <c r="D2444" s="136" t="s">
        <v>38</v>
      </c>
      <c r="E2444" s="137">
        <v>1</v>
      </c>
      <c r="F2444" s="232">
        <v>174183750</v>
      </c>
      <c r="G2444" s="232">
        <v>62527500</v>
      </c>
      <c r="H2444" s="138">
        <f t="shared" si="239"/>
        <v>236711250</v>
      </c>
      <c r="I2444" s="138">
        <f t="shared" si="240"/>
        <v>236711250</v>
      </c>
      <c r="J2444" s="157"/>
    </row>
    <row r="2445" spans="1:10" s="16" customFormat="1" ht="27" outlineLevel="3">
      <c r="A2445" s="91"/>
      <c r="B2445" s="38"/>
      <c r="C2445" s="432" t="s">
        <v>2178</v>
      </c>
      <c r="D2445" s="363"/>
      <c r="E2445" s="352"/>
      <c r="F2445" s="232">
        <v>0</v>
      </c>
      <c r="G2445" s="232">
        <v>0</v>
      </c>
      <c r="H2445" s="367"/>
      <c r="I2445" s="367"/>
      <c r="J2445" s="111"/>
    </row>
    <row r="2446" spans="1:10" s="16" customFormat="1" ht="25.5" outlineLevel="3">
      <c r="A2446" s="91"/>
      <c r="B2446" s="35">
        <f>MAX($B$5:B2445)+1</f>
        <v>1173</v>
      </c>
      <c r="C2446" s="431" t="s">
        <v>1262</v>
      </c>
      <c r="D2446" s="136" t="s">
        <v>28</v>
      </c>
      <c r="E2446" s="137">
        <v>875</v>
      </c>
      <c r="F2446" s="232">
        <v>85931</v>
      </c>
      <c r="G2446" s="232">
        <v>104213</v>
      </c>
      <c r="H2446" s="138">
        <f t="shared" ref="H2446:H2468" si="241">G2446+F2446</f>
        <v>190144</v>
      </c>
      <c r="I2446" s="138">
        <f t="shared" ref="I2446:I2468" si="242">H2446*E2446</f>
        <v>166376000</v>
      </c>
      <c r="J2446" s="108"/>
    </row>
    <row r="2447" spans="1:10" s="16" customFormat="1" ht="25.5" outlineLevel="3">
      <c r="A2447" s="91"/>
      <c r="B2447" s="35">
        <f>MAX($B$5:B2446)+1</f>
        <v>1174</v>
      </c>
      <c r="C2447" s="431" t="s">
        <v>1263</v>
      </c>
      <c r="D2447" s="136" t="s">
        <v>28</v>
      </c>
      <c r="E2447" s="137">
        <f>921+259</f>
        <v>1180</v>
      </c>
      <c r="F2447" s="232">
        <v>90576</v>
      </c>
      <c r="G2447" s="232">
        <v>104213</v>
      </c>
      <c r="H2447" s="138">
        <f t="shared" si="241"/>
        <v>194789</v>
      </c>
      <c r="I2447" s="138">
        <f t="shared" si="242"/>
        <v>229851020</v>
      </c>
      <c r="J2447" s="108"/>
    </row>
    <row r="2448" spans="1:10" s="16" customFormat="1" ht="25.5" outlineLevel="3">
      <c r="A2448" s="91"/>
      <c r="B2448" s="35">
        <f>MAX($B$5:B2447)+1</f>
        <v>1175</v>
      </c>
      <c r="C2448" s="431" t="s">
        <v>1264</v>
      </c>
      <c r="D2448" s="136" t="s">
        <v>44</v>
      </c>
      <c r="E2448" s="137">
        <v>875</v>
      </c>
      <c r="F2448" s="232">
        <v>255470</v>
      </c>
      <c r="G2448" s="232">
        <v>104213</v>
      </c>
      <c r="H2448" s="138">
        <f t="shared" si="241"/>
        <v>359683</v>
      </c>
      <c r="I2448" s="138">
        <f t="shared" si="242"/>
        <v>314722625</v>
      </c>
      <c r="J2448" s="108"/>
    </row>
    <row r="2449" spans="1:10" s="16" customFormat="1" ht="25.5" outlineLevel="3">
      <c r="A2449" s="91"/>
      <c r="B2449" s="35">
        <f>MAX($B$5:B2448)+1</f>
        <v>1176</v>
      </c>
      <c r="C2449" s="431" t="s">
        <v>1265</v>
      </c>
      <c r="D2449" s="136" t="s">
        <v>28</v>
      </c>
      <c r="E2449" s="137">
        <v>144</v>
      </c>
      <c r="F2449" s="232">
        <v>104510</v>
      </c>
      <c r="G2449" s="232">
        <v>10421</v>
      </c>
      <c r="H2449" s="138">
        <f t="shared" si="241"/>
        <v>114931</v>
      </c>
      <c r="I2449" s="138">
        <f t="shared" si="242"/>
        <v>16550064</v>
      </c>
      <c r="J2449" s="108"/>
    </row>
    <row r="2450" spans="1:10" s="16" customFormat="1" ht="25.5" outlineLevel="3">
      <c r="A2450" s="91"/>
      <c r="B2450" s="35">
        <f>MAX($B$5:B2449)+1</f>
        <v>1177</v>
      </c>
      <c r="C2450" s="431" t="s">
        <v>2179</v>
      </c>
      <c r="D2450" s="136" t="s">
        <v>28</v>
      </c>
      <c r="E2450" s="137">
        <v>108</v>
      </c>
      <c r="F2450" s="232">
        <v>20902</v>
      </c>
      <c r="G2450" s="232">
        <v>5211</v>
      </c>
      <c r="H2450" s="138">
        <f t="shared" si="241"/>
        <v>26113</v>
      </c>
      <c r="I2450" s="138">
        <f t="shared" si="242"/>
        <v>2820204</v>
      </c>
      <c r="J2450" s="108"/>
    </row>
    <row r="2451" spans="1:10" s="16" customFormat="1" ht="38.25" outlineLevel="3">
      <c r="A2451" s="91"/>
      <c r="B2451" s="35">
        <f>MAX($B$5:B2450)+1</f>
        <v>1178</v>
      </c>
      <c r="C2451" s="431" t="s">
        <v>1266</v>
      </c>
      <c r="D2451" s="136" t="s">
        <v>28</v>
      </c>
      <c r="E2451" s="137">
        <v>4</v>
      </c>
      <c r="F2451" s="232">
        <v>2164523</v>
      </c>
      <c r="G2451" s="232">
        <v>677381</v>
      </c>
      <c r="H2451" s="138">
        <f t="shared" si="241"/>
        <v>2841904</v>
      </c>
      <c r="I2451" s="138">
        <f t="shared" si="242"/>
        <v>11367616</v>
      </c>
      <c r="J2451" s="108"/>
    </row>
    <row r="2452" spans="1:10" s="16" customFormat="1" ht="38.25" outlineLevel="3">
      <c r="A2452" s="91"/>
      <c r="B2452" s="35">
        <f>MAX($B$5:B2451)+1</f>
        <v>1179</v>
      </c>
      <c r="C2452" s="431" t="s">
        <v>1267</v>
      </c>
      <c r="D2452" s="136" t="s">
        <v>28</v>
      </c>
      <c r="E2452" s="137">
        <v>15</v>
      </c>
      <c r="F2452" s="232">
        <v>2840937</v>
      </c>
      <c r="G2452" s="232">
        <v>677381</v>
      </c>
      <c r="H2452" s="138">
        <f t="shared" si="241"/>
        <v>3518318</v>
      </c>
      <c r="I2452" s="138">
        <f t="shared" si="242"/>
        <v>52774770</v>
      </c>
      <c r="J2452" s="108"/>
    </row>
    <row r="2453" spans="1:10" s="16" customFormat="1" ht="38.25" outlineLevel="3">
      <c r="A2453" s="91"/>
      <c r="B2453" s="35">
        <f>MAX($B$5:B2452)+1</f>
        <v>1180</v>
      </c>
      <c r="C2453" s="431" t="s">
        <v>2180</v>
      </c>
      <c r="D2453" s="136" t="s">
        <v>28</v>
      </c>
      <c r="E2453" s="137">
        <v>5</v>
      </c>
      <c r="F2453" s="232">
        <v>2840937</v>
      </c>
      <c r="G2453" s="232">
        <v>677381</v>
      </c>
      <c r="H2453" s="138">
        <f t="shared" si="241"/>
        <v>3518318</v>
      </c>
      <c r="I2453" s="138">
        <f t="shared" si="242"/>
        <v>17591590</v>
      </c>
      <c r="J2453" s="108"/>
    </row>
    <row r="2454" spans="1:10" s="16" customFormat="1" ht="25.5" outlineLevel="3">
      <c r="A2454" s="91"/>
      <c r="B2454" s="35">
        <f>MAX($B$5:B2453)+1</f>
        <v>1181</v>
      </c>
      <c r="C2454" s="431" t="s">
        <v>1268</v>
      </c>
      <c r="D2454" s="136" t="s">
        <v>28</v>
      </c>
      <c r="E2454" s="137">
        <v>8</v>
      </c>
      <c r="F2454" s="232">
        <v>3517351</v>
      </c>
      <c r="G2454" s="232">
        <v>62528</v>
      </c>
      <c r="H2454" s="138">
        <f t="shared" si="241"/>
        <v>3579879</v>
      </c>
      <c r="I2454" s="138">
        <f t="shared" si="242"/>
        <v>28639032</v>
      </c>
      <c r="J2454" s="108"/>
    </row>
    <row r="2455" spans="1:10" s="16" customFormat="1" ht="25.5" outlineLevel="3">
      <c r="A2455" s="91"/>
      <c r="B2455" s="35">
        <f>MAX($B$5:B2454)+1</f>
        <v>1182</v>
      </c>
      <c r="C2455" s="431" t="s">
        <v>2181</v>
      </c>
      <c r="D2455" s="136" t="s">
        <v>28</v>
      </c>
      <c r="E2455" s="137">
        <v>20</v>
      </c>
      <c r="F2455" s="232">
        <v>1758675</v>
      </c>
      <c r="G2455" s="232">
        <v>62528</v>
      </c>
      <c r="H2455" s="138">
        <f t="shared" si="241"/>
        <v>1821203</v>
      </c>
      <c r="I2455" s="138">
        <f t="shared" si="242"/>
        <v>36424060</v>
      </c>
      <c r="J2455" s="108"/>
    </row>
    <row r="2456" spans="1:10" s="16" customFormat="1" ht="25.5" outlineLevel="3">
      <c r="A2456" s="91"/>
      <c r="B2456" s="35">
        <f>MAX($B$5:B2455)+1</f>
        <v>1183</v>
      </c>
      <c r="C2456" s="431" t="s">
        <v>1270</v>
      </c>
      <c r="D2456" s="136" t="s">
        <v>28</v>
      </c>
      <c r="E2456" s="137">
        <v>8</v>
      </c>
      <c r="F2456" s="232">
        <v>514074</v>
      </c>
      <c r="G2456" s="232">
        <v>46896</v>
      </c>
      <c r="H2456" s="138">
        <f t="shared" si="241"/>
        <v>560970</v>
      </c>
      <c r="I2456" s="138">
        <f t="shared" si="242"/>
        <v>4487760</v>
      </c>
      <c r="J2456" s="108"/>
    </row>
    <row r="2457" spans="1:10" s="16" customFormat="1" ht="25.5" outlineLevel="3">
      <c r="A2457" s="91"/>
      <c r="B2457" s="35">
        <f>MAX($B$5:B2456)+1</f>
        <v>1184</v>
      </c>
      <c r="C2457" s="431" t="s">
        <v>1271</v>
      </c>
      <c r="D2457" s="136" t="s">
        <v>28</v>
      </c>
      <c r="E2457" s="137">
        <v>20</v>
      </c>
      <c r="F2457" s="232">
        <v>432905</v>
      </c>
      <c r="G2457" s="232">
        <v>46896</v>
      </c>
      <c r="H2457" s="138">
        <f t="shared" si="241"/>
        <v>479801</v>
      </c>
      <c r="I2457" s="138">
        <f t="shared" si="242"/>
        <v>9596020</v>
      </c>
      <c r="J2457" s="108"/>
    </row>
    <row r="2458" spans="1:10" s="16" customFormat="1" ht="25.5" outlineLevel="3">
      <c r="A2458" s="91"/>
      <c r="B2458" s="35">
        <f>MAX($B$5:B2457)+1</f>
        <v>1185</v>
      </c>
      <c r="C2458" s="431" t="s">
        <v>1272</v>
      </c>
      <c r="D2458" s="136" t="s">
        <v>28</v>
      </c>
      <c r="E2458" s="137">
        <v>20</v>
      </c>
      <c r="F2458" s="232">
        <v>1758675</v>
      </c>
      <c r="G2458" s="232">
        <v>312638</v>
      </c>
      <c r="H2458" s="138">
        <f t="shared" si="241"/>
        <v>2071313</v>
      </c>
      <c r="I2458" s="138">
        <f t="shared" si="242"/>
        <v>41426260</v>
      </c>
      <c r="J2458" s="108"/>
    </row>
    <row r="2459" spans="1:10" s="16" customFormat="1" ht="25.5" outlineLevel="3">
      <c r="A2459" s="91"/>
      <c r="B2459" s="35">
        <f>MAX($B$5:B2458)+1</f>
        <v>1186</v>
      </c>
      <c r="C2459" s="431" t="s">
        <v>2182</v>
      </c>
      <c r="D2459" s="136" t="s">
        <v>28</v>
      </c>
      <c r="E2459" s="137">
        <v>84</v>
      </c>
      <c r="F2459" s="232">
        <v>1975128</v>
      </c>
      <c r="G2459" s="232">
        <v>46896</v>
      </c>
      <c r="H2459" s="138">
        <f t="shared" si="241"/>
        <v>2022024</v>
      </c>
      <c r="I2459" s="138">
        <f t="shared" si="242"/>
        <v>169850016</v>
      </c>
      <c r="J2459" s="108"/>
    </row>
    <row r="2460" spans="1:10" s="16" customFormat="1" ht="25.5" outlineLevel="3">
      <c r="A2460" s="91"/>
      <c r="B2460" s="35">
        <f>MAX($B$5:B2459)+1</f>
        <v>1187</v>
      </c>
      <c r="C2460" s="431" t="s">
        <v>1274</v>
      </c>
      <c r="D2460" s="136" t="s">
        <v>28</v>
      </c>
      <c r="E2460" s="137">
        <v>84</v>
      </c>
      <c r="F2460" s="232">
        <v>1406940</v>
      </c>
      <c r="G2460" s="232">
        <v>46896</v>
      </c>
      <c r="H2460" s="138">
        <f t="shared" si="241"/>
        <v>1453836</v>
      </c>
      <c r="I2460" s="138">
        <f t="shared" si="242"/>
        <v>122122224</v>
      </c>
      <c r="J2460" s="108"/>
    </row>
    <row r="2461" spans="1:10" s="16" customFormat="1" ht="25.5" outlineLevel="3">
      <c r="A2461" s="91"/>
      <c r="B2461" s="35">
        <f>MAX($B$5:B2460)+1</f>
        <v>1188</v>
      </c>
      <c r="C2461" s="431" t="s">
        <v>2183</v>
      </c>
      <c r="D2461" s="136" t="s">
        <v>28</v>
      </c>
      <c r="E2461" s="137">
        <v>1</v>
      </c>
      <c r="F2461" s="232">
        <v>1893958</v>
      </c>
      <c r="G2461" s="232">
        <v>46896</v>
      </c>
      <c r="H2461" s="138">
        <f t="shared" si="241"/>
        <v>1940854</v>
      </c>
      <c r="I2461" s="138">
        <f t="shared" si="242"/>
        <v>1940854</v>
      </c>
      <c r="J2461" s="108"/>
    </row>
    <row r="2462" spans="1:10" s="16" customFormat="1" ht="25.5" outlineLevel="3">
      <c r="A2462" s="91"/>
      <c r="B2462" s="35">
        <f>MAX($B$5:B2461)+1</f>
        <v>1189</v>
      </c>
      <c r="C2462" s="431" t="s">
        <v>2184</v>
      </c>
      <c r="D2462" s="136" t="s">
        <v>28</v>
      </c>
      <c r="E2462" s="137">
        <v>2</v>
      </c>
      <c r="F2462" s="232">
        <v>2570372</v>
      </c>
      <c r="G2462" s="232">
        <v>46896</v>
      </c>
      <c r="H2462" s="138">
        <f t="shared" si="241"/>
        <v>2617268</v>
      </c>
      <c r="I2462" s="138">
        <f t="shared" si="242"/>
        <v>5234536</v>
      </c>
      <c r="J2462" s="108"/>
    </row>
    <row r="2463" spans="1:10" s="16" customFormat="1" ht="25.5" outlineLevel="3">
      <c r="A2463" s="91"/>
      <c r="B2463" s="35">
        <f>MAX($B$5:B2462)+1</f>
        <v>1190</v>
      </c>
      <c r="C2463" s="431" t="s">
        <v>1275</v>
      </c>
      <c r="D2463" s="136" t="s">
        <v>28</v>
      </c>
      <c r="E2463" s="137">
        <v>4</v>
      </c>
      <c r="F2463" s="232">
        <v>2678598</v>
      </c>
      <c r="G2463" s="232">
        <v>156319</v>
      </c>
      <c r="H2463" s="138">
        <f t="shared" si="241"/>
        <v>2834917</v>
      </c>
      <c r="I2463" s="138">
        <f t="shared" si="242"/>
        <v>11339668</v>
      </c>
      <c r="J2463" s="108"/>
    </row>
    <row r="2464" spans="1:10" s="16" customFormat="1" ht="25.5" outlineLevel="3">
      <c r="A2464" s="91"/>
      <c r="B2464" s="35">
        <f>MAX($B$5:B2463)+1</f>
        <v>1191</v>
      </c>
      <c r="C2464" s="431" t="s">
        <v>1276</v>
      </c>
      <c r="D2464" s="136" t="s">
        <v>28</v>
      </c>
      <c r="E2464" s="137">
        <v>20</v>
      </c>
      <c r="F2464" s="232">
        <v>27057</v>
      </c>
      <c r="G2464" s="232">
        <v>26053</v>
      </c>
      <c r="H2464" s="138">
        <f t="shared" si="241"/>
        <v>53110</v>
      </c>
      <c r="I2464" s="138">
        <f t="shared" si="242"/>
        <v>1062200</v>
      </c>
      <c r="J2464" s="108"/>
    </row>
    <row r="2465" spans="1:10" s="16" customFormat="1" ht="25.5" outlineLevel="3">
      <c r="A2465" s="91"/>
      <c r="B2465" s="35">
        <f>MAX($B$5:B2464)+1</f>
        <v>1192</v>
      </c>
      <c r="C2465" s="431" t="s">
        <v>1277</v>
      </c>
      <c r="D2465" s="136" t="s">
        <v>28</v>
      </c>
      <c r="E2465" s="137">
        <v>20</v>
      </c>
      <c r="F2465" s="232">
        <v>27057</v>
      </c>
      <c r="G2465" s="232">
        <v>26053</v>
      </c>
      <c r="H2465" s="138">
        <f t="shared" si="241"/>
        <v>53110</v>
      </c>
      <c r="I2465" s="138">
        <f t="shared" si="242"/>
        <v>1062200</v>
      </c>
      <c r="J2465" s="108"/>
    </row>
    <row r="2466" spans="1:10" s="16" customFormat="1" ht="25.5" outlineLevel="3">
      <c r="A2466" s="91"/>
      <c r="B2466" s="35">
        <f>MAX($B$5:B2465)+1</f>
        <v>1193</v>
      </c>
      <c r="C2466" s="431" t="s">
        <v>1278</v>
      </c>
      <c r="D2466" s="136" t="s">
        <v>28</v>
      </c>
      <c r="E2466" s="137">
        <v>4</v>
      </c>
      <c r="F2466" s="232">
        <v>10984956</v>
      </c>
      <c r="G2466" s="232">
        <v>3126375</v>
      </c>
      <c r="H2466" s="138">
        <f t="shared" si="241"/>
        <v>14111331</v>
      </c>
      <c r="I2466" s="138">
        <f t="shared" si="242"/>
        <v>56445324</v>
      </c>
      <c r="J2466" s="108"/>
    </row>
    <row r="2467" spans="1:10" s="16" customFormat="1" ht="25.5" outlineLevel="3">
      <c r="A2467" s="91"/>
      <c r="B2467" s="35">
        <f>MAX($B$5:B2466)+1</f>
        <v>1194</v>
      </c>
      <c r="C2467" s="431" t="s">
        <v>1279</v>
      </c>
      <c r="D2467" s="136" t="s">
        <v>28</v>
      </c>
      <c r="E2467" s="137">
        <v>1</v>
      </c>
      <c r="F2467" s="232">
        <v>13582384</v>
      </c>
      <c r="G2467" s="232">
        <v>5210625</v>
      </c>
      <c r="H2467" s="138">
        <f t="shared" si="241"/>
        <v>18793009</v>
      </c>
      <c r="I2467" s="138">
        <f t="shared" si="242"/>
        <v>18793009</v>
      </c>
      <c r="J2467" s="157"/>
    </row>
    <row r="2468" spans="1:10" s="16" customFormat="1" ht="25.5" outlineLevel="3">
      <c r="A2468" s="91"/>
      <c r="B2468" s="35">
        <f>MAX($B$5:B2467)+1</f>
        <v>1195</v>
      </c>
      <c r="C2468" s="423" t="s">
        <v>840</v>
      </c>
      <c r="D2468" s="136" t="s">
        <v>38</v>
      </c>
      <c r="E2468" s="137">
        <v>1</v>
      </c>
      <c r="F2468" s="232">
        <v>93175556</v>
      </c>
      <c r="G2468" s="232">
        <v>33447635</v>
      </c>
      <c r="H2468" s="138">
        <f t="shared" si="241"/>
        <v>126623191</v>
      </c>
      <c r="I2468" s="138">
        <f t="shared" si="242"/>
        <v>126623191</v>
      </c>
      <c r="J2468" s="157"/>
    </row>
    <row r="2469" spans="1:10" s="16" customFormat="1" ht="27" outlineLevel="3">
      <c r="A2469" s="91"/>
      <c r="B2469" s="38"/>
      <c r="C2469" s="432" t="s">
        <v>2185</v>
      </c>
      <c r="D2469" s="363"/>
      <c r="E2469" s="352"/>
      <c r="F2469" s="232">
        <v>0</v>
      </c>
      <c r="G2469" s="232">
        <v>0</v>
      </c>
      <c r="H2469" s="367"/>
      <c r="I2469" s="367"/>
      <c r="J2469" s="111"/>
    </row>
    <row r="2470" spans="1:10" s="16" customFormat="1" ht="25.5" outlineLevel="3">
      <c r="A2470" s="91"/>
      <c r="B2470" s="35">
        <f>MAX($B$5:B2469)+1</f>
        <v>1196</v>
      </c>
      <c r="C2470" s="431" t="s">
        <v>2186</v>
      </c>
      <c r="D2470" s="136" t="s">
        <v>28</v>
      </c>
      <c r="E2470" s="137">
        <v>1</v>
      </c>
      <c r="F2470" s="232">
        <v>6516795</v>
      </c>
      <c r="G2470" s="232">
        <v>625275</v>
      </c>
      <c r="H2470" s="138">
        <f t="shared" ref="H2470:H2494" si="243">G2470+F2470</f>
        <v>7142070</v>
      </c>
      <c r="I2470" s="138">
        <f t="shared" ref="I2470:I2494" si="244">H2470*E2470</f>
        <v>7142070</v>
      </c>
      <c r="J2470" s="108"/>
    </row>
    <row r="2471" spans="1:10" s="16" customFormat="1" ht="25.5" outlineLevel="3">
      <c r="A2471" s="91"/>
      <c r="B2471" s="35">
        <f>MAX($B$5:B2470)+1</f>
        <v>1197</v>
      </c>
      <c r="C2471" s="431" t="s">
        <v>1248</v>
      </c>
      <c r="D2471" s="136" t="s">
        <v>28</v>
      </c>
      <c r="E2471" s="137">
        <v>6</v>
      </c>
      <c r="F2471" s="232">
        <v>7208885</v>
      </c>
      <c r="G2471" s="232">
        <v>1250550</v>
      </c>
      <c r="H2471" s="138">
        <f t="shared" si="243"/>
        <v>8459435</v>
      </c>
      <c r="I2471" s="138">
        <f t="shared" si="244"/>
        <v>50756610</v>
      </c>
      <c r="J2471" s="108"/>
    </row>
    <row r="2472" spans="1:10" s="16" customFormat="1" ht="25.5" outlineLevel="3">
      <c r="A2472" s="91"/>
      <c r="B2472" s="35">
        <f>MAX($B$5:B2471)+1</f>
        <v>1198</v>
      </c>
      <c r="C2472" s="431" t="s">
        <v>1255</v>
      </c>
      <c r="D2472" s="136" t="s">
        <v>28</v>
      </c>
      <c r="E2472" s="137">
        <v>2</v>
      </c>
      <c r="F2472" s="232">
        <v>6570211</v>
      </c>
      <c r="G2472" s="232">
        <v>729488</v>
      </c>
      <c r="H2472" s="138">
        <f t="shared" si="243"/>
        <v>7299699</v>
      </c>
      <c r="I2472" s="138">
        <f t="shared" si="244"/>
        <v>14599398</v>
      </c>
      <c r="J2472" s="108"/>
    </row>
    <row r="2473" spans="1:10" s="16" customFormat="1" ht="76.5" outlineLevel="3">
      <c r="A2473" s="91"/>
      <c r="B2473" s="35">
        <f>MAX($B$5:B2472)+1</f>
        <v>1199</v>
      </c>
      <c r="C2473" s="437" t="s">
        <v>2187</v>
      </c>
      <c r="D2473" s="136" t="s">
        <v>44</v>
      </c>
      <c r="E2473" s="137">
        <v>2</v>
      </c>
      <c r="F2473" s="232">
        <v>24010649</v>
      </c>
      <c r="G2473" s="232">
        <v>2605313</v>
      </c>
      <c r="H2473" s="138">
        <f t="shared" si="243"/>
        <v>26615962</v>
      </c>
      <c r="I2473" s="138">
        <f t="shared" si="244"/>
        <v>53231924</v>
      </c>
      <c r="J2473" s="108"/>
    </row>
    <row r="2474" spans="1:10" s="16" customFormat="1" ht="76.5" outlineLevel="3">
      <c r="A2474" s="91"/>
      <c r="B2474" s="35">
        <f>MAX($B$5:B2473)+1</f>
        <v>1200</v>
      </c>
      <c r="C2474" s="423" t="s">
        <v>2188</v>
      </c>
      <c r="D2474" s="136" t="s">
        <v>44</v>
      </c>
      <c r="E2474" s="137">
        <v>13</v>
      </c>
      <c r="F2474" s="232">
        <v>7732597</v>
      </c>
      <c r="G2474" s="232">
        <v>1563188</v>
      </c>
      <c r="H2474" s="138">
        <f t="shared" si="243"/>
        <v>9295785</v>
      </c>
      <c r="I2474" s="138">
        <f t="shared" si="244"/>
        <v>120845205</v>
      </c>
      <c r="J2474" s="108"/>
    </row>
    <row r="2475" spans="1:10" s="16" customFormat="1" ht="76.5" outlineLevel="3">
      <c r="A2475" s="91"/>
      <c r="B2475" s="35">
        <f>MAX($B$5:B2474)+1</f>
        <v>1201</v>
      </c>
      <c r="C2475" s="423" t="s">
        <v>2189</v>
      </c>
      <c r="D2475" s="136" t="s">
        <v>44</v>
      </c>
      <c r="E2475" s="137">
        <v>3</v>
      </c>
      <c r="F2475" s="232">
        <v>30076889</v>
      </c>
      <c r="G2475" s="232">
        <v>2084250</v>
      </c>
      <c r="H2475" s="138">
        <f t="shared" si="243"/>
        <v>32161139</v>
      </c>
      <c r="I2475" s="138">
        <f t="shared" si="244"/>
        <v>96483417</v>
      </c>
      <c r="J2475" s="108"/>
    </row>
    <row r="2476" spans="1:10" s="16" customFormat="1" ht="178.5" outlineLevel="3">
      <c r="A2476" s="91"/>
      <c r="B2476" s="35">
        <f>MAX($B$5:B2475)+1</f>
        <v>1202</v>
      </c>
      <c r="C2476" s="434" t="s">
        <v>2190</v>
      </c>
      <c r="D2476" s="136" t="s">
        <v>44</v>
      </c>
      <c r="E2476" s="137">
        <v>1</v>
      </c>
      <c r="F2476" s="232">
        <v>11076925</v>
      </c>
      <c r="G2476" s="232">
        <v>2605313</v>
      </c>
      <c r="H2476" s="138">
        <f t="shared" si="243"/>
        <v>13682238</v>
      </c>
      <c r="I2476" s="138">
        <f t="shared" si="244"/>
        <v>13682238</v>
      </c>
      <c r="J2476" s="108"/>
    </row>
    <row r="2477" spans="1:10" s="16" customFormat="1" ht="178.5" outlineLevel="3">
      <c r="A2477" s="91"/>
      <c r="B2477" s="35">
        <f>MAX($B$5:B2476)+1</f>
        <v>1203</v>
      </c>
      <c r="C2477" s="434" t="s">
        <v>1286</v>
      </c>
      <c r="D2477" s="136" t="s">
        <v>44</v>
      </c>
      <c r="E2477" s="137">
        <v>1</v>
      </c>
      <c r="F2477" s="232">
        <v>11541415</v>
      </c>
      <c r="G2477" s="232">
        <v>2605313</v>
      </c>
      <c r="H2477" s="138">
        <f t="shared" si="243"/>
        <v>14146728</v>
      </c>
      <c r="I2477" s="138">
        <f t="shared" si="244"/>
        <v>14146728</v>
      </c>
      <c r="J2477" s="108"/>
    </row>
    <row r="2478" spans="1:10" s="16" customFormat="1" ht="178.5" outlineLevel="3">
      <c r="A2478" s="91"/>
      <c r="B2478" s="35">
        <f>MAX($B$5:B2477)+1</f>
        <v>1204</v>
      </c>
      <c r="C2478" s="434" t="s">
        <v>2191</v>
      </c>
      <c r="D2478" s="136" t="s">
        <v>44</v>
      </c>
      <c r="E2478" s="137">
        <v>1</v>
      </c>
      <c r="F2478" s="232">
        <v>12818763</v>
      </c>
      <c r="G2478" s="232">
        <v>3647438</v>
      </c>
      <c r="H2478" s="138">
        <f t="shared" si="243"/>
        <v>16466201</v>
      </c>
      <c r="I2478" s="138">
        <f t="shared" si="244"/>
        <v>16466201</v>
      </c>
      <c r="J2478" s="108"/>
    </row>
    <row r="2479" spans="1:10" s="16" customFormat="1" ht="178.5" outlineLevel="3">
      <c r="A2479" s="91"/>
      <c r="B2479" s="35">
        <f>MAX($B$5:B2478)+1</f>
        <v>1205</v>
      </c>
      <c r="C2479" s="434" t="s">
        <v>2192</v>
      </c>
      <c r="D2479" s="136" t="s">
        <v>44</v>
      </c>
      <c r="E2479" s="137">
        <v>4</v>
      </c>
      <c r="F2479" s="232">
        <v>13631620</v>
      </c>
      <c r="G2479" s="232">
        <v>3126375</v>
      </c>
      <c r="H2479" s="138">
        <f t="shared" si="243"/>
        <v>16757995</v>
      </c>
      <c r="I2479" s="138">
        <f t="shared" si="244"/>
        <v>67031980</v>
      </c>
      <c r="J2479" s="108"/>
    </row>
    <row r="2480" spans="1:10" s="16" customFormat="1" ht="25.5" outlineLevel="3">
      <c r="A2480" s="91"/>
      <c r="B2480" s="35">
        <f>MAX($B$5:B2479)+1</f>
        <v>1206</v>
      </c>
      <c r="C2480" s="423" t="s">
        <v>588</v>
      </c>
      <c r="D2480" s="136" t="s">
        <v>28</v>
      </c>
      <c r="E2480" s="137">
        <v>3</v>
      </c>
      <c r="F2480" s="232">
        <v>1245994</v>
      </c>
      <c r="G2480" s="232">
        <v>208425</v>
      </c>
      <c r="H2480" s="138">
        <f t="shared" si="243"/>
        <v>1454419</v>
      </c>
      <c r="I2480" s="138">
        <f t="shared" si="244"/>
        <v>4363257</v>
      </c>
      <c r="J2480" s="108"/>
    </row>
    <row r="2481" spans="1:10" s="16" customFormat="1" ht="25.5" outlineLevel="3">
      <c r="A2481" s="91"/>
      <c r="B2481" s="35">
        <f>MAX($B$5:B2480)+1</f>
        <v>1207</v>
      </c>
      <c r="C2481" s="431" t="s">
        <v>925</v>
      </c>
      <c r="D2481" s="136" t="s">
        <v>28</v>
      </c>
      <c r="E2481" s="137">
        <v>3</v>
      </c>
      <c r="F2481" s="232">
        <v>391333</v>
      </c>
      <c r="G2481" s="232">
        <v>156319</v>
      </c>
      <c r="H2481" s="138">
        <f t="shared" si="243"/>
        <v>547652</v>
      </c>
      <c r="I2481" s="138">
        <f t="shared" si="244"/>
        <v>1642956</v>
      </c>
      <c r="J2481" s="108"/>
    </row>
    <row r="2482" spans="1:10" s="16" customFormat="1" ht="25.5" outlineLevel="3">
      <c r="A2482" s="91"/>
      <c r="B2482" s="35">
        <f>MAX($B$5:B2481)+1</f>
        <v>1208</v>
      </c>
      <c r="C2482" s="431" t="s">
        <v>590</v>
      </c>
      <c r="D2482" s="136" t="s">
        <v>28</v>
      </c>
      <c r="E2482" s="137">
        <v>3</v>
      </c>
      <c r="F2482" s="232">
        <v>971945</v>
      </c>
      <c r="G2482" s="232">
        <v>208425</v>
      </c>
      <c r="H2482" s="138">
        <f t="shared" si="243"/>
        <v>1180370</v>
      </c>
      <c r="I2482" s="138">
        <f t="shared" si="244"/>
        <v>3541110</v>
      </c>
      <c r="J2482" s="108"/>
    </row>
    <row r="2483" spans="1:10" s="16" customFormat="1" ht="25.5" outlineLevel="3">
      <c r="A2483" s="91"/>
      <c r="B2483" s="35">
        <f>MAX($B$5:B2481)+1</f>
        <v>1208</v>
      </c>
      <c r="C2483" s="431" t="s">
        <v>2193</v>
      </c>
      <c r="D2483" s="136" t="s">
        <v>28</v>
      </c>
      <c r="E2483" s="137">
        <v>9</v>
      </c>
      <c r="F2483" s="232">
        <v>865113</v>
      </c>
      <c r="G2483" s="232">
        <v>208425</v>
      </c>
      <c r="H2483" s="138">
        <f t="shared" si="243"/>
        <v>1073538</v>
      </c>
      <c r="I2483" s="138">
        <f t="shared" si="244"/>
        <v>9661842</v>
      </c>
      <c r="J2483" s="108"/>
    </row>
    <row r="2484" spans="1:10" s="16" customFormat="1" ht="25.5" outlineLevel="3">
      <c r="A2484" s="91"/>
      <c r="B2484" s="35">
        <f>MAX($B$5:B2483)+1</f>
        <v>1209</v>
      </c>
      <c r="C2484" s="431" t="s">
        <v>1287</v>
      </c>
      <c r="D2484" s="136" t="s">
        <v>28</v>
      </c>
      <c r="E2484" s="137">
        <v>14</v>
      </c>
      <c r="F2484" s="232">
        <v>673511</v>
      </c>
      <c r="G2484" s="232">
        <v>156319</v>
      </c>
      <c r="H2484" s="138">
        <f t="shared" si="243"/>
        <v>829830</v>
      </c>
      <c r="I2484" s="138">
        <f t="shared" si="244"/>
        <v>11617620</v>
      </c>
      <c r="J2484" s="108"/>
    </row>
    <row r="2485" spans="1:10" s="16" customFormat="1" ht="25.5" outlineLevel="3">
      <c r="A2485" s="91"/>
      <c r="B2485" s="35">
        <f>MAX($B$5:B2484)+1</f>
        <v>1210</v>
      </c>
      <c r="C2485" s="431" t="s">
        <v>1288</v>
      </c>
      <c r="D2485" s="136" t="s">
        <v>28</v>
      </c>
      <c r="E2485" s="137">
        <v>7</v>
      </c>
      <c r="F2485" s="232">
        <v>458684</v>
      </c>
      <c r="G2485" s="232">
        <v>156319</v>
      </c>
      <c r="H2485" s="138">
        <f t="shared" si="243"/>
        <v>615003</v>
      </c>
      <c r="I2485" s="138">
        <f t="shared" si="244"/>
        <v>4305021</v>
      </c>
      <c r="J2485" s="108"/>
    </row>
    <row r="2486" spans="1:10" s="16" customFormat="1" ht="25.5" outlineLevel="3">
      <c r="A2486" s="91"/>
      <c r="B2486" s="35">
        <f>MAX($B$5:B2485)+1</f>
        <v>1211</v>
      </c>
      <c r="C2486" s="431" t="s">
        <v>1289</v>
      </c>
      <c r="D2486" s="136" t="s">
        <v>28</v>
      </c>
      <c r="E2486" s="137">
        <v>39</v>
      </c>
      <c r="F2486" s="232">
        <v>334433</v>
      </c>
      <c r="G2486" s="232">
        <v>156319</v>
      </c>
      <c r="H2486" s="138">
        <f t="shared" si="243"/>
        <v>490752</v>
      </c>
      <c r="I2486" s="138">
        <f t="shared" si="244"/>
        <v>19139328</v>
      </c>
      <c r="J2486" s="108"/>
    </row>
    <row r="2487" spans="1:10" s="16" customFormat="1" ht="25.5" outlineLevel="3">
      <c r="A2487" s="91"/>
      <c r="B2487" s="35">
        <f>MAX($B$5:B2486)+1</f>
        <v>1212</v>
      </c>
      <c r="C2487" s="431" t="s">
        <v>2194</v>
      </c>
      <c r="D2487" s="136" t="s">
        <v>28</v>
      </c>
      <c r="E2487" s="137">
        <v>4</v>
      </c>
      <c r="F2487" s="232">
        <v>270565</v>
      </c>
      <c r="G2487" s="232">
        <v>156319</v>
      </c>
      <c r="H2487" s="138">
        <f t="shared" si="243"/>
        <v>426884</v>
      </c>
      <c r="I2487" s="138">
        <f t="shared" si="244"/>
        <v>1707536</v>
      </c>
      <c r="J2487" s="108"/>
    </row>
    <row r="2488" spans="1:10" s="16" customFormat="1" ht="25.5" outlineLevel="3">
      <c r="A2488" s="91"/>
      <c r="B2488" s="35">
        <f>MAX($B$5:B2487)+1</f>
        <v>1213</v>
      </c>
      <c r="C2488" s="431" t="s">
        <v>1290</v>
      </c>
      <c r="D2488" s="136" t="s">
        <v>28</v>
      </c>
      <c r="E2488" s="137">
        <v>22</v>
      </c>
      <c r="F2488" s="232">
        <v>218310</v>
      </c>
      <c r="G2488" s="232">
        <v>104213</v>
      </c>
      <c r="H2488" s="138">
        <f t="shared" si="243"/>
        <v>322523</v>
      </c>
      <c r="I2488" s="138">
        <f t="shared" si="244"/>
        <v>7095506</v>
      </c>
      <c r="J2488" s="108"/>
    </row>
    <row r="2489" spans="1:10" s="16" customFormat="1" ht="25.5" outlineLevel="3">
      <c r="A2489" s="91"/>
      <c r="B2489" s="35">
        <f>MAX($B$5:B2488)+1</f>
        <v>1214</v>
      </c>
      <c r="C2489" s="431" t="s">
        <v>2195</v>
      </c>
      <c r="D2489" s="136" t="s">
        <v>28</v>
      </c>
      <c r="E2489" s="137">
        <v>2</v>
      </c>
      <c r="F2489" s="232">
        <v>179990</v>
      </c>
      <c r="G2489" s="232">
        <v>104213</v>
      </c>
      <c r="H2489" s="138">
        <f t="shared" si="243"/>
        <v>284203</v>
      </c>
      <c r="I2489" s="138">
        <f t="shared" si="244"/>
        <v>568406</v>
      </c>
      <c r="J2489" s="108"/>
    </row>
    <row r="2490" spans="1:10" s="16" customFormat="1" ht="25.5" outlineLevel="3">
      <c r="A2490" s="91"/>
      <c r="B2490" s="35">
        <f>MAX($B$5:B2489)+1</f>
        <v>1215</v>
      </c>
      <c r="C2490" s="431" t="s">
        <v>1291</v>
      </c>
      <c r="D2490" s="136" t="s">
        <v>28</v>
      </c>
      <c r="E2490" s="137">
        <v>116</v>
      </c>
      <c r="F2490" s="232">
        <v>133541</v>
      </c>
      <c r="G2490" s="232">
        <v>104213</v>
      </c>
      <c r="H2490" s="138">
        <f t="shared" si="243"/>
        <v>237754</v>
      </c>
      <c r="I2490" s="138">
        <f t="shared" si="244"/>
        <v>27579464</v>
      </c>
      <c r="J2490" s="108"/>
    </row>
    <row r="2491" spans="1:10" s="16" customFormat="1" ht="25.5" outlineLevel="3">
      <c r="A2491" s="91"/>
      <c r="B2491" s="35">
        <f>MAX($B$5:B2490)+1</f>
        <v>1216</v>
      </c>
      <c r="C2491" s="431" t="s">
        <v>1292</v>
      </c>
      <c r="D2491" s="136" t="s">
        <v>28</v>
      </c>
      <c r="E2491" s="137">
        <v>1</v>
      </c>
      <c r="F2491" s="232">
        <v>440104</v>
      </c>
      <c r="G2491" s="232">
        <v>156319</v>
      </c>
      <c r="H2491" s="138">
        <f t="shared" si="243"/>
        <v>596423</v>
      </c>
      <c r="I2491" s="138">
        <f t="shared" si="244"/>
        <v>596423</v>
      </c>
      <c r="J2491" s="108"/>
    </row>
    <row r="2492" spans="1:10" s="16" customFormat="1" ht="25.5" outlineLevel="3">
      <c r="A2492" s="91"/>
      <c r="B2492" s="35">
        <f>MAX($B$5:B2491)+1</f>
        <v>1217</v>
      </c>
      <c r="C2492" s="431" t="s">
        <v>2196</v>
      </c>
      <c r="D2492" s="136" t="s">
        <v>28</v>
      </c>
      <c r="E2492" s="137">
        <v>3</v>
      </c>
      <c r="F2492" s="232">
        <v>638674</v>
      </c>
      <c r="G2492" s="232">
        <v>156319</v>
      </c>
      <c r="H2492" s="138">
        <f t="shared" si="243"/>
        <v>794993</v>
      </c>
      <c r="I2492" s="138">
        <f t="shared" si="244"/>
        <v>2384979</v>
      </c>
      <c r="J2492" s="108"/>
    </row>
    <row r="2493" spans="1:10" s="16" customFormat="1" ht="25.5" outlineLevel="3">
      <c r="A2493" s="91"/>
      <c r="B2493" s="35">
        <f>MAX($B$5:B2492)+1</f>
        <v>1218</v>
      </c>
      <c r="C2493" s="431" t="s">
        <v>2197</v>
      </c>
      <c r="D2493" s="136" t="s">
        <v>28</v>
      </c>
      <c r="E2493" s="137">
        <v>1</v>
      </c>
      <c r="F2493" s="232">
        <v>1509593</v>
      </c>
      <c r="G2493" s="232">
        <v>208425</v>
      </c>
      <c r="H2493" s="138">
        <f t="shared" si="243"/>
        <v>1718018</v>
      </c>
      <c r="I2493" s="138">
        <f t="shared" si="244"/>
        <v>1718018</v>
      </c>
      <c r="J2493" s="108"/>
    </row>
    <row r="2494" spans="1:10" s="16" customFormat="1" ht="25.5" outlineLevel="3">
      <c r="A2494" s="91"/>
      <c r="B2494" s="35">
        <f>MAX($B$5:B2493)+1</f>
        <v>1219</v>
      </c>
      <c r="C2494" s="423" t="s">
        <v>2198</v>
      </c>
      <c r="D2494" s="136" t="s">
        <v>38</v>
      </c>
      <c r="E2494" s="137">
        <v>1</v>
      </c>
      <c r="F2494" s="232">
        <v>116122500</v>
      </c>
      <c r="G2494" s="232">
        <v>41685000</v>
      </c>
      <c r="H2494" s="138">
        <f t="shared" si="243"/>
        <v>157807500</v>
      </c>
      <c r="I2494" s="138">
        <f t="shared" si="244"/>
        <v>157807500</v>
      </c>
      <c r="J2494" s="157"/>
    </row>
    <row r="2495" spans="1:10" s="16" customFormat="1" ht="26.25" outlineLevel="3">
      <c r="A2495" s="91"/>
      <c r="B2495" s="38"/>
      <c r="C2495" s="271" t="s">
        <v>2199</v>
      </c>
      <c r="D2495" s="363"/>
      <c r="E2495" s="352"/>
      <c r="F2495" s="232">
        <v>0</v>
      </c>
      <c r="G2495" s="232">
        <v>0</v>
      </c>
      <c r="H2495" s="367"/>
      <c r="I2495" s="367"/>
      <c r="J2495" s="111"/>
    </row>
    <row r="2496" spans="1:10" s="16" customFormat="1" ht="25.5" outlineLevel="3">
      <c r="A2496" s="91"/>
      <c r="B2496" s="35">
        <f>MAX($B$5:B2495)+1</f>
        <v>1220</v>
      </c>
      <c r="C2496" s="431" t="s">
        <v>2200</v>
      </c>
      <c r="D2496" s="230" t="s">
        <v>25</v>
      </c>
      <c r="E2496" s="137">
        <v>528</v>
      </c>
      <c r="F2496" s="232">
        <v>788107</v>
      </c>
      <c r="G2496" s="232">
        <v>232245</v>
      </c>
      <c r="H2496" s="138">
        <f t="shared" ref="H2496:H2521" si="245">G2496+F2496</f>
        <v>1020352</v>
      </c>
      <c r="I2496" s="138">
        <f t="shared" ref="I2496:I2521" si="246">H2496*E2496</f>
        <v>538745856</v>
      </c>
      <c r="J2496" s="111"/>
    </row>
    <row r="2497" spans="1:11" s="16" customFormat="1" ht="25.5" outlineLevel="3">
      <c r="A2497" s="91"/>
      <c r="B2497" s="35">
        <f>MAX($B$5:B2496)+1</f>
        <v>1221</v>
      </c>
      <c r="C2497" s="431" t="s">
        <v>2201</v>
      </c>
      <c r="D2497" s="230" t="s">
        <v>25</v>
      </c>
      <c r="E2497" s="137">
        <v>180</v>
      </c>
      <c r="F2497" s="232">
        <v>657725</v>
      </c>
      <c r="G2497" s="232">
        <v>206440</v>
      </c>
      <c r="H2497" s="138">
        <f t="shared" si="245"/>
        <v>864165</v>
      </c>
      <c r="I2497" s="138">
        <f t="shared" si="246"/>
        <v>155549700</v>
      </c>
      <c r="J2497" s="111"/>
    </row>
    <row r="2498" spans="1:11" s="16" customFormat="1" ht="25.5" outlineLevel="3">
      <c r="A2498" s="91"/>
      <c r="B2498" s="35">
        <f>MAX($B$5:B2497)+1</f>
        <v>1222</v>
      </c>
      <c r="C2498" s="431" t="s">
        <v>2202</v>
      </c>
      <c r="D2498" s="230" t="s">
        <v>25</v>
      </c>
      <c r="E2498" s="137">
        <v>222</v>
      </c>
      <c r="F2498" s="232">
        <v>367483</v>
      </c>
      <c r="G2498" s="232">
        <v>154830</v>
      </c>
      <c r="H2498" s="138">
        <f t="shared" si="245"/>
        <v>522313</v>
      </c>
      <c r="I2498" s="138">
        <f t="shared" si="246"/>
        <v>115953486</v>
      </c>
      <c r="J2498" s="111"/>
    </row>
    <row r="2499" spans="1:11" s="16" customFormat="1" ht="25.5" outlineLevel="3">
      <c r="A2499" s="91" t="s">
        <v>154</v>
      </c>
      <c r="B2499" s="35">
        <f>MAX($B$5:B2498)+1</f>
        <v>1223</v>
      </c>
      <c r="C2499" s="431" t="s">
        <v>2203</v>
      </c>
      <c r="D2499" s="230" t="s">
        <v>25</v>
      </c>
      <c r="E2499" s="137">
        <v>312</v>
      </c>
      <c r="F2499" s="232">
        <v>252986</v>
      </c>
      <c r="G2499" s="232">
        <v>129025</v>
      </c>
      <c r="H2499" s="138">
        <f t="shared" si="245"/>
        <v>382011</v>
      </c>
      <c r="I2499" s="138">
        <f t="shared" si="246"/>
        <v>119187432</v>
      </c>
      <c r="J2499" s="111"/>
      <c r="K2499" s="16" t="s">
        <v>156</v>
      </c>
    </row>
    <row r="2500" spans="1:11" s="16" customFormat="1" ht="25.5" outlineLevel="3">
      <c r="A2500" s="91"/>
      <c r="B2500" s="35">
        <f>MAX($B$5:B2499)+1</f>
        <v>1224</v>
      </c>
      <c r="C2500" s="431" t="s">
        <v>2204</v>
      </c>
      <c r="D2500" s="230" t="s">
        <v>25</v>
      </c>
      <c r="E2500" s="137">
        <v>324</v>
      </c>
      <c r="F2500" s="232">
        <v>215184</v>
      </c>
      <c r="G2500" s="232">
        <v>109671</v>
      </c>
      <c r="H2500" s="138">
        <f t="shared" si="245"/>
        <v>324855</v>
      </c>
      <c r="I2500" s="138">
        <f t="shared" si="246"/>
        <v>105253020</v>
      </c>
      <c r="J2500" s="111"/>
    </row>
    <row r="2501" spans="1:11" s="16" customFormat="1" ht="25.5" outlineLevel="3">
      <c r="A2501" s="91" t="s">
        <v>154</v>
      </c>
      <c r="B2501" s="35">
        <f>MAX($B$5:B2500)+1</f>
        <v>1225</v>
      </c>
      <c r="C2501" s="431" t="s">
        <v>2205</v>
      </c>
      <c r="D2501" s="230" t="s">
        <v>25</v>
      </c>
      <c r="E2501" s="137">
        <v>588</v>
      </c>
      <c r="F2501" s="232">
        <v>168566</v>
      </c>
      <c r="G2501" s="232">
        <v>90318</v>
      </c>
      <c r="H2501" s="138">
        <f t="shared" si="245"/>
        <v>258884</v>
      </c>
      <c r="I2501" s="138">
        <f t="shared" si="246"/>
        <v>152223792</v>
      </c>
      <c r="J2501" s="111"/>
      <c r="K2501" s="16" t="s">
        <v>156</v>
      </c>
    </row>
    <row r="2502" spans="1:11" s="16" customFormat="1" ht="25.5" outlineLevel="3">
      <c r="A2502" s="91" t="s">
        <v>154</v>
      </c>
      <c r="B2502" s="35">
        <f>MAX($B$5:B2501)+1</f>
        <v>1226</v>
      </c>
      <c r="C2502" s="431" t="s">
        <v>2206</v>
      </c>
      <c r="D2502" s="230" t="s">
        <v>25</v>
      </c>
      <c r="E2502" s="137">
        <v>720</v>
      </c>
      <c r="F2502" s="232">
        <v>133466</v>
      </c>
      <c r="G2502" s="232">
        <v>77415</v>
      </c>
      <c r="H2502" s="138">
        <f t="shared" si="245"/>
        <v>210881</v>
      </c>
      <c r="I2502" s="138">
        <f t="shared" si="246"/>
        <v>151834320</v>
      </c>
      <c r="J2502" s="111"/>
      <c r="K2502" s="16" t="s">
        <v>156</v>
      </c>
    </row>
    <row r="2503" spans="1:11" s="16" customFormat="1" ht="25.5" outlineLevel="3">
      <c r="A2503" s="91" t="s">
        <v>154</v>
      </c>
      <c r="B2503" s="35">
        <f>MAX($B$5:B2502)+1</f>
        <v>1227</v>
      </c>
      <c r="C2503" s="431" t="s">
        <v>2207</v>
      </c>
      <c r="D2503" s="230" t="s">
        <v>25</v>
      </c>
      <c r="E2503" s="137">
        <v>216</v>
      </c>
      <c r="F2503" s="232">
        <v>115944</v>
      </c>
      <c r="G2503" s="232">
        <v>64513</v>
      </c>
      <c r="H2503" s="138">
        <f t="shared" si="245"/>
        <v>180457</v>
      </c>
      <c r="I2503" s="138">
        <f t="shared" si="246"/>
        <v>38978712</v>
      </c>
      <c r="J2503" s="111"/>
      <c r="K2503" s="16" t="s">
        <v>156</v>
      </c>
    </row>
    <row r="2504" spans="1:11" s="16" customFormat="1" ht="25.5" outlineLevel="3">
      <c r="A2504" s="91"/>
      <c r="B2504" s="35">
        <f>MAX($B$5:B2503)+1</f>
        <v>1228</v>
      </c>
      <c r="C2504" s="431" t="s">
        <v>2208</v>
      </c>
      <c r="D2504" s="230" t="s">
        <v>25</v>
      </c>
      <c r="E2504" s="137">
        <v>2868</v>
      </c>
      <c r="F2504" s="232">
        <v>74348</v>
      </c>
      <c r="G2504" s="232">
        <v>51610</v>
      </c>
      <c r="H2504" s="138">
        <f t="shared" si="245"/>
        <v>125958</v>
      </c>
      <c r="I2504" s="138">
        <f t="shared" si="246"/>
        <v>361247544</v>
      </c>
      <c r="J2504" s="111"/>
    </row>
    <row r="2505" spans="1:11" s="16" customFormat="1" ht="25.5" outlineLevel="3">
      <c r="A2505" s="91"/>
      <c r="B2505" s="35">
        <f>MAX($B$5:B2504)+1</f>
        <v>1229</v>
      </c>
      <c r="C2505" s="431" t="s">
        <v>2209</v>
      </c>
      <c r="D2505" s="230" t="s">
        <v>25</v>
      </c>
      <c r="E2505" s="137">
        <v>12</v>
      </c>
      <c r="F2505" s="232">
        <v>1844722</v>
      </c>
      <c r="G2505" s="232">
        <v>406429</v>
      </c>
      <c r="H2505" s="138">
        <f t="shared" si="245"/>
        <v>2251151</v>
      </c>
      <c r="I2505" s="138">
        <f t="shared" si="246"/>
        <v>27013812</v>
      </c>
      <c r="J2505" s="111"/>
    </row>
    <row r="2506" spans="1:11" s="16" customFormat="1" ht="25.5" outlineLevel="3">
      <c r="A2506" s="91"/>
      <c r="B2506" s="35">
        <f>MAX($B$5:B2505)+1</f>
        <v>1230</v>
      </c>
      <c r="C2506" s="431" t="s">
        <v>2210</v>
      </c>
      <c r="D2506" s="230" t="s">
        <v>25</v>
      </c>
      <c r="E2506" s="137">
        <v>12</v>
      </c>
      <c r="F2506" s="232">
        <v>1419017</v>
      </c>
      <c r="G2506" s="232">
        <v>338691</v>
      </c>
      <c r="H2506" s="138">
        <f t="shared" si="245"/>
        <v>1757708</v>
      </c>
      <c r="I2506" s="138">
        <f t="shared" si="246"/>
        <v>21092496</v>
      </c>
      <c r="J2506" s="111"/>
    </row>
    <row r="2507" spans="1:11" s="16" customFormat="1" ht="25.5" outlineLevel="3">
      <c r="A2507" s="91"/>
      <c r="B2507" s="35">
        <f>MAX($B$5:B2506)+1</f>
        <v>1231</v>
      </c>
      <c r="C2507" s="431" t="s">
        <v>2211</v>
      </c>
      <c r="D2507" s="230" t="s">
        <v>25</v>
      </c>
      <c r="E2507" s="137">
        <v>30</v>
      </c>
      <c r="F2507" s="232">
        <v>1060315</v>
      </c>
      <c r="G2507" s="232">
        <v>270953</v>
      </c>
      <c r="H2507" s="138">
        <f t="shared" si="245"/>
        <v>1331268</v>
      </c>
      <c r="I2507" s="138">
        <f t="shared" si="246"/>
        <v>39938040</v>
      </c>
      <c r="J2507" s="111"/>
    </row>
    <row r="2508" spans="1:11" s="16" customFormat="1" ht="25.5" outlineLevel="3">
      <c r="A2508" s="91"/>
      <c r="B2508" s="35">
        <f>MAX($B$5:B2507)+1</f>
        <v>1232</v>
      </c>
      <c r="C2508" s="431" t="s">
        <v>1305</v>
      </c>
      <c r="D2508" s="230" t="s">
        <v>25</v>
      </c>
      <c r="E2508" s="137">
        <v>180</v>
      </c>
      <c r="F2508" s="232">
        <v>807284</v>
      </c>
      <c r="G2508" s="232">
        <v>203214</v>
      </c>
      <c r="H2508" s="138">
        <f t="shared" si="245"/>
        <v>1010498</v>
      </c>
      <c r="I2508" s="138">
        <f t="shared" si="246"/>
        <v>181889640</v>
      </c>
      <c r="J2508" s="111"/>
    </row>
    <row r="2509" spans="1:11" s="16" customFormat="1" ht="25.5" outlineLevel="3">
      <c r="A2509" s="91"/>
      <c r="B2509" s="35">
        <f>MAX($B$5:B2508)+1</f>
        <v>1233</v>
      </c>
      <c r="C2509" s="431" t="s">
        <v>1306</v>
      </c>
      <c r="D2509" s="230" t="s">
        <v>25</v>
      </c>
      <c r="E2509" s="137">
        <v>504</v>
      </c>
      <c r="F2509" s="232">
        <v>388314</v>
      </c>
      <c r="G2509" s="232">
        <v>135476</v>
      </c>
      <c r="H2509" s="138">
        <f t="shared" si="245"/>
        <v>523790</v>
      </c>
      <c r="I2509" s="138">
        <f t="shared" si="246"/>
        <v>263990160</v>
      </c>
      <c r="J2509" s="111"/>
    </row>
    <row r="2510" spans="1:11" s="16" customFormat="1" ht="25.5" outlineLevel="3">
      <c r="A2510" s="91"/>
      <c r="B2510" s="35">
        <f>MAX($B$5:B2509)+1</f>
        <v>1234</v>
      </c>
      <c r="C2510" s="431" t="s">
        <v>2212</v>
      </c>
      <c r="D2510" s="230" t="s">
        <v>25</v>
      </c>
      <c r="E2510" s="137">
        <v>30</v>
      </c>
      <c r="F2510" s="232">
        <v>160133</v>
      </c>
      <c r="G2510" s="232">
        <v>67738</v>
      </c>
      <c r="H2510" s="138">
        <f t="shared" si="245"/>
        <v>227871</v>
      </c>
      <c r="I2510" s="138">
        <f t="shared" si="246"/>
        <v>6836130</v>
      </c>
      <c r="J2510" s="111"/>
    </row>
    <row r="2511" spans="1:11" s="16" customFormat="1" ht="25.5" outlineLevel="3">
      <c r="A2511" s="91"/>
      <c r="B2511" s="35">
        <f>MAX($B$5:B2510)+1</f>
        <v>1235</v>
      </c>
      <c r="C2511" s="431" t="s">
        <v>2213</v>
      </c>
      <c r="D2511" s="230" t="s">
        <v>25</v>
      </c>
      <c r="E2511" s="137">
        <v>12</v>
      </c>
      <c r="F2511" s="232">
        <v>111594</v>
      </c>
      <c r="G2511" s="232">
        <v>54191</v>
      </c>
      <c r="H2511" s="138">
        <f t="shared" si="245"/>
        <v>165785</v>
      </c>
      <c r="I2511" s="138">
        <f t="shared" si="246"/>
        <v>1989420</v>
      </c>
      <c r="J2511" s="111"/>
    </row>
    <row r="2512" spans="1:11" s="16" customFormat="1" ht="25.5" outlineLevel="3">
      <c r="A2512" s="91"/>
      <c r="B2512" s="35">
        <f>MAX($B$5:B2511)+1</f>
        <v>1236</v>
      </c>
      <c r="C2512" s="431" t="s">
        <v>1309</v>
      </c>
      <c r="D2512" s="230" t="s">
        <v>25</v>
      </c>
      <c r="E2512" s="137">
        <v>282</v>
      </c>
      <c r="F2512" s="232">
        <v>71787</v>
      </c>
      <c r="G2512" s="232">
        <v>41685</v>
      </c>
      <c r="H2512" s="138">
        <f t="shared" si="245"/>
        <v>113472</v>
      </c>
      <c r="I2512" s="138">
        <f t="shared" si="246"/>
        <v>31999104</v>
      </c>
      <c r="J2512" s="111"/>
    </row>
    <row r="2513" spans="1:16" s="16" customFormat="1" ht="25.5" outlineLevel="3">
      <c r="A2513" s="91"/>
      <c r="B2513" s="35">
        <f>MAX($B$5:B2512)+1</f>
        <v>1237</v>
      </c>
      <c r="C2513" s="431" t="s">
        <v>1310</v>
      </c>
      <c r="D2513" s="136" t="s">
        <v>38</v>
      </c>
      <c r="E2513" s="137">
        <v>1</v>
      </c>
      <c r="F2513" s="232">
        <v>629857119</v>
      </c>
      <c r="G2513" s="232">
        <v>226102555</v>
      </c>
      <c r="H2513" s="138">
        <f t="shared" si="245"/>
        <v>855959674</v>
      </c>
      <c r="I2513" s="138">
        <f t="shared" si="246"/>
        <v>855959674</v>
      </c>
      <c r="J2513" s="157"/>
    </row>
    <row r="2514" spans="1:16" s="16" customFormat="1" ht="25.5" outlineLevel="3">
      <c r="A2514" s="91"/>
      <c r="B2514" s="35">
        <f>MAX($B$5:B2513)+1</f>
        <v>1238</v>
      </c>
      <c r="C2514" s="431" t="s">
        <v>2214</v>
      </c>
      <c r="D2514" s="230" t="s">
        <v>25</v>
      </c>
      <c r="E2514" s="137">
        <v>6</v>
      </c>
      <c r="F2514" s="232">
        <v>6459848</v>
      </c>
      <c r="G2514" s="232">
        <v>338691</v>
      </c>
      <c r="H2514" s="138">
        <f t="shared" si="245"/>
        <v>6798539</v>
      </c>
      <c r="I2514" s="138">
        <f t="shared" si="246"/>
        <v>40791234</v>
      </c>
      <c r="J2514" s="157"/>
    </row>
    <row r="2515" spans="1:16" s="16" customFormat="1" ht="25.5" outlineLevel="3">
      <c r="A2515" s="91"/>
      <c r="B2515" s="35">
        <f>MAX($B$5:B2514)+1</f>
        <v>1239</v>
      </c>
      <c r="C2515" s="431" t="s">
        <v>1312</v>
      </c>
      <c r="D2515" s="230" t="s">
        <v>25</v>
      </c>
      <c r="E2515" s="137">
        <v>6</v>
      </c>
      <c r="F2515" s="232">
        <v>2143800</v>
      </c>
      <c r="G2515" s="232">
        <v>451588</v>
      </c>
      <c r="H2515" s="138">
        <f t="shared" si="245"/>
        <v>2595388</v>
      </c>
      <c r="I2515" s="138">
        <f t="shared" si="246"/>
        <v>15572328</v>
      </c>
      <c r="J2515" s="157"/>
    </row>
    <row r="2516" spans="1:16" s="16" customFormat="1" ht="25.5" outlineLevel="3">
      <c r="A2516" s="91"/>
      <c r="B2516" s="35">
        <f>MAX($B$5:B2515)+1</f>
        <v>1240</v>
      </c>
      <c r="C2516" s="431" t="s">
        <v>2215</v>
      </c>
      <c r="D2516" s="136" t="s">
        <v>38</v>
      </c>
      <c r="E2516" s="137">
        <v>1</v>
      </c>
      <c r="F2516" s="232">
        <v>37004913</v>
      </c>
      <c r="G2516" s="232">
        <v>13283815</v>
      </c>
      <c r="H2516" s="138">
        <f t="shared" si="245"/>
        <v>50288728</v>
      </c>
      <c r="I2516" s="138">
        <f t="shared" si="246"/>
        <v>50288728</v>
      </c>
      <c r="J2516" s="157"/>
    </row>
    <row r="2517" spans="1:16" s="16" customFormat="1" ht="25.5" outlineLevel="3">
      <c r="A2517" s="91"/>
      <c r="B2517" s="35">
        <f>MAX($B$5:B2516)+1</f>
        <v>1241</v>
      </c>
      <c r="C2517" s="431" t="s">
        <v>1314</v>
      </c>
      <c r="D2517" s="136" t="s">
        <v>38</v>
      </c>
      <c r="E2517" s="137">
        <v>1</v>
      </c>
      <c r="F2517" s="232">
        <v>23224500</v>
      </c>
      <c r="G2517" s="232">
        <v>20842500</v>
      </c>
      <c r="H2517" s="138">
        <f t="shared" si="245"/>
        <v>44067000</v>
      </c>
      <c r="I2517" s="138">
        <f t="shared" si="246"/>
        <v>44067000</v>
      </c>
      <c r="J2517" s="157"/>
    </row>
    <row r="2518" spans="1:16" s="16" customFormat="1" ht="25.5" outlineLevel="3">
      <c r="A2518" s="91"/>
      <c r="B2518" s="35">
        <f>MAX($B$5:B2517)+1</f>
        <v>1242</v>
      </c>
      <c r="C2518" s="438" t="s">
        <v>1315</v>
      </c>
      <c r="D2518" s="136" t="s">
        <v>38</v>
      </c>
      <c r="E2518" s="137">
        <v>1</v>
      </c>
      <c r="F2518" s="232">
        <v>459687092</v>
      </c>
      <c r="G2518" s="232">
        <v>7610521</v>
      </c>
      <c r="H2518" s="138">
        <f t="shared" si="245"/>
        <v>467297613</v>
      </c>
      <c r="I2518" s="138">
        <f t="shared" si="246"/>
        <v>467297613</v>
      </c>
      <c r="J2518" s="157"/>
    </row>
    <row r="2519" spans="1:16" s="16" customFormat="1" ht="25.5" outlineLevel="3">
      <c r="A2519" s="91"/>
      <c r="B2519" s="35">
        <f>MAX($B$5:B2518)+1</f>
        <v>1243</v>
      </c>
      <c r="C2519" s="423" t="s">
        <v>1752</v>
      </c>
      <c r="D2519" s="136" t="s">
        <v>38</v>
      </c>
      <c r="E2519" s="137">
        <v>1</v>
      </c>
      <c r="F2519" s="232">
        <v>0</v>
      </c>
      <c r="G2519" s="232">
        <v>52106250</v>
      </c>
      <c r="H2519" s="138">
        <f t="shared" si="245"/>
        <v>52106250</v>
      </c>
      <c r="I2519" s="138">
        <f t="shared" si="246"/>
        <v>52106250</v>
      </c>
      <c r="J2519" s="108"/>
    </row>
    <row r="2520" spans="1:16" s="16" customFormat="1" ht="25.5" outlineLevel="3">
      <c r="A2520" s="91"/>
      <c r="B2520" s="35">
        <f>MAX($B$5:B2519)+1</f>
        <v>1244</v>
      </c>
      <c r="C2520" s="423" t="s">
        <v>840</v>
      </c>
      <c r="D2520" s="136" t="s">
        <v>38</v>
      </c>
      <c r="E2520" s="137">
        <v>1</v>
      </c>
      <c r="F2520" s="232">
        <v>114921773</v>
      </c>
      <c r="G2520" s="232">
        <v>41253970</v>
      </c>
      <c r="H2520" s="138">
        <f t="shared" si="245"/>
        <v>156175743</v>
      </c>
      <c r="I2520" s="138">
        <f t="shared" si="246"/>
        <v>156175743</v>
      </c>
      <c r="J2520" s="157"/>
    </row>
    <row r="2521" spans="1:16" s="16" customFormat="1" ht="25.5" outlineLevel="3">
      <c r="A2521" s="91"/>
      <c r="B2521" s="35">
        <f>MAX($B$5:B2520)+1</f>
        <v>1245</v>
      </c>
      <c r="C2521" s="256" t="s">
        <v>1212</v>
      </c>
      <c r="D2521" s="136" t="s">
        <v>38</v>
      </c>
      <c r="E2521" s="137">
        <v>1</v>
      </c>
      <c r="F2521" s="232">
        <v>23224500</v>
      </c>
      <c r="G2521" s="232">
        <v>52106250</v>
      </c>
      <c r="H2521" s="138">
        <f t="shared" si="245"/>
        <v>75330750</v>
      </c>
      <c r="I2521" s="138">
        <f t="shared" si="246"/>
        <v>75330750</v>
      </c>
      <c r="J2521" s="157"/>
    </row>
    <row r="2522" spans="1:16" s="125" customFormat="1" ht="52.5" outlineLevel="3">
      <c r="A2522" s="124"/>
      <c r="B2522" s="30" t="s">
        <v>430</v>
      </c>
      <c r="C2522" s="104" t="s">
        <v>1316</v>
      </c>
      <c r="D2522" s="212"/>
      <c r="E2522" s="105"/>
      <c r="F2522" s="232">
        <v>0</v>
      </c>
      <c r="G2522" s="232">
        <v>0</v>
      </c>
      <c r="H2522" s="183"/>
      <c r="I2522" s="183"/>
      <c r="J2522" s="181" t="s">
        <v>1317</v>
      </c>
      <c r="M2522" s="33" t="s">
        <v>430</v>
      </c>
      <c r="N2522" s="125" t="s">
        <v>430</v>
      </c>
    </row>
    <row r="2523" spans="1:16" outlineLevel="1">
      <c r="B2523" s="35"/>
      <c r="C2523" s="160"/>
      <c r="D2523" s="230"/>
      <c r="E2523" s="161"/>
      <c r="F2523" s="232">
        <v>0</v>
      </c>
      <c r="G2523" s="232">
        <v>0</v>
      </c>
      <c r="H2523" s="282"/>
      <c r="I2523" s="283"/>
      <c r="J2523" s="162"/>
    </row>
    <row r="2524" spans="1:16" s="33" customFormat="1" ht="26.25">
      <c r="A2524" s="100"/>
      <c r="B2524" s="101" t="s">
        <v>1318</v>
      </c>
      <c r="C2524" s="439" t="s">
        <v>1319</v>
      </c>
      <c r="D2524" s="342"/>
      <c r="E2524" s="343"/>
      <c r="F2524" s="232">
        <v>0</v>
      </c>
      <c r="G2524" s="232">
        <v>0</v>
      </c>
      <c r="H2524" s="344"/>
      <c r="I2524" s="344">
        <f>SUBTOTAL(9,I2525:I2583)</f>
        <v>513188926</v>
      </c>
      <c r="J2524" s="102"/>
      <c r="M2524" s="33" t="s">
        <v>1318</v>
      </c>
      <c r="P2524" s="33" t="s">
        <v>1318</v>
      </c>
    </row>
    <row r="2525" spans="1:16" s="16" customFormat="1" ht="26.25" outlineLevel="1">
      <c r="A2525" s="91"/>
      <c r="B2525" s="28" t="s">
        <v>18</v>
      </c>
      <c r="C2525" s="430" t="s">
        <v>1320</v>
      </c>
      <c r="D2525" s="221"/>
      <c r="E2525" s="345"/>
      <c r="F2525" s="232">
        <v>0</v>
      </c>
      <c r="G2525" s="232">
        <v>0</v>
      </c>
      <c r="H2525" s="346"/>
      <c r="I2525" s="224">
        <f>SUBTOTAL(9,I2526:I2536)</f>
        <v>146475614</v>
      </c>
      <c r="J2525" s="103"/>
      <c r="M2525" s="33" t="s">
        <v>18</v>
      </c>
      <c r="O2525" s="16" t="s">
        <v>18</v>
      </c>
    </row>
    <row r="2526" spans="1:16" s="125" customFormat="1" ht="27" outlineLevel="3">
      <c r="A2526" s="124"/>
      <c r="B2526" s="38" t="s">
        <v>20</v>
      </c>
      <c r="C2526" s="440" t="s">
        <v>431</v>
      </c>
      <c r="D2526" s="363"/>
      <c r="E2526" s="352"/>
      <c r="F2526" s="232">
        <v>0</v>
      </c>
      <c r="G2526" s="232">
        <v>0</v>
      </c>
      <c r="H2526" s="367"/>
      <c r="I2526" s="367"/>
      <c r="J2526" s="111"/>
      <c r="M2526" s="33" t="s">
        <v>20</v>
      </c>
      <c r="N2526" s="125" t="s">
        <v>20</v>
      </c>
    </row>
    <row r="2527" spans="1:16" s="33" customFormat="1" ht="25.5" outlineLevel="3">
      <c r="A2527" s="100"/>
      <c r="B2527" s="35">
        <f>MAX($B$5:B2526)+1</f>
        <v>1246</v>
      </c>
      <c r="C2527" s="441" t="s">
        <v>1323</v>
      </c>
      <c r="D2527" s="230" t="s">
        <v>25</v>
      </c>
      <c r="E2527" s="362">
        <v>421</v>
      </c>
      <c r="F2527" s="232">
        <v>11743</v>
      </c>
      <c r="G2527" s="232">
        <v>11414</v>
      </c>
      <c r="H2527" s="138">
        <f t="shared" ref="H2527:H2536" si="247">G2527+F2527</f>
        <v>23157</v>
      </c>
      <c r="I2527" s="138">
        <f t="shared" ref="I2527:I2536" si="248">H2527*E2527</f>
        <v>9749097</v>
      </c>
      <c r="J2527" s="50"/>
    </row>
    <row r="2528" spans="1:16" s="33" customFormat="1" ht="25.5" outlineLevel="3">
      <c r="A2528" s="100"/>
      <c r="B2528" s="35">
        <f>MAX($B$5:B2527)+1</f>
        <v>1247</v>
      </c>
      <c r="C2528" s="441" t="s">
        <v>1324</v>
      </c>
      <c r="D2528" s="136" t="s">
        <v>38</v>
      </c>
      <c r="E2528" s="362">
        <v>1</v>
      </c>
      <c r="F2528" s="232">
        <v>5806125</v>
      </c>
      <c r="G2528" s="232">
        <v>1042125</v>
      </c>
      <c r="H2528" s="138">
        <f t="shared" si="247"/>
        <v>6848250</v>
      </c>
      <c r="I2528" s="138">
        <f t="shared" si="248"/>
        <v>6848250</v>
      </c>
      <c r="J2528" s="50"/>
    </row>
    <row r="2529" spans="1:15" s="33" customFormat="1" ht="25.5" outlineLevel="3">
      <c r="A2529" s="100"/>
      <c r="B2529" s="35">
        <f>MAX($B$5:B2528)+1</f>
        <v>1248</v>
      </c>
      <c r="C2529" s="441" t="s">
        <v>1325</v>
      </c>
      <c r="D2529" s="230" t="s">
        <v>25</v>
      </c>
      <c r="E2529" s="362">
        <v>400</v>
      </c>
      <c r="F2529" s="232">
        <v>92898</v>
      </c>
      <c r="G2529" s="232">
        <v>31264</v>
      </c>
      <c r="H2529" s="138">
        <f t="shared" si="247"/>
        <v>124162</v>
      </c>
      <c r="I2529" s="138">
        <f t="shared" si="248"/>
        <v>49664800</v>
      </c>
      <c r="J2529" s="50"/>
    </row>
    <row r="2530" spans="1:15" s="16" customFormat="1" ht="25.5" outlineLevel="3">
      <c r="A2530" s="91"/>
      <c r="B2530" s="35">
        <f>MAX($B$5:B2529)+1</f>
        <v>1249</v>
      </c>
      <c r="C2530" s="423" t="s">
        <v>2216</v>
      </c>
      <c r="D2530" s="136" t="s">
        <v>28</v>
      </c>
      <c r="E2530" s="137">
        <v>1</v>
      </c>
      <c r="F2530" s="232">
        <v>0</v>
      </c>
      <c r="G2530" s="232">
        <v>0</v>
      </c>
      <c r="H2530" s="138">
        <f t="shared" si="247"/>
        <v>0</v>
      </c>
      <c r="I2530" s="138">
        <f t="shared" si="248"/>
        <v>0</v>
      </c>
      <c r="J2530" s="108"/>
    </row>
    <row r="2531" spans="1:15" s="16" customFormat="1" ht="25.5" outlineLevel="3">
      <c r="A2531" s="91"/>
      <c r="B2531" s="35">
        <f>MAX($B$5:B2530)+1</f>
        <v>1250</v>
      </c>
      <c r="C2531" s="423" t="s">
        <v>2217</v>
      </c>
      <c r="D2531" s="230" t="s">
        <v>25</v>
      </c>
      <c r="E2531" s="137">
        <v>15</v>
      </c>
      <c r="F2531" s="232">
        <v>549259</v>
      </c>
      <c r="G2531" s="232">
        <v>169345</v>
      </c>
      <c r="H2531" s="138">
        <f t="shared" si="247"/>
        <v>718604</v>
      </c>
      <c r="I2531" s="138">
        <f t="shared" si="248"/>
        <v>10779060</v>
      </c>
      <c r="J2531" s="108"/>
    </row>
    <row r="2532" spans="1:15" s="16" customFormat="1" ht="25.5" outlineLevel="3">
      <c r="A2532" s="91"/>
      <c r="B2532" s="35">
        <f>MAX($B$5:B2531)+1</f>
        <v>1251</v>
      </c>
      <c r="C2532" s="423" t="s">
        <v>1752</v>
      </c>
      <c r="D2532" s="136" t="s">
        <v>32</v>
      </c>
      <c r="E2532" s="137">
        <v>2</v>
      </c>
      <c r="F2532" s="232">
        <v>0</v>
      </c>
      <c r="G2532" s="232">
        <v>93791</v>
      </c>
      <c r="H2532" s="138">
        <f t="shared" si="247"/>
        <v>93791</v>
      </c>
      <c r="I2532" s="138">
        <f t="shared" si="248"/>
        <v>187582</v>
      </c>
      <c r="J2532" s="108"/>
    </row>
    <row r="2533" spans="1:15" s="16" customFormat="1" ht="25.5" outlineLevel="3">
      <c r="A2533" s="91"/>
      <c r="B2533" s="35">
        <f>MAX($B$5:B2532)+1</f>
        <v>1252</v>
      </c>
      <c r="C2533" s="423" t="s">
        <v>2218</v>
      </c>
      <c r="D2533" s="136" t="s">
        <v>32</v>
      </c>
      <c r="E2533" s="137">
        <v>1</v>
      </c>
      <c r="F2533" s="232">
        <v>0</v>
      </c>
      <c r="G2533" s="232">
        <v>93791</v>
      </c>
      <c r="H2533" s="138">
        <f t="shared" si="247"/>
        <v>93791</v>
      </c>
      <c r="I2533" s="138">
        <f t="shared" si="248"/>
        <v>93791</v>
      </c>
      <c r="J2533" s="108"/>
    </row>
    <row r="2534" spans="1:15" s="16" customFormat="1" ht="25.5" outlineLevel="3">
      <c r="A2534" s="91"/>
      <c r="B2534" s="35">
        <f>MAX($B$5:B2533)+1</f>
        <v>1253</v>
      </c>
      <c r="C2534" s="423" t="s">
        <v>2219</v>
      </c>
      <c r="D2534" s="136" t="s">
        <v>32</v>
      </c>
      <c r="E2534" s="137">
        <v>1</v>
      </c>
      <c r="F2534" s="232">
        <v>185796</v>
      </c>
      <c r="G2534" s="232">
        <v>93791</v>
      </c>
      <c r="H2534" s="138">
        <f t="shared" si="247"/>
        <v>279587</v>
      </c>
      <c r="I2534" s="138">
        <f t="shared" si="248"/>
        <v>279587</v>
      </c>
      <c r="J2534" s="108"/>
    </row>
    <row r="2535" spans="1:15" s="16" customFormat="1" ht="25.5" outlineLevel="3">
      <c r="A2535" s="91"/>
      <c r="B2535" s="35">
        <f>MAX($B$5:B2534)+1</f>
        <v>1254</v>
      </c>
      <c r="C2535" s="423" t="s">
        <v>2220</v>
      </c>
      <c r="D2535" s="136" t="s">
        <v>28</v>
      </c>
      <c r="E2535" s="137">
        <v>2</v>
      </c>
      <c r="F2535" s="232">
        <v>2903063</v>
      </c>
      <c r="G2535" s="232">
        <v>312638</v>
      </c>
      <c r="H2535" s="138">
        <f t="shared" si="247"/>
        <v>3215701</v>
      </c>
      <c r="I2535" s="138">
        <f t="shared" si="248"/>
        <v>6431402</v>
      </c>
      <c r="J2535" s="108"/>
    </row>
    <row r="2536" spans="1:15" s="16" customFormat="1" ht="25.5" outlineLevel="3">
      <c r="A2536" s="91"/>
      <c r="B2536" s="35">
        <f>MAX($B$5:B2535)+1</f>
        <v>1255</v>
      </c>
      <c r="C2536" s="423" t="s">
        <v>1068</v>
      </c>
      <c r="D2536" s="136" t="s">
        <v>38</v>
      </c>
      <c r="E2536" s="137">
        <v>1</v>
      </c>
      <c r="F2536" s="232">
        <v>45947920</v>
      </c>
      <c r="G2536" s="232">
        <v>16494125</v>
      </c>
      <c r="H2536" s="138">
        <f t="shared" si="247"/>
        <v>62442045</v>
      </c>
      <c r="I2536" s="138">
        <f t="shared" si="248"/>
        <v>62442045</v>
      </c>
      <c r="J2536" s="108"/>
    </row>
    <row r="2537" spans="1:15" s="16" customFormat="1" ht="26.25" outlineLevel="1">
      <c r="A2537" s="91"/>
      <c r="B2537" s="28" t="s">
        <v>566</v>
      </c>
      <c r="C2537" s="430" t="s">
        <v>1327</v>
      </c>
      <c r="D2537" s="221"/>
      <c r="E2537" s="345"/>
      <c r="F2537" s="232">
        <v>0</v>
      </c>
      <c r="G2537" s="232">
        <v>0</v>
      </c>
      <c r="H2537" s="346"/>
      <c r="I2537" s="224">
        <f>SUBTOTAL(9,I2538:I2582)</f>
        <v>366713312</v>
      </c>
      <c r="J2537" s="103"/>
      <c r="M2537" s="33" t="s">
        <v>566</v>
      </c>
      <c r="O2537" s="16" t="s">
        <v>566</v>
      </c>
    </row>
    <row r="2538" spans="1:15" s="16" customFormat="1" ht="25.5" outlineLevel="3">
      <c r="A2538" s="91"/>
      <c r="B2538" s="49" t="s">
        <v>20</v>
      </c>
      <c r="C2538" s="442" t="s">
        <v>2221</v>
      </c>
      <c r="D2538" s="443"/>
      <c r="E2538" s="377"/>
      <c r="F2538" s="232">
        <v>0</v>
      </c>
      <c r="G2538" s="232">
        <v>0</v>
      </c>
      <c r="H2538" s="339"/>
      <c r="I2538" s="339"/>
      <c r="J2538" s="115"/>
      <c r="M2538" s="33" t="s">
        <v>20</v>
      </c>
      <c r="N2538" s="16" t="s">
        <v>20</v>
      </c>
    </row>
    <row r="2539" spans="1:15" s="16" customFormat="1" ht="25.5" outlineLevel="3">
      <c r="A2539" s="91"/>
      <c r="B2539" s="51" t="s">
        <v>22</v>
      </c>
      <c r="C2539" s="438" t="s">
        <v>2222</v>
      </c>
      <c r="D2539" s="444"/>
      <c r="E2539" s="137"/>
      <c r="F2539" s="232">
        <v>0</v>
      </c>
      <c r="G2539" s="232">
        <v>0</v>
      </c>
      <c r="H2539" s="138"/>
      <c r="I2539" s="138"/>
      <c r="J2539" s="108"/>
    </row>
    <row r="2540" spans="1:15" s="16" customFormat="1" ht="25.5" outlineLevel="3">
      <c r="A2540" s="91"/>
      <c r="B2540" s="35">
        <f>MAXA(B$5:B2539)+1</f>
        <v>1256</v>
      </c>
      <c r="C2540" s="281" t="s">
        <v>2223</v>
      </c>
      <c r="D2540" s="230" t="s">
        <v>25</v>
      </c>
      <c r="E2540" s="137">
        <v>30</v>
      </c>
      <c r="F2540" s="232">
        <v>111847</v>
      </c>
      <c r="G2540" s="232">
        <v>99002</v>
      </c>
      <c r="H2540" s="138">
        <f t="shared" ref="H2540:H2550" si="249">G2540+F2540</f>
        <v>210849</v>
      </c>
      <c r="I2540" s="138">
        <f t="shared" ref="I2540:I2550" si="250">H2540*E2540</f>
        <v>6325470</v>
      </c>
      <c r="J2540" s="108"/>
    </row>
    <row r="2541" spans="1:15" s="16" customFormat="1" ht="25.5" outlineLevel="3">
      <c r="A2541" s="91"/>
      <c r="B2541" s="35">
        <f>MAXA(B$5:B2540)+1</f>
        <v>1257</v>
      </c>
      <c r="C2541" s="423" t="s">
        <v>2224</v>
      </c>
      <c r="D2541" s="136" t="s">
        <v>28</v>
      </c>
      <c r="E2541" s="137">
        <v>1</v>
      </c>
      <c r="F2541" s="232">
        <v>12146414</v>
      </c>
      <c r="G2541" s="232">
        <v>260531</v>
      </c>
      <c r="H2541" s="138">
        <f t="shared" si="249"/>
        <v>12406945</v>
      </c>
      <c r="I2541" s="138">
        <f t="shared" si="250"/>
        <v>12406945</v>
      </c>
      <c r="J2541" s="108"/>
    </row>
    <row r="2542" spans="1:15" s="16" customFormat="1" ht="25.5" outlineLevel="3">
      <c r="A2542" s="91"/>
      <c r="B2542" s="35">
        <f>MAXA(B$5:B2541)+1</f>
        <v>1258</v>
      </c>
      <c r="C2542" s="423" t="s">
        <v>2225</v>
      </c>
      <c r="D2542" s="136" t="s">
        <v>28</v>
      </c>
      <c r="E2542" s="137">
        <v>1</v>
      </c>
      <c r="F2542" s="232">
        <v>2848485</v>
      </c>
      <c r="G2542" s="232">
        <v>416850</v>
      </c>
      <c r="H2542" s="138">
        <f t="shared" si="249"/>
        <v>3265335</v>
      </c>
      <c r="I2542" s="138">
        <f t="shared" si="250"/>
        <v>3265335</v>
      </c>
      <c r="J2542" s="108"/>
    </row>
    <row r="2543" spans="1:15" s="16" customFormat="1" ht="25.5" outlineLevel="3">
      <c r="A2543" s="91"/>
      <c r="B2543" s="35">
        <f>MAXA(B$5:B2542)+1</f>
        <v>1259</v>
      </c>
      <c r="C2543" s="423" t="s">
        <v>1682</v>
      </c>
      <c r="D2543" s="136" t="s">
        <v>28</v>
      </c>
      <c r="E2543" s="137">
        <v>2</v>
      </c>
      <c r="F2543" s="232">
        <v>2403736</v>
      </c>
      <c r="G2543" s="232">
        <v>416850</v>
      </c>
      <c r="H2543" s="138">
        <f t="shared" si="249"/>
        <v>2820586</v>
      </c>
      <c r="I2543" s="138">
        <f t="shared" si="250"/>
        <v>5641172</v>
      </c>
      <c r="J2543" s="108"/>
    </row>
    <row r="2544" spans="1:15" s="16" customFormat="1" ht="25.5" outlineLevel="3">
      <c r="A2544" s="91"/>
      <c r="B2544" s="35">
        <f>MAXA(B$5:B2543)+1</f>
        <v>1260</v>
      </c>
      <c r="C2544" s="423" t="s">
        <v>657</v>
      </c>
      <c r="D2544" s="136" t="s">
        <v>28</v>
      </c>
      <c r="E2544" s="137">
        <v>2</v>
      </c>
      <c r="F2544" s="232">
        <v>1153096</v>
      </c>
      <c r="G2544" s="232">
        <v>416850</v>
      </c>
      <c r="H2544" s="138">
        <f t="shared" si="249"/>
        <v>1569946</v>
      </c>
      <c r="I2544" s="138">
        <f t="shared" si="250"/>
        <v>3139892</v>
      </c>
      <c r="J2544" s="108"/>
    </row>
    <row r="2545" spans="1:10" s="16" customFormat="1" ht="25.5" outlineLevel="3">
      <c r="A2545" s="91"/>
      <c r="B2545" s="35">
        <f>MAXA(B$5:B2544)+1</f>
        <v>1261</v>
      </c>
      <c r="C2545" s="280" t="s">
        <v>583</v>
      </c>
      <c r="D2545" s="136" t="s">
        <v>28</v>
      </c>
      <c r="E2545" s="137">
        <v>1</v>
      </c>
      <c r="F2545" s="232">
        <v>3535801</v>
      </c>
      <c r="G2545" s="232">
        <v>310305</v>
      </c>
      <c r="H2545" s="138">
        <f t="shared" si="249"/>
        <v>3846106</v>
      </c>
      <c r="I2545" s="138">
        <f t="shared" si="250"/>
        <v>3846106</v>
      </c>
      <c r="J2545" s="108"/>
    </row>
    <row r="2546" spans="1:10" s="16" customFormat="1" ht="25.5" outlineLevel="3">
      <c r="A2546" s="91"/>
      <c r="B2546" s="35">
        <f>MAXA(B$5:B2545)+1</f>
        <v>1262</v>
      </c>
      <c r="C2546" s="280" t="s">
        <v>1331</v>
      </c>
      <c r="D2546" s="136" t="s">
        <v>28</v>
      </c>
      <c r="E2546" s="137">
        <v>1</v>
      </c>
      <c r="F2546" s="232">
        <v>7096375</v>
      </c>
      <c r="G2546" s="232">
        <v>1651520</v>
      </c>
      <c r="H2546" s="138">
        <f t="shared" si="249"/>
        <v>8747895</v>
      </c>
      <c r="I2546" s="138">
        <f t="shared" si="250"/>
        <v>8747895</v>
      </c>
      <c r="J2546" s="108"/>
    </row>
    <row r="2547" spans="1:10" s="16" customFormat="1" ht="25.5" outlineLevel="3">
      <c r="A2547" s="91"/>
      <c r="B2547" s="35">
        <f>MAXA(B$5:B2546)+1</f>
        <v>1263</v>
      </c>
      <c r="C2547" s="280" t="s">
        <v>1330</v>
      </c>
      <c r="D2547" s="136" t="s">
        <v>28</v>
      </c>
      <c r="E2547" s="137">
        <v>1</v>
      </c>
      <c r="F2547" s="232">
        <v>19353750</v>
      </c>
      <c r="G2547" s="232">
        <v>6451250</v>
      </c>
      <c r="H2547" s="138">
        <f t="shared" si="249"/>
        <v>25805000</v>
      </c>
      <c r="I2547" s="138">
        <f t="shared" si="250"/>
        <v>25805000</v>
      </c>
      <c r="J2547" s="50"/>
    </row>
    <row r="2548" spans="1:10" s="16" customFormat="1" ht="25.5" outlineLevel="3">
      <c r="A2548" s="91"/>
      <c r="B2548" s="35">
        <f>MAXA(B$5:B2547)+1</f>
        <v>1264</v>
      </c>
      <c r="C2548" s="423" t="s">
        <v>1752</v>
      </c>
      <c r="D2548" s="136" t="s">
        <v>32</v>
      </c>
      <c r="E2548" s="137">
        <v>30</v>
      </c>
      <c r="F2548" s="232">
        <v>0</v>
      </c>
      <c r="G2548" s="232">
        <v>93791</v>
      </c>
      <c r="H2548" s="138">
        <f t="shared" si="249"/>
        <v>93791</v>
      </c>
      <c r="I2548" s="138">
        <f t="shared" si="250"/>
        <v>2813730</v>
      </c>
      <c r="J2548" s="108"/>
    </row>
    <row r="2549" spans="1:10" s="16" customFormat="1" ht="25.5" outlineLevel="3">
      <c r="A2549" s="91"/>
      <c r="B2549" s="35">
        <f>MAXA(B$5:B2548)+1</f>
        <v>1265</v>
      </c>
      <c r="C2549" s="423" t="s">
        <v>37</v>
      </c>
      <c r="D2549" s="136" t="s">
        <v>38</v>
      </c>
      <c r="E2549" s="137">
        <v>1</v>
      </c>
      <c r="F2549" s="232">
        <v>5806125</v>
      </c>
      <c r="G2549" s="232">
        <v>2084250</v>
      </c>
      <c r="H2549" s="138">
        <f t="shared" si="249"/>
        <v>7890375</v>
      </c>
      <c r="I2549" s="138">
        <f t="shared" si="250"/>
        <v>7890375</v>
      </c>
      <c r="J2549" s="108"/>
    </row>
    <row r="2550" spans="1:10" s="16" customFormat="1" ht="25.5" outlineLevel="3">
      <c r="A2550" s="91"/>
      <c r="B2550" s="35">
        <f>MAXA(B$5:B2549)+1</f>
        <v>1266</v>
      </c>
      <c r="C2550" s="423" t="s">
        <v>2226</v>
      </c>
      <c r="D2550" s="136" t="s">
        <v>38</v>
      </c>
      <c r="E2550" s="137">
        <v>1</v>
      </c>
      <c r="F2550" s="232">
        <v>0</v>
      </c>
      <c r="G2550" s="232">
        <v>0</v>
      </c>
      <c r="H2550" s="138">
        <f t="shared" si="249"/>
        <v>0</v>
      </c>
      <c r="I2550" s="138">
        <f t="shared" si="250"/>
        <v>0</v>
      </c>
      <c r="J2550" s="108"/>
    </row>
    <row r="2551" spans="1:10" s="16" customFormat="1" ht="25.5" outlineLevel="3">
      <c r="A2551" s="91"/>
      <c r="B2551" s="51" t="s">
        <v>39</v>
      </c>
      <c r="C2551" s="438" t="s">
        <v>2227</v>
      </c>
      <c r="D2551" s="444"/>
      <c r="E2551" s="137"/>
      <c r="F2551" s="232">
        <v>0</v>
      </c>
      <c r="G2551" s="232">
        <v>0</v>
      </c>
      <c r="H2551" s="138"/>
      <c r="I2551" s="138"/>
      <c r="J2551" s="108"/>
    </row>
    <row r="2552" spans="1:10" s="16" customFormat="1" ht="25.5" outlineLevel="3">
      <c r="A2552" s="91"/>
      <c r="B2552" s="35">
        <f>MAXA(B$5:B2551)+1</f>
        <v>1267</v>
      </c>
      <c r="C2552" s="281" t="s">
        <v>2228</v>
      </c>
      <c r="D2552" s="230" t="s">
        <v>25</v>
      </c>
      <c r="E2552" s="137">
        <v>158</v>
      </c>
      <c r="F2552" s="232">
        <v>465160</v>
      </c>
      <c r="G2552" s="232">
        <v>156319</v>
      </c>
      <c r="H2552" s="138">
        <f t="shared" ref="H2552:H2557" si="251">G2552+F2552</f>
        <v>621479</v>
      </c>
      <c r="I2552" s="138">
        <f t="shared" ref="I2552:I2557" si="252">H2552*E2552</f>
        <v>98193682</v>
      </c>
      <c r="J2552" s="108"/>
    </row>
    <row r="2553" spans="1:10" s="16" customFormat="1" ht="25.5" outlineLevel="3">
      <c r="A2553" s="91"/>
      <c r="B2553" s="35">
        <f>MAXA(B$5:B2552)+1</f>
        <v>1268</v>
      </c>
      <c r="C2553" s="281" t="s">
        <v>2229</v>
      </c>
      <c r="D2553" s="230" t="s">
        <v>25</v>
      </c>
      <c r="E2553" s="137">
        <v>28</v>
      </c>
      <c r="F2553" s="232">
        <v>233781</v>
      </c>
      <c r="G2553" s="232">
        <v>125055</v>
      </c>
      <c r="H2553" s="138">
        <f t="shared" si="251"/>
        <v>358836</v>
      </c>
      <c r="I2553" s="138">
        <f t="shared" si="252"/>
        <v>10047408</v>
      </c>
      <c r="J2553" s="108"/>
    </row>
    <row r="2554" spans="1:10" s="16" customFormat="1" ht="25.5" outlineLevel="3">
      <c r="A2554" s="91"/>
      <c r="B2554" s="35">
        <f>MAXA(B$5:B2553)+1</f>
        <v>1269</v>
      </c>
      <c r="C2554" s="281" t="s">
        <v>2223</v>
      </c>
      <c r="D2554" s="230" t="s">
        <v>25</v>
      </c>
      <c r="E2554" s="137">
        <v>23</v>
      </c>
      <c r="F2554" s="232">
        <v>111847</v>
      </c>
      <c r="G2554" s="232">
        <v>99002</v>
      </c>
      <c r="H2554" s="138">
        <f t="shared" si="251"/>
        <v>210849</v>
      </c>
      <c r="I2554" s="138">
        <f t="shared" si="252"/>
        <v>4849527</v>
      </c>
      <c r="J2554" s="108"/>
    </row>
    <row r="2555" spans="1:10" s="16" customFormat="1" ht="25.5" outlineLevel="3">
      <c r="A2555" s="91"/>
      <c r="B2555" s="35">
        <f>MAXA(B$5:B2554)+1</f>
        <v>1270</v>
      </c>
      <c r="C2555" s="281" t="s">
        <v>1672</v>
      </c>
      <c r="D2555" s="230" t="s">
        <v>25</v>
      </c>
      <c r="E2555" s="137">
        <v>25</v>
      </c>
      <c r="F2555" s="232">
        <v>76921</v>
      </c>
      <c r="G2555" s="232">
        <v>78159</v>
      </c>
      <c r="H2555" s="138">
        <f t="shared" si="251"/>
        <v>155080</v>
      </c>
      <c r="I2555" s="138">
        <f t="shared" si="252"/>
        <v>3877000</v>
      </c>
      <c r="J2555" s="108"/>
    </row>
    <row r="2556" spans="1:10" s="16" customFormat="1" ht="25.5" outlineLevel="3">
      <c r="A2556" s="91"/>
      <c r="B2556" s="35">
        <f>MAXA(B$5:B2555)+1</f>
        <v>1271</v>
      </c>
      <c r="C2556" s="281" t="s">
        <v>2230</v>
      </c>
      <c r="D2556" s="230" t="s">
        <v>25</v>
      </c>
      <c r="E2556" s="137">
        <v>5</v>
      </c>
      <c r="F2556" s="232">
        <v>37534</v>
      </c>
      <c r="G2556" s="232">
        <v>52106</v>
      </c>
      <c r="H2556" s="138">
        <f t="shared" si="251"/>
        <v>89640</v>
      </c>
      <c r="I2556" s="138">
        <f t="shared" si="252"/>
        <v>448200</v>
      </c>
      <c r="J2556" s="108"/>
    </row>
    <row r="2557" spans="1:10" s="16" customFormat="1" ht="25.5" outlineLevel="3">
      <c r="A2557" s="91"/>
      <c r="B2557" s="35">
        <f>MAXA(B$5:B2556)+1</f>
        <v>1272</v>
      </c>
      <c r="C2557" s="423" t="s">
        <v>2231</v>
      </c>
      <c r="D2557" s="136" t="s">
        <v>38</v>
      </c>
      <c r="E2557" s="137">
        <v>1</v>
      </c>
      <c r="F2557" s="232">
        <v>38125947</v>
      </c>
      <c r="G2557" s="232">
        <v>13686238</v>
      </c>
      <c r="H2557" s="138">
        <f t="shared" si="251"/>
        <v>51812185</v>
      </c>
      <c r="I2557" s="138">
        <f t="shared" si="252"/>
        <v>51812185</v>
      </c>
      <c r="J2557" s="108"/>
    </row>
    <row r="2558" spans="1:10" s="16" customFormat="1" ht="51" outlineLevel="3">
      <c r="A2558" s="91"/>
      <c r="B2558" s="35">
        <f>MAXA(B$5:B2557)+1</f>
        <v>1273</v>
      </c>
      <c r="C2558" s="423" t="s">
        <v>2232</v>
      </c>
      <c r="D2558" s="136" t="s">
        <v>44</v>
      </c>
      <c r="E2558" s="137"/>
      <c r="F2558" s="232">
        <v>0</v>
      </c>
      <c r="G2558" s="232">
        <v>0</v>
      </c>
      <c r="H2558" s="138"/>
      <c r="I2558" s="138"/>
      <c r="J2558" s="167" t="s">
        <v>1344</v>
      </c>
    </row>
    <row r="2559" spans="1:10" s="16" customFormat="1" ht="51" outlineLevel="3">
      <c r="A2559" s="91"/>
      <c r="B2559" s="35">
        <f>MAXA(B$5:B2558)+1</f>
        <v>1274</v>
      </c>
      <c r="C2559" s="423" t="s">
        <v>2233</v>
      </c>
      <c r="D2559" s="136" t="s">
        <v>44</v>
      </c>
      <c r="E2559" s="137"/>
      <c r="F2559" s="232">
        <v>0</v>
      </c>
      <c r="G2559" s="232">
        <v>0</v>
      </c>
      <c r="H2559" s="138"/>
      <c r="I2559" s="138"/>
      <c r="J2559" s="167" t="s">
        <v>1344</v>
      </c>
    </row>
    <row r="2560" spans="1:10" s="16" customFormat="1" ht="25.5" outlineLevel="3">
      <c r="A2560" s="91"/>
      <c r="B2560" s="35">
        <f>MAXA(B$5:B2559)+1</f>
        <v>1275</v>
      </c>
      <c r="C2560" s="423" t="s">
        <v>1346</v>
      </c>
      <c r="D2560" s="136" t="s">
        <v>38</v>
      </c>
      <c r="E2560" s="137">
        <v>1</v>
      </c>
      <c r="F2560" s="232">
        <v>2838550</v>
      </c>
      <c r="G2560" s="232">
        <v>14192750</v>
      </c>
      <c r="H2560" s="138">
        <f>G2560+F2560</f>
        <v>17031300</v>
      </c>
      <c r="I2560" s="138">
        <f>H2560*E2560</f>
        <v>17031300</v>
      </c>
      <c r="J2560" s="108"/>
    </row>
    <row r="2561" spans="1:14" s="16" customFormat="1" ht="51" outlineLevel="3">
      <c r="A2561" s="91"/>
      <c r="B2561" s="35">
        <f>MAXA(B$5:B2560)+1</f>
        <v>1276</v>
      </c>
      <c r="C2561" s="423" t="s">
        <v>2234</v>
      </c>
      <c r="D2561" s="136" t="s">
        <v>410</v>
      </c>
      <c r="E2561" s="137"/>
      <c r="F2561" s="232">
        <v>0</v>
      </c>
      <c r="G2561" s="232">
        <v>0</v>
      </c>
      <c r="H2561" s="138"/>
      <c r="I2561" s="138"/>
      <c r="J2561" s="167" t="s">
        <v>1344</v>
      </c>
    </row>
    <row r="2562" spans="1:14" s="16" customFormat="1" ht="25.5" outlineLevel="3">
      <c r="A2562" s="91"/>
      <c r="B2562" s="35">
        <f>MAXA(B$5:B2561)+1</f>
        <v>1277</v>
      </c>
      <c r="C2562" s="423" t="s">
        <v>1752</v>
      </c>
      <c r="D2562" s="136" t="s">
        <v>32</v>
      </c>
      <c r="E2562" s="137">
        <v>239</v>
      </c>
      <c r="F2562" s="232">
        <v>0</v>
      </c>
      <c r="G2562" s="232">
        <v>0</v>
      </c>
      <c r="H2562" s="138">
        <f>G2562+F2562</f>
        <v>0</v>
      </c>
      <c r="I2562" s="138">
        <f>H2562*E2562</f>
        <v>0</v>
      </c>
      <c r="J2562" s="108"/>
    </row>
    <row r="2563" spans="1:14" s="16" customFormat="1" ht="25.5" outlineLevel="3">
      <c r="A2563" s="91"/>
      <c r="B2563" s="35">
        <f>MAXA(B$5:B2562)+1</f>
        <v>1278</v>
      </c>
      <c r="C2563" s="423" t="s">
        <v>2219</v>
      </c>
      <c r="D2563" s="136" t="s">
        <v>32</v>
      </c>
      <c r="E2563" s="137">
        <v>108</v>
      </c>
      <c r="F2563" s="232">
        <v>0</v>
      </c>
      <c r="G2563" s="232">
        <v>0</v>
      </c>
      <c r="H2563" s="138">
        <f>G2563+F2563</f>
        <v>0</v>
      </c>
      <c r="I2563" s="138">
        <f>H2563*E2563</f>
        <v>0</v>
      </c>
      <c r="J2563" s="108"/>
    </row>
    <row r="2564" spans="1:14" s="16" customFormat="1" ht="25.5" outlineLevel="3">
      <c r="A2564" s="91"/>
      <c r="B2564" s="35">
        <f>MAXA(B$5:B2563)+1</f>
        <v>1279</v>
      </c>
      <c r="C2564" s="423" t="s">
        <v>840</v>
      </c>
      <c r="D2564" s="136" t="s">
        <v>38</v>
      </c>
      <c r="E2564" s="137">
        <v>1</v>
      </c>
      <c r="F2564" s="232">
        <v>24570055</v>
      </c>
      <c r="G2564" s="232">
        <v>8820020</v>
      </c>
      <c r="H2564" s="138">
        <f>G2564+F2564</f>
        <v>33390075</v>
      </c>
      <c r="I2564" s="138">
        <f>H2564*E2564</f>
        <v>33390075</v>
      </c>
      <c r="J2564" s="108"/>
    </row>
    <row r="2565" spans="1:14" s="16" customFormat="1" ht="25.5" outlineLevel="3">
      <c r="A2565" s="91"/>
      <c r="B2565" s="51" t="s">
        <v>61</v>
      </c>
      <c r="C2565" s="438" t="s">
        <v>2235</v>
      </c>
      <c r="D2565" s="444"/>
      <c r="E2565" s="137"/>
      <c r="F2565" s="232">
        <v>0</v>
      </c>
      <c r="G2565" s="232">
        <v>0</v>
      </c>
      <c r="H2565" s="138"/>
      <c r="I2565" s="138"/>
      <c r="J2565" s="108"/>
    </row>
    <row r="2566" spans="1:14" s="16" customFormat="1" ht="25.5" outlineLevel="3">
      <c r="A2566" s="91" t="s">
        <v>154</v>
      </c>
      <c r="B2566" s="35">
        <f>MAXA(B$5:B2565)+1</f>
        <v>1280</v>
      </c>
      <c r="C2566" s="281" t="s">
        <v>2228</v>
      </c>
      <c r="D2566" s="230" t="s">
        <v>25</v>
      </c>
      <c r="E2566" s="137">
        <f>6+9</f>
        <v>15</v>
      </c>
      <c r="F2566" s="232">
        <v>465160</v>
      </c>
      <c r="G2566" s="232">
        <v>270953</v>
      </c>
      <c r="H2566" s="138">
        <f>G2566+F2566</f>
        <v>736113</v>
      </c>
      <c r="I2566" s="138">
        <f>H2566*E2566</f>
        <v>11041695</v>
      </c>
      <c r="J2566" s="108"/>
      <c r="K2566" s="16" t="s">
        <v>156</v>
      </c>
      <c r="L2566" s="16" t="s">
        <v>1681</v>
      </c>
    </row>
    <row r="2567" spans="1:14" s="16" customFormat="1" ht="25.5" outlineLevel="3">
      <c r="A2567" s="91" t="s">
        <v>154</v>
      </c>
      <c r="B2567" s="35">
        <f>MAXA(B$5:B2566)+1</f>
        <v>1281</v>
      </c>
      <c r="C2567" s="281" t="s">
        <v>2229</v>
      </c>
      <c r="D2567" s="230" t="s">
        <v>25</v>
      </c>
      <c r="E2567" s="137">
        <f>8+5</f>
        <v>13</v>
      </c>
      <c r="F2567" s="232">
        <v>233781</v>
      </c>
      <c r="G2567" s="232">
        <v>156319</v>
      </c>
      <c r="H2567" s="138">
        <f>G2567+F2567</f>
        <v>390100</v>
      </c>
      <c r="I2567" s="138">
        <f>H2567*E2567</f>
        <v>5071300</v>
      </c>
      <c r="J2567" s="108"/>
      <c r="K2567" s="16" t="s">
        <v>156</v>
      </c>
      <c r="L2567" s="16" t="s">
        <v>1681</v>
      </c>
    </row>
    <row r="2568" spans="1:14" s="16" customFormat="1" ht="25.5" outlineLevel="3">
      <c r="A2568" s="91"/>
      <c r="B2568" s="35">
        <f>MAXA(B$5:B2567)+1</f>
        <v>1282</v>
      </c>
      <c r="C2568" s="281" t="s">
        <v>2223</v>
      </c>
      <c r="D2568" s="230" t="s">
        <v>25</v>
      </c>
      <c r="E2568" s="137">
        <v>4</v>
      </c>
      <c r="F2568" s="232">
        <v>111847</v>
      </c>
      <c r="G2568" s="232">
        <v>99002</v>
      </c>
      <c r="H2568" s="138">
        <f>G2568+F2568</f>
        <v>210849</v>
      </c>
      <c r="I2568" s="138">
        <f>H2568*E2568</f>
        <v>843396</v>
      </c>
      <c r="J2568" s="108"/>
    </row>
    <row r="2569" spans="1:14" s="16" customFormat="1" ht="25.5" outlineLevel="3">
      <c r="A2569" s="91"/>
      <c r="B2569" s="35">
        <f>MAXA(B$5:B2568)+1</f>
        <v>1283</v>
      </c>
      <c r="C2569" s="281" t="s">
        <v>2236</v>
      </c>
      <c r="D2569" s="230" t="s">
        <v>25</v>
      </c>
      <c r="E2569" s="137">
        <v>4</v>
      </c>
      <c r="F2569" s="232">
        <v>94782</v>
      </c>
      <c r="G2569" s="232">
        <v>46896</v>
      </c>
      <c r="H2569" s="138">
        <f>G2569+F2569</f>
        <v>141678</v>
      </c>
      <c r="I2569" s="138">
        <f>H2569*E2569</f>
        <v>566712</v>
      </c>
      <c r="J2569" s="108"/>
    </row>
    <row r="2570" spans="1:14" s="16" customFormat="1" ht="51" outlineLevel="3">
      <c r="A2570" s="91"/>
      <c r="B2570" s="35">
        <f>MAXA(B$5:B2569)+1</f>
        <v>1284</v>
      </c>
      <c r="C2570" s="423" t="s">
        <v>1346</v>
      </c>
      <c r="D2570" s="136" t="s">
        <v>44</v>
      </c>
      <c r="E2570" s="137"/>
      <c r="F2570" s="232">
        <v>0</v>
      </c>
      <c r="G2570" s="232">
        <v>0</v>
      </c>
      <c r="H2570" s="138"/>
      <c r="I2570" s="138"/>
      <c r="J2570" s="167" t="s">
        <v>1344</v>
      </c>
    </row>
    <row r="2571" spans="1:14" s="16" customFormat="1" ht="25.5" outlineLevel="3">
      <c r="A2571" s="91"/>
      <c r="B2571" s="35">
        <f>MAXA(B$5:B2570)+1</f>
        <v>1285</v>
      </c>
      <c r="C2571" s="423" t="s">
        <v>2234</v>
      </c>
      <c r="D2571" s="136" t="s">
        <v>410</v>
      </c>
      <c r="E2571" s="137"/>
      <c r="F2571" s="232">
        <v>0</v>
      </c>
      <c r="G2571" s="232">
        <v>0</v>
      </c>
      <c r="H2571" s="138"/>
      <c r="I2571" s="138"/>
      <c r="J2571" s="108"/>
    </row>
    <row r="2572" spans="1:14" s="16" customFormat="1" ht="25.5" outlineLevel="3">
      <c r="A2572" s="91" t="s">
        <v>154</v>
      </c>
      <c r="B2572" s="35">
        <f>MAXA(B$5:B2571)+1</f>
        <v>1286</v>
      </c>
      <c r="C2572" s="423" t="s">
        <v>1752</v>
      </c>
      <c r="D2572" s="136" t="s">
        <v>32</v>
      </c>
      <c r="E2572" s="137">
        <f>22+5</f>
        <v>27</v>
      </c>
      <c r="F2572" s="232">
        <v>0</v>
      </c>
      <c r="G2572" s="232">
        <v>0</v>
      </c>
      <c r="H2572" s="138">
        <f>G2572+F2572</f>
        <v>0</v>
      </c>
      <c r="I2572" s="138">
        <f>H2572*E2572</f>
        <v>0</v>
      </c>
      <c r="J2572" s="108"/>
      <c r="K2572" s="16" t="s">
        <v>156</v>
      </c>
      <c r="L2572" s="16" t="s">
        <v>1681</v>
      </c>
    </row>
    <row r="2573" spans="1:14" s="16" customFormat="1" ht="25.5" outlineLevel="3">
      <c r="A2573" s="91"/>
      <c r="B2573" s="35">
        <f>MAXA(B$5:B2572)+1</f>
        <v>1287</v>
      </c>
      <c r="C2573" s="423" t="s">
        <v>2219</v>
      </c>
      <c r="D2573" s="136" t="s">
        <v>32</v>
      </c>
      <c r="E2573" s="137">
        <v>10</v>
      </c>
      <c r="F2573" s="232">
        <v>0</v>
      </c>
      <c r="G2573" s="232">
        <v>0</v>
      </c>
      <c r="H2573" s="138">
        <f>G2573+F2573</f>
        <v>0</v>
      </c>
      <c r="I2573" s="138">
        <f>H2573*E2573</f>
        <v>0</v>
      </c>
      <c r="J2573" s="108"/>
    </row>
    <row r="2574" spans="1:14" s="16" customFormat="1" ht="25.5" outlineLevel="3">
      <c r="A2574" s="91"/>
      <c r="B2574" s="35">
        <f>MAXA(B$5:B2573)+1</f>
        <v>1288</v>
      </c>
      <c r="C2574" s="423" t="s">
        <v>37</v>
      </c>
      <c r="D2574" s="136" t="s">
        <v>38</v>
      </c>
      <c r="E2574" s="137">
        <v>1</v>
      </c>
      <c r="F2574" s="232">
        <v>3567021</v>
      </c>
      <c r="G2574" s="232">
        <v>1280469</v>
      </c>
      <c r="H2574" s="138">
        <f>G2574+F2574</f>
        <v>4847490</v>
      </c>
      <c r="I2574" s="138">
        <f>H2574*E2574</f>
        <v>4847490</v>
      </c>
      <c r="J2574" s="108"/>
    </row>
    <row r="2575" spans="1:14" s="16" customFormat="1" ht="26.25" outlineLevel="3">
      <c r="A2575" s="91"/>
      <c r="B2575" s="51" t="s">
        <v>83</v>
      </c>
      <c r="C2575" s="438" t="s">
        <v>2237</v>
      </c>
      <c r="D2575" s="444"/>
      <c r="E2575" s="137"/>
      <c r="F2575" s="232">
        <v>0</v>
      </c>
      <c r="G2575" s="232">
        <v>0</v>
      </c>
      <c r="H2575" s="445"/>
      <c r="I2575" s="445"/>
      <c r="J2575" s="108"/>
      <c r="M2575" s="33" t="s">
        <v>83</v>
      </c>
      <c r="N2575" s="16" t="s">
        <v>83</v>
      </c>
    </row>
    <row r="2576" spans="1:14" s="16" customFormat="1" ht="25.5" outlineLevel="3">
      <c r="A2576" s="91"/>
      <c r="B2576" s="35">
        <f>MAXA(B$5:B2575)+1</f>
        <v>1289</v>
      </c>
      <c r="C2576" s="281" t="s">
        <v>2223</v>
      </c>
      <c r="D2576" s="230" t="s">
        <v>25</v>
      </c>
      <c r="E2576" s="137">
        <v>110</v>
      </c>
      <c r="F2576" s="232">
        <v>111847</v>
      </c>
      <c r="G2576" s="232">
        <v>99002</v>
      </c>
      <c r="H2576" s="138">
        <f t="shared" ref="H2576:H2582" si="253">G2576+F2576</f>
        <v>210849</v>
      </c>
      <c r="I2576" s="138">
        <f t="shared" ref="I2576:I2582" si="254">H2576*E2576</f>
        <v>23193390</v>
      </c>
      <c r="J2576" s="108"/>
    </row>
    <row r="2577" spans="1:16" s="16" customFormat="1" ht="25.5" outlineLevel="3">
      <c r="A2577" s="91"/>
      <c r="B2577" s="35">
        <f>MAXA(B$5:B2576)+1</f>
        <v>1290</v>
      </c>
      <c r="C2577" s="423" t="s">
        <v>1752</v>
      </c>
      <c r="D2577" s="136" t="s">
        <v>32</v>
      </c>
      <c r="E2577" s="137">
        <v>55</v>
      </c>
      <c r="F2577" s="232">
        <v>0</v>
      </c>
      <c r="G2577" s="232">
        <v>93791</v>
      </c>
      <c r="H2577" s="138">
        <f t="shared" si="253"/>
        <v>93791</v>
      </c>
      <c r="I2577" s="138">
        <f t="shared" si="254"/>
        <v>5158505</v>
      </c>
      <c r="J2577" s="108"/>
    </row>
    <row r="2578" spans="1:16" s="16" customFormat="1" ht="25.5" outlineLevel="3">
      <c r="A2578" s="91"/>
      <c r="B2578" s="35">
        <f>MAXA(B$5:B2577)+1</f>
        <v>1291</v>
      </c>
      <c r="C2578" s="423" t="s">
        <v>2219</v>
      </c>
      <c r="D2578" s="136" t="s">
        <v>32</v>
      </c>
      <c r="E2578" s="137">
        <v>20</v>
      </c>
      <c r="F2578" s="232">
        <v>185796</v>
      </c>
      <c r="G2578" s="232">
        <v>93791</v>
      </c>
      <c r="H2578" s="138">
        <f t="shared" si="253"/>
        <v>279587</v>
      </c>
      <c r="I2578" s="138">
        <f t="shared" si="254"/>
        <v>5591740</v>
      </c>
      <c r="J2578" s="108"/>
    </row>
    <row r="2579" spans="1:16" s="16" customFormat="1" ht="25.5" outlineLevel="3">
      <c r="A2579" s="91"/>
      <c r="B2579" s="35">
        <f>MAXA(B$5:B2578)+1</f>
        <v>1292</v>
      </c>
      <c r="C2579" s="423" t="s">
        <v>840</v>
      </c>
      <c r="D2579" s="136" t="s">
        <v>38</v>
      </c>
      <c r="E2579" s="137">
        <v>1</v>
      </c>
      <c r="F2579" s="232">
        <v>7997051</v>
      </c>
      <c r="G2579" s="232">
        <v>2870736</v>
      </c>
      <c r="H2579" s="138">
        <f t="shared" si="253"/>
        <v>10867787</v>
      </c>
      <c r="I2579" s="138">
        <f t="shared" si="254"/>
        <v>10867787</v>
      </c>
      <c r="J2579" s="108"/>
    </row>
    <row r="2580" spans="1:16" s="16" customFormat="1" ht="25.5" outlineLevel="3">
      <c r="A2580" s="91"/>
      <c r="B2580" s="35">
        <f>MAXA(B$5:B2579)+1</f>
        <v>1293</v>
      </c>
      <c r="C2580" s="423" t="s">
        <v>2226</v>
      </c>
      <c r="D2580" s="136" t="s">
        <v>38</v>
      </c>
      <c r="E2580" s="137">
        <v>1</v>
      </c>
      <c r="F2580" s="232">
        <v>0</v>
      </c>
      <c r="G2580" s="232">
        <v>0</v>
      </c>
      <c r="H2580" s="138">
        <f t="shared" si="253"/>
        <v>0</v>
      </c>
      <c r="I2580" s="138">
        <f t="shared" si="254"/>
        <v>0</v>
      </c>
      <c r="J2580" s="108"/>
    </row>
    <row r="2581" spans="1:16" s="16" customFormat="1" ht="25.5" outlineLevel="3">
      <c r="A2581" s="91"/>
      <c r="B2581" s="35">
        <f>MAXA(B$5:B2580)+1</f>
        <v>1294</v>
      </c>
      <c r="C2581" s="423" t="s">
        <v>2238</v>
      </c>
      <c r="D2581" s="136" t="s">
        <v>38</v>
      </c>
      <c r="E2581" s="137">
        <v>1</v>
      </c>
      <c r="F2581" s="232">
        <v>0</v>
      </c>
      <c r="G2581" s="232">
        <v>0</v>
      </c>
      <c r="H2581" s="138">
        <f t="shared" si="253"/>
        <v>0</v>
      </c>
      <c r="I2581" s="138">
        <f t="shared" si="254"/>
        <v>0</v>
      </c>
      <c r="J2581" s="108"/>
    </row>
    <row r="2582" spans="1:16" s="16" customFormat="1" ht="25.5" outlineLevel="3">
      <c r="A2582" s="91"/>
      <c r="B2582" s="35">
        <f>MAXA(B$5:B2581)+1</f>
        <v>1295</v>
      </c>
      <c r="C2582" s="423" t="s">
        <v>2239</v>
      </c>
      <c r="D2582" s="136" t="s">
        <v>38</v>
      </c>
      <c r="E2582" s="137">
        <v>1</v>
      </c>
      <c r="F2582" s="232">
        <v>0</v>
      </c>
      <c r="G2582" s="232">
        <v>0</v>
      </c>
      <c r="H2582" s="138">
        <f t="shared" si="253"/>
        <v>0</v>
      </c>
      <c r="I2582" s="138">
        <f t="shared" si="254"/>
        <v>0</v>
      </c>
      <c r="J2582" s="108"/>
    </row>
    <row r="2583" spans="1:16" s="16" customFormat="1" outlineLevel="1">
      <c r="A2583" s="91"/>
      <c r="B2583" s="35"/>
      <c r="C2583" s="423"/>
      <c r="D2583" s="136"/>
      <c r="E2583" s="137"/>
      <c r="F2583" s="232">
        <v>0</v>
      </c>
      <c r="G2583" s="232">
        <v>0</v>
      </c>
      <c r="H2583" s="445"/>
      <c r="I2583" s="445"/>
      <c r="J2583" s="108"/>
    </row>
    <row r="2584" spans="1:16" s="16" customFormat="1" ht="25.5">
      <c r="A2584" s="91"/>
      <c r="B2584" s="26" t="s">
        <v>1347</v>
      </c>
      <c r="C2584" s="215" t="s">
        <v>1348</v>
      </c>
      <c r="D2584" s="216"/>
      <c r="E2584" s="446"/>
      <c r="F2584" s="232">
        <v>0</v>
      </c>
      <c r="G2584" s="232">
        <v>0</v>
      </c>
      <c r="H2584" s="447"/>
      <c r="I2584" s="448">
        <f>SUBTOTAL(9,I2585:I2607)</f>
        <v>3542972893</v>
      </c>
      <c r="J2584" s="168"/>
      <c r="M2584" s="33" t="s">
        <v>1347</v>
      </c>
      <c r="P2584" s="16" t="s">
        <v>1347</v>
      </c>
    </row>
    <row r="2585" spans="1:16" s="16" customFormat="1" ht="76.5" outlineLevel="3">
      <c r="A2585" s="91"/>
      <c r="B2585" s="35"/>
      <c r="C2585" s="449" t="s">
        <v>1349</v>
      </c>
      <c r="D2585" s="244"/>
      <c r="E2585" s="137"/>
      <c r="F2585" s="232">
        <v>0</v>
      </c>
      <c r="G2585" s="232">
        <v>0</v>
      </c>
      <c r="H2585" s="282"/>
      <c r="I2585" s="283"/>
      <c r="J2585" s="50"/>
    </row>
    <row r="2586" spans="1:16" s="16" customFormat="1" ht="76.5" outlineLevel="3">
      <c r="A2586" s="91"/>
      <c r="B2586" s="35"/>
      <c r="C2586" s="449" t="s">
        <v>1350</v>
      </c>
      <c r="D2586" s="244"/>
      <c r="E2586" s="137"/>
      <c r="F2586" s="232">
        <v>0</v>
      </c>
      <c r="G2586" s="232">
        <v>0</v>
      </c>
      <c r="H2586" s="282"/>
      <c r="I2586" s="283"/>
      <c r="J2586" s="50"/>
    </row>
    <row r="2587" spans="1:16" s="16" customFormat="1" ht="25.5" outlineLevel="3">
      <c r="A2587" s="91"/>
      <c r="B2587" s="35">
        <f>MAXA(B$5:B2586)+1</f>
        <v>1296</v>
      </c>
      <c r="C2587" s="432" t="s">
        <v>1351</v>
      </c>
      <c r="D2587" s="259"/>
      <c r="E2587" s="377"/>
      <c r="F2587" s="232">
        <v>0</v>
      </c>
      <c r="G2587" s="232">
        <v>0</v>
      </c>
      <c r="H2587" s="339"/>
      <c r="I2587" s="339">
        <f>SUBTOTAL(9,I2588:I2595)</f>
        <v>1005944393</v>
      </c>
      <c r="J2587" s="169"/>
    </row>
    <row r="2588" spans="1:16" s="16" customFormat="1" ht="25.5" outlineLevel="3">
      <c r="A2588" s="91"/>
      <c r="B2588" s="35"/>
      <c r="C2588" s="432" t="s">
        <v>2240</v>
      </c>
      <c r="D2588" s="259"/>
      <c r="E2588" s="377"/>
      <c r="F2588" s="232">
        <v>0</v>
      </c>
      <c r="G2588" s="232">
        <v>0</v>
      </c>
      <c r="H2588" s="339"/>
      <c r="I2588" s="339">
        <f>SUBTOTAL(9,I2589:I2591)</f>
        <v>982804570</v>
      </c>
      <c r="J2588" s="169"/>
    </row>
    <row r="2589" spans="1:16" s="16" customFormat="1" ht="25.5" outlineLevel="3">
      <c r="A2589" s="91"/>
      <c r="B2589" s="35"/>
      <c r="C2589" s="431" t="s">
        <v>1355</v>
      </c>
      <c r="D2589" s="230" t="s">
        <v>745</v>
      </c>
      <c r="E2589" s="137">
        <v>570</v>
      </c>
      <c r="F2589" s="232">
        <v>358835</v>
      </c>
      <c r="G2589" s="232">
        <v>137561</v>
      </c>
      <c r="H2589" s="138">
        <f>(F2589+G2589)</f>
        <v>496396</v>
      </c>
      <c r="I2589" s="138">
        <f>E2589*H2589</f>
        <v>282945720</v>
      </c>
      <c r="J2589" s="169"/>
    </row>
    <row r="2590" spans="1:16" s="16" customFormat="1" ht="25.5" outlineLevel="3">
      <c r="A2590" s="91"/>
      <c r="B2590" s="35"/>
      <c r="C2590" s="431" t="s">
        <v>1358</v>
      </c>
      <c r="D2590" s="230" t="s">
        <v>745</v>
      </c>
      <c r="E2590" s="137">
        <v>1100</v>
      </c>
      <c r="F2590" s="232">
        <v>296779</v>
      </c>
      <c r="G2590" s="232">
        <v>125055</v>
      </c>
      <c r="H2590" s="138">
        <f>(F2590+G2590)</f>
        <v>421834</v>
      </c>
      <c r="I2590" s="138">
        <f>E2590*H2590</f>
        <v>464017400</v>
      </c>
      <c r="J2590" s="169"/>
    </row>
    <row r="2591" spans="1:16" ht="25.5" outlineLevel="3">
      <c r="B2591" s="35"/>
      <c r="C2591" s="431" t="s">
        <v>2241</v>
      </c>
      <c r="D2591" s="230" t="s">
        <v>745</v>
      </c>
      <c r="E2591" s="137">
        <v>650</v>
      </c>
      <c r="F2591" s="232">
        <v>244031</v>
      </c>
      <c r="G2591" s="232">
        <v>118802</v>
      </c>
      <c r="H2591" s="138">
        <f>(F2591+G2591)</f>
        <v>362833</v>
      </c>
      <c r="I2591" s="138">
        <f>E2591*H2591</f>
        <v>235841450</v>
      </c>
      <c r="J2591" s="169"/>
    </row>
    <row r="2592" spans="1:16" ht="25.5" outlineLevel="3">
      <c r="B2592" s="35"/>
      <c r="C2592" s="432" t="s">
        <v>2242</v>
      </c>
      <c r="D2592" s="259"/>
      <c r="E2592" s="377"/>
      <c r="F2592" s="232">
        <v>0</v>
      </c>
      <c r="G2592" s="232">
        <v>0</v>
      </c>
      <c r="H2592" s="339"/>
      <c r="I2592" s="339">
        <f>SUBTOTAL(9,I2593:I2595)</f>
        <v>23139823</v>
      </c>
      <c r="J2592" s="169"/>
    </row>
    <row r="2593" spans="2:16" ht="25.5" outlineLevel="3">
      <c r="B2593" s="35"/>
      <c r="C2593" s="431" t="s">
        <v>2243</v>
      </c>
      <c r="D2593" s="230" t="s">
        <v>2244</v>
      </c>
      <c r="E2593" s="137">
        <v>910</v>
      </c>
      <c r="F2593" s="232">
        <v>7130</v>
      </c>
      <c r="G2593" s="232">
        <v>14590</v>
      </c>
      <c r="H2593" s="138">
        <f>(F2593+G2593)</f>
        <v>21720</v>
      </c>
      <c r="I2593" s="138">
        <f>E2593*H2593</f>
        <v>19765200</v>
      </c>
      <c r="J2593" s="169"/>
    </row>
    <row r="2594" spans="2:16" ht="25.5" outlineLevel="3">
      <c r="B2594" s="35"/>
      <c r="C2594" s="431" t="s">
        <v>2245</v>
      </c>
      <c r="D2594" s="230" t="s">
        <v>2244</v>
      </c>
      <c r="E2594" s="137">
        <v>36</v>
      </c>
      <c r="F2594" s="232">
        <v>31670</v>
      </c>
      <c r="G2594" s="232">
        <v>26053</v>
      </c>
      <c r="H2594" s="138">
        <f>(F2594+G2594)</f>
        <v>57723</v>
      </c>
      <c r="I2594" s="138">
        <f>E2594*H2594</f>
        <v>2078028</v>
      </c>
      <c r="J2594" s="169"/>
    </row>
    <row r="2595" spans="2:16" outlineLevel="3">
      <c r="B2595" s="35"/>
      <c r="C2595" s="431" t="s">
        <v>2246</v>
      </c>
      <c r="D2595" s="230" t="s">
        <v>2244</v>
      </c>
      <c r="E2595" s="137">
        <v>211</v>
      </c>
      <c r="F2595" s="232">
        <v>3019</v>
      </c>
      <c r="G2595" s="232">
        <v>3126</v>
      </c>
      <c r="H2595" s="138">
        <f>(F2595+G2595)</f>
        <v>6145</v>
      </c>
      <c r="I2595" s="138">
        <f>E2595*H2595</f>
        <v>1296595</v>
      </c>
      <c r="J2595" s="169"/>
    </row>
    <row r="2596" spans="2:16" outlineLevel="3">
      <c r="B2596" s="35">
        <f>MAXA(B$5:B2595)+1</f>
        <v>1297</v>
      </c>
      <c r="C2596" s="432" t="s">
        <v>1359</v>
      </c>
      <c r="D2596" s="259"/>
      <c r="E2596" s="377"/>
      <c r="F2596" s="232">
        <v>0</v>
      </c>
      <c r="G2596" s="232">
        <v>0</v>
      </c>
      <c r="H2596" s="339"/>
      <c r="I2596" s="339">
        <f>SUBTOTAL(9,I2597:I2599)</f>
        <v>766408500</v>
      </c>
      <c r="J2596" s="169"/>
    </row>
    <row r="2597" spans="2:16" ht="25.5" outlineLevel="3">
      <c r="B2597" s="35"/>
      <c r="C2597" s="431" t="s">
        <v>1360</v>
      </c>
      <c r="D2597" s="230" t="s">
        <v>2247</v>
      </c>
      <c r="E2597" s="137">
        <v>1</v>
      </c>
      <c r="F2597" s="232">
        <v>0</v>
      </c>
      <c r="G2597" s="232">
        <v>0</v>
      </c>
      <c r="H2597" s="138">
        <f>(F2597+G2597)</f>
        <v>0</v>
      </c>
      <c r="I2597" s="138">
        <f>E2597*H2597</f>
        <v>0</v>
      </c>
      <c r="J2597" s="169"/>
    </row>
    <row r="2598" spans="2:16" ht="25.5" outlineLevel="3">
      <c r="B2598" s="35"/>
      <c r="C2598" s="431" t="s">
        <v>2248</v>
      </c>
      <c r="D2598" s="230" t="s">
        <v>2247</v>
      </c>
      <c r="E2598" s="137">
        <v>1</v>
      </c>
      <c r="F2598" s="232">
        <v>383204250</v>
      </c>
      <c r="G2598" s="232">
        <v>0</v>
      </c>
      <c r="H2598" s="138">
        <f>(F2598+G2598)</f>
        <v>383204250</v>
      </c>
      <c r="I2598" s="138">
        <f>E2598*H2598</f>
        <v>383204250</v>
      </c>
      <c r="J2598" s="169"/>
    </row>
    <row r="2599" spans="2:16" ht="25.5" outlineLevel="3">
      <c r="B2599" s="35"/>
      <c r="C2599" s="431" t="s">
        <v>1362</v>
      </c>
      <c r="D2599" s="230" t="s">
        <v>2247</v>
      </c>
      <c r="E2599" s="137">
        <v>1</v>
      </c>
      <c r="F2599" s="232">
        <v>383204250</v>
      </c>
      <c r="G2599" s="232">
        <v>0</v>
      </c>
      <c r="H2599" s="138">
        <f>(F2599+G2599)</f>
        <v>383204250</v>
      </c>
      <c r="I2599" s="138">
        <f>E2599*H2599</f>
        <v>383204250</v>
      </c>
      <c r="J2599" s="169"/>
    </row>
    <row r="2600" spans="2:16" ht="25.5" outlineLevel="3">
      <c r="B2600" s="35">
        <f>MAXA(B$5:B2599)+1</f>
        <v>1298</v>
      </c>
      <c r="C2600" s="432" t="s">
        <v>1363</v>
      </c>
      <c r="D2600" s="259" t="s">
        <v>2247</v>
      </c>
      <c r="E2600" s="377">
        <v>1</v>
      </c>
      <c r="F2600" s="232">
        <v>580612500</v>
      </c>
      <c r="G2600" s="232">
        <v>104212500</v>
      </c>
      <c r="H2600" s="339">
        <f>(F2600+G2600)</f>
        <v>684825000</v>
      </c>
      <c r="I2600" s="339">
        <f>E2600*H2600</f>
        <v>684825000</v>
      </c>
      <c r="J2600" s="169"/>
    </row>
    <row r="2601" spans="2:16" outlineLevel="3">
      <c r="B2601" s="35">
        <f>MAXA(B$5:B2600)+1</f>
        <v>1299</v>
      </c>
      <c r="C2601" s="432" t="s">
        <v>1364</v>
      </c>
      <c r="D2601" s="259"/>
      <c r="E2601" s="377"/>
      <c r="F2601" s="232">
        <v>0</v>
      </c>
      <c r="G2601" s="232">
        <v>0</v>
      </c>
      <c r="H2601" s="339"/>
      <c r="I2601" s="339">
        <f>SUBTOTAL(9,I2602:I2607)</f>
        <v>1085795000</v>
      </c>
      <c r="J2601" s="169"/>
    </row>
    <row r="2602" spans="2:16" outlineLevel="3">
      <c r="B2602" s="35"/>
      <c r="C2602" s="431" t="s">
        <v>1365</v>
      </c>
      <c r="D2602" s="230" t="s">
        <v>1366</v>
      </c>
      <c r="E2602" s="137">
        <v>1</v>
      </c>
      <c r="F2602" s="232">
        <v>232245000</v>
      </c>
      <c r="G2602" s="232">
        <v>41685000</v>
      </c>
      <c r="H2602" s="138">
        <f t="shared" ref="H2602:H2607" si="255">(F2602+G2602)</f>
        <v>273930000</v>
      </c>
      <c r="I2602" s="138">
        <f>E2602*H2602</f>
        <v>273930000</v>
      </c>
      <c r="J2602" s="169"/>
    </row>
    <row r="2603" spans="2:16" outlineLevel="3">
      <c r="B2603" s="35"/>
      <c r="C2603" s="431" t="s">
        <v>1367</v>
      </c>
      <c r="D2603" s="230" t="s">
        <v>1366</v>
      </c>
      <c r="E2603" s="137">
        <v>1</v>
      </c>
      <c r="F2603" s="232">
        <v>248125000</v>
      </c>
      <c r="G2603" s="232">
        <v>99250000</v>
      </c>
      <c r="H2603" s="138">
        <f t="shared" si="255"/>
        <v>347375000</v>
      </c>
      <c r="I2603" s="138">
        <f>E2603*H2603</f>
        <v>347375000</v>
      </c>
      <c r="J2603" s="169"/>
    </row>
    <row r="2604" spans="2:16" ht="25.5" outlineLevel="3">
      <c r="B2604" s="35"/>
      <c r="C2604" s="431" t="s">
        <v>1368</v>
      </c>
      <c r="D2604" s="230" t="s">
        <v>1366</v>
      </c>
      <c r="E2604" s="137">
        <v>1</v>
      </c>
      <c r="F2604" s="232">
        <v>0</v>
      </c>
      <c r="G2604" s="232">
        <v>0</v>
      </c>
      <c r="H2604" s="138">
        <f t="shared" si="255"/>
        <v>0</v>
      </c>
      <c r="I2604" s="138">
        <f>E2604*H2604</f>
        <v>0</v>
      </c>
      <c r="J2604" s="169" t="s">
        <v>1369</v>
      </c>
    </row>
    <row r="2605" spans="2:16" ht="25.5" outlineLevel="3">
      <c r="B2605" s="35"/>
      <c r="C2605" s="431" t="s">
        <v>1370</v>
      </c>
      <c r="D2605" s="230" t="s">
        <v>1366</v>
      </c>
      <c r="E2605" s="137">
        <v>1</v>
      </c>
      <c r="F2605" s="232">
        <v>464490000</v>
      </c>
      <c r="G2605" s="232">
        <v>0</v>
      </c>
      <c r="H2605" s="138">
        <f>(F2605+G2605)</f>
        <v>464490000</v>
      </c>
      <c r="I2605" s="138">
        <f>E2605*H2605</f>
        <v>464490000</v>
      </c>
      <c r="J2605" s="169"/>
    </row>
    <row r="2606" spans="2:16" outlineLevel="3">
      <c r="B2606" s="35"/>
      <c r="C2606" s="431"/>
      <c r="D2606" s="230"/>
      <c r="E2606" s="137"/>
      <c r="F2606" s="232">
        <v>0</v>
      </c>
      <c r="G2606" s="232">
        <v>0</v>
      </c>
      <c r="H2606" s="138">
        <f t="shared" si="255"/>
        <v>0</v>
      </c>
      <c r="I2606" s="138">
        <f>E2606*H2606</f>
        <v>0</v>
      </c>
      <c r="J2606" s="169"/>
    </row>
    <row r="2607" spans="2:16" outlineLevel="3">
      <c r="B2607" s="35"/>
      <c r="C2607" s="431"/>
      <c r="D2607" s="230"/>
      <c r="E2607" s="137"/>
      <c r="F2607" s="232"/>
      <c r="G2607" s="232"/>
      <c r="H2607" s="138">
        <f t="shared" si="255"/>
        <v>0</v>
      </c>
      <c r="I2607" s="138">
        <f>H2607*E2607</f>
        <v>0</v>
      </c>
      <c r="J2607" s="169"/>
    </row>
    <row r="2608" spans="2:16" ht="27" thickBot="1">
      <c r="B2608" s="450"/>
      <c r="C2608" s="451" t="s">
        <v>1373</v>
      </c>
      <c r="D2608" s="452"/>
      <c r="E2608" s="453"/>
      <c r="F2608" s="452"/>
      <c r="G2608" s="452"/>
      <c r="H2608" s="454"/>
      <c r="I2608" s="455">
        <f>SUBTOTAL(9,I9:I2607)</f>
        <v>99540039608</v>
      </c>
      <c r="J2608" s="456">
        <v>99540039608</v>
      </c>
      <c r="K2608" s="85">
        <f>I2608-J2608</f>
        <v>0</v>
      </c>
      <c r="M2608" s="33" t="s">
        <v>2249</v>
      </c>
      <c r="N2608" s="33" t="s">
        <v>2249</v>
      </c>
      <c r="O2608" s="33" t="s">
        <v>2249</v>
      </c>
      <c r="P2608" s="33" t="s">
        <v>2249</v>
      </c>
    </row>
    <row r="2609" spans="8:9" ht="16.149999999999999" customHeight="1">
      <c r="H2609" s="100" t="s">
        <v>2250</v>
      </c>
      <c r="I2609" s="190">
        <f>'A3-MEP'!I2590</f>
        <v>63484747338.835999</v>
      </c>
    </row>
    <row r="2610" spans="8:9" ht="15">
      <c r="H2610" s="192" t="s">
        <v>2251</v>
      </c>
      <c r="I2610" s="182">
        <f>I2608+I2609</f>
        <v>163024786946.836</v>
      </c>
    </row>
  </sheetData>
  <autoFilter ref="A6:J2607" xr:uid="{00000000-0009-0000-0000-000001000000}"/>
  <mergeCells count="8">
    <mergeCell ref="I5:I6"/>
    <mergeCell ref="J5:J6"/>
    <mergeCell ref="B5:B6"/>
    <mergeCell ref="C5:C6"/>
    <mergeCell ref="D5:D6"/>
    <mergeCell ref="E5:E6"/>
    <mergeCell ref="F5:G5"/>
    <mergeCell ref="H5:H6"/>
  </mergeCells>
  <dataValidations count="1">
    <dataValidation type="textLength" allowBlank="1" showInputMessage="1" showErrorMessage="1" sqref="E865 JA865 SW865 ACS865 AMO865 AWK865 BGG865 BQC865 BZY865 CJU865 CTQ865 DDM865 DNI865 DXE865 EHA865 EQW865 FAS865 FKO865 FUK865 GEG865 GOC865 GXY865 HHU865 HRQ865 IBM865 ILI865 IVE865 JFA865 JOW865 JYS865 KIO865 KSK865 LCG865 LMC865 LVY865 MFU865 MPQ865 MZM865 NJI865 NTE865 ODA865 OMW865 OWS865 PGO865 PQK865 QAG865 QKC865 QTY865 RDU865 RNQ865 RXM865 SHI865 SRE865 TBA865 TKW865 TUS865 UEO865 UOK865 UYG865 VIC865 VRY865 WBU865 WLQ865 WVM865 E66401 JA66401 SW66401 ACS66401 AMO66401 AWK66401 BGG66401 BQC66401 BZY66401 CJU66401 CTQ66401 DDM66401 DNI66401 DXE66401 EHA66401 EQW66401 FAS66401 FKO66401 FUK66401 GEG66401 GOC66401 GXY66401 HHU66401 HRQ66401 IBM66401 ILI66401 IVE66401 JFA66401 JOW66401 JYS66401 KIO66401 KSK66401 LCG66401 LMC66401 LVY66401 MFU66401 MPQ66401 MZM66401 NJI66401 NTE66401 ODA66401 OMW66401 OWS66401 PGO66401 PQK66401 QAG66401 QKC66401 QTY66401 RDU66401 RNQ66401 RXM66401 SHI66401 SRE66401 TBA66401 TKW66401 TUS66401 UEO66401 UOK66401 UYG66401 VIC66401 VRY66401 WBU66401 WLQ66401 WVM66401 E131937 JA131937 SW131937 ACS131937 AMO131937 AWK131937 BGG131937 BQC131937 BZY131937 CJU131937 CTQ131937 DDM131937 DNI131937 DXE131937 EHA131937 EQW131937 FAS131937 FKO131937 FUK131937 GEG131937 GOC131937 GXY131937 HHU131937 HRQ131937 IBM131937 ILI131937 IVE131937 JFA131937 JOW131937 JYS131937 KIO131937 KSK131937 LCG131937 LMC131937 LVY131937 MFU131937 MPQ131937 MZM131937 NJI131937 NTE131937 ODA131937 OMW131937 OWS131937 PGO131937 PQK131937 QAG131937 QKC131937 QTY131937 RDU131937 RNQ131937 RXM131937 SHI131937 SRE131937 TBA131937 TKW131937 TUS131937 UEO131937 UOK131937 UYG131937 VIC131937 VRY131937 WBU131937 WLQ131937 WVM131937 E197473 JA197473 SW197473 ACS197473 AMO197473 AWK197473 BGG197473 BQC197473 BZY197473 CJU197473 CTQ197473 DDM197473 DNI197473 DXE197473 EHA197473 EQW197473 FAS197473 FKO197473 FUK197473 GEG197473 GOC197473 GXY197473 HHU197473 HRQ197473 IBM197473 ILI197473 IVE197473 JFA197473 JOW197473 JYS197473 KIO197473 KSK197473 LCG197473 LMC197473 LVY197473 MFU197473 MPQ197473 MZM197473 NJI197473 NTE197473 ODA197473 OMW197473 OWS197473 PGO197473 PQK197473 QAG197473 QKC197473 QTY197473 RDU197473 RNQ197473 RXM197473 SHI197473 SRE197473 TBA197473 TKW197473 TUS197473 UEO197473 UOK197473 UYG197473 VIC197473 VRY197473 WBU197473 WLQ197473 WVM197473 E263009 JA263009 SW263009 ACS263009 AMO263009 AWK263009 BGG263009 BQC263009 BZY263009 CJU263009 CTQ263009 DDM263009 DNI263009 DXE263009 EHA263009 EQW263009 FAS263009 FKO263009 FUK263009 GEG263009 GOC263009 GXY263009 HHU263009 HRQ263009 IBM263009 ILI263009 IVE263009 JFA263009 JOW263009 JYS263009 KIO263009 KSK263009 LCG263009 LMC263009 LVY263009 MFU263009 MPQ263009 MZM263009 NJI263009 NTE263009 ODA263009 OMW263009 OWS263009 PGO263009 PQK263009 QAG263009 QKC263009 QTY263009 RDU263009 RNQ263009 RXM263009 SHI263009 SRE263009 TBA263009 TKW263009 TUS263009 UEO263009 UOK263009 UYG263009 VIC263009 VRY263009 WBU263009 WLQ263009 WVM263009 E328545 JA328545 SW328545 ACS328545 AMO328545 AWK328545 BGG328545 BQC328545 BZY328545 CJU328545 CTQ328545 DDM328545 DNI328545 DXE328545 EHA328545 EQW328545 FAS328545 FKO328545 FUK328545 GEG328545 GOC328545 GXY328545 HHU328545 HRQ328545 IBM328545 ILI328545 IVE328545 JFA328545 JOW328545 JYS328545 KIO328545 KSK328545 LCG328545 LMC328545 LVY328545 MFU328545 MPQ328545 MZM328545 NJI328545 NTE328545 ODA328545 OMW328545 OWS328545 PGO328545 PQK328545 QAG328545 QKC328545 QTY328545 RDU328545 RNQ328545 RXM328545 SHI328545 SRE328545 TBA328545 TKW328545 TUS328545 UEO328545 UOK328545 UYG328545 VIC328545 VRY328545 WBU328545 WLQ328545 WVM328545 E394081 JA394081 SW394081 ACS394081 AMO394081 AWK394081 BGG394081 BQC394081 BZY394081 CJU394081 CTQ394081 DDM394081 DNI394081 DXE394081 EHA394081 EQW394081 FAS394081 FKO394081 FUK394081 GEG394081 GOC394081 GXY394081 HHU394081 HRQ394081 IBM394081 ILI394081 IVE394081 JFA394081 JOW394081 JYS394081 KIO394081 KSK394081 LCG394081 LMC394081 LVY394081 MFU394081 MPQ394081 MZM394081 NJI394081 NTE394081 ODA394081 OMW394081 OWS394081 PGO394081 PQK394081 QAG394081 QKC394081 QTY394081 RDU394081 RNQ394081 RXM394081 SHI394081 SRE394081 TBA394081 TKW394081 TUS394081 UEO394081 UOK394081 UYG394081 VIC394081 VRY394081 WBU394081 WLQ394081 WVM394081 E459617 JA459617 SW459617 ACS459617 AMO459617 AWK459617 BGG459617 BQC459617 BZY459617 CJU459617 CTQ459617 DDM459617 DNI459617 DXE459617 EHA459617 EQW459617 FAS459617 FKO459617 FUK459617 GEG459617 GOC459617 GXY459617 HHU459617 HRQ459617 IBM459617 ILI459617 IVE459617 JFA459617 JOW459617 JYS459617 KIO459617 KSK459617 LCG459617 LMC459617 LVY459617 MFU459617 MPQ459617 MZM459617 NJI459617 NTE459617 ODA459617 OMW459617 OWS459617 PGO459617 PQK459617 QAG459617 QKC459617 QTY459617 RDU459617 RNQ459617 RXM459617 SHI459617 SRE459617 TBA459617 TKW459617 TUS459617 UEO459617 UOK459617 UYG459617 VIC459617 VRY459617 WBU459617 WLQ459617 WVM459617 E525153 JA525153 SW525153 ACS525153 AMO525153 AWK525153 BGG525153 BQC525153 BZY525153 CJU525153 CTQ525153 DDM525153 DNI525153 DXE525153 EHA525153 EQW525153 FAS525153 FKO525153 FUK525153 GEG525153 GOC525153 GXY525153 HHU525153 HRQ525153 IBM525153 ILI525153 IVE525153 JFA525153 JOW525153 JYS525153 KIO525153 KSK525153 LCG525153 LMC525153 LVY525153 MFU525153 MPQ525153 MZM525153 NJI525153 NTE525153 ODA525153 OMW525153 OWS525153 PGO525153 PQK525153 QAG525153 QKC525153 QTY525153 RDU525153 RNQ525153 RXM525153 SHI525153 SRE525153 TBA525153 TKW525153 TUS525153 UEO525153 UOK525153 UYG525153 VIC525153 VRY525153 WBU525153 WLQ525153 WVM525153 E590689 JA590689 SW590689 ACS590689 AMO590689 AWK590689 BGG590689 BQC590689 BZY590689 CJU590689 CTQ590689 DDM590689 DNI590689 DXE590689 EHA590689 EQW590689 FAS590689 FKO590689 FUK590689 GEG590689 GOC590689 GXY590689 HHU590689 HRQ590689 IBM590689 ILI590689 IVE590689 JFA590689 JOW590689 JYS590689 KIO590689 KSK590689 LCG590689 LMC590689 LVY590689 MFU590689 MPQ590689 MZM590689 NJI590689 NTE590689 ODA590689 OMW590689 OWS590689 PGO590689 PQK590689 QAG590689 QKC590689 QTY590689 RDU590689 RNQ590689 RXM590689 SHI590689 SRE590689 TBA590689 TKW590689 TUS590689 UEO590689 UOK590689 UYG590689 VIC590689 VRY590689 WBU590689 WLQ590689 WVM590689 E656225 JA656225 SW656225 ACS656225 AMO656225 AWK656225 BGG656225 BQC656225 BZY656225 CJU656225 CTQ656225 DDM656225 DNI656225 DXE656225 EHA656225 EQW656225 FAS656225 FKO656225 FUK656225 GEG656225 GOC656225 GXY656225 HHU656225 HRQ656225 IBM656225 ILI656225 IVE656225 JFA656225 JOW656225 JYS656225 KIO656225 KSK656225 LCG656225 LMC656225 LVY656225 MFU656225 MPQ656225 MZM656225 NJI656225 NTE656225 ODA656225 OMW656225 OWS656225 PGO656225 PQK656225 QAG656225 QKC656225 QTY656225 RDU656225 RNQ656225 RXM656225 SHI656225 SRE656225 TBA656225 TKW656225 TUS656225 UEO656225 UOK656225 UYG656225 VIC656225 VRY656225 WBU656225 WLQ656225 WVM656225 E721761 JA721761 SW721761 ACS721761 AMO721761 AWK721761 BGG721761 BQC721761 BZY721761 CJU721761 CTQ721761 DDM721761 DNI721761 DXE721761 EHA721761 EQW721761 FAS721761 FKO721761 FUK721761 GEG721761 GOC721761 GXY721761 HHU721761 HRQ721761 IBM721761 ILI721761 IVE721761 JFA721761 JOW721761 JYS721761 KIO721761 KSK721761 LCG721761 LMC721761 LVY721761 MFU721761 MPQ721761 MZM721761 NJI721761 NTE721761 ODA721761 OMW721761 OWS721761 PGO721761 PQK721761 QAG721761 QKC721761 QTY721761 RDU721761 RNQ721761 RXM721761 SHI721761 SRE721761 TBA721761 TKW721761 TUS721761 UEO721761 UOK721761 UYG721761 VIC721761 VRY721761 WBU721761 WLQ721761 WVM721761 E787297 JA787297 SW787297 ACS787297 AMO787297 AWK787297 BGG787297 BQC787297 BZY787297 CJU787297 CTQ787297 DDM787297 DNI787297 DXE787297 EHA787297 EQW787297 FAS787297 FKO787297 FUK787297 GEG787297 GOC787297 GXY787297 HHU787297 HRQ787297 IBM787297 ILI787297 IVE787297 JFA787297 JOW787297 JYS787297 KIO787297 KSK787297 LCG787297 LMC787297 LVY787297 MFU787297 MPQ787297 MZM787297 NJI787297 NTE787297 ODA787297 OMW787297 OWS787297 PGO787297 PQK787297 QAG787297 QKC787297 QTY787297 RDU787297 RNQ787297 RXM787297 SHI787297 SRE787297 TBA787297 TKW787297 TUS787297 UEO787297 UOK787297 UYG787297 VIC787297 VRY787297 WBU787297 WLQ787297 WVM787297 E852833 JA852833 SW852833 ACS852833 AMO852833 AWK852833 BGG852833 BQC852833 BZY852833 CJU852833 CTQ852833 DDM852833 DNI852833 DXE852833 EHA852833 EQW852833 FAS852833 FKO852833 FUK852833 GEG852833 GOC852833 GXY852833 HHU852833 HRQ852833 IBM852833 ILI852833 IVE852833 JFA852833 JOW852833 JYS852833 KIO852833 KSK852833 LCG852833 LMC852833 LVY852833 MFU852833 MPQ852833 MZM852833 NJI852833 NTE852833 ODA852833 OMW852833 OWS852833 PGO852833 PQK852833 QAG852833 QKC852833 QTY852833 RDU852833 RNQ852833 RXM852833 SHI852833 SRE852833 TBA852833 TKW852833 TUS852833 UEO852833 UOK852833 UYG852833 VIC852833 VRY852833 WBU852833 WLQ852833 WVM852833 E918369 JA918369 SW918369 ACS918369 AMO918369 AWK918369 BGG918369 BQC918369 BZY918369 CJU918369 CTQ918369 DDM918369 DNI918369 DXE918369 EHA918369 EQW918369 FAS918369 FKO918369 FUK918369 GEG918369 GOC918369 GXY918369 HHU918369 HRQ918369 IBM918369 ILI918369 IVE918369 JFA918369 JOW918369 JYS918369 KIO918369 KSK918369 LCG918369 LMC918369 LVY918369 MFU918369 MPQ918369 MZM918369 NJI918369 NTE918369 ODA918369 OMW918369 OWS918369 PGO918369 PQK918369 QAG918369 QKC918369 QTY918369 RDU918369 RNQ918369 RXM918369 SHI918369 SRE918369 TBA918369 TKW918369 TUS918369 UEO918369 UOK918369 UYG918369 VIC918369 VRY918369 WBU918369 WLQ918369 WVM918369 E983905 JA983905 SW983905 ACS983905 AMO983905 AWK983905 BGG983905 BQC983905 BZY983905 CJU983905 CTQ983905 DDM983905 DNI983905 DXE983905 EHA983905 EQW983905 FAS983905 FKO983905 FUK983905 GEG983905 GOC983905 GXY983905 HHU983905 HRQ983905 IBM983905 ILI983905 IVE983905 JFA983905 JOW983905 JYS983905 KIO983905 KSK983905 LCG983905 LMC983905 LVY983905 MFU983905 MPQ983905 MZM983905 NJI983905 NTE983905 ODA983905 OMW983905 OWS983905 PGO983905 PQK983905 QAG983905 QKC983905 QTY983905 RDU983905 RNQ983905 RXM983905 SHI983905 SRE983905 TBA983905 TKW983905 TUS983905 UEO983905 UOK983905 UYG983905 VIC983905 VRY983905 WBU983905 WLQ983905 WVM983905 C878:C882 IY878:IY882 SU878:SU882 ACQ878:ACQ882 AMM878:AMM882 AWI878:AWI882 BGE878:BGE882 BQA878:BQA882 BZW878:BZW882 CJS878:CJS882 CTO878:CTO882 DDK878:DDK882 DNG878:DNG882 DXC878:DXC882 EGY878:EGY882 EQU878:EQU882 FAQ878:FAQ882 FKM878:FKM882 FUI878:FUI882 GEE878:GEE882 GOA878:GOA882 GXW878:GXW882 HHS878:HHS882 HRO878:HRO882 IBK878:IBK882 ILG878:ILG882 IVC878:IVC882 JEY878:JEY882 JOU878:JOU882 JYQ878:JYQ882 KIM878:KIM882 KSI878:KSI882 LCE878:LCE882 LMA878:LMA882 LVW878:LVW882 MFS878:MFS882 MPO878:MPO882 MZK878:MZK882 NJG878:NJG882 NTC878:NTC882 OCY878:OCY882 OMU878:OMU882 OWQ878:OWQ882 PGM878:PGM882 PQI878:PQI882 QAE878:QAE882 QKA878:QKA882 QTW878:QTW882 RDS878:RDS882 RNO878:RNO882 RXK878:RXK882 SHG878:SHG882 SRC878:SRC882 TAY878:TAY882 TKU878:TKU882 TUQ878:TUQ882 UEM878:UEM882 UOI878:UOI882 UYE878:UYE882 VIA878:VIA882 VRW878:VRW882 WBS878:WBS882 WLO878:WLO882 WVK878:WVK882 C66414:C66418 IY66414:IY66418 SU66414:SU66418 ACQ66414:ACQ66418 AMM66414:AMM66418 AWI66414:AWI66418 BGE66414:BGE66418 BQA66414:BQA66418 BZW66414:BZW66418 CJS66414:CJS66418 CTO66414:CTO66418 DDK66414:DDK66418 DNG66414:DNG66418 DXC66414:DXC66418 EGY66414:EGY66418 EQU66414:EQU66418 FAQ66414:FAQ66418 FKM66414:FKM66418 FUI66414:FUI66418 GEE66414:GEE66418 GOA66414:GOA66418 GXW66414:GXW66418 HHS66414:HHS66418 HRO66414:HRO66418 IBK66414:IBK66418 ILG66414:ILG66418 IVC66414:IVC66418 JEY66414:JEY66418 JOU66414:JOU66418 JYQ66414:JYQ66418 KIM66414:KIM66418 KSI66414:KSI66418 LCE66414:LCE66418 LMA66414:LMA66418 LVW66414:LVW66418 MFS66414:MFS66418 MPO66414:MPO66418 MZK66414:MZK66418 NJG66414:NJG66418 NTC66414:NTC66418 OCY66414:OCY66418 OMU66414:OMU66418 OWQ66414:OWQ66418 PGM66414:PGM66418 PQI66414:PQI66418 QAE66414:QAE66418 QKA66414:QKA66418 QTW66414:QTW66418 RDS66414:RDS66418 RNO66414:RNO66418 RXK66414:RXK66418 SHG66414:SHG66418 SRC66414:SRC66418 TAY66414:TAY66418 TKU66414:TKU66418 TUQ66414:TUQ66418 UEM66414:UEM66418 UOI66414:UOI66418 UYE66414:UYE66418 VIA66414:VIA66418 VRW66414:VRW66418 WBS66414:WBS66418 WLO66414:WLO66418 WVK66414:WVK66418 C131950:C131954 IY131950:IY131954 SU131950:SU131954 ACQ131950:ACQ131954 AMM131950:AMM131954 AWI131950:AWI131954 BGE131950:BGE131954 BQA131950:BQA131954 BZW131950:BZW131954 CJS131950:CJS131954 CTO131950:CTO131954 DDK131950:DDK131954 DNG131950:DNG131954 DXC131950:DXC131954 EGY131950:EGY131954 EQU131950:EQU131954 FAQ131950:FAQ131954 FKM131950:FKM131954 FUI131950:FUI131954 GEE131950:GEE131954 GOA131950:GOA131954 GXW131950:GXW131954 HHS131950:HHS131954 HRO131950:HRO131954 IBK131950:IBK131954 ILG131950:ILG131954 IVC131950:IVC131954 JEY131950:JEY131954 JOU131950:JOU131954 JYQ131950:JYQ131954 KIM131950:KIM131954 KSI131950:KSI131954 LCE131950:LCE131954 LMA131950:LMA131954 LVW131950:LVW131954 MFS131950:MFS131954 MPO131950:MPO131954 MZK131950:MZK131954 NJG131950:NJG131954 NTC131950:NTC131954 OCY131950:OCY131954 OMU131950:OMU131954 OWQ131950:OWQ131954 PGM131950:PGM131954 PQI131950:PQI131954 QAE131950:QAE131954 QKA131950:QKA131954 QTW131950:QTW131954 RDS131950:RDS131954 RNO131950:RNO131954 RXK131950:RXK131954 SHG131950:SHG131954 SRC131950:SRC131954 TAY131950:TAY131954 TKU131950:TKU131954 TUQ131950:TUQ131954 UEM131950:UEM131954 UOI131950:UOI131954 UYE131950:UYE131954 VIA131950:VIA131954 VRW131950:VRW131954 WBS131950:WBS131954 WLO131950:WLO131954 WVK131950:WVK131954 C197486:C197490 IY197486:IY197490 SU197486:SU197490 ACQ197486:ACQ197490 AMM197486:AMM197490 AWI197486:AWI197490 BGE197486:BGE197490 BQA197486:BQA197490 BZW197486:BZW197490 CJS197486:CJS197490 CTO197486:CTO197490 DDK197486:DDK197490 DNG197486:DNG197490 DXC197486:DXC197490 EGY197486:EGY197490 EQU197486:EQU197490 FAQ197486:FAQ197490 FKM197486:FKM197490 FUI197486:FUI197490 GEE197486:GEE197490 GOA197486:GOA197490 GXW197486:GXW197490 HHS197486:HHS197490 HRO197486:HRO197490 IBK197486:IBK197490 ILG197486:ILG197490 IVC197486:IVC197490 JEY197486:JEY197490 JOU197486:JOU197490 JYQ197486:JYQ197490 KIM197486:KIM197490 KSI197486:KSI197490 LCE197486:LCE197490 LMA197486:LMA197490 LVW197486:LVW197490 MFS197486:MFS197490 MPO197486:MPO197490 MZK197486:MZK197490 NJG197486:NJG197490 NTC197486:NTC197490 OCY197486:OCY197490 OMU197486:OMU197490 OWQ197486:OWQ197490 PGM197486:PGM197490 PQI197486:PQI197490 QAE197486:QAE197490 QKA197486:QKA197490 QTW197486:QTW197490 RDS197486:RDS197490 RNO197486:RNO197490 RXK197486:RXK197490 SHG197486:SHG197490 SRC197486:SRC197490 TAY197486:TAY197490 TKU197486:TKU197490 TUQ197486:TUQ197490 UEM197486:UEM197490 UOI197486:UOI197490 UYE197486:UYE197490 VIA197486:VIA197490 VRW197486:VRW197490 WBS197486:WBS197490 WLO197486:WLO197490 WVK197486:WVK197490 C263022:C263026 IY263022:IY263026 SU263022:SU263026 ACQ263022:ACQ263026 AMM263022:AMM263026 AWI263022:AWI263026 BGE263022:BGE263026 BQA263022:BQA263026 BZW263022:BZW263026 CJS263022:CJS263026 CTO263022:CTO263026 DDK263022:DDK263026 DNG263022:DNG263026 DXC263022:DXC263026 EGY263022:EGY263026 EQU263022:EQU263026 FAQ263022:FAQ263026 FKM263022:FKM263026 FUI263022:FUI263026 GEE263022:GEE263026 GOA263022:GOA263026 GXW263022:GXW263026 HHS263022:HHS263026 HRO263022:HRO263026 IBK263022:IBK263026 ILG263022:ILG263026 IVC263022:IVC263026 JEY263022:JEY263026 JOU263022:JOU263026 JYQ263022:JYQ263026 KIM263022:KIM263026 KSI263022:KSI263026 LCE263022:LCE263026 LMA263022:LMA263026 LVW263022:LVW263026 MFS263022:MFS263026 MPO263022:MPO263026 MZK263022:MZK263026 NJG263022:NJG263026 NTC263022:NTC263026 OCY263022:OCY263026 OMU263022:OMU263026 OWQ263022:OWQ263026 PGM263022:PGM263026 PQI263022:PQI263026 QAE263022:QAE263026 QKA263022:QKA263026 QTW263022:QTW263026 RDS263022:RDS263026 RNO263022:RNO263026 RXK263022:RXK263026 SHG263022:SHG263026 SRC263022:SRC263026 TAY263022:TAY263026 TKU263022:TKU263026 TUQ263022:TUQ263026 UEM263022:UEM263026 UOI263022:UOI263026 UYE263022:UYE263026 VIA263022:VIA263026 VRW263022:VRW263026 WBS263022:WBS263026 WLO263022:WLO263026 WVK263022:WVK263026 C328558:C328562 IY328558:IY328562 SU328558:SU328562 ACQ328558:ACQ328562 AMM328558:AMM328562 AWI328558:AWI328562 BGE328558:BGE328562 BQA328558:BQA328562 BZW328558:BZW328562 CJS328558:CJS328562 CTO328558:CTO328562 DDK328558:DDK328562 DNG328558:DNG328562 DXC328558:DXC328562 EGY328558:EGY328562 EQU328558:EQU328562 FAQ328558:FAQ328562 FKM328558:FKM328562 FUI328558:FUI328562 GEE328558:GEE328562 GOA328558:GOA328562 GXW328558:GXW328562 HHS328558:HHS328562 HRO328558:HRO328562 IBK328558:IBK328562 ILG328558:ILG328562 IVC328558:IVC328562 JEY328558:JEY328562 JOU328558:JOU328562 JYQ328558:JYQ328562 KIM328558:KIM328562 KSI328558:KSI328562 LCE328558:LCE328562 LMA328558:LMA328562 LVW328558:LVW328562 MFS328558:MFS328562 MPO328558:MPO328562 MZK328558:MZK328562 NJG328558:NJG328562 NTC328558:NTC328562 OCY328558:OCY328562 OMU328558:OMU328562 OWQ328558:OWQ328562 PGM328558:PGM328562 PQI328558:PQI328562 QAE328558:QAE328562 QKA328558:QKA328562 QTW328558:QTW328562 RDS328558:RDS328562 RNO328558:RNO328562 RXK328558:RXK328562 SHG328558:SHG328562 SRC328558:SRC328562 TAY328558:TAY328562 TKU328558:TKU328562 TUQ328558:TUQ328562 UEM328558:UEM328562 UOI328558:UOI328562 UYE328558:UYE328562 VIA328558:VIA328562 VRW328558:VRW328562 WBS328558:WBS328562 WLO328558:WLO328562 WVK328558:WVK328562 C394094:C394098 IY394094:IY394098 SU394094:SU394098 ACQ394094:ACQ394098 AMM394094:AMM394098 AWI394094:AWI394098 BGE394094:BGE394098 BQA394094:BQA394098 BZW394094:BZW394098 CJS394094:CJS394098 CTO394094:CTO394098 DDK394094:DDK394098 DNG394094:DNG394098 DXC394094:DXC394098 EGY394094:EGY394098 EQU394094:EQU394098 FAQ394094:FAQ394098 FKM394094:FKM394098 FUI394094:FUI394098 GEE394094:GEE394098 GOA394094:GOA394098 GXW394094:GXW394098 HHS394094:HHS394098 HRO394094:HRO394098 IBK394094:IBK394098 ILG394094:ILG394098 IVC394094:IVC394098 JEY394094:JEY394098 JOU394094:JOU394098 JYQ394094:JYQ394098 KIM394094:KIM394098 KSI394094:KSI394098 LCE394094:LCE394098 LMA394094:LMA394098 LVW394094:LVW394098 MFS394094:MFS394098 MPO394094:MPO394098 MZK394094:MZK394098 NJG394094:NJG394098 NTC394094:NTC394098 OCY394094:OCY394098 OMU394094:OMU394098 OWQ394094:OWQ394098 PGM394094:PGM394098 PQI394094:PQI394098 QAE394094:QAE394098 QKA394094:QKA394098 QTW394094:QTW394098 RDS394094:RDS394098 RNO394094:RNO394098 RXK394094:RXK394098 SHG394094:SHG394098 SRC394094:SRC394098 TAY394094:TAY394098 TKU394094:TKU394098 TUQ394094:TUQ394098 UEM394094:UEM394098 UOI394094:UOI394098 UYE394094:UYE394098 VIA394094:VIA394098 VRW394094:VRW394098 WBS394094:WBS394098 WLO394094:WLO394098 WVK394094:WVK394098 C459630:C459634 IY459630:IY459634 SU459630:SU459634 ACQ459630:ACQ459634 AMM459630:AMM459634 AWI459630:AWI459634 BGE459630:BGE459634 BQA459630:BQA459634 BZW459630:BZW459634 CJS459630:CJS459634 CTO459630:CTO459634 DDK459630:DDK459634 DNG459630:DNG459634 DXC459630:DXC459634 EGY459630:EGY459634 EQU459630:EQU459634 FAQ459630:FAQ459634 FKM459630:FKM459634 FUI459630:FUI459634 GEE459630:GEE459634 GOA459630:GOA459634 GXW459630:GXW459634 HHS459630:HHS459634 HRO459630:HRO459634 IBK459630:IBK459634 ILG459630:ILG459634 IVC459630:IVC459634 JEY459630:JEY459634 JOU459630:JOU459634 JYQ459630:JYQ459634 KIM459630:KIM459634 KSI459630:KSI459634 LCE459630:LCE459634 LMA459630:LMA459634 LVW459630:LVW459634 MFS459630:MFS459634 MPO459630:MPO459634 MZK459630:MZK459634 NJG459630:NJG459634 NTC459630:NTC459634 OCY459630:OCY459634 OMU459630:OMU459634 OWQ459630:OWQ459634 PGM459630:PGM459634 PQI459630:PQI459634 QAE459630:QAE459634 QKA459630:QKA459634 QTW459630:QTW459634 RDS459630:RDS459634 RNO459630:RNO459634 RXK459630:RXK459634 SHG459630:SHG459634 SRC459630:SRC459634 TAY459630:TAY459634 TKU459630:TKU459634 TUQ459630:TUQ459634 UEM459630:UEM459634 UOI459630:UOI459634 UYE459630:UYE459634 VIA459630:VIA459634 VRW459630:VRW459634 WBS459630:WBS459634 WLO459630:WLO459634 WVK459630:WVK459634 C525166:C525170 IY525166:IY525170 SU525166:SU525170 ACQ525166:ACQ525170 AMM525166:AMM525170 AWI525166:AWI525170 BGE525166:BGE525170 BQA525166:BQA525170 BZW525166:BZW525170 CJS525166:CJS525170 CTO525166:CTO525170 DDK525166:DDK525170 DNG525166:DNG525170 DXC525166:DXC525170 EGY525166:EGY525170 EQU525166:EQU525170 FAQ525166:FAQ525170 FKM525166:FKM525170 FUI525166:FUI525170 GEE525166:GEE525170 GOA525166:GOA525170 GXW525166:GXW525170 HHS525166:HHS525170 HRO525166:HRO525170 IBK525166:IBK525170 ILG525166:ILG525170 IVC525166:IVC525170 JEY525166:JEY525170 JOU525166:JOU525170 JYQ525166:JYQ525170 KIM525166:KIM525170 KSI525166:KSI525170 LCE525166:LCE525170 LMA525166:LMA525170 LVW525166:LVW525170 MFS525166:MFS525170 MPO525166:MPO525170 MZK525166:MZK525170 NJG525166:NJG525170 NTC525166:NTC525170 OCY525166:OCY525170 OMU525166:OMU525170 OWQ525166:OWQ525170 PGM525166:PGM525170 PQI525166:PQI525170 QAE525166:QAE525170 QKA525166:QKA525170 QTW525166:QTW525170 RDS525166:RDS525170 RNO525166:RNO525170 RXK525166:RXK525170 SHG525166:SHG525170 SRC525166:SRC525170 TAY525166:TAY525170 TKU525166:TKU525170 TUQ525166:TUQ525170 UEM525166:UEM525170 UOI525166:UOI525170 UYE525166:UYE525170 VIA525166:VIA525170 VRW525166:VRW525170 WBS525166:WBS525170 WLO525166:WLO525170 WVK525166:WVK525170 C590702:C590706 IY590702:IY590706 SU590702:SU590706 ACQ590702:ACQ590706 AMM590702:AMM590706 AWI590702:AWI590706 BGE590702:BGE590706 BQA590702:BQA590706 BZW590702:BZW590706 CJS590702:CJS590706 CTO590702:CTO590706 DDK590702:DDK590706 DNG590702:DNG590706 DXC590702:DXC590706 EGY590702:EGY590706 EQU590702:EQU590706 FAQ590702:FAQ590706 FKM590702:FKM590706 FUI590702:FUI590706 GEE590702:GEE590706 GOA590702:GOA590706 GXW590702:GXW590706 HHS590702:HHS590706 HRO590702:HRO590706 IBK590702:IBK590706 ILG590702:ILG590706 IVC590702:IVC590706 JEY590702:JEY590706 JOU590702:JOU590706 JYQ590702:JYQ590706 KIM590702:KIM590706 KSI590702:KSI590706 LCE590702:LCE590706 LMA590702:LMA590706 LVW590702:LVW590706 MFS590702:MFS590706 MPO590702:MPO590706 MZK590702:MZK590706 NJG590702:NJG590706 NTC590702:NTC590706 OCY590702:OCY590706 OMU590702:OMU590706 OWQ590702:OWQ590706 PGM590702:PGM590706 PQI590702:PQI590706 QAE590702:QAE590706 QKA590702:QKA590706 QTW590702:QTW590706 RDS590702:RDS590706 RNO590702:RNO590706 RXK590702:RXK590706 SHG590702:SHG590706 SRC590702:SRC590706 TAY590702:TAY590706 TKU590702:TKU590706 TUQ590702:TUQ590706 UEM590702:UEM590706 UOI590702:UOI590706 UYE590702:UYE590706 VIA590702:VIA590706 VRW590702:VRW590706 WBS590702:WBS590706 WLO590702:WLO590706 WVK590702:WVK590706 C656238:C656242 IY656238:IY656242 SU656238:SU656242 ACQ656238:ACQ656242 AMM656238:AMM656242 AWI656238:AWI656242 BGE656238:BGE656242 BQA656238:BQA656242 BZW656238:BZW656242 CJS656238:CJS656242 CTO656238:CTO656242 DDK656238:DDK656242 DNG656238:DNG656242 DXC656238:DXC656242 EGY656238:EGY656242 EQU656238:EQU656242 FAQ656238:FAQ656242 FKM656238:FKM656242 FUI656238:FUI656242 GEE656238:GEE656242 GOA656238:GOA656242 GXW656238:GXW656242 HHS656238:HHS656242 HRO656238:HRO656242 IBK656238:IBK656242 ILG656238:ILG656242 IVC656238:IVC656242 JEY656238:JEY656242 JOU656238:JOU656242 JYQ656238:JYQ656242 KIM656238:KIM656242 KSI656238:KSI656242 LCE656238:LCE656242 LMA656238:LMA656242 LVW656238:LVW656242 MFS656238:MFS656242 MPO656238:MPO656242 MZK656238:MZK656242 NJG656238:NJG656242 NTC656238:NTC656242 OCY656238:OCY656242 OMU656238:OMU656242 OWQ656238:OWQ656242 PGM656238:PGM656242 PQI656238:PQI656242 QAE656238:QAE656242 QKA656238:QKA656242 QTW656238:QTW656242 RDS656238:RDS656242 RNO656238:RNO656242 RXK656238:RXK656242 SHG656238:SHG656242 SRC656238:SRC656242 TAY656238:TAY656242 TKU656238:TKU656242 TUQ656238:TUQ656242 UEM656238:UEM656242 UOI656238:UOI656242 UYE656238:UYE656242 VIA656238:VIA656242 VRW656238:VRW656242 WBS656238:WBS656242 WLO656238:WLO656242 WVK656238:WVK656242 C721774:C721778 IY721774:IY721778 SU721774:SU721778 ACQ721774:ACQ721778 AMM721774:AMM721778 AWI721774:AWI721778 BGE721774:BGE721778 BQA721774:BQA721778 BZW721774:BZW721778 CJS721774:CJS721778 CTO721774:CTO721778 DDK721774:DDK721778 DNG721774:DNG721778 DXC721774:DXC721778 EGY721774:EGY721778 EQU721774:EQU721778 FAQ721774:FAQ721778 FKM721774:FKM721778 FUI721774:FUI721778 GEE721774:GEE721778 GOA721774:GOA721778 GXW721774:GXW721778 HHS721774:HHS721778 HRO721774:HRO721778 IBK721774:IBK721778 ILG721774:ILG721778 IVC721774:IVC721778 JEY721774:JEY721778 JOU721774:JOU721778 JYQ721774:JYQ721778 KIM721774:KIM721778 KSI721774:KSI721778 LCE721774:LCE721778 LMA721774:LMA721778 LVW721774:LVW721778 MFS721774:MFS721778 MPO721774:MPO721778 MZK721774:MZK721778 NJG721774:NJG721778 NTC721774:NTC721778 OCY721774:OCY721778 OMU721774:OMU721778 OWQ721774:OWQ721778 PGM721774:PGM721778 PQI721774:PQI721778 QAE721774:QAE721778 QKA721774:QKA721778 QTW721774:QTW721778 RDS721774:RDS721778 RNO721774:RNO721778 RXK721774:RXK721778 SHG721774:SHG721778 SRC721774:SRC721778 TAY721774:TAY721778 TKU721774:TKU721778 TUQ721774:TUQ721778 UEM721774:UEM721778 UOI721774:UOI721778 UYE721774:UYE721778 VIA721774:VIA721778 VRW721774:VRW721778 WBS721774:WBS721778 WLO721774:WLO721778 WVK721774:WVK721778 C787310:C787314 IY787310:IY787314 SU787310:SU787314 ACQ787310:ACQ787314 AMM787310:AMM787314 AWI787310:AWI787314 BGE787310:BGE787314 BQA787310:BQA787314 BZW787310:BZW787314 CJS787310:CJS787314 CTO787310:CTO787314 DDK787310:DDK787314 DNG787310:DNG787314 DXC787310:DXC787314 EGY787310:EGY787314 EQU787310:EQU787314 FAQ787310:FAQ787314 FKM787310:FKM787314 FUI787310:FUI787314 GEE787310:GEE787314 GOA787310:GOA787314 GXW787310:GXW787314 HHS787310:HHS787314 HRO787310:HRO787314 IBK787310:IBK787314 ILG787310:ILG787314 IVC787310:IVC787314 JEY787310:JEY787314 JOU787310:JOU787314 JYQ787310:JYQ787314 KIM787310:KIM787314 KSI787310:KSI787314 LCE787310:LCE787314 LMA787310:LMA787314 LVW787310:LVW787314 MFS787310:MFS787314 MPO787310:MPO787314 MZK787310:MZK787314 NJG787310:NJG787314 NTC787310:NTC787314 OCY787310:OCY787314 OMU787310:OMU787314 OWQ787310:OWQ787314 PGM787310:PGM787314 PQI787310:PQI787314 QAE787310:QAE787314 QKA787310:QKA787314 QTW787310:QTW787314 RDS787310:RDS787314 RNO787310:RNO787314 RXK787310:RXK787314 SHG787310:SHG787314 SRC787310:SRC787314 TAY787310:TAY787314 TKU787310:TKU787314 TUQ787310:TUQ787314 UEM787310:UEM787314 UOI787310:UOI787314 UYE787310:UYE787314 VIA787310:VIA787314 VRW787310:VRW787314 WBS787310:WBS787314 WLO787310:WLO787314 WVK787310:WVK787314 C852846:C852850 IY852846:IY852850 SU852846:SU852850 ACQ852846:ACQ852850 AMM852846:AMM852850 AWI852846:AWI852850 BGE852846:BGE852850 BQA852846:BQA852850 BZW852846:BZW852850 CJS852846:CJS852850 CTO852846:CTO852850 DDK852846:DDK852850 DNG852846:DNG852850 DXC852846:DXC852850 EGY852846:EGY852850 EQU852846:EQU852850 FAQ852846:FAQ852850 FKM852846:FKM852850 FUI852846:FUI852850 GEE852846:GEE852850 GOA852846:GOA852850 GXW852846:GXW852850 HHS852846:HHS852850 HRO852846:HRO852850 IBK852846:IBK852850 ILG852846:ILG852850 IVC852846:IVC852850 JEY852846:JEY852850 JOU852846:JOU852850 JYQ852846:JYQ852850 KIM852846:KIM852850 KSI852846:KSI852850 LCE852846:LCE852850 LMA852846:LMA852850 LVW852846:LVW852850 MFS852846:MFS852850 MPO852846:MPO852850 MZK852846:MZK852850 NJG852846:NJG852850 NTC852846:NTC852850 OCY852846:OCY852850 OMU852846:OMU852850 OWQ852846:OWQ852850 PGM852846:PGM852850 PQI852846:PQI852850 QAE852846:QAE852850 QKA852846:QKA852850 QTW852846:QTW852850 RDS852846:RDS852850 RNO852846:RNO852850 RXK852846:RXK852850 SHG852846:SHG852850 SRC852846:SRC852850 TAY852846:TAY852850 TKU852846:TKU852850 TUQ852846:TUQ852850 UEM852846:UEM852850 UOI852846:UOI852850 UYE852846:UYE852850 VIA852846:VIA852850 VRW852846:VRW852850 WBS852846:WBS852850 WLO852846:WLO852850 WVK852846:WVK852850 C918382:C918386 IY918382:IY918386 SU918382:SU918386 ACQ918382:ACQ918386 AMM918382:AMM918386 AWI918382:AWI918386 BGE918382:BGE918386 BQA918382:BQA918386 BZW918382:BZW918386 CJS918382:CJS918386 CTO918382:CTO918386 DDK918382:DDK918386 DNG918382:DNG918386 DXC918382:DXC918386 EGY918382:EGY918386 EQU918382:EQU918386 FAQ918382:FAQ918386 FKM918382:FKM918386 FUI918382:FUI918386 GEE918382:GEE918386 GOA918382:GOA918386 GXW918382:GXW918386 HHS918382:HHS918386 HRO918382:HRO918386 IBK918382:IBK918386 ILG918382:ILG918386 IVC918382:IVC918386 JEY918382:JEY918386 JOU918382:JOU918386 JYQ918382:JYQ918386 KIM918382:KIM918386 KSI918382:KSI918386 LCE918382:LCE918386 LMA918382:LMA918386 LVW918382:LVW918386 MFS918382:MFS918386 MPO918382:MPO918386 MZK918382:MZK918386 NJG918382:NJG918386 NTC918382:NTC918386 OCY918382:OCY918386 OMU918382:OMU918386 OWQ918382:OWQ918386 PGM918382:PGM918386 PQI918382:PQI918386 QAE918382:QAE918386 QKA918382:QKA918386 QTW918382:QTW918386 RDS918382:RDS918386 RNO918382:RNO918386 RXK918382:RXK918386 SHG918382:SHG918386 SRC918382:SRC918386 TAY918382:TAY918386 TKU918382:TKU918386 TUQ918382:TUQ918386 UEM918382:UEM918386 UOI918382:UOI918386 UYE918382:UYE918386 VIA918382:VIA918386 VRW918382:VRW918386 WBS918382:WBS918386 WLO918382:WLO918386 WVK918382:WVK918386 C983918:C983922 IY983918:IY983922 SU983918:SU983922 ACQ983918:ACQ983922 AMM983918:AMM983922 AWI983918:AWI983922 BGE983918:BGE983922 BQA983918:BQA983922 BZW983918:BZW983922 CJS983918:CJS983922 CTO983918:CTO983922 DDK983918:DDK983922 DNG983918:DNG983922 DXC983918:DXC983922 EGY983918:EGY983922 EQU983918:EQU983922 FAQ983918:FAQ983922 FKM983918:FKM983922 FUI983918:FUI983922 GEE983918:GEE983922 GOA983918:GOA983922 GXW983918:GXW983922 HHS983918:HHS983922 HRO983918:HRO983922 IBK983918:IBK983922 ILG983918:ILG983922 IVC983918:IVC983922 JEY983918:JEY983922 JOU983918:JOU983922 JYQ983918:JYQ983922 KIM983918:KIM983922 KSI983918:KSI983922 LCE983918:LCE983922 LMA983918:LMA983922 LVW983918:LVW983922 MFS983918:MFS983922 MPO983918:MPO983922 MZK983918:MZK983922 NJG983918:NJG983922 NTC983918:NTC983922 OCY983918:OCY983922 OMU983918:OMU983922 OWQ983918:OWQ983922 PGM983918:PGM983922 PQI983918:PQI983922 QAE983918:QAE983922 QKA983918:QKA983922 QTW983918:QTW983922 RDS983918:RDS983922 RNO983918:RNO983922 RXK983918:RXK983922 SHG983918:SHG983922 SRC983918:SRC983922 TAY983918:TAY983922 TKU983918:TKU983922 TUQ983918:TUQ983922 UEM983918:UEM983922 UOI983918:UOI983922 UYE983918:UYE983922 VIA983918:VIA983922 VRW983918:VRW983922 WBS983918:WBS983922 WLO983918:WLO983922 WVK983918:WVK983922 E878:E889 JA878:JA889 SW878:SW889 ACS878:ACS889 AMO878:AMO889 AWK878:AWK889 BGG878:BGG889 BQC878:BQC889 BZY878:BZY889 CJU878:CJU889 CTQ878:CTQ889 DDM878:DDM889 DNI878:DNI889 DXE878:DXE889 EHA878:EHA889 EQW878:EQW889 FAS878:FAS889 FKO878:FKO889 FUK878:FUK889 GEG878:GEG889 GOC878:GOC889 GXY878:GXY889 HHU878:HHU889 HRQ878:HRQ889 IBM878:IBM889 ILI878:ILI889 IVE878:IVE889 JFA878:JFA889 JOW878:JOW889 JYS878:JYS889 KIO878:KIO889 KSK878:KSK889 LCG878:LCG889 LMC878:LMC889 LVY878:LVY889 MFU878:MFU889 MPQ878:MPQ889 MZM878:MZM889 NJI878:NJI889 NTE878:NTE889 ODA878:ODA889 OMW878:OMW889 OWS878:OWS889 PGO878:PGO889 PQK878:PQK889 QAG878:QAG889 QKC878:QKC889 QTY878:QTY889 RDU878:RDU889 RNQ878:RNQ889 RXM878:RXM889 SHI878:SHI889 SRE878:SRE889 TBA878:TBA889 TKW878:TKW889 TUS878:TUS889 UEO878:UEO889 UOK878:UOK889 UYG878:UYG889 VIC878:VIC889 VRY878:VRY889 WBU878:WBU889 WLQ878:WLQ889 WVM878:WVM889 E66414:E66425 JA66414:JA66425 SW66414:SW66425 ACS66414:ACS66425 AMO66414:AMO66425 AWK66414:AWK66425 BGG66414:BGG66425 BQC66414:BQC66425 BZY66414:BZY66425 CJU66414:CJU66425 CTQ66414:CTQ66425 DDM66414:DDM66425 DNI66414:DNI66425 DXE66414:DXE66425 EHA66414:EHA66425 EQW66414:EQW66425 FAS66414:FAS66425 FKO66414:FKO66425 FUK66414:FUK66425 GEG66414:GEG66425 GOC66414:GOC66425 GXY66414:GXY66425 HHU66414:HHU66425 HRQ66414:HRQ66425 IBM66414:IBM66425 ILI66414:ILI66425 IVE66414:IVE66425 JFA66414:JFA66425 JOW66414:JOW66425 JYS66414:JYS66425 KIO66414:KIO66425 KSK66414:KSK66425 LCG66414:LCG66425 LMC66414:LMC66425 LVY66414:LVY66425 MFU66414:MFU66425 MPQ66414:MPQ66425 MZM66414:MZM66425 NJI66414:NJI66425 NTE66414:NTE66425 ODA66414:ODA66425 OMW66414:OMW66425 OWS66414:OWS66425 PGO66414:PGO66425 PQK66414:PQK66425 QAG66414:QAG66425 QKC66414:QKC66425 QTY66414:QTY66425 RDU66414:RDU66425 RNQ66414:RNQ66425 RXM66414:RXM66425 SHI66414:SHI66425 SRE66414:SRE66425 TBA66414:TBA66425 TKW66414:TKW66425 TUS66414:TUS66425 UEO66414:UEO66425 UOK66414:UOK66425 UYG66414:UYG66425 VIC66414:VIC66425 VRY66414:VRY66425 WBU66414:WBU66425 WLQ66414:WLQ66425 WVM66414:WVM66425 E131950:E131961 JA131950:JA131961 SW131950:SW131961 ACS131950:ACS131961 AMO131950:AMO131961 AWK131950:AWK131961 BGG131950:BGG131961 BQC131950:BQC131961 BZY131950:BZY131961 CJU131950:CJU131961 CTQ131950:CTQ131961 DDM131950:DDM131961 DNI131950:DNI131961 DXE131950:DXE131961 EHA131950:EHA131961 EQW131950:EQW131961 FAS131950:FAS131961 FKO131950:FKO131961 FUK131950:FUK131961 GEG131950:GEG131961 GOC131950:GOC131961 GXY131950:GXY131961 HHU131950:HHU131961 HRQ131950:HRQ131961 IBM131950:IBM131961 ILI131950:ILI131961 IVE131950:IVE131961 JFA131950:JFA131961 JOW131950:JOW131961 JYS131950:JYS131961 KIO131950:KIO131961 KSK131950:KSK131961 LCG131950:LCG131961 LMC131950:LMC131961 LVY131950:LVY131961 MFU131950:MFU131961 MPQ131950:MPQ131961 MZM131950:MZM131961 NJI131950:NJI131961 NTE131950:NTE131961 ODA131950:ODA131961 OMW131950:OMW131961 OWS131950:OWS131961 PGO131950:PGO131961 PQK131950:PQK131961 QAG131950:QAG131961 QKC131950:QKC131961 QTY131950:QTY131961 RDU131950:RDU131961 RNQ131950:RNQ131961 RXM131950:RXM131961 SHI131950:SHI131961 SRE131950:SRE131961 TBA131950:TBA131961 TKW131950:TKW131961 TUS131950:TUS131961 UEO131950:UEO131961 UOK131950:UOK131961 UYG131950:UYG131961 VIC131950:VIC131961 VRY131950:VRY131961 WBU131950:WBU131961 WLQ131950:WLQ131961 WVM131950:WVM131961 E197486:E197497 JA197486:JA197497 SW197486:SW197497 ACS197486:ACS197497 AMO197486:AMO197497 AWK197486:AWK197497 BGG197486:BGG197497 BQC197486:BQC197497 BZY197486:BZY197497 CJU197486:CJU197497 CTQ197486:CTQ197497 DDM197486:DDM197497 DNI197486:DNI197497 DXE197486:DXE197497 EHA197486:EHA197497 EQW197486:EQW197497 FAS197486:FAS197497 FKO197486:FKO197497 FUK197486:FUK197497 GEG197486:GEG197497 GOC197486:GOC197497 GXY197486:GXY197497 HHU197486:HHU197497 HRQ197486:HRQ197497 IBM197486:IBM197497 ILI197486:ILI197497 IVE197486:IVE197497 JFA197486:JFA197497 JOW197486:JOW197497 JYS197486:JYS197497 KIO197486:KIO197497 KSK197486:KSK197497 LCG197486:LCG197497 LMC197486:LMC197497 LVY197486:LVY197497 MFU197486:MFU197497 MPQ197486:MPQ197497 MZM197486:MZM197497 NJI197486:NJI197497 NTE197486:NTE197497 ODA197486:ODA197497 OMW197486:OMW197497 OWS197486:OWS197497 PGO197486:PGO197497 PQK197486:PQK197497 QAG197486:QAG197497 QKC197486:QKC197497 QTY197486:QTY197497 RDU197486:RDU197497 RNQ197486:RNQ197497 RXM197486:RXM197497 SHI197486:SHI197497 SRE197486:SRE197497 TBA197486:TBA197497 TKW197486:TKW197497 TUS197486:TUS197497 UEO197486:UEO197497 UOK197486:UOK197497 UYG197486:UYG197497 VIC197486:VIC197497 VRY197486:VRY197497 WBU197486:WBU197497 WLQ197486:WLQ197497 WVM197486:WVM197497 E263022:E263033 JA263022:JA263033 SW263022:SW263033 ACS263022:ACS263033 AMO263022:AMO263033 AWK263022:AWK263033 BGG263022:BGG263033 BQC263022:BQC263033 BZY263022:BZY263033 CJU263022:CJU263033 CTQ263022:CTQ263033 DDM263022:DDM263033 DNI263022:DNI263033 DXE263022:DXE263033 EHA263022:EHA263033 EQW263022:EQW263033 FAS263022:FAS263033 FKO263022:FKO263033 FUK263022:FUK263033 GEG263022:GEG263033 GOC263022:GOC263033 GXY263022:GXY263033 HHU263022:HHU263033 HRQ263022:HRQ263033 IBM263022:IBM263033 ILI263022:ILI263033 IVE263022:IVE263033 JFA263022:JFA263033 JOW263022:JOW263033 JYS263022:JYS263033 KIO263022:KIO263033 KSK263022:KSK263033 LCG263022:LCG263033 LMC263022:LMC263033 LVY263022:LVY263033 MFU263022:MFU263033 MPQ263022:MPQ263033 MZM263022:MZM263033 NJI263022:NJI263033 NTE263022:NTE263033 ODA263022:ODA263033 OMW263022:OMW263033 OWS263022:OWS263033 PGO263022:PGO263033 PQK263022:PQK263033 QAG263022:QAG263033 QKC263022:QKC263033 QTY263022:QTY263033 RDU263022:RDU263033 RNQ263022:RNQ263033 RXM263022:RXM263033 SHI263022:SHI263033 SRE263022:SRE263033 TBA263022:TBA263033 TKW263022:TKW263033 TUS263022:TUS263033 UEO263022:UEO263033 UOK263022:UOK263033 UYG263022:UYG263033 VIC263022:VIC263033 VRY263022:VRY263033 WBU263022:WBU263033 WLQ263022:WLQ263033 WVM263022:WVM263033 E328558:E328569 JA328558:JA328569 SW328558:SW328569 ACS328558:ACS328569 AMO328558:AMO328569 AWK328558:AWK328569 BGG328558:BGG328569 BQC328558:BQC328569 BZY328558:BZY328569 CJU328558:CJU328569 CTQ328558:CTQ328569 DDM328558:DDM328569 DNI328558:DNI328569 DXE328558:DXE328569 EHA328558:EHA328569 EQW328558:EQW328569 FAS328558:FAS328569 FKO328558:FKO328569 FUK328558:FUK328569 GEG328558:GEG328569 GOC328558:GOC328569 GXY328558:GXY328569 HHU328558:HHU328569 HRQ328558:HRQ328569 IBM328558:IBM328569 ILI328558:ILI328569 IVE328558:IVE328569 JFA328558:JFA328569 JOW328558:JOW328569 JYS328558:JYS328569 KIO328558:KIO328569 KSK328558:KSK328569 LCG328558:LCG328569 LMC328558:LMC328569 LVY328558:LVY328569 MFU328558:MFU328569 MPQ328558:MPQ328569 MZM328558:MZM328569 NJI328558:NJI328569 NTE328558:NTE328569 ODA328558:ODA328569 OMW328558:OMW328569 OWS328558:OWS328569 PGO328558:PGO328569 PQK328558:PQK328569 QAG328558:QAG328569 QKC328558:QKC328569 QTY328558:QTY328569 RDU328558:RDU328569 RNQ328558:RNQ328569 RXM328558:RXM328569 SHI328558:SHI328569 SRE328558:SRE328569 TBA328558:TBA328569 TKW328558:TKW328569 TUS328558:TUS328569 UEO328558:UEO328569 UOK328558:UOK328569 UYG328558:UYG328569 VIC328558:VIC328569 VRY328558:VRY328569 WBU328558:WBU328569 WLQ328558:WLQ328569 WVM328558:WVM328569 E394094:E394105 JA394094:JA394105 SW394094:SW394105 ACS394094:ACS394105 AMO394094:AMO394105 AWK394094:AWK394105 BGG394094:BGG394105 BQC394094:BQC394105 BZY394094:BZY394105 CJU394094:CJU394105 CTQ394094:CTQ394105 DDM394094:DDM394105 DNI394094:DNI394105 DXE394094:DXE394105 EHA394094:EHA394105 EQW394094:EQW394105 FAS394094:FAS394105 FKO394094:FKO394105 FUK394094:FUK394105 GEG394094:GEG394105 GOC394094:GOC394105 GXY394094:GXY394105 HHU394094:HHU394105 HRQ394094:HRQ394105 IBM394094:IBM394105 ILI394094:ILI394105 IVE394094:IVE394105 JFA394094:JFA394105 JOW394094:JOW394105 JYS394094:JYS394105 KIO394094:KIO394105 KSK394094:KSK394105 LCG394094:LCG394105 LMC394094:LMC394105 LVY394094:LVY394105 MFU394094:MFU394105 MPQ394094:MPQ394105 MZM394094:MZM394105 NJI394094:NJI394105 NTE394094:NTE394105 ODA394094:ODA394105 OMW394094:OMW394105 OWS394094:OWS394105 PGO394094:PGO394105 PQK394094:PQK394105 QAG394094:QAG394105 QKC394094:QKC394105 QTY394094:QTY394105 RDU394094:RDU394105 RNQ394094:RNQ394105 RXM394094:RXM394105 SHI394094:SHI394105 SRE394094:SRE394105 TBA394094:TBA394105 TKW394094:TKW394105 TUS394094:TUS394105 UEO394094:UEO394105 UOK394094:UOK394105 UYG394094:UYG394105 VIC394094:VIC394105 VRY394094:VRY394105 WBU394094:WBU394105 WLQ394094:WLQ394105 WVM394094:WVM394105 E459630:E459641 JA459630:JA459641 SW459630:SW459641 ACS459630:ACS459641 AMO459630:AMO459641 AWK459630:AWK459641 BGG459630:BGG459641 BQC459630:BQC459641 BZY459630:BZY459641 CJU459630:CJU459641 CTQ459630:CTQ459641 DDM459630:DDM459641 DNI459630:DNI459641 DXE459630:DXE459641 EHA459630:EHA459641 EQW459630:EQW459641 FAS459630:FAS459641 FKO459630:FKO459641 FUK459630:FUK459641 GEG459630:GEG459641 GOC459630:GOC459641 GXY459630:GXY459641 HHU459630:HHU459641 HRQ459630:HRQ459641 IBM459630:IBM459641 ILI459630:ILI459641 IVE459630:IVE459641 JFA459630:JFA459641 JOW459630:JOW459641 JYS459630:JYS459641 KIO459630:KIO459641 KSK459630:KSK459641 LCG459630:LCG459641 LMC459630:LMC459641 LVY459630:LVY459641 MFU459630:MFU459641 MPQ459630:MPQ459641 MZM459630:MZM459641 NJI459630:NJI459641 NTE459630:NTE459641 ODA459630:ODA459641 OMW459630:OMW459641 OWS459630:OWS459641 PGO459630:PGO459641 PQK459630:PQK459641 QAG459630:QAG459641 QKC459630:QKC459641 QTY459630:QTY459641 RDU459630:RDU459641 RNQ459630:RNQ459641 RXM459630:RXM459641 SHI459630:SHI459641 SRE459630:SRE459641 TBA459630:TBA459641 TKW459630:TKW459641 TUS459630:TUS459641 UEO459630:UEO459641 UOK459630:UOK459641 UYG459630:UYG459641 VIC459630:VIC459641 VRY459630:VRY459641 WBU459630:WBU459641 WLQ459630:WLQ459641 WVM459630:WVM459641 E525166:E525177 JA525166:JA525177 SW525166:SW525177 ACS525166:ACS525177 AMO525166:AMO525177 AWK525166:AWK525177 BGG525166:BGG525177 BQC525166:BQC525177 BZY525166:BZY525177 CJU525166:CJU525177 CTQ525166:CTQ525177 DDM525166:DDM525177 DNI525166:DNI525177 DXE525166:DXE525177 EHA525166:EHA525177 EQW525166:EQW525177 FAS525166:FAS525177 FKO525166:FKO525177 FUK525166:FUK525177 GEG525166:GEG525177 GOC525166:GOC525177 GXY525166:GXY525177 HHU525166:HHU525177 HRQ525166:HRQ525177 IBM525166:IBM525177 ILI525166:ILI525177 IVE525166:IVE525177 JFA525166:JFA525177 JOW525166:JOW525177 JYS525166:JYS525177 KIO525166:KIO525177 KSK525166:KSK525177 LCG525166:LCG525177 LMC525166:LMC525177 LVY525166:LVY525177 MFU525166:MFU525177 MPQ525166:MPQ525177 MZM525166:MZM525177 NJI525166:NJI525177 NTE525166:NTE525177 ODA525166:ODA525177 OMW525166:OMW525177 OWS525166:OWS525177 PGO525166:PGO525177 PQK525166:PQK525177 QAG525166:QAG525177 QKC525166:QKC525177 QTY525166:QTY525177 RDU525166:RDU525177 RNQ525166:RNQ525177 RXM525166:RXM525177 SHI525166:SHI525177 SRE525166:SRE525177 TBA525166:TBA525177 TKW525166:TKW525177 TUS525166:TUS525177 UEO525166:UEO525177 UOK525166:UOK525177 UYG525166:UYG525177 VIC525166:VIC525177 VRY525166:VRY525177 WBU525166:WBU525177 WLQ525166:WLQ525177 WVM525166:WVM525177 E590702:E590713 JA590702:JA590713 SW590702:SW590713 ACS590702:ACS590713 AMO590702:AMO590713 AWK590702:AWK590713 BGG590702:BGG590713 BQC590702:BQC590713 BZY590702:BZY590713 CJU590702:CJU590713 CTQ590702:CTQ590713 DDM590702:DDM590713 DNI590702:DNI590713 DXE590702:DXE590713 EHA590702:EHA590713 EQW590702:EQW590713 FAS590702:FAS590713 FKO590702:FKO590713 FUK590702:FUK590713 GEG590702:GEG590713 GOC590702:GOC590713 GXY590702:GXY590713 HHU590702:HHU590713 HRQ590702:HRQ590713 IBM590702:IBM590713 ILI590702:ILI590713 IVE590702:IVE590713 JFA590702:JFA590713 JOW590702:JOW590713 JYS590702:JYS590713 KIO590702:KIO590713 KSK590702:KSK590713 LCG590702:LCG590713 LMC590702:LMC590713 LVY590702:LVY590713 MFU590702:MFU590713 MPQ590702:MPQ590713 MZM590702:MZM590713 NJI590702:NJI590713 NTE590702:NTE590713 ODA590702:ODA590713 OMW590702:OMW590713 OWS590702:OWS590713 PGO590702:PGO590713 PQK590702:PQK590713 QAG590702:QAG590713 QKC590702:QKC590713 QTY590702:QTY590713 RDU590702:RDU590713 RNQ590702:RNQ590713 RXM590702:RXM590713 SHI590702:SHI590713 SRE590702:SRE590713 TBA590702:TBA590713 TKW590702:TKW590713 TUS590702:TUS590713 UEO590702:UEO590713 UOK590702:UOK590713 UYG590702:UYG590713 VIC590702:VIC590713 VRY590702:VRY590713 WBU590702:WBU590713 WLQ590702:WLQ590713 WVM590702:WVM590713 E656238:E656249 JA656238:JA656249 SW656238:SW656249 ACS656238:ACS656249 AMO656238:AMO656249 AWK656238:AWK656249 BGG656238:BGG656249 BQC656238:BQC656249 BZY656238:BZY656249 CJU656238:CJU656249 CTQ656238:CTQ656249 DDM656238:DDM656249 DNI656238:DNI656249 DXE656238:DXE656249 EHA656238:EHA656249 EQW656238:EQW656249 FAS656238:FAS656249 FKO656238:FKO656249 FUK656238:FUK656249 GEG656238:GEG656249 GOC656238:GOC656249 GXY656238:GXY656249 HHU656238:HHU656249 HRQ656238:HRQ656249 IBM656238:IBM656249 ILI656238:ILI656249 IVE656238:IVE656249 JFA656238:JFA656249 JOW656238:JOW656249 JYS656238:JYS656249 KIO656238:KIO656249 KSK656238:KSK656249 LCG656238:LCG656249 LMC656238:LMC656249 LVY656238:LVY656249 MFU656238:MFU656249 MPQ656238:MPQ656249 MZM656238:MZM656249 NJI656238:NJI656249 NTE656238:NTE656249 ODA656238:ODA656249 OMW656238:OMW656249 OWS656238:OWS656249 PGO656238:PGO656249 PQK656238:PQK656249 QAG656238:QAG656249 QKC656238:QKC656249 QTY656238:QTY656249 RDU656238:RDU656249 RNQ656238:RNQ656249 RXM656238:RXM656249 SHI656238:SHI656249 SRE656238:SRE656249 TBA656238:TBA656249 TKW656238:TKW656249 TUS656238:TUS656249 UEO656238:UEO656249 UOK656238:UOK656249 UYG656238:UYG656249 VIC656238:VIC656249 VRY656238:VRY656249 WBU656238:WBU656249 WLQ656238:WLQ656249 WVM656238:WVM656249 E721774:E721785 JA721774:JA721785 SW721774:SW721785 ACS721774:ACS721785 AMO721774:AMO721785 AWK721774:AWK721785 BGG721774:BGG721785 BQC721774:BQC721785 BZY721774:BZY721785 CJU721774:CJU721785 CTQ721774:CTQ721785 DDM721774:DDM721785 DNI721774:DNI721785 DXE721774:DXE721785 EHA721774:EHA721785 EQW721774:EQW721785 FAS721774:FAS721785 FKO721774:FKO721785 FUK721774:FUK721785 GEG721774:GEG721785 GOC721774:GOC721785 GXY721774:GXY721785 HHU721774:HHU721785 HRQ721774:HRQ721785 IBM721774:IBM721785 ILI721774:ILI721785 IVE721774:IVE721785 JFA721774:JFA721785 JOW721774:JOW721785 JYS721774:JYS721785 KIO721774:KIO721785 KSK721774:KSK721785 LCG721774:LCG721785 LMC721774:LMC721785 LVY721774:LVY721785 MFU721774:MFU721785 MPQ721774:MPQ721785 MZM721774:MZM721785 NJI721774:NJI721785 NTE721774:NTE721785 ODA721774:ODA721785 OMW721774:OMW721785 OWS721774:OWS721785 PGO721774:PGO721785 PQK721774:PQK721785 QAG721774:QAG721785 QKC721774:QKC721785 QTY721774:QTY721785 RDU721774:RDU721785 RNQ721774:RNQ721785 RXM721774:RXM721785 SHI721774:SHI721785 SRE721774:SRE721785 TBA721774:TBA721785 TKW721774:TKW721785 TUS721774:TUS721785 UEO721774:UEO721785 UOK721774:UOK721785 UYG721774:UYG721785 VIC721774:VIC721785 VRY721774:VRY721785 WBU721774:WBU721785 WLQ721774:WLQ721785 WVM721774:WVM721785 E787310:E787321 JA787310:JA787321 SW787310:SW787321 ACS787310:ACS787321 AMO787310:AMO787321 AWK787310:AWK787321 BGG787310:BGG787321 BQC787310:BQC787321 BZY787310:BZY787321 CJU787310:CJU787321 CTQ787310:CTQ787321 DDM787310:DDM787321 DNI787310:DNI787321 DXE787310:DXE787321 EHA787310:EHA787321 EQW787310:EQW787321 FAS787310:FAS787321 FKO787310:FKO787321 FUK787310:FUK787321 GEG787310:GEG787321 GOC787310:GOC787321 GXY787310:GXY787321 HHU787310:HHU787321 HRQ787310:HRQ787321 IBM787310:IBM787321 ILI787310:ILI787321 IVE787310:IVE787321 JFA787310:JFA787321 JOW787310:JOW787321 JYS787310:JYS787321 KIO787310:KIO787321 KSK787310:KSK787321 LCG787310:LCG787321 LMC787310:LMC787321 LVY787310:LVY787321 MFU787310:MFU787321 MPQ787310:MPQ787321 MZM787310:MZM787321 NJI787310:NJI787321 NTE787310:NTE787321 ODA787310:ODA787321 OMW787310:OMW787321 OWS787310:OWS787321 PGO787310:PGO787321 PQK787310:PQK787321 QAG787310:QAG787321 QKC787310:QKC787321 QTY787310:QTY787321 RDU787310:RDU787321 RNQ787310:RNQ787321 RXM787310:RXM787321 SHI787310:SHI787321 SRE787310:SRE787321 TBA787310:TBA787321 TKW787310:TKW787321 TUS787310:TUS787321 UEO787310:UEO787321 UOK787310:UOK787321 UYG787310:UYG787321 VIC787310:VIC787321 VRY787310:VRY787321 WBU787310:WBU787321 WLQ787310:WLQ787321 WVM787310:WVM787321 E852846:E852857 JA852846:JA852857 SW852846:SW852857 ACS852846:ACS852857 AMO852846:AMO852857 AWK852846:AWK852857 BGG852846:BGG852857 BQC852846:BQC852857 BZY852846:BZY852857 CJU852846:CJU852857 CTQ852846:CTQ852857 DDM852846:DDM852857 DNI852846:DNI852857 DXE852846:DXE852857 EHA852846:EHA852857 EQW852846:EQW852857 FAS852846:FAS852857 FKO852846:FKO852857 FUK852846:FUK852857 GEG852846:GEG852857 GOC852846:GOC852857 GXY852846:GXY852857 HHU852846:HHU852857 HRQ852846:HRQ852857 IBM852846:IBM852857 ILI852846:ILI852857 IVE852846:IVE852857 JFA852846:JFA852857 JOW852846:JOW852857 JYS852846:JYS852857 KIO852846:KIO852857 KSK852846:KSK852857 LCG852846:LCG852857 LMC852846:LMC852857 LVY852846:LVY852857 MFU852846:MFU852857 MPQ852846:MPQ852857 MZM852846:MZM852857 NJI852846:NJI852857 NTE852846:NTE852857 ODA852846:ODA852857 OMW852846:OMW852857 OWS852846:OWS852857 PGO852846:PGO852857 PQK852846:PQK852857 QAG852846:QAG852857 QKC852846:QKC852857 QTY852846:QTY852857 RDU852846:RDU852857 RNQ852846:RNQ852857 RXM852846:RXM852857 SHI852846:SHI852857 SRE852846:SRE852857 TBA852846:TBA852857 TKW852846:TKW852857 TUS852846:TUS852857 UEO852846:UEO852857 UOK852846:UOK852857 UYG852846:UYG852857 VIC852846:VIC852857 VRY852846:VRY852857 WBU852846:WBU852857 WLQ852846:WLQ852857 WVM852846:WVM852857 E918382:E918393 JA918382:JA918393 SW918382:SW918393 ACS918382:ACS918393 AMO918382:AMO918393 AWK918382:AWK918393 BGG918382:BGG918393 BQC918382:BQC918393 BZY918382:BZY918393 CJU918382:CJU918393 CTQ918382:CTQ918393 DDM918382:DDM918393 DNI918382:DNI918393 DXE918382:DXE918393 EHA918382:EHA918393 EQW918382:EQW918393 FAS918382:FAS918393 FKO918382:FKO918393 FUK918382:FUK918393 GEG918382:GEG918393 GOC918382:GOC918393 GXY918382:GXY918393 HHU918382:HHU918393 HRQ918382:HRQ918393 IBM918382:IBM918393 ILI918382:ILI918393 IVE918382:IVE918393 JFA918382:JFA918393 JOW918382:JOW918393 JYS918382:JYS918393 KIO918382:KIO918393 KSK918382:KSK918393 LCG918382:LCG918393 LMC918382:LMC918393 LVY918382:LVY918393 MFU918382:MFU918393 MPQ918382:MPQ918393 MZM918382:MZM918393 NJI918382:NJI918393 NTE918382:NTE918393 ODA918382:ODA918393 OMW918382:OMW918393 OWS918382:OWS918393 PGO918382:PGO918393 PQK918382:PQK918393 QAG918382:QAG918393 QKC918382:QKC918393 QTY918382:QTY918393 RDU918382:RDU918393 RNQ918382:RNQ918393 RXM918382:RXM918393 SHI918382:SHI918393 SRE918382:SRE918393 TBA918382:TBA918393 TKW918382:TKW918393 TUS918382:TUS918393 UEO918382:UEO918393 UOK918382:UOK918393 UYG918382:UYG918393 VIC918382:VIC918393 VRY918382:VRY918393 WBU918382:WBU918393 WLQ918382:WLQ918393 WVM918382:WVM918393 E983918:E983929 JA983918:JA983929 SW983918:SW983929 ACS983918:ACS983929 AMO983918:AMO983929 AWK983918:AWK983929 BGG983918:BGG983929 BQC983918:BQC983929 BZY983918:BZY983929 CJU983918:CJU983929 CTQ983918:CTQ983929 DDM983918:DDM983929 DNI983918:DNI983929 DXE983918:DXE983929 EHA983918:EHA983929 EQW983918:EQW983929 FAS983918:FAS983929 FKO983918:FKO983929 FUK983918:FUK983929 GEG983918:GEG983929 GOC983918:GOC983929 GXY983918:GXY983929 HHU983918:HHU983929 HRQ983918:HRQ983929 IBM983918:IBM983929 ILI983918:ILI983929 IVE983918:IVE983929 JFA983918:JFA983929 JOW983918:JOW983929 JYS983918:JYS983929 KIO983918:KIO983929 KSK983918:KSK983929 LCG983918:LCG983929 LMC983918:LMC983929 LVY983918:LVY983929 MFU983918:MFU983929 MPQ983918:MPQ983929 MZM983918:MZM983929 NJI983918:NJI983929 NTE983918:NTE983929 ODA983918:ODA983929 OMW983918:OMW983929 OWS983918:OWS983929 PGO983918:PGO983929 PQK983918:PQK983929 QAG983918:QAG983929 QKC983918:QKC983929 QTY983918:QTY983929 RDU983918:RDU983929 RNQ983918:RNQ983929 RXM983918:RXM983929 SHI983918:SHI983929 SRE983918:SRE983929 TBA983918:TBA983929 TKW983918:TKW983929 TUS983918:TUS983929 UEO983918:UEO983929 UOK983918:UOK983929 UYG983918:UYG983929 VIC983918:VIC983929 VRY983918:VRY983929 WBU983918:WBU983929 WLQ983918:WLQ983929 WVM983918:WVM983929" xr:uid="{00000000-0002-0000-0100-000000000000}">
      <formula1>1</formula1>
      <formula2>235</formula2>
    </dataValidation>
  </dataValidations>
  <printOptions horizontalCentered="1"/>
  <pageMargins left="0.3" right="0.3" top="0.3" bottom="0.3" header="0.3" footer="0.25"/>
  <pageSetup paperSize="9" scale="90" orientation="landscape" r:id="rId1"/>
  <headerFooter>
    <oddFooter>&amp;L&amp;A&amp;R&amp;P/&amp;N</oddFooter>
  </headerFooter>
  <rowBreaks count="2" manualBreakCount="2">
    <brk id="417" min="1" max="9" man="1"/>
    <brk id="447" min="1" max="9"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Hieu Huynh</cp:lastModifiedBy>
  <cp:revision/>
  <dcterms:created xsi:type="dcterms:W3CDTF">2022-09-14T08:34:35Z</dcterms:created>
  <dcterms:modified xsi:type="dcterms:W3CDTF">2022-12-02T08:21:29Z</dcterms:modified>
  <cp:category/>
  <cp:contentStatus/>
</cp:coreProperties>
</file>