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E\OneDrive\000WORK\04-A Hai\Sadesa\"/>
    </mc:Choice>
  </mc:AlternateContent>
  <bookViews>
    <workbookView xWindow="-105" yWindow="-105" windowWidth="30930" windowHeight="16770"/>
  </bookViews>
  <sheets>
    <sheet name="Rack" sheetId="14" r:id="rId1"/>
    <sheet name="PAKD" sheetId="10" state="hidden" r:id="rId2"/>
  </sheets>
  <definedNames>
    <definedName name="_xlnm.Print_Area" localSheetId="0">Rack!$A$1:$K$41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3" i="14" l="1"/>
  <c r="I12" i="14"/>
  <c r="I11" i="14"/>
  <c r="I14" i="14" l="1"/>
  <c r="I15" i="14" s="1"/>
  <c r="G7" i="10" l="1"/>
  <c r="E7" i="10" s="1"/>
  <c r="D7" i="10" l="1"/>
  <c r="C28" i="10"/>
  <c r="D27" i="10"/>
  <c r="D24" i="10"/>
  <c r="D21" i="10"/>
  <c r="D19" i="10"/>
  <c r="D15" i="10"/>
  <c r="E20" i="10" l="1"/>
  <c r="D20" i="10" l="1"/>
  <c r="E6" i="10" l="1"/>
  <c r="D6" i="10" s="1"/>
  <c r="E18" i="10" l="1"/>
  <c r="D18" i="10" l="1"/>
  <c r="E5" i="10" l="1"/>
  <c r="E14" i="10" l="1"/>
  <c r="E28" i="10"/>
  <c r="D28" i="10" s="1"/>
  <c r="E30" i="10"/>
  <c r="D30" i="10" s="1"/>
  <c r="E16" i="10"/>
  <c r="E11" i="10"/>
  <c r="D11" i="10" s="1"/>
  <c r="E23" i="10"/>
  <c r="D23" i="10" s="1"/>
  <c r="E12" i="10"/>
  <c r="D12" i="10" s="1"/>
  <c r="E8" i="10"/>
  <c r="D5" i="10"/>
  <c r="C20" i="10"/>
  <c r="E10" i="10"/>
  <c r="D10" i="10" s="1"/>
  <c r="E29" i="10"/>
  <c r="D29" i="10" s="1"/>
  <c r="E9" i="10" l="1"/>
  <c r="D9" i="10" s="1"/>
  <c r="D8" i="10"/>
  <c r="E22" i="10"/>
  <c r="D22" i="10" s="1"/>
  <c r="E17" i="10"/>
  <c r="D17" i="10" s="1"/>
  <c r="D16" i="10"/>
  <c r="E25" i="10"/>
  <c r="D14" i="10"/>
  <c r="E13" i="10"/>
  <c r="D25" i="10" l="1"/>
  <c r="E26" i="10"/>
  <c r="D26" i="10" s="1"/>
  <c r="G25" i="10"/>
  <c r="E31" i="10"/>
  <c r="D31" i="10" l="1"/>
  <c r="E32" i="10"/>
  <c r="D32" i="10" s="1"/>
</calcChain>
</file>

<file path=xl/comments1.xml><?xml version="1.0" encoding="utf-8"?>
<comments xmlns="http://schemas.openxmlformats.org/spreadsheetml/2006/main">
  <authors>
    <author>pvtrung</author>
  </authors>
  <commentList>
    <comment ref="B36" authorId="0" shapeId="0">
      <text>
        <r>
          <rPr>
            <b/>
            <sz val="8"/>
            <color rgb="FF000000"/>
            <rFont val="Tahoma"/>
            <family val="2"/>
          </rPr>
          <t>CBKD trực tiếp</t>
        </r>
        <r>
          <rPr>
            <sz val="8"/>
            <color rgb="FF000000"/>
            <rFont val="Tahoma"/>
            <family val="2"/>
          </rPr>
          <t xml:space="preserve">
</t>
        </r>
      </text>
    </comment>
  </commentList>
</comments>
</file>

<file path=xl/sharedStrings.xml><?xml version="1.0" encoding="utf-8"?>
<sst xmlns="http://schemas.openxmlformats.org/spreadsheetml/2006/main" count="105" uniqueCount="97">
  <si>
    <t>STT</t>
  </si>
  <si>
    <t>No.</t>
  </si>
  <si>
    <r>
      <t>Mã vụ việc</t>
    </r>
    <r>
      <rPr>
        <b/>
        <sz val="10"/>
        <rFont val="Arial"/>
        <family val="2"/>
      </rPr>
      <t xml:space="preserve">: </t>
    </r>
  </si>
  <si>
    <r>
      <rPr>
        <b/>
        <u/>
        <sz val="10"/>
        <rFont val="Arial"/>
        <family val="2"/>
      </rPr>
      <t>Cán bộ KD</t>
    </r>
    <r>
      <rPr>
        <b/>
        <sz val="10"/>
        <rFont val="Arial"/>
        <family val="2"/>
      </rPr>
      <t xml:space="preserve">: </t>
    </r>
  </si>
  <si>
    <t xml:space="preserve">TTKD:  </t>
  </si>
  <si>
    <t xml:space="preserve">Tỷ giá: </t>
  </si>
  <si>
    <t>Chỉ tiêu</t>
  </si>
  <si>
    <t>Tỷ lệ</t>
  </si>
  <si>
    <t>Dự toán USD</t>
  </si>
  <si>
    <t>Dự toán VND</t>
  </si>
  <si>
    <t>Ghi chú</t>
  </si>
  <si>
    <t xml:space="preserve">Tổng doanh thu </t>
  </si>
  <si>
    <t>Tổng biến phí</t>
  </si>
  <si>
    <t>Giá vốn hàng bán</t>
  </si>
  <si>
    <t>Giá vốn vật tư</t>
  </si>
  <si>
    <t>Giá vốn vật tư phụ</t>
  </si>
  <si>
    <t>Chi phí triển khai bằng tiền</t>
  </si>
  <si>
    <t>-</t>
  </si>
  <si>
    <t>Chi phí nhân công triển khai</t>
  </si>
  <si>
    <t>Chi phí duy trì NLCN</t>
  </si>
  <si>
    <t>Chi phí BH</t>
  </si>
  <si>
    <t>Trong thành phố</t>
  </si>
  <si>
    <t>Ngoại tỉnh</t>
  </si>
  <si>
    <t>Lãi gộp sau biến phí</t>
  </si>
  <si>
    <t>Phụ thuộc từng TT</t>
  </si>
  <si>
    <t>Tỷ lệ lãi gộp/ Doanh thu</t>
  </si>
  <si>
    <t>Tổng chi phí</t>
  </si>
  <si>
    <t>Số ngày triển khai</t>
  </si>
  <si>
    <t>Chi phí tài chính thực tế (tỉ lệ theo doanh thu)</t>
  </si>
  <si>
    <t>Chi phí TC 9.5%/1 năm</t>
  </si>
  <si>
    <t>Chi phí Marketing</t>
  </si>
  <si>
    <t>Phụ  thuộc từng TT</t>
  </si>
  <si>
    <t>Chi phí tư vấn</t>
  </si>
  <si>
    <t>Chi phí khác</t>
  </si>
  <si>
    <t>Lãi thuần dự án</t>
  </si>
  <si>
    <t>Tỷ lệ lãi thuần/ Doanh thu</t>
  </si>
  <si>
    <r>
      <t xml:space="preserve">LTDA </t>
    </r>
    <r>
      <rPr>
        <b/>
        <sz val="10"/>
        <rFont val="Calibri"/>
        <family val="2"/>
      </rPr>
      <t>≥</t>
    </r>
    <r>
      <rPr>
        <b/>
        <sz val="10"/>
        <rFont val="Arial"/>
        <family val="2"/>
      </rPr>
      <t xml:space="preserve"> GVVT</t>
    </r>
  </si>
  <si>
    <t xml:space="preserve">Tổng Chi phí phân bổ </t>
  </si>
  <si>
    <t>Chi phí hoạt động TT</t>
  </si>
  <si>
    <t>Chi phí văn phòng phân bổ  (KhốiBacOffice)</t>
  </si>
  <si>
    <t>Lãi trước thuế</t>
  </si>
  <si>
    <t>Tỷ lệ lãi trước thuế/ Doanh thu</t>
  </si>
  <si>
    <t xml:space="preserve"> Ngày 03 tháng 11 năm 2016</t>
  </si>
  <si>
    <t xml:space="preserve">       Người lập                         </t>
  </si>
  <si>
    <t>Kiểm tra</t>
  </si>
  <si>
    <t>Phê duyệt PAKD</t>
  </si>
  <si>
    <t>Attn:</t>
  </si>
  <si>
    <t>On behalf of Innotel</t>
  </si>
  <si>
    <r>
      <rPr>
        <b/>
        <sz val="11"/>
        <color theme="1"/>
        <rFont val="Arial"/>
        <family val="2"/>
      </rPr>
      <t>THUAN PHONG INNOVATIVE TELECOMMUNICATION CO., LTD.</t>
    </r>
    <r>
      <rPr>
        <sz val="11"/>
        <color theme="1"/>
        <rFont val="Arial"/>
        <family val="2"/>
      </rPr>
      <t xml:space="preserve">
Head Office: 55/31Tran Dinh Xu Street, 1 District, HCMC
Branch office: No 52 Chua Ha St., Cau Giay Dist., Ha Noi City
Website: http://www.innotel.com.vn            Email: nguyen@innotel.com.vn
Tel: (84 028) 38621119.                      Fax: (84 028) 38630366.
</t>
    </r>
  </si>
  <si>
    <t>Note: This quotation is for delivery only.</t>
  </si>
  <si>
    <t>Tram Do (Ms) – Purchasing Dept</t>
  </si>
  <si>
    <t>VAT (10%)</t>
  </si>
  <si>
    <t>CÔNG TY TNHH SADESA VIỆT NAM</t>
  </si>
  <si>
    <t>Lô J6, Đường D1, Khu Công Nghiệp Chuyên Sâu Phú Mỹ 3,Phường Phước Hoà,Thị xã Phú Mỹ,Tỉnh Bà Rịa - Vũng Tàu,Việt Nam</t>
  </si>
  <si>
    <t>Ho.Thi.Hien@sadesa.com 
doantram@sadesa.com</t>
  </si>
  <si>
    <t>Total amount including VAT/ Tổng số tiền đã bao gồm VAT (VND)</t>
  </si>
  <si>
    <t>P/N
Mã hàng</t>
  </si>
  <si>
    <t>Date/Ngày:</t>
  </si>
  <si>
    <t>Valid in 14 days/ Có hiệu lực 14 ngày</t>
  </si>
  <si>
    <t>Thank you very much for your business opportunity with us on this requirement, we are pleased to submit you the quotation as follows:
Cảm ơn bạn rất nhiều vì cơ hội kinh doanh của bạn với chúng tôi về yêu cầu này, chúng tôi rất hân hạnh được gửi cho bạn báo giá như sau:</t>
  </si>
  <si>
    <t>Unit price
Đơn giá
(vnđ)</t>
  </si>
  <si>
    <t>Amount/
Tổng cộng
(vnđ)</t>
  </si>
  <si>
    <t>Remark
Ghi chú</t>
  </si>
  <si>
    <t>Q'ty
SL</t>
  </si>
  <si>
    <t>Descriptions
Mô tả</t>
  </si>
  <si>
    <t>Terms &amp; Conditions/ Điều khoản và điều kiện::</t>
  </si>
  <si>
    <r>
      <t xml:space="preserve">To      </t>
    </r>
    <r>
      <rPr>
        <b/>
        <sz val="15"/>
        <color theme="1"/>
        <rFont val="Arial"/>
        <family val="2"/>
      </rPr>
      <t xml:space="preserve">  CÔNG TY TNHH SADESA VIỆT NAM </t>
    </r>
    <r>
      <rPr>
        <b/>
        <sz val="10"/>
        <color theme="1"/>
        <rFont val="Arial"/>
        <family val="2"/>
      </rPr>
      <t xml:space="preserve">
Đến</t>
    </r>
  </si>
  <si>
    <r>
      <t xml:space="preserve">Add: </t>
    </r>
    <r>
      <rPr>
        <sz val="10"/>
        <color theme="1"/>
        <rFont val="Arial"/>
        <family val="2"/>
      </rPr>
      <t xml:space="preserve">Lot J6, D1 road, Phu My 3 Specialised Industrial Park, Phuoc Hoa Ward, Phu My Town, Ba Ria - Vung Tau Province, Vietnam
</t>
    </r>
    <r>
      <rPr>
        <b/>
        <sz val="10"/>
        <color theme="1"/>
        <rFont val="Arial"/>
        <family val="2"/>
      </rPr>
      <t xml:space="preserve">Địa chỉ: </t>
    </r>
    <r>
      <rPr>
        <sz val="10"/>
        <color theme="1"/>
        <rFont val="Arial"/>
        <family val="2"/>
      </rPr>
      <t>Lô J6, Đường D1, KCN Phú Mỹ 3, Phường Phước Hòa, Thị xã Phú Mỹ, Tỉnh Bà Rịa-Vũng Tàu, Việt Nam</t>
    </r>
  </si>
  <si>
    <r>
      <t xml:space="preserve">Goods condition/ Tình trạng hàng: </t>
    </r>
    <r>
      <rPr>
        <sz val="10"/>
        <color theme="1"/>
        <rFont val="Arial"/>
        <family val="2"/>
      </rPr>
      <t>100% brand new/ Hàng mới 100%</t>
    </r>
  </si>
  <si>
    <t>Warranty/ Bảo hành:</t>
  </si>
  <si>
    <t xml:space="preserve">                                  Warranty onsite/ Bảo hành tại chỗ</t>
  </si>
  <si>
    <r>
      <t>Payment term/ Điều khoản thanh toán:</t>
    </r>
    <r>
      <rPr>
        <sz val="10"/>
        <color theme="1"/>
        <rFont val="Arial"/>
        <family val="2"/>
      </rPr>
      <t xml:space="preserve"> </t>
    </r>
  </si>
  <si>
    <t>Billing information/ Thông tin hóa đơn:</t>
  </si>
  <si>
    <t xml:space="preserve">Customer/ Khách hàng: </t>
  </si>
  <si>
    <t xml:space="preserve">Add/ Địa chỉ: </t>
  </si>
  <si>
    <t xml:space="preserve">Tax code/ MST: </t>
  </si>
  <si>
    <t>Billing recipient email
Email nhận hóa đơn</t>
  </si>
  <si>
    <t>Account Information/ Thông tin ngân hàng:</t>
  </si>
  <si>
    <r>
      <t xml:space="preserve">Benificiary/ Tên ngân hàng: </t>
    </r>
    <r>
      <rPr>
        <b/>
        <i/>
        <sz val="10"/>
        <color theme="1"/>
        <rFont val="Arial"/>
        <family val="2"/>
      </rPr>
      <t>CÔNG TY TNHH VIỄN THÔNG SÁNG TẠO THUẬN PHONG</t>
    </r>
  </si>
  <si>
    <t>VND Account/ Tài khoản: 17058209 (VND)</t>
  </si>
  <si>
    <r>
      <t xml:space="preserve">At/ Tại: </t>
    </r>
    <r>
      <rPr>
        <b/>
        <i/>
        <sz val="10"/>
        <color theme="1"/>
        <rFont val="Arial"/>
        <family val="2"/>
      </rPr>
      <t>Ngân hàng Thương Mại Cổ Phần Á Châu (ACB) - Chi nhánh Hồ Chí Minh</t>
    </r>
  </si>
  <si>
    <t>We hope you will find our prices and terms satisfactory and expecting your order as soon aspossible.
Chúng tôi hy vọng bạn sẽ thấy giá cả và các điều khoản của chúng tôi làm bạn hài lòng và mong nhận được đơn hàng của bạn sớm nhất có thể.</t>
  </si>
  <si>
    <t>Please contact us if you need any further clarification
Vui lòng liên hệ với chúng tôi nếu bạn cần thêm bất kỳ giải thích nào</t>
  </si>
  <si>
    <t>Total/ Tổng cộng (VND)</t>
  </si>
  <si>
    <t>Brand
Thương hiệu</t>
  </si>
  <si>
    <t xml:space="preserve">                                  Warranty terms/ Điều khoản bảo hành: 1 years from receipt date/ 1 năm kể từ ngày nhận hàng</t>
  </si>
  <si>
    <t>Unit/DVT</t>
  </si>
  <si>
    <t>box</t>
  </si>
  <si>
    <t xml:space="preserve">                                    7 days after the contract is signed by both Parties and Party B receives goods together with VAT invoice and Delivery Note.
                                    7 ngày sau khi hai bên ký hợp đồng và Bên B nhận được hàng cùng với hóa đơn VAT và phiếu giao hàng.</t>
  </si>
  <si>
    <t>30/08/2024</t>
  </si>
  <si>
    <r>
      <t xml:space="preserve">QUOTATION/ BÁO GIÁ
</t>
    </r>
    <r>
      <rPr>
        <b/>
        <sz val="15"/>
        <color theme="1"/>
        <rFont val="Arial"/>
        <family val="2"/>
      </rPr>
      <t>No. 300824-01</t>
    </r>
  </si>
  <si>
    <r>
      <t xml:space="preserve">Delivery time/ Thời gian giao hàng: </t>
    </r>
    <r>
      <rPr>
        <sz val="10"/>
        <color theme="1"/>
        <rFont val="Arial"/>
        <family val="2"/>
      </rPr>
      <t>04-06 tuần kể từ ngày Bên A nhận được hợp đồng có chữ ký của hai bên
                                                               04-06 weeks from the date Party A receives the signed contract by both parties.</t>
    </r>
  </si>
  <si>
    <t>Vietrack</t>
  </si>
  <si>
    <t>VRV42-8110</t>
  </si>
  <si>
    <t>VRV15-660</t>
  </si>
  <si>
    <t>Tủ chứa máy chủ dòng V, 15U, 600mm x 600mm, màu đen</t>
  </si>
  <si>
    <t>Tủ chứa máy chủ dòng V, 42U, 800mm x 1100mm, màu đen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</si>
</sst>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44" formatCode="_(&quot;$&quot;* #,##0.00_);_(&quot;$&quot;* \(#,##0.00\);_(&quot;$&quot;* &quot;-&quot;??_);_(@_)"/>
    <numFmt numFmtId="43" formatCode="_(* #,##0.00_);_(* \(#,##0.00\);_(* &quot;-&quot;??_);_(@_)"/>
    <numFmt numFmtId="164" formatCode="&quot;True&quot;;&quot;True&quot;;&quot;False&quot;"/>
    <numFmt numFmtId="165" formatCode="_(* #,##0_);_(* \(#,##0\);_(* &quot;-&quot;??_);_(@_)"/>
    <numFmt numFmtId="166" formatCode="#,##0.000"/>
    <numFmt numFmtId="167" formatCode="#,##0.0"/>
    <numFmt numFmtId="168" formatCode="dd/mm/yyyy"/>
  </numFmts>
  <fonts count="27">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b/>
      <i/>
      <sz val="10"/>
      <color theme="1"/>
      <name val="Arial"/>
      <family val="2"/>
    </font>
    <font>
      <sz val="9"/>
      <name val=".VnTime"/>
      <family val="2"/>
    </font>
    <font>
      <i/>
      <sz val="10"/>
      <color theme="1"/>
      <name val="Arial"/>
      <family val="2"/>
    </font>
    <font>
      <u/>
      <sz val="10"/>
      <color indexed="12"/>
      <name val="Arial"/>
      <family val="2"/>
    </font>
    <font>
      <sz val="10"/>
      <name val=".VnTime"/>
      <family val="2"/>
    </font>
    <font>
      <sz val="10"/>
      <name val="Arial"/>
      <family val="2"/>
      <charset val="163"/>
    </font>
    <font>
      <b/>
      <sz val="11"/>
      <color theme="1"/>
      <name val="Arial"/>
      <family val="2"/>
    </font>
    <font>
      <sz val="11"/>
      <color theme="1"/>
      <name val="Arial"/>
      <family val="2"/>
    </font>
    <font>
      <b/>
      <sz val="10"/>
      <color theme="1"/>
      <name val="Arial"/>
      <family val="2"/>
    </font>
    <font>
      <sz val="10"/>
      <color theme="1"/>
      <name val="Arial"/>
      <family val="2"/>
    </font>
    <font>
      <b/>
      <i/>
      <sz val="11"/>
      <color theme="1"/>
      <name val="Arial"/>
      <family val="2"/>
    </font>
    <font>
      <b/>
      <sz val="15"/>
      <color theme="1"/>
      <name val="Arial"/>
      <family val="2"/>
    </font>
    <font>
      <b/>
      <u/>
      <sz val="10"/>
      <color theme="1"/>
      <name val="Arial"/>
      <family val="2"/>
    </font>
    <font>
      <b/>
      <sz val="10"/>
      <name val="Arial"/>
      <family val="2"/>
    </font>
    <font>
      <b/>
      <u/>
      <sz val="10"/>
      <name val="Arial"/>
      <family val="2"/>
    </font>
    <font>
      <b/>
      <sz val="10"/>
      <name val="Calibri"/>
      <family val="2"/>
    </font>
    <font>
      <i/>
      <sz val="10"/>
      <name val="Arial"/>
      <family val="2"/>
    </font>
    <font>
      <sz val="10"/>
      <name val="Helv"/>
      <family val="2"/>
    </font>
    <font>
      <b/>
      <sz val="8"/>
      <color rgb="FF000000"/>
      <name val="Tahoma"/>
      <family val="2"/>
    </font>
    <font>
      <sz val="8"/>
      <color rgb="FF000000"/>
      <name val="Tahoma"/>
      <family val="2"/>
    </font>
    <font>
      <b/>
      <sz val="22"/>
      <color theme="1"/>
      <name val="Arial"/>
      <family val="2"/>
    </font>
    <font>
      <u/>
      <sz val="10"/>
      <color theme="1"/>
      <name val="Arial"/>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indexed="13"/>
        <bgColor indexed="64"/>
      </patternFill>
    </fill>
    <fill>
      <patternFill patternType="solid">
        <fgColor indexed="40"/>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rgb="FFFFFF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1">
    <xf numFmtId="0" fontId="0" fillId="0" borderId="0"/>
    <xf numFmtId="0" fontId="2" fillId="0" borderId="0"/>
    <xf numFmtId="0" fontId="3" fillId="0" borderId="0"/>
    <xf numFmtId="0" fontId="4" fillId="0" borderId="0"/>
    <xf numFmtId="0" fontId="6" fillId="0" borderId="2">
      <alignment horizontal="left" vertical="center"/>
    </xf>
    <xf numFmtId="5" fontId="9" fillId="0" borderId="2">
      <alignment horizontal="left" vertical="top"/>
    </xf>
    <xf numFmtId="44" fontId="10" fillId="0" borderId="0" applyFont="0" applyFill="0" applyBorder="0" applyAlignment="0" applyProtection="0"/>
    <xf numFmtId="5" fontId="2" fillId="0" borderId="0" applyFill="0" applyBorder="0" applyAlignment="0" applyProtection="0"/>
    <xf numFmtId="0" fontId="4" fillId="0" borderId="0"/>
    <xf numFmtId="0" fontId="8" fillId="0" borderId="0" applyNumberFormat="0" applyFill="0" applyBorder="0" applyAlignment="0" applyProtection="0"/>
    <xf numFmtId="0" fontId="10" fillId="0" borderId="0"/>
    <xf numFmtId="9" fontId="2" fillId="0" borderId="0" applyFont="0" applyFill="0" applyBorder="0" applyAlignment="0" applyProtection="0"/>
    <xf numFmtId="166"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7" fontId="9" fillId="0" borderId="3">
      <alignment horizontal="left" vertical="top"/>
    </xf>
    <xf numFmtId="164" fontId="9" fillId="0" borderId="3">
      <alignment horizontal="left" vertical="top"/>
    </xf>
    <xf numFmtId="0" fontId="2" fillId="0" borderId="0"/>
    <xf numFmtId="0" fontId="2" fillId="0" borderId="0"/>
    <xf numFmtId="9" fontId="2" fillId="0" borderId="0" applyFont="0" applyFill="0" applyBorder="0" applyAlignment="0" applyProtection="0"/>
    <xf numFmtId="44" fontId="1" fillId="0" borderId="0" applyFont="0" applyFill="0" applyBorder="0" applyAlignment="0" applyProtection="0"/>
  </cellStyleXfs>
  <cellXfs count="148">
    <xf numFmtId="0" fontId="0" fillId="0" borderId="0" xfId="0"/>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12" fillId="0" borderId="0" xfId="0" applyFont="1" applyAlignment="1">
      <alignment vertical="center"/>
    </xf>
    <xf numFmtId="0" fontId="12" fillId="2" borderId="0" xfId="0" applyFont="1" applyFill="1" applyAlignment="1">
      <alignment horizontal="center" vertical="center"/>
    </xf>
    <xf numFmtId="4" fontId="11" fillId="2" borderId="0" xfId="0" applyNumberFormat="1" applyFont="1" applyFill="1" applyAlignment="1">
      <alignment horizontal="right" vertical="center"/>
    </xf>
    <xf numFmtId="9" fontId="11" fillId="2" borderId="0" xfId="0" applyNumberFormat="1" applyFont="1" applyFill="1" applyAlignment="1">
      <alignment horizontal="center" vertical="center"/>
    </xf>
    <xf numFmtId="4" fontId="12" fillId="2" borderId="0" xfId="0" applyNumberFormat="1" applyFont="1" applyFill="1" applyAlignment="1">
      <alignment horizontal="center" vertical="center"/>
    </xf>
    <xf numFmtId="0" fontId="13"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horizontal="center" vertical="center"/>
    </xf>
    <xf numFmtId="1" fontId="15" fillId="0" borderId="0" xfId="4" applyNumberFormat="1" applyFont="1" applyBorder="1" applyAlignment="1">
      <alignment horizontal="right" vertical="center"/>
    </xf>
    <xf numFmtId="0" fontId="12" fillId="3"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4" fillId="3" borderId="0" xfId="0" applyFont="1" applyFill="1" applyAlignment="1">
      <alignment horizontal="center" vertical="center"/>
    </xf>
    <xf numFmtId="0" fontId="14" fillId="3" borderId="0" xfId="0" quotePrefix="1" applyFont="1" applyFill="1" applyAlignment="1">
      <alignment horizontal="center" vertical="center"/>
    </xf>
    <xf numFmtId="0" fontId="7" fillId="3" borderId="0" xfId="0" applyFont="1" applyFill="1" applyAlignment="1">
      <alignment vertical="center"/>
    </xf>
    <xf numFmtId="0" fontId="14" fillId="3" borderId="0" xfId="0" applyFont="1" applyFill="1" applyAlignment="1">
      <alignment vertical="center" wrapText="1"/>
    </xf>
    <xf numFmtId="0" fontId="14" fillId="3" borderId="0" xfId="0" applyFont="1" applyFill="1" applyAlignment="1">
      <alignment horizontal="center" vertical="center" wrapText="1"/>
    </xf>
    <xf numFmtId="0" fontId="14" fillId="3" borderId="0" xfId="0" applyFont="1" applyFill="1" applyAlignment="1">
      <alignment horizontal="right" vertical="center" wrapText="1"/>
    </xf>
    <xf numFmtId="0" fontId="7" fillId="3" borderId="0" xfId="0" applyFont="1" applyFill="1" applyAlignment="1">
      <alignment vertical="center" wrapText="1"/>
    </xf>
    <xf numFmtId="0" fontId="13" fillId="3" borderId="0" xfId="0" applyFont="1" applyFill="1" applyAlignment="1">
      <alignment horizontal="center" vertical="center"/>
    </xf>
    <xf numFmtId="0" fontId="13" fillId="3" borderId="0" xfId="0" applyFont="1" applyFill="1" applyAlignment="1">
      <alignment horizontal="right" vertical="center"/>
    </xf>
    <xf numFmtId="43" fontId="14" fillId="3" borderId="0" xfId="0" applyNumberFormat="1" applyFont="1" applyFill="1" applyAlignment="1">
      <alignment horizontal="right" vertical="center"/>
    </xf>
    <xf numFmtId="0" fontId="12" fillId="3" borderId="0" xfId="0" applyFont="1" applyFill="1" applyAlignment="1">
      <alignment vertical="center" wrapText="1"/>
    </xf>
    <xf numFmtId="0" fontId="2" fillId="4" borderId="0" xfId="17" applyFill="1" applyAlignment="1">
      <alignment horizontal="left" vertical="center"/>
    </xf>
    <xf numFmtId="0" fontId="18" fillId="3" borderId="0" xfId="17" applyFont="1" applyFill="1" applyAlignment="1">
      <alignment horizontal="left" vertical="center" indent="1"/>
    </xf>
    <xf numFmtId="0" fontId="2" fillId="3" borderId="0" xfId="17" applyFill="1" applyAlignment="1">
      <alignment horizontal="left" vertical="center" indent="1"/>
    </xf>
    <xf numFmtId="0" fontId="2" fillId="0" borderId="0" xfId="18" applyAlignment="1" applyProtection="1">
      <alignment horizontal="center" vertical="center"/>
      <protection locked="0"/>
    </xf>
    <xf numFmtId="0" fontId="19" fillId="0" borderId="0" xfId="18" applyFont="1" applyAlignment="1" applyProtection="1">
      <alignment vertical="center"/>
      <protection locked="0"/>
    </xf>
    <xf numFmtId="3" fontId="19" fillId="0" borderId="0" xfId="18" applyNumberFormat="1" applyFont="1" applyAlignment="1" applyProtection="1">
      <alignment vertical="center"/>
      <protection locked="0"/>
    </xf>
    <xf numFmtId="165" fontId="19" fillId="0" borderId="0" xfId="14" applyNumberFormat="1" applyFont="1" applyAlignment="1" applyProtection="1">
      <alignment vertical="center"/>
      <protection locked="0"/>
    </xf>
    <xf numFmtId="0" fontId="2" fillId="0" borderId="0" xfId="18" applyAlignment="1" applyProtection="1">
      <alignment vertical="center"/>
      <protection locked="0"/>
    </xf>
    <xf numFmtId="165" fontId="2" fillId="0" borderId="0" xfId="14" applyNumberFormat="1" applyFont="1" applyAlignment="1" applyProtection="1">
      <alignment vertical="center"/>
      <protection locked="0"/>
    </xf>
    <xf numFmtId="0" fontId="18" fillId="0" borderId="0" xfId="18" applyFont="1" applyAlignment="1" applyProtection="1">
      <alignment vertical="center"/>
      <protection locked="0"/>
    </xf>
    <xf numFmtId="43" fontId="2" fillId="0" borderId="0" xfId="14" applyFont="1" applyAlignment="1" applyProtection="1">
      <alignment vertical="center"/>
      <protection locked="0"/>
    </xf>
    <xf numFmtId="0" fontId="18" fillId="5" borderId="0" xfId="18" applyFont="1" applyFill="1" applyAlignment="1" applyProtection="1">
      <alignment vertical="center"/>
      <protection locked="0"/>
    </xf>
    <xf numFmtId="165" fontId="18" fillId="5" borderId="0" xfId="14" applyNumberFormat="1" applyFont="1" applyFill="1" applyAlignment="1" applyProtection="1">
      <alignment horizontal="left" vertical="center"/>
      <protection locked="0"/>
    </xf>
    <xf numFmtId="165" fontId="2" fillId="0" borderId="0" xfId="14" applyNumberFormat="1" applyFont="1" applyAlignment="1" applyProtection="1">
      <alignment horizontal="right" vertical="center"/>
      <protection locked="0"/>
    </xf>
    <xf numFmtId="0" fontId="18" fillId="6" borderId="4" xfId="18" applyFont="1" applyFill="1" applyBorder="1" applyAlignment="1" applyProtection="1">
      <alignment horizontal="center" vertical="center"/>
      <protection locked="0"/>
    </xf>
    <xf numFmtId="0" fontId="18" fillId="6" borderId="4" xfId="18"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protection locked="0"/>
    </xf>
    <xf numFmtId="10" fontId="2" fillId="0" borderId="0" xfId="19" applyNumberFormat="1" applyFont="1" applyAlignment="1" applyProtection="1">
      <alignment horizontal="right" vertical="center"/>
      <protection locked="0"/>
    </xf>
    <xf numFmtId="0" fontId="18" fillId="7" borderId="5" xfId="18" applyFont="1" applyFill="1" applyBorder="1" applyAlignment="1" applyProtection="1">
      <alignment horizontal="center" vertical="center" wrapText="1"/>
      <protection locked="0"/>
    </xf>
    <xf numFmtId="0" fontId="18" fillId="7" borderId="5" xfId="18" applyFont="1" applyFill="1" applyBorder="1" applyAlignment="1" applyProtection="1">
      <alignment vertical="center" wrapText="1"/>
      <protection locked="0"/>
    </xf>
    <xf numFmtId="43" fontId="18" fillId="7" borderId="5" xfId="14" applyFont="1" applyFill="1" applyBorder="1" applyAlignment="1" applyProtection="1">
      <alignment vertical="center" wrapText="1"/>
      <protection locked="0"/>
    </xf>
    <xf numFmtId="3" fontId="18" fillId="7" borderId="5" xfId="0" applyNumberFormat="1" applyFont="1" applyFill="1" applyBorder="1" applyAlignment="1" applyProtection="1">
      <alignment horizontal="right" vertical="center"/>
      <protection locked="0"/>
    </xf>
    <xf numFmtId="3" fontId="18" fillId="7" borderId="5" xfId="0" applyNumberFormat="1" applyFont="1" applyFill="1" applyBorder="1" applyAlignment="1" applyProtection="1">
      <alignment horizontal="left" vertical="center"/>
      <protection locked="0"/>
    </xf>
    <xf numFmtId="0" fontId="2" fillId="0" borderId="0" xfId="18" applyAlignment="1" applyProtection="1">
      <alignment vertical="center" wrapText="1"/>
      <protection locked="0"/>
    </xf>
    <xf numFmtId="165" fontId="2" fillId="0" borderId="0" xfId="14" applyNumberFormat="1" applyFont="1" applyAlignment="1" applyProtection="1">
      <alignment vertical="center" wrapText="1"/>
      <protection locked="0"/>
    </xf>
    <xf numFmtId="0" fontId="2" fillId="0" borderId="5" xfId="18" applyBorder="1" applyAlignment="1" applyProtection="1">
      <alignment horizontal="center" vertical="center" wrapText="1"/>
      <protection locked="0"/>
    </xf>
    <xf numFmtId="0" fontId="2" fillId="0" borderId="5" xfId="18" applyBorder="1" applyAlignment="1" applyProtection="1">
      <alignment vertical="center" wrapText="1"/>
      <protection locked="0"/>
    </xf>
    <xf numFmtId="165" fontId="18" fillId="0" borderId="5" xfId="14" applyNumberFormat="1" applyFont="1" applyFill="1" applyBorder="1" applyAlignment="1" applyProtection="1">
      <alignment horizontal="right" vertical="center" wrapText="1"/>
      <protection locked="0"/>
    </xf>
    <xf numFmtId="165" fontId="18" fillId="0" borderId="5" xfId="14" applyNumberFormat="1" applyFont="1" applyFill="1" applyBorder="1" applyAlignment="1" applyProtection="1">
      <alignment vertical="center" wrapText="1"/>
      <protection locked="0"/>
    </xf>
    <xf numFmtId="43" fontId="2" fillId="0" borderId="0" xfId="18" applyNumberFormat="1" applyAlignment="1" applyProtection="1">
      <alignment vertical="center" wrapText="1"/>
      <protection locked="0"/>
    </xf>
    <xf numFmtId="0" fontId="2" fillId="0" borderId="5" xfId="18" applyBorder="1" applyAlignment="1" applyProtection="1">
      <alignment horizontal="left" vertical="center" wrapText="1"/>
      <protection locked="0"/>
    </xf>
    <xf numFmtId="10" fontId="2" fillId="0" borderId="5" xfId="18" applyNumberFormat="1" applyBorder="1" applyAlignment="1" applyProtection="1">
      <alignment vertical="center" wrapText="1"/>
      <protection locked="0"/>
    </xf>
    <xf numFmtId="165" fontId="2" fillId="0" borderId="5" xfId="14" applyNumberFormat="1" applyFont="1" applyFill="1" applyBorder="1" applyAlignment="1" applyProtection="1">
      <alignment horizontal="right" vertical="center" wrapText="1"/>
      <protection locked="0"/>
    </xf>
    <xf numFmtId="43" fontId="2" fillId="0" borderId="5" xfId="14" applyFont="1" applyFill="1" applyBorder="1" applyAlignment="1" applyProtection="1">
      <alignment vertical="center" wrapText="1"/>
      <protection locked="0"/>
    </xf>
    <xf numFmtId="3" fontId="18" fillId="0" borderId="5" xfId="0" applyNumberFormat="1" applyFont="1" applyBorder="1" applyAlignment="1" applyProtection="1">
      <alignment horizontal="right" vertical="center"/>
      <protection locked="0"/>
    </xf>
    <xf numFmtId="0" fontId="18" fillId="8" borderId="5" xfId="18" applyFont="1" applyFill="1" applyBorder="1" applyAlignment="1" applyProtection="1">
      <alignment horizontal="center" vertical="center" wrapText="1"/>
      <protection locked="0"/>
    </xf>
    <xf numFmtId="0" fontId="18" fillId="8" borderId="5" xfId="18" applyFont="1" applyFill="1" applyBorder="1" applyAlignment="1" applyProtection="1">
      <alignment vertical="center" wrapText="1"/>
      <protection locked="0"/>
    </xf>
    <xf numFmtId="10" fontId="18" fillId="8" borderId="5" xfId="18" applyNumberFormat="1" applyFont="1" applyFill="1" applyBorder="1" applyAlignment="1" applyProtection="1">
      <alignment vertical="center" wrapText="1"/>
      <protection locked="0"/>
    </xf>
    <xf numFmtId="165" fontId="18" fillId="8" borderId="5" xfId="14" applyNumberFormat="1" applyFont="1" applyFill="1" applyBorder="1" applyAlignment="1" applyProtection="1">
      <alignment horizontal="right" vertical="center" wrapText="1"/>
      <protection locked="0"/>
    </xf>
    <xf numFmtId="165" fontId="18" fillId="9" borderId="5" xfId="14" applyNumberFormat="1" applyFont="1" applyFill="1" applyBorder="1" applyAlignment="1" applyProtection="1">
      <alignment vertical="center" wrapText="1"/>
      <protection locked="0"/>
    </xf>
    <xf numFmtId="0" fontId="18" fillId="0" borderId="0" xfId="18" applyFont="1" applyAlignment="1" applyProtection="1">
      <alignment vertical="center" wrapText="1"/>
      <protection locked="0"/>
    </xf>
    <xf numFmtId="165" fontId="18" fillId="0" borderId="0" xfId="14" applyNumberFormat="1" applyFont="1" applyFill="1" applyAlignment="1" applyProtection="1">
      <alignment vertical="center" wrapText="1"/>
      <protection locked="0"/>
    </xf>
    <xf numFmtId="0" fontId="2" fillId="0" borderId="5" xfId="18" applyBorder="1" applyAlignment="1" applyProtection="1">
      <alignment horizontal="left" vertical="center" wrapText="1" indent="2"/>
      <protection locked="0"/>
    </xf>
    <xf numFmtId="3" fontId="2" fillId="0" borderId="5" xfId="0" applyNumberFormat="1" applyFont="1" applyBorder="1" applyAlignment="1" applyProtection="1">
      <alignment horizontal="right" vertical="center"/>
      <protection locked="0"/>
    </xf>
    <xf numFmtId="165" fontId="2" fillId="0" borderId="5" xfId="14" applyNumberFormat="1" applyFont="1" applyFill="1" applyBorder="1" applyAlignment="1" applyProtection="1">
      <alignment vertical="center" wrapText="1"/>
      <protection locked="0"/>
    </xf>
    <xf numFmtId="10" fontId="18" fillId="7" borderId="5" xfId="19" applyNumberFormat="1" applyFont="1" applyFill="1" applyBorder="1" applyAlignment="1" applyProtection="1">
      <alignment vertical="center" wrapText="1"/>
      <protection locked="0"/>
    </xf>
    <xf numFmtId="165" fontId="18" fillId="7" borderId="5" xfId="14" applyNumberFormat="1" applyFont="1" applyFill="1" applyBorder="1" applyAlignment="1" applyProtection="1">
      <alignment horizontal="right" vertical="center" wrapText="1"/>
      <protection locked="0"/>
    </xf>
    <xf numFmtId="0" fontId="2" fillId="7" borderId="5" xfId="18" applyFill="1" applyBorder="1" applyAlignment="1" applyProtection="1">
      <alignment horizontal="center" vertical="center" wrapText="1"/>
      <protection locked="0"/>
    </xf>
    <xf numFmtId="0" fontId="2" fillId="7" borderId="5" xfId="18" applyFill="1" applyBorder="1" applyAlignment="1" applyProtection="1">
      <alignment vertical="center" wrapText="1"/>
      <protection locked="0"/>
    </xf>
    <xf numFmtId="10" fontId="18" fillId="7" borderId="5" xfId="14" applyNumberFormat="1" applyFont="1" applyFill="1" applyBorder="1" applyAlignment="1" applyProtection="1">
      <alignment horizontal="right" vertical="center" wrapText="1"/>
      <protection locked="0"/>
    </xf>
    <xf numFmtId="165" fontId="18" fillId="7" borderId="5" xfId="14" applyNumberFormat="1" applyFont="1" applyFill="1" applyBorder="1" applyAlignment="1" applyProtection="1">
      <alignment vertical="center" wrapText="1"/>
      <protection locked="0"/>
    </xf>
    <xf numFmtId="165" fontId="2" fillId="0" borderId="0" xfId="18" applyNumberFormat="1" applyAlignment="1" applyProtection="1">
      <alignment vertical="center" wrapText="1"/>
      <protection locked="0"/>
    </xf>
    <xf numFmtId="165" fontId="2" fillId="0" borderId="0" xfId="14" applyNumberFormat="1" applyFont="1" applyFill="1" applyAlignment="1" applyProtection="1">
      <alignment vertical="center" wrapText="1"/>
      <protection locked="0"/>
    </xf>
    <xf numFmtId="10" fontId="18" fillId="7" borderId="5" xfId="18" applyNumberFormat="1" applyFont="1" applyFill="1" applyBorder="1" applyAlignment="1" applyProtection="1">
      <alignment vertical="center" wrapText="1"/>
      <protection locked="0"/>
    </xf>
    <xf numFmtId="0" fontId="18" fillId="0" borderId="5" xfId="18" applyFont="1" applyBorder="1" applyAlignment="1" applyProtection="1">
      <alignment horizontal="center" vertical="center" wrapText="1"/>
      <protection locked="0"/>
    </xf>
    <xf numFmtId="10" fontId="18" fillId="0" borderId="5" xfId="18" applyNumberFormat="1" applyFont="1" applyBorder="1" applyAlignment="1" applyProtection="1">
      <alignment vertical="center" wrapText="1"/>
      <protection locked="0"/>
    </xf>
    <xf numFmtId="165" fontId="2" fillId="0" borderId="5" xfId="14" quotePrefix="1" applyNumberFormat="1" applyFont="1" applyFill="1" applyBorder="1" applyAlignment="1" applyProtection="1">
      <alignment vertical="center" wrapText="1"/>
      <protection locked="0"/>
    </xf>
    <xf numFmtId="10" fontId="2" fillId="0" borderId="5" xfId="19" applyNumberFormat="1" applyFont="1" applyFill="1" applyBorder="1" applyAlignment="1" applyProtection="1">
      <alignment horizontal="right" vertical="center" wrapText="1"/>
      <protection locked="0"/>
    </xf>
    <xf numFmtId="0" fontId="21" fillId="0" borderId="0" xfId="18" applyFont="1" applyAlignment="1" applyProtection="1">
      <alignment vertical="center"/>
      <protection locked="0"/>
    </xf>
    <xf numFmtId="165" fontId="21" fillId="0" borderId="0" xfId="14" applyNumberFormat="1" applyFont="1" applyBorder="1" applyAlignment="1" applyProtection="1">
      <alignment vertical="center"/>
      <protection locked="0"/>
    </xf>
    <xf numFmtId="0" fontId="2" fillId="7" borderId="6" xfId="18" applyFill="1" applyBorder="1" applyAlignment="1" applyProtection="1">
      <alignment horizontal="center" vertical="center" wrapText="1"/>
      <protection locked="0"/>
    </xf>
    <xf numFmtId="0" fontId="18" fillId="7" borderId="6" xfId="18" applyFont="1" applyFill="1" applyBorder="1" applyAlignment="1" applyProtection="1">
      <alignment vertical="center" wrapText="1"/>
      <protection locked="0"/>
    </xf>
    <xf numFmtId="0" fontId="2" fillId="7" borderId="6" xfId="18" applyFill="1" applyBorder="1" applyAlignment="1" applyProtection="1">
      <alignment vertical="center" wrapText="1"/>
      <protection locked="0"/>
    </xf>
    <xf numFmtId="10" fontId="18" fillId="7" borderId="6" xfId="14" applyNumberFormat="1" applyFont="1" applyFill="1" applyBorder="1" applyAlignment="1" applyProtection="1">
      <alignment horizontal="right" vertical="center" wrapText="1"/>
      <protection locked="0"/>
    </xf>
    <xf numFmtId="165" fontId="18" fillId="7" borderId="6" xfId="14" applyNumberFormat="1" applyFont="1" applyFill="1" applyBorder="1" applyAlignment="1" applyProtection="1">
      <alignment vertical="center" wrapText="1"/>
      <protection locked="0"/>
    </xf>
    <xf numFmtId="0" fontId="22" fillId="0" borderId="0" xfId="0" applyFont="1" applyAlignment="1" applyProtection="1">
      <alignment vertical="center"/>
      <protection locked="0"/>
    </xf>
    <xf numFmtId="165" fontId="22" fillId="0" borderId="0" xfId="14" applyNumberFormat="1" applyFont="1" applyAlignment="1" applyProtection="1">
      <alignment vertical="center"/>
      <protection locked="0"/>
    </xf>
    <xf numFmtId="0" fontId="22" fillId="0" borderId="0" xfId="0" applyFont="1" applyAlignment="1" applyProtection="1">
      <alignment horizontal="righ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right" vertical="center"/>
      <protection locked="0"/>
    </xf>
    <xf numFmtId="0" fontId="21" fillId="0" borderId="0" xfId="18" applyFont="1" applyAlignment="1">
      <alignment horizontal="left" vertical="center"/>
    </xf>
    <xf numFmtId="165" fontId="21" fillId="0" borderId="0" xfId="14" applyNumberFormat="1" applyFont="1" applyBorder="1" applyAlignment="1" applyProtection="1">
      <alignment horizontal="left" vertical="center"/>
    </xf>
    <xf numFmtId="0" fontId="2" fillId="0" borderId="0" xfId="18" applyAlignment="1">
      <alignment vertical="center"/>
    </xf>
    <xf numFmtId="0" fontId="21" fillId="0" borderId="0" xfId="18" applyFont="1" applyAlignment="1" applyProtection="1">
      <alignment horizontal="right" vertical="center"/>
      <protection locked="0"/>
    </xf>
    <xf numFmtId="0" fontId="18" fillId="0" borderId="0" xfId="0" applyFont="1" applyAlignment="1">
      <alignment vertical="center"/>
    </xf>
    <xf numFmtId="0" fontId="18" fillId="0" borderId="0" xfId="18" applyFont="1" applyAlignment="1">
      <alignment horizontal="center" vertical="center"/>
    </xf>
    <xf numFmtId="165" fontId="18" fillId="0" borderId="0" xfId="14" applyNumberFormat="1" applyFont="1" applyAlignment="1" applyProtection="1">
      <alignment horizontal="center" vertical="center"/>
    </xf>
    <xf numFmtId="0" fontId="18" fillId="0" borderId="0" xfId="0" applyFont="1" applyAlignment="1">
      <alignment horizontal="center" vertical="center"/>
    </xf>
    <xf numFmtId="0" fontId="2" fillId="0" borderId="0" xfId="0" applyFont="1" applyAlignment="1">
      <alignment vertical="center"/>
    </xf>
    <xf numFmtId="165" fontId="2" fillId="0" borderId="0" xfId="14" applyNumberFormat="1" applyFont="1" applyAlignment="1" applyProtection="1">
      <alignment vertical="center"/>
    </xf>
    <xf numFmtId="0" fontId="2" fillId="0" borderId="0" xfId="0" applyFont="1" applyAlignment="1">
      <alignment horizontal="right" vertical="center"/>
    </xf>
    <xf numFmtId="0" fontId="2" fillId="0" borderId="0" xfId="18" applyAlignment="1">
      <alignment horizontal="center" vertical="center"/>
    </xf>
    <xf numFmtId="168" fontId="14" fillId="3" borderId="0" xfId="0" applyNumberFormat="1" applyFont="1" applyFill="1" applyAlignment="1">
      <alignment horizontal="right" vertical="center"/>
    </xf>
    <xf numFmtId="165" fontId="11" fillId="10" borderId="1" xfId="0" applyNumberFormat="1" applyFont="1" applyFill="1" applyBorder="1" applyAlignment="1">
      <alignment horizontal="center" vertical="center"/>
    </xf>
    <xf numFmtId="0" fontId="13" fillId="11" borderId="1" xfId="0" applyFont="1" applyFill="1" applyBorder="1" applyAlignment="1">
      <alignment horizontal="center" vertical="center"/>
    </xf>
    <xf numFmtId="0" fontId="13" fillId="11" borderId="1" xfId="0" applyFont="1" applyFill="1" applyBorder="1" applyAlignment="1">
      <alignment horizontal="center" vertical="center" wrapText="1"/>
    </xf>
    <xf numFmtId="0" fontId="14" fillId="3" borderId="1" xfId="0" applyFont="1" applyFill="1" applyBorder="1" applyAlignment="1">
      <alignment vertical="center" wrapText="1"/>
    </xf>
    <xf numFmtId="0" fontId="12" fillId="3" borderId="0" xfId="0" applyFont="1" applyFill="1" applyAlignment="1">
      <alignment horizontal="left" vertical="center" wrapText="1"/>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3" borderId="0" xfId="0" applyFont="1" applyFill="1" applyAlignment="1">
      <alignment horizontal="left"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3" fontId="13" fillId="3" borderId="1" xfId="0" applyNumberFormat="1" applyFont="1" applyFill="1" applyBorder="1" applyAlignment="1">
      <alignment horizontal="right" vertical="center" wrapText="1"/>
    </xf>
    <xf numFmtId="0" fontId="13" fillId="3" borderId="1"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0" xfId="0" applyFont="1" applyFill="1" applyAlignment="1">
      <alignment horizontal="left" vertical="center"/>
    </xf>
    <xf numFmtId="0" fontId="14" fillId="3" borderId="0" xfId="0" applyFont="1" applyFill="1" applyAlignment="1">
      <alignment horizontal="right" vertical="center"/>
    </xf>
    <xf numFmtId="0" fontId="7" fillId="3" borderId="0" xfId="0" applyFont="1" applyFill="1" applyAlignment="1">
      <alignment horizontal="left" vertical="center"/>
    </xf>
    <xf numFmtId="0" fontId="13" fillId="3" borderId="0" xfId="0" applyFont="1" applyFill="1" applyAlignment="1">
      <alignment horizontal="left" vertical="center"/>
    </xf>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14" fillId="3" borderId="0" xfId="0" applyFont="1" applyFill="1" applyAlignment="1">
      <alignment horizontal="left" vertical="center" wrapText="1"/>
    </xf>
    <xf numFmtId="0" fontId="14" fillId="3" borderId="0" xfId="0" applyFont="1" applyFill="1" applyAlignment="1">
      <alignment horizontal="left" vertical="center"/>
    </xf>
    <xf numFmtId="1" fontId="11" fillId="10" borderId="7" xfId="4" applyNumberFormat="1" applyFont="1" applyFill="1" applyBorder="1" applyAlignment="1">
      <alignment horizontal="center" vertical="center"/>
    </xf>
    <xf numFmtId="1" fontId="11" fillId="10" borderId="9" xfId="4" applyNumberFormat="1" applyFont="1" applyFill="1" applyBorder="1" applyAlignment="1">
      <alignment horizontal="center" vertical="center"/>
    </xf>
    <xf numFmtId="1" fontId="11" fillId="10" borderId="8" xfId="4" applyNumberFormat="1" applyFont="1" applyFill="1" applyBorder="1" applyAlignment="1">
      <alignment horizontal="center" vertical="center"/>
    </xf>
    <xf numFmtId="43" fontId="11" fillId="10" borderId="7" xfId="20" applyNumberFormat="1" applyFont="1" applyFill="1" applyBorder="1" applyAlignment="1">
      <alignment horizontal="center" vertical="center"/>
    </xf>
    <xf numFmtId="43" fontId="11" fillId="10" borderId="8" xfId="20" applyNumberFormat="1" applyFont="1" applyFill="1" applyBorder="1" applyAlignment="1">
      <alignment horizontal="center" vertical="center"/>
    </xf>
    <xf numFmtId="0" fontId="17" fillId="2" borderId="0" xfId="0" applyFont="1" applyFill="1" applyAlignment="1">
      <alignment horizontal="left" vertical="center"/>
    </xf>
    <xf numFmtId="0" fontId="13" fillId="3" borderId="0" xfId="0" applyFont="1" applyFill="1" applyAlignment="1">
      <alignment horizontal="left" vertical="center" wrapText="1"/>
    </xf>
    <xf numFmtId="0" fontId="26" fillId="3" borderId="10" xfId="0" applyFont="1" applyFill="1" applyBorder="1" applyAlignment="1">
      <alignment horizontal="left" vertical="center" wrapText="1"/>
    </xf>
    <xf numFmtId="0" fontId="13" fillId="11" borderId="7" xfId="0" applyFont="1" applyFill="1" applyBorder="1" applyAlignment="1">
      <alignment horizontal="center" vertical="center" wrapText="1"/>
    </xf>
    <xf numFmtId="0" fontId="13" fillId="11" borderId="8" xfId="0" applyFont="1" applyFill="1" applyBorder="1" applyAlignment="1">
      <alignment horizontal="center" vertical="center"/>
    </xf>
    <xf numFmtId="0" fontId="12" fillId="0" borderId="0" xfId="0" applyFont="1" applyAlignment="1">
      <alignment horizontal="right" wrapText="1"/>
    </xf>
    <xf numFmtId="0" fontId="12" fillId="0" borderId="0" xfId="0" applyFont="1" applyAlignment="1">
      <alignment horizontal="right"/>
    </xf>
    <xf numFmtId="2" fontId="25" fillId="3" borderId="0" xfId="3" applyNumberFormat="1" applyFont="1" applyFill="1" applyAlignment="1">
      <alignment horizontal="center" wrapText="1"/>
    </xf>
    <xf numFmtId="2" fontId="25" fillId="3" borderId="0" xfId="3" applyNumberFormat="1" applyFont="1" applyFill="1" applyAlignment="1">
      <alignment horizontal="center"/>
    </xf>
    <xf numFmtId="0" fontId="14" fillId="3" borderId="0" xfId="0" applyFont="1" applyFill="1" applyAlignment="1">
      <alignment horizontal="right" vertical="center"/>
    </xf>
    <xf numFmtId="3" fontId="12" fillId="2" borderId="0" xfId="0" applyNumberFormat="1" applyFont="1" applyFill="1" applyAlignment="1">
      <alignment horizontal="right" vertical="center"/>
    </xf>
  </cellXfs>
  <cellStyles count="21">
    <cellStyle name="Comma 3" xfId="14"/>
    <cellStyle name="Comma 3 2" xfId="12"/>
    <cellStyle name="Currency" xfId="20" builtinId="4"/>
    <cellStyle name="Currency 3" xfId="6"/>
    <cellStyle name="Currency 3 2" xfId="7"/>
    <cellStyle name="Hyperlink 2 2" xfId="9"/>
    <cellStyle name="Ledger 17 x 11 in 2" xfId="3"/>
    <cellStyle name="Ledger 17 x 11 in 2 2" xfId="8"/>
    <cellStyle name="Normal" xfId="0" builtinId="0"/>
    <cellStyle name="Normal 2" xfId="1"/>
    <cellStyle name="Normal 2 4" xfId="17"/>
    <cellStyle name="Normal 3" xfId="10"/>
    <cellStyle name="Normal 6" xfId="2"/>
    <cellStyle name="Normal_MAU QT DU AN" xfId="18"/>
    <cellStyle name="Percent 2" xfId="19"/>
    <cellStyle name="Percent 2 2" xfId="13"/>
    <cellStyle name="Percent 3 2" xfId="11"/>
    <cellStyle name="vntxt1" xfId="5"/>
    <cellStyle name="vntxt1 3" xfId="15"/>
    <cellStyle name="vntxt1 3 2" xfId="16"/>
    <cellStyle name="vntxt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122670</xdr:colOff>
      <xdr:row>3</xdr:row>
      <xdr:rowOff>37566</xdr:rowOff>
    </xdr:from>
    <xdr:to>
      <xdr:col>11</xdr:col>
      <xdr:colOff>0</xdr:colOff>
      <xdr:row>4</xdr:row>
      <xdr:rowOff>0</xdr:rowOff>
    </xdr:to>
    <xdr:pic>
      <xdr:nvPicPr>
        <xdr:cNvPr id="2" name="Picture 1" descr="Image_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70" y="1313916"/>
          <a:ext cx="9878580" cy="1529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42333</xdr:colOff>
      <xdr:row>0</xdr:row>
      <xdr:rowOff>257884</xdr:rowOff>
    </xdr:from>
    <xdr:to>
      <xdr:col>3</xdr:col>
      <xdr:colOff>837045</xdr:colOff>
      <xdr:row>2</xdr:row>
      <xdr:rowOff>62654</xdr:rowOff>
    </xdr:to>
    <xdr:pic>
      <xdr:nvPicPr>
        <xdr:cNvPr id="3" name="Picture 2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1458" y="257884"/>
          <a:ext cx="2013912" cy="862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showGridLines="0" tabSelected="1" view="pageBreakPreview" topLeftCell="A8" zoomScale="115" zoomScaleNormal="100" zoomScaleSheetLayoutView="115" workbookViewId="0">
      <selection activeCell="B19" sqref="B19:K19"/>
    </sheetView>
  </sheetViews>
  <sheetFormatPr defaultColWidth="8.85546875" defaultRowHeight="14.25"/>
  <cols>
    <col min="1" max="1" width="4.42578125" style="3" customWidth="1"/>
    <col min="2" max="2" width="4.85546875" style="3" customWidth="1"/>
    <col min="3" max="3" width="18.28515625" style="3" customWidth="1"/>
    <col min="4" max="4" width="52.5703125" style="3" customWidth="1"/>
    <col min="5" max="5" width="13.7109375" style="3" customWidth="1"/>
    <col min="6" max="7" width="5.42578125" style="3" customWidth="1"/>
    <col min="8" max="8" width="14.5703125" style="9" customWidth="1"/>
    <col min="9" max="9" width="15.28515625" style="3" customWidth="1"/>
    <col min="10" max="10" width="1.5703125" style="10" customWidth="1"/>
    <col min="11" max="11" width="13.85546875" style="3" customWidth="1"/>
    <col min="12" max="12" width="10" style="3" bestFit="1" customWidth="1"/>
    <col min="13" max="238" width="8.85546875" style="3"/>
    <col min="239" max="239" width="6" style="3" customWidth="1"/>
    <col min="240" max="240" width="10.140625" style="3" customWidth="1"/>
    <col min="241" max="241" width="37.42578125" style="3" customWidth="1"/>
    <col min="242" max="242" width="7" style="3" customWidth="1"/>
    <col min="243" max="243" width="0" style="3" hidden="1" customWidth="1"/>
    <col min="244" max="244" width="14.140625" style="3" customWidth="1"/>
    <col min="245" max="245" width="14.42578125" style="3" customWidth="1"/>
    <col min="246" max="246" width="7.42578125" style="3" customWidth="1"/>
    <col min="247" max="247" width="16.140625" style="3" customWidth="1"/>
    <col min="248" max="248" width="8.5703125" style="3" customWidth="1"/>
    <col min="249" max="249" width="14" style="3" customWidth="1"/>
    <col min="250" max="250" width="13.42578125" style="3" customWidth="1"/>
    <col min="251" max="251" width="11.42578125" style="3" customWidth="1"/>
    <col min="252" max="252" width="13.42578125" style="3" customWidth="1"/>
    <col min="253" max="494" width="8.85546875" style="3"/>
    <col min="495" max="495" width="6" style="3" customWidth="1"/>
    <col min="496" max="496" width="10.140625" style="3" customWidth="1"/>
    <col min="497" max="497" width="37.42578125" style="3" customWidth="1"/>
    <col min="498" max="498" width="7" style="3" customWidth="1"/>
    <col min="499" max="499" width="0" style="3" hidden="1" customWidth="1"/>
    <col min="500" max="500" width="14.140625" style="3" customWidth="1"/>
    <col min="501" max="501" width="14.42578125" style="3" customWidth="1"/>
    <col min="502" max="502" width="7.42578125" style="3" customWidth="1"/>
    <col min="503" max="503" width="16.140625" style="3" customWidth="1"/>
    <col min="504" max="504" width="8.5703125" style="3" customWidth="1"/>
    <col min="505" max="505" width="14" style="3" customWidth="1"/>
    <col min="506" max="506" width="13.42578125" style="3" customWidth="1"/>
    <col min="507" max="507" width="11.42578125" style="3" customWidth="1"/>
    <col min="508" max="508" width="13.42578125" style="3" customWidth="1"/>
    <col min="509" max="750" width="8.85546875" style="3"/>
    <col min="751" max="751" width="6" style="3" customWidth="1"/>
    <col min="752" max="752" width="10.140625" style="3" customWidth="1"/>
    <col min="753" max="753" width="37.42578125" style="3" customWidth="1"/>
    <col min="754" max="754" width="7" style="3" customWidth="1"/>
    <col min="755" max="755" width="0" style="3" hidden="1" customWidth="1"/>
    <col min="756" max="756" width="14.140625" style="3" customWidth="1"/>
    <col min="757" max="757" width="14.42578125" style="3" customWidth="1"/>
    <col min="758" max="758" width="7.42578125" style="3" customWidth="1"/>
    <col min="759" max="759" width="16.140625" style="3" customWidth="1"/>
    <col min="760" max="760" width="8.5703125" style="3" customWidth="1"/>
    <col min="761" max="761" width="14" style="3" customWidth="1"/>
    <col min="762" max="762" width="13.42578125" style="3" customWidth="1"/>
    <col min="763" max="763" width="11.42578125" style="3" customWidth="1"/>
    <col min="764" max="764" width="13.42578125" style="3" customWidth="1"/>
    <col min="765" max="1006" width="8.85546875" style="3"/>
    <col min="1007" max="1007" width="6" style="3" customWidth="1"/>
    <col min="1008" max="1008" width="10.140625" style="3" customWidth="1"/>
    <col min="1009" max="1009" width="37.42578125" style="3" customWidth="1"/>
    <col min="1010" max="1010" width="7" style="3" customWidth="1"/>
    <col min="1011" max="1011" width="0" style="3" hidden="1" customWidth="1"/>
    <col min="1012" max="1012" width="14.140625" style="3" customWidth="1"/>
    <col min="1013" max="1013" width="14.42578125" style="3" customWidth="1"/>
    <col min="1014" max="1014" width="7.42578125" style="3" customWidth="1"/>
    <col min="1015" max="1015" width="16.140625" style="3" customWidth="1"/>
    <col min="1016" max="1016" width="8.5703125" style="3" customWidth="1"/>
    <col min="1017" max="1017" width="14" style="3" customWidth="1"/>
    <col min="1018" max="1018" width="13.42578125" style="3" customWidth="1"/>
    <col min="1019" max="1019" width="11.42578125" style="3" customWidth="1"/>
    <col min="1020" max="1020" width="13.42578125" style="3" customWidth="1"/>
    <col min="1021" max="1262" width="8.85546875" style="3"/>
    <col min="1263" max="1263" width="6" style="3" customWidth="1"/>
    <col min="1264" max="1264" width="10.140625" style="3" customWidth="1"/>
    <col min="1265" max="1265" width="37.42578125" style="3" customWidth="1"/>
    <col min="1266" max="1266" width="7" style="3" customWidth="1"/>
    <col min="1267" max="1267" width="0" style="3" hidden="1" customWidth="1"/>
    <col min="1268" max="1268" width="14.140625" style="3" customWidth="1"/>
    <col min="1269" max="1269" width="14.42578125" style="3" customWidth="1"/>
    <col min="1270" max="1270" width="7.42578125" style="3" customWidth="1"/>
    <col min="1271" max="1271" width="16.140625" style="3" customWidth="1"/>
    <col min="1272" max="1272" width="8.5703125" style="3" customWidth="1"/>
    <col min="1273" max="1273" width="14" style="3" customWidth="1"/>
    <col min="1274" max="1274" width="13.42578125" style="3" customWidth="1"/>
    <col min="1275" max="1275" width="11.42578125" style="3" customWidth="1"/>
    <col min="1276" max="1276" width="13.42578125" style="3" customWidth="1"/>
    <col min="1277" max="1518" width="8.85546875" style="3"/>
    <col min="1519" max="1519" width="6" style="3" customWidth="1"/>
    <col min="1520" max="1520" width="10.140625" style="3" customWidth="1"/>
    <col min="1521" max="1521" width="37.42578125" style="3" customWidth="1"/>
    <col min="1522" max="1522" width="7" style="3" customWidth="1"/>
    <col min="1523" max="1523" width="0" style="3" hidden="1" customWidth="1"/>
    <col min="1524" max="1524" width="14.140625" style="3" customWidth="1"/>
    <col min="1525" max="1525" width="14.42578125" style="3" customWidth="1"/>
    <col min="1526" max="1526" width="7.42578125" style="3" customWidth="1"/>
    <col min="1527" max="1527" width="16.140625" style="3" customWidth="1"/>
    <col min="1528" max="1528" width="8.5703125" style="3" customWidth="1"/>
    <col min="1529" max="1529" width="14" style="3" customWidth="1"/>
    <col min="1530" max="1530" width="13.42578125" style="3" customWidth="1"/>
    <col min="1531" max="1531" width="11.42578125" style="3" customWidth="1"/>
    <col min="1532" max="1532" width="13.42578125" style="3" customWidth="1"/>
    <col min="1533" max="1774" width="8.85546875" style="3"/>
    <col min="1775" max="1775" width="6" style="3" customWidth="1"/>
    <col min="1776" max="1776" width="10.140625" style="3" customWidth="1"/>
    <col min="1777" max="1777" width="37.42578125" style="3" customWidth="1"/>
    <col min="1778" max="1778" width="7" style="3" customWidth="1"/>
    <col min="1779" max="1779" width="0" style="3" hidden="1" customWidth="1"/>
    <col min="1780" max="1780" width="14.140625" style="3" customWidth="1"/>
    <col min="1781" max="1781" width="14.42578125" style="3" customWidth="1"/>
    <col min="1782" max="1782" width="7.42578125" style="3" customWidth="1"/>
    <col min="1783" max="1783" width="16.140625" style="3" customWidth="1"/>
    <col min="1784" max="1784" width="8.5703125" style="3" customWidth="1"/>
    <col min="1785" max="1785" width="14" style="3" customWidth="1"/>
    <col min="1786" max="1786" width="13.42578125" style="3" customWidth="1"/>
    <col min="1787" max="1787" width="11.42578125" style="3" customWidth="1"/>
    <col min="1788" max="1788" width="13.42578125" style="3" customWidth="1"/>
    <col min="1789" max="2030" width="8.85546875" style="3"/>
    <col min="2031" max="2031" width="6" style="3" customWidth="1"/>
    <col min="2032" max="2032" width="10.140625" style="3" customWidth="1"/>
    <col min="2033" max="2033" width="37.42578125" style="3" customWidth="1"/>
    <col min="2034" max="2034" width="7" style="3" customWidth="1"/>
    <col min="2035" max="2035" width="0" style="3" hidden="1" customWidth="1"/>
    <col min="2036" max="2036" width="14.140625" style="3" customWidth="1"/>
    <col min="2037" max="2037" width="14.42578125" style="3" customWidth="1"/>
    <col min="2038" max="2038" width="7.42578125" style="3" customWidth="1"/>
    <col min="2039" max="2039" width="16.140625" style="3" customWidth="1"/>
    <col min="2040" max="2040" width="8.5703125" style="3" customWidth="1"/>
    <col min="2041" max="2041" width="14" style="3" customWidth="1"/>
    <col min="2042" max="2042" width="13.42578125" style="3" customWidth="1"/>
    <col min="2043" max="2043" width="11.42578125" style="3" customWidth="1"/>
    <col min="2044" max="2044" width="13.42578125" style="3" customWidth="1"/>
    <col min="2045" max="2286" width="8.85546875" style="3"/>
    <col min="2287" max="2287" width="6" style="3" customWidth="1"/>
    <col min="2288" max="2288" width="10.140625" style="3" customWidth="1"/>
    <col min="2289" max="2289" width="37.42578125" style="3" customWidth="1"/>
    <col min="2290" max="2290" width="7" style="3" customWidth="1"/>
    <col min="2291" max="2291" width="0" style="3" hidden="1" customWidth="1"/>
    <col min="2292" max="2292" width="14.140625" style="3" customWidth="1"/>
    <col min="2293" max="2293" width="14.42578125" style="3" customWidth="1"/>
    <col min="2294" max="2294" width="7.42578125" style="3" customWidth="1"/>
    <col min="2295" max="2295" width="16.140625" style="3" customWidth="1"/>
    <col min="2296" max="2296" width="8.5703125" style="3" customWidth="1"/>
    <col min="2297" max="2297" width="14" style="3" customWidth="1"/>
    <col min="2298" max="2298" width="13.42578125" style="3" customWidth="1"/>
    <col min="2299" max="2299" width="11.42578125" style="3" customWidth="1"/>
    <col min="2300" max="2300" width="13.42578125" style="3" customWidth="1"/>
    <col min="2301" max="2542" width="8.85546875" style="3"/>
    <col min="2543" max="2543" width="6" style="3" customWidth="1"/>
    <col min="2544" max="2544" width="10.140625" style="3" customWidth="1"/>
    <col min="2545" max="2545" width="37.42578125" style="3" customWidth="1"/>
    <col min="2546" max="2546" width="7" style="3" customWidth="1"/>
    <col min="2547" max="2547" width="0" style="3" hidden="1" customWidth="1"/>
    <col min="2548" max="2548" width="14.140625" style="3" customWidth="1"/>
    <col min="2549" max="2549" width="14.42578125" style="3" customWidth="1"/>
    <col min="2550" max="2550" width="7.42578125" style="3" customWidth="1"/>
    <col min="2551" max="2551" width="16.140625" style="3" customWidth="1"/>
    <col min="2552" max="2552" width="8.5703125" style="3" customWidth="1"/>
    <col min="2553" max="2553" width="14" style="3" customWidth="1"/>
    <col min="2554" max="2554" width="13.42578125" style="3" customWidth="1"/>
    <col min="2555" max="2555" width="11.42578125" style="3" customWidth="1"/>
    <col min="2556" max="2556" width="13.42578125" style="3" customWidth="1"/>
    <col min="2557" max="2798" width="8.85546875" style="3"/>
    <col min="2799" max="2799" width="6" style="3" customWidth="1"/>
    <col min="2800" max="2800" width="10.140625" style="3" customWidth="1"/>
    <col min="2801" max="2801" width="37.42578125" style="3" customWidth="1"/>
    <col min="2802" max="2802" width="7" style="3" customWidth="1"/>
    <col min="2803" max="2803" width="0" style="3" hidden="1" customWidth="1"/>
    <col min="2804" max="2804" width="14.140625" style="3" customWidth="1"/>
    <col min="2805" max="2805" width="14.42578125" style="3" customWidth="1"/>
    <col min="2806" max="2806" width="7.42578125" style="3" customWidth="1"/>
    <col min="2807" max="2807" width="16.140625" style="3" customWidth="1"/>
    <col min="2808" max="2808" width="8.5703125" style="3" customWidth="1"/>
    <col min="2809" max="2809" width="14" style="3" customWidth="1"/>
    <col min="2810" max="2810" width="13.42578125" style="3" customWidth="1"/>
    <col min="2811" max="2811" width="11.42578125" style="3" customWidth="1"/>
    <col min="2812" max="2812" width="13.42578125" style="3" customWidth="1"/>
    <col min="2813" max="3054" width="8.85546875" style="3"/>
    <col min="3055" max="3055" width="6" style="3" customWidth="1"/>
    <col min="3056" max="3056" width="10.140625" style="3" customWidth="1"/>
    <col min="3057" max="3057" width="37.42578125" style="3" customWidth="1"/>
    <col min="3058" max="3058" width="7" style="3" customWidth="1"/>
    <col min="3059" max="3059" width="0" style="3" hidden="1" customWidth="1"/>
    <col min="3060" max="3060" width="14.140625" style="3" customWidth="1"/>
    <col min="3061" max="3061" width="14.42578125" style="3" customWidth="1"/>
    <col min="3062" max="3062" width="7.42578125" style="3" customWidth="1"/>
    <col min="3063" max="3063" width="16.140625" style="3" customWidth="1"/>
    <col min="3064" max="3064" width="8.5703125" style="3" customWidth="1"/>
    <col min="3065" max="3065" width="14" style="3" customWidth="1"/>
    <col min="3066" max="3066" width="13.42578125" style="3" customWidth="1"/>
    <col min="3067" max="3067" width="11.42578125" style="3" customWidth="1"/>
    <col min="3068" max="3068" width="13.42578125" style="3" customWidth="1"/>
    <col min="3069" max="3310" width="8.85546875" style="3"/>
    <col min="3311" max="3311" width="6" style="3" customWidth="1"/>
    <col min="3312" max="3312" width="10.140625" style="3" customWidth="1"/>
    <col min="3313" max="3313" width="37.42578125" style="3" customWidth="1"/>
    <col min="3314" max="3314" width="7" style="3" customWidth="1"/>
    <col min="3315" max="3315" width="0" style="3" hidden="1" customWidth="1"/>
    <col min="3316" max="3316" width="14.140625" style="3" customWidth="1"/>
    <col min="3317" max="3317" width="14.42578125" style="3" customWidth="1"/>
    <col min="3318" max="3318" width="7.42578125" style="3" customWidth="1"/>
    <col min="3319" max="3319" width="16.140625" style="3" customWidth="1"/>
    <col min="3320" max="3320" width="8.5703125" style="3" customWidth="1"/>
    <col min="3321" max="3321" width="14" style="3" customWidth="1"/>
    <col min="3322" max="3322" width="13.42578125" style="3" customWidth="1"/>
    <col min="3323" max="3323" width="11.42578125" style="3" customWidth="1"/>
    <col min="3324" max="3324" width="13.42578125" style="3" customWidth="1"/>
    <col min="3325" max="3566" width="8.85546875" style="3"/>
    <col min="3567" max="3567" width="6" style="3" customWidth="1"/>
    <col min="3568" max="3568" width="10.140625" style="3" customWidth="1"/>
    <col min="3569" max="3569" width="37.42578125" style="3" customWidth="1"/>
    <col min="3570" max="3570" width="7" style="3" customWidth="1"/>
    <col min="3571" max="3571" width="0" style="3" hidden="1" customWidth="1"/>
    <col min="3572" max="3572" width="14.140625" style="3" customWidth="1"/>
    <col min="3573" max="3573" width="14.42578125" style="3" customWidth="1"/>
    <col min="3574" max="3574" width="7.42578125" style="3" customWidth="1"/>
    <col min="3575" max="3575" width="16.140625" style="3" customWidth="1"/>
    <col min="3576" max="3576" width="8.5703125" style="3" customWidth="1"/>
    <col min="3577" max="3577" width="14" style="3" customWidth="1"/>
    <col min="3578" max="3578" width="13.42578125" style="3" customWidth="1"/>
    <col min="3579" max="3579" width="11.42578125" style="3" customWidth="1"/>
    <col min="3580" max="3580" width="13.42578125" style="3" customWidth="1"/>
    <col min="3581" max="3822" width="8.85546875" style="3"/>
    <col min="3823" max="3823" width="6" style="3" customWidth="1"/>
    <col min="3824" max="3824" width="10.140625" style="3" customWidth="1"/>
    <col min="3825" max="3825" width="37.42578125" style="3" customWidth="1"/>
    <col min="3826" max="3826" width="7" style="3" customWidth="1"/>
    <col min="3827" max="3827" width="0" style="3" hidden="1" customWidth="1"/>
    <col min="3828" max="3828" width="14.140625" style="3" customWidth="1"/>
    <col min="3829" max="3829" width="14.42578125" style="3" customWidth="1"/>
    <col min="3830" max="3830" width="7.42578125" style="3" customWidth="1"/>
    <col min="3831" max="3831" width="16.140625" style="3" customWidth="1"/>
    <col min="3832" max="3832" width="8.5703125" style="3" customWidth="1"/>
    <col min="3833" max="3833" width="14" style="3" customWidth="1"/>
    <col min="3834" max="3834" width="13.42578125" style="3" customWidth="1"/>
    <col min="3835" max="3835" width="11.42578125" style="3" customWidth="1"/>
    <col min="3836" max="3836" width="13.42578125" style="3" customWidth="1"/>
    <col min="3837" max="4078" width="8.85546875" style="3"/>
    <col min="4079" max="4079" width="6" style="3" customWidth="1"/>
    <col min="4080" max="4080" width="10.140625" style="3" customWidth="1"/>
    <col min="4081" max="4081" width="37.42578125" style="3" customWidth="1"/>
    <col min="4082" max="4082" width="7" style="3" customWidth="1"/>
    <col min="4083" max="4083" width="0" style="3" hidden="1" customWidth="1"/>
    <col min="4084" max="4084" width="14.140625" style="3" customWidth="1"/>
    <col min="4085" max="4085" width="14.42578125" style="3" customWidth="1"/>
    <col min="4086" max="4086" width="7.42578125" style="3" customWidth="1"/>
    <col min="4087" max="4087" width="16.140625" style="3" customWidth="1"/>
    <col min="4088" max="4088" width="8.5703125" style="3" customWidth="1"/>
    <col min="4089" max="4089" width="14" style="3" customWidth="1"/>
    <col min="4090" max="4090" width="13.42578125" style="3" customWidth="1"/>
    <col min="4091" max="4091" width="11.42578125" style="3" customWidth="1"/>
    <col min="4092" max="4092" width="13.42578125" style="3" customWidth="1"/>
    <col min="4093" max="4334" width="8.85546875" style="3"/>
    <col min="4335" max="4335" width="6" style="3" customWidth="1"/>
    <col min="4336" max="4336" width="10.140625" style="3" customWidth="1"/>
    <col min="4337" max="4337" width="37.42578125" style="3" customWidth="1"/>
    <col min="4338" max="4338" width="7" style="3" customWidth="1"/>
    <col min="4339" max="4339" width="0" style="3" hidden="1" customWidth="1"/>
    <col min="4340" max="4340" width="14.140625" style="3" customWidth="1"/>
    <col min="4341" max="4341" width="14.42578125" style="3" customWidth="1"/>
    <col min="4342" max="4342" width="7.42578125" style="3" customWidth="1"/>
    <col min="4343" max="4343" width="16.140625" style="3" customWidth="1"/>
    <col min="4344" max="4344" width="8.5703125" style="3" customWidth="1"/>
    <col min="4345" max="4345" width="14" style="3" customWidth="1"/>
    <col min="4346" max="4346" width="13.42578125" style="3" customWidth="1"/>
    <col min="4347" max="4347" width="11.42578125" style="3" customWidth="1"/>
    <col min="4348" max="4348" width="13.42578125" style="3" customWidth="1"/>
    <col min="4349" max="4590" width="8.85546875" style="3"/>
    <col min="4591" max="4591" width="6" style="3" customWidth="1"/>
    <col min="4592" max="4592" width="10.140625" style="3" customWidth="1"/>
    <col min="4593" max="4593" width="37.42578125" style="3" customWidth="1"/>
    <col min="4594" max="4594" width="7" style="3" customWidth="1"/>
    <col min="4595" max="4595" width="0" style="3" hidden="1" customWidth="1"/>
    <col min="4596" max="4596" width="14.140625" style="3" customWidth="1"/>
    <col min="4597" max="4597" width="14.42578125" style="3" customWidth="1"/>
    <col min="4598" max="4598" width="7.42578125" style="3" customWidth="1"/>
    <col min="4599" max="4599" width="16.140625" style="3" customWidth="1"/>
    <col min="4600" max="4600" width="8.5703125" style="3" customWidth="1"/>
    <col min="4601" max="4601" width="14" style="3" customWidth="1"/>
    <col min="4602" max="4602" width="13.42578125" style="3" customWidth="1"/>
    <col min="4603" max="4603" width="11.42578125" style="3" customWidth="1"/>
    <col min="4604" max="4604" width="13.42578125" style="3" customWidth="1"/>
    <col min="4605" max="4846" width="8.85546875" style="3"/>
    <col min="4847" max="4847" width="6" style="3" customWidth="1"/>
    <col min="4848" max="4848" width="10.140625" style="3" customWidth="1"/>
    <col min="4849" max="4849" width="37.42578125" style="3" customWidth="1"/>
    <col min="4850" max="4850" width="7" style="3" customWidth="1"/>
    <col min="4851" max="4851" width="0" style="3" hidden="1" customWidth="1"/>
    <col min="4852" max="4852" width="14.140625" style="3" customWidth="1"/>
    <col min="4853" max="4853" width="14.42578125" style="3" customWidth="1"/>
    <col min="4854" max="4854" width="7.42578125" style="3" customWidth="1"/>
    <col min="4855" max="4855" width="16.140625" style="3" customWidth="1"/>
    <col min="4856" max="4856" width="8.5703125" style="3" customWidth="1"/>
    <col min="4857" max="4857" width="14" style="3" customWidth="1"/>
    <col min="4858" max="4858" width="13.42578125" style="3" customWidth="1"/>
    <col min="4859" max="4859" width="11.42578125" style="3" customWidth="1"/>
    <col min="4860" max="4860" width="13.42578125" style="3" customWidth="1"/>
    <col min="4861" max="5102" width="8.85546875" style="3"/>
    <col min="5103" max="5103" width="6" style="3" customWidth="1"/>
    <col min="5104" max="5104" width="10.140625" style="3" customWidth="1"/>
    <col min="5105" max="5105" width="37.42578125" style="3" customWidth="1"/>
    <col min="5106" max="5106" width="7" style="3" customWidth="1"/>
    <col min="5107" max="5107" width="0" style="3" hidden="1" customWidth="1"/>
    <col min="5108" max="5108" width="14.140625" style="3" customWidth="1"/>
    <col min="5109" max="5109" width="14.42578125" style="3" customWidth="1"/>
    <col min="5110" max="5110" width="7.42578125" style="3" customWidth="1"/>
    <col min="5111" max="5111" width="16.140625" style="3" customWidth="1"/>
    <col min="5112" max="5112" width="8.5703125" style="3" customWidth="1"/>
    <col min="5113" max="5113" width="14" style="3" customWidth="1"/>
    <col min="5114" max="5114" width="13.42578125" style="3" customWidth="1"/>
    <col min="5115" max="5115" width="11.42578125" style="3" customWidth="1"/>
    <col min="5116" max="5116" width="13.42578125" style="3" customWidth="1"/>
    <col min="5117" max="5358" width="8.85546875" style="3"/>
    <col min="5359" max="5359" width="6" style="3" customWidth="1"/>
    <col min="5360" max="5360" width="10.140625" style="3" customWidth="1"/>
    <col min="5361" max="5361" width="37.42578125" style="3" customWidth="1"/>
    <col min="5362" max="5362" width="7" style="3" customWidth="1"/>
    <col min="5363" max="5363" width="0" style="3" hidden="1" customWidth="1"/>
    <col min="5364" max="5364" width="14.140625" style="3" customWidth="1"/>
    <col min="5365" max="5365" width="14.42578125" style="3" customWidth="1"/>
    <col min="5366" max="5366" width="7.42578125" style="3" customWidth="1"/>
    <col min="5367" max="5367" width="16.140625" style="3" customWidth="1"/>
    <col min="5368" max="5368" width="8.5703125" style="3" customWidth="1"/>
    <col min="5369" max="5369" width="14" style="3" customWidth="1"/>
    <col min="5370" max="5370" width="13.42578125" style="3" customWidth="1"/>
    <col min="5371" max="5371" width="11.42578125" style="3" customWidth="1"/>
    <col min="5372" max="5372" width="13.42578125" style="3" customWidth="1"/>
    <col min="5373" max="5614" width="8.85546875" style="3"/>
    <col min="5615" max="5615" width="6" style="3" customWidth="1"/>
    <col min="5616" max="5616" width="10.140625" style="3" customWidth="1"/>
    <col min="5617" max="5617" width="37.42578125" style="3" customWidth="1"/>
    <col min="5618" max="5618" width="7" style="3" customWidth="1"/>
    <col min="5619" max="5619" width="0" style="3" hidden="1" customWidth="1"/>
    <col min="5620" max="5620" width="14.140625" style="3" customWidth="1"/>
    <col min="5621" max="5621" width="14.42578125" style="3" customWidth="1"/>
    <col min="5622" max="5622" width="7.42578125" style="3" customWidth="1"/>
    <col min="5623" max="5623" width="16.140625" style="3" customWidth="1"/>
    <col min="5624" max="5624" width="8.5703125" style="3" customWidth="1"/>
    <col min="5625" max="5625" width="14" style="3" customWidth="1"/>
    <col min="5626" max="5626" width="13.42578125" style="3" customWidth="1"/>
    <col min="5627" max="5627" width="11.42578125" style="3" customWidth="1"/>
    <col min="5628" max="5628" width="13.42578125" style="3" customWidth="1"/>
    <col min="5629" max="5870" width="8.85546875" style="3"/>
    <col min="5871" max="5871" width="6" style="3" customWidth="1"/>
    <col min="5872" max="5872" width="10.140625" style="3" customWidth="1"/>
    <col min="5873" max="5873" width="37.42578125" style="3" customWidth="1"/>
    <col min="5874" max="5874" width="7" style="3" customWidth="1"/>
    <col min="5875" max="5875" width="0" style="3" hidden="1" customWidth="1"/>
    <col min="5876" max="5876" width="14.140625" style="3" customWidth="1"/>
    <col min="5877" max="5877" width="14.42578125" style="3" customWidth="1"/>
    <col min="5878" max="5878" width="7.42578125" style="3" customWidth="1"/>
    <col min="5879" max="5879" width="16.140625" style="3" customWidth="1"/>
    <col min="5880" max="5880" width="8.5703125" style="3" customWidth="1"/>
    <col min="5881" max="5881" width="14" style="3" customWidth="1"/>
    <col min="5882" max="5882" width="13.42578125" style="3" customWidth="1"/>
    <col min="5883" max="5883" width="11.42578125" style="3" customWidth="1"/>
    <col min="5884" max="5884" width="13.42578125" style="3" customWidth="1"/>
    <col min="5885" max="6126" width="8.85546875" style="3"/>
    <col min="6127" max="6127" width="6" style="3" customWidth="1"/>
    <col min="6128" max="6128" width="10.140625" style="3" customWidth="1"/>
    <col min="6129" max="6129" width="37.42578125" style="3" customWidth="1"/>
    <col min="6130" max="6130" width="7" style="3" customWidth="1"/>
    <col min="6131" max="6131" width="0" style="3" hidden="1" customWidth="1"/>
    <col min="6132" max="6132" width="14.140625" style="3" customWidth="1"/>
    <col min="6133" max="6133" width="14.42578125" style="3" customWidth="1"/>
    <col min="6134" max="6134" width="7.42578125" style="3" customWidth="1"/>
    <col min="6135" max="6135" width="16.140625" style="3" customWidth="1"/>
    <col min="6136" max="6136" width="8.5703125" style="3" customWidth="1"/>
    <col min="6137" max="6137" width="14" style="3" customWidth="1"/>
    <col min="6138" max="6138" width="13.42578125" style="3" customWidth="1"/>
    <col min="6139" max="6139" width="11.42578125" style="3" customWidth="1"/>
    <col min="6140" max="6140" width="13.42578125" style="3" customWidth="1"/>
    <col min="6141" max="6382" width="8.85546875" style="3"/>
    <col min="6383" max="6383" width="6" style="3" customWidth="1"/>
    <col min="6384" max="6384" width="10.140625" style="3" customWidth="1"/>
    <col min="6385" max="6385" width="37.42578125" style="3" customWidth="1"/>
    <col min="6386" max="6386" width="7" style="3" customWidth="1"/>
    <col min="6387" max="6387" width="0" style="3" hidden="1" customWidth="1"/>
    <col min="6388" max="6388" width="14.140625" style="3" customWidth="1"/>
    <col min="6389" max="6389" width="14.42578125" style="3" customWidth="1"/>
    <col min="6390" max="6390" width="7.42578125" style="3" customWidth="1"/>
    <col min="6391" max="6391" width="16.140625" style="3" customWidth="1"/>
    <col min="6392" max="6392" width="8.5703125" style="3" customWidth="1"/>
    <col min="6393" max="6393" width="14" style="3" customWidth="1"/>
    <col min="6394" max="6394" width="13.42578125" style="3" customWidth="1"/>
    <col min="6395" max="6395" width="11.42578125" style="3" customWidth="1"/>
    <col min="6396" max="6396" width="13.42578125" style="3" customWidth="1"/>
    <col min="6397" max="6638" width="8.85546875" style="3"/>
    <col min="6639" max="6639" width="6" style="3" customWidth="1"/>
    <col min="6640" max="6640" width="10.140625" style="3" customWidth="1"/>
    <col min="6641" max="6641" width="37.42578125" style="3" customWidth="1"/>
    <col min="6642" max="6642" width="7" style="3" customWidth="1"/>
    <col min="6643" max="6643" width="0" style="3" hidden="1" customWidth="1"/>
    <col min="6644" max="6644" width="14.140625" style="3" customWidth="1"/>
    <col min="6645" max="6645" width="14.42578125" style="3" customWidth="1"/>
    <col min="6646" max="6646" width="7.42578125" style="3" customWidth="1"/>
    <col min="6647" max="6647" width="16.140625" style="3" customWidth="1"/>
    <col min="6648" max="6648" width="8.5703125" style="3" customWidth="1"/>
    <col min="6649" max="6649" width="14" style="3" customWidth="1"/>
    <col min="6650" max="6650" width="13.42578125" style="3" customWidth="1"/>
    <col min="6651" max="6651" width="11.42578125" style="3" customWidth="1"/>
    <col min="6652" max="6652" width="13.42578125" style="3" customWidth="1"/>
    <col min="6653" max="6894" width="8.85546875" style="3"/>
    <col min="6895" max="6895" width="6" style="3" customWidth="1"/>
    <col min="6896" max="6896" width="10.140625" style="3" customWidth="1"/>
    <col min="6897" max="6897" width="37.42578125" style="3" customWidth="1"/>
    <col min="6898" max="6898" width="7" style="3" customWidth="1"/>
    <col min="6899" max="6899" width="0" style="3" hidden="1" customWidth="1"/>
    <col min="6900" max="6900" width="14.140625" style="3" customWidth="1"/>
    <col min="6901" max="6901" width="14.42578125" style="3" customWidth="1"/>
    <col min="6902" max="6902" width="7.42578125" style="3" customWidth="1"/>
    <col min="6903" max="6903" width="16.140625" style="3" customWidth="1"/>
    <col min="6904" max="6904" width="8.5703125" style="3" customWidth="1"/>
    <col min="6905" max="6905" width="14" style="3" customWidth="1"/>
    <col min="6906" max="6906" width="13.42578125" style="3" customWidth="1"/>
    <col min="6907" max="6907" width="11.42578125" style="3" customWidth="1"/>
    <col min="6908" max="6908" width="13.42578125" style="3" customWidth="1"/>
    <col min="6909" max="7150" width="8.85546875" style="3"/>
    <col min="7151" max="7151" width="6" style="3" customWidth="1"/>
    <col min="7152" max="7152" width="10.140625" style="3" customWidth="1"/>
    <col min="7153" max="7153" width="37.42578125" style="3" customWidth="1"/>
    <col min="7154" max="7154" width="7" style="3" customWidth="1"/>
    <col min="7155" max="7155" width="0" style="3" hidden="1" customWidth="1"/>
    <col min="7156" max="7156" width="14.140625" style="3" customWidth="1"/>
    <col min="7157" max="7157" width="14.42578125" style="3" customWidth="1"/>
    <col min="7158" max="7158" width="7.42578125" style="3" customWidth="1"/>
    <col min="7159" max="7159" width="16.140625" style="3" customWidth="1"/>
    <col min="7160" max="7160" width="8.5703125" style="3" customWidth="1"/>
    <col min="7161" max="7161" width="14" style="3" customWidth="1"/>
    <col min="7162" max="7162" width="13.42578125" style="3" customWidth="1"/>
    <col min="7163" max="7163" width="11.42578125" style="3" customWidth="1"/>
    <col min="7164" max="7164" width="13.42578125" style="3" customWidth="1"/>
    <col min="7165" max="7406" width="8.85546875" style="3"/>
    <col min="7407" max="7407" width="6" style="3" customWidth="1"/>
    <col min="7408" max="7408" width="10.140625" style="3" customWidth="1"/>
    <col min="7409" max="7409" width="37.42578125" style="3" customWidth="1"/>
    <col min="7410" max="7410" width="7" style="3" customWidth="1"/>
    <col min="7411" max="7411" width="0" style="3" hidden="1" customWidth="1"/>
    <col min="7412" max="7412" width="14.140625" style="3" customWidth="1"/>
    <col min="7413" max="7413" width="14.42578125" style="3" customWidth="1"/>
    <col min="7414" max="7414" width="7.42578125" style="3" customWidth="1"/>
    <col min="7415" max="7415" width="16.140625" style="3" customWidth="1"/>
    <col min="7416" max="7416" width="8.5703125" style="3" customWidth="1"/>
    <col min="7417" max="7417" width="14" style="3" customWidth="1"/>
    <col min="7418" max="7418" width="13.42578125" style="3" customWidth="1"/>
    <col min="7419" max="7419" width="11.42578125" style="3" customWidth="1"/>
    <col min="7420" max="7420" width="13.42578125" style="3" customWidth="1"/>
    <col min="7421" max="7662" width="8.85546875" style="3"/>
    <col min="7663" max="7663" width="6" style="3" customWidth="1"/>
    <col min="7664" max="7664" width="10.140625" style="3" customWidth="1"/>
    <col min="7665" max="7665" width="37.42578125" style="3" customWidth="1"/>
    <col min="7666" max="7666" width="7" style="3" customWidth="1"/>
    <col min="7667" max="7667" width="0" style="3" hidden="1" customWidth="1"/>
    <col min="7668" max="7668" width="14.140625" style="3" customWidth="1"/>
    <col min="7669" max="7669" width="14.42578125" style="3" customWidth="1"/>
    <col min="7670" max="7670" width="7.42578125" style="3" customWidth="1"/>
    <col min="7671" max="7671" width="16.140625" style="3" customWidth="1"/>
    <col min="7672" max="7672" width="8.5703125" style="3" customWidth="1"/>
    <col min="7673" max="7673" width="14" style="3" customWidth="1"/>
    <col min="7674" max="7674" width="13.42578125" style="3" customWidth="1"/>
    <col min="7675" max="7675" width="11.42578125" style="3" customWidth="1"/>
    <col min="7676" max="7676" width="13.42578125" style="3" customWidth="1"/>
    <col min="7677" max="7918" width="8.85546875" style="3"/>
    <col min="7919" max="7919" width="6" style="3" customWidth="1"/>
    <col min="7920" max="7920" width="10.140625" style="3" customWidth="1"/>
    <col min="7921" max="7921" width="37.42578125" style="3" customWidth="1"/>
    <col min="7922" max="7922" width="7" style="3" customWidth="1"/>
    <col min="7923" max="7923" width="0" style="3" hidden="1" customWidth="1"/>
    <col min="7924" max="7924" width="14.140625" style="3" customWidth="1"/>
    <col min="7925" max="7925" width="14.42578125" style="3" customWidth="1"/>
    <col min="7926" max="7926" width="7.42578125" style="3" customWidth="1"/>
    <col min="7927" max="7927" width="16.140625" style="3" customWidth="1"/>
    <col min="7928" max="7928" width="8.5703125" style="3" customWidth="1"/>
    <col min="7929" max="7929" width="14" style="3" customWidth="1"/>
    <col min="7930" max="7930" width="13.42578125" style="3" customWidth="1"/>
    <col min="7931" max="7931" width="11.42578125" style="3" customWidth="1"/>
    <col min="7932" max="7932" width="13.42578125" style="3" customWidth="1"/>
    <col min="7933" max="8174" width="8.85546875" style="3"/>
    <col min="8175" max="8175" width="6" style="3" customWidth="1"/>
    <col min="8176" max="8176" width="10.140625" style="3" customWidth="1"/>
    <col min="8177" max="8177" width="37.42578125" style="3" customWidth="1"/>
    <col min="8178" max="8178" width="7" style="3" customWidth="1"/>
    <col min="8179" max="8179" width="0" style="3" hidden="1" customWidth="1"/>
    <col min="8180" max="8180" width="14.140625" style="3" customWidth="1"/>
    <col min="8181" max="8181" width="14.42578125" style="3" customWidth="1"/>
    <col min="8182" max="8182" width="7.42578125" style="3" customWidth="1"/>
    <col min="8183" max="8183" width="16.140625" style="3" customWidth="1"/>
    <col min="8184" max="8184" width="8.5703125" style="3" customWidth="1"/>
    <col min="8185" max="8185" width="14" style="3" customWidth="1"/>
    <col min="8186" max="8186" width="13.42578125" style="3" customWidth="1"/>
    <col min="8187" max="8187" width="11.42578125" style="3" customWidth="1"/>
    <col min="8188" max="8188" width="13.42578125" style="3" customWidth="1"/>
    <col min="8189" max="8430" width="8.85546875" style="3"/>
    <col min="8431" max="8431" width="6" style="3" customWidth="1"/>
    <col min="8432" max="8432" width="10.140625" style="3" customWidth="1"/>
    <col min="8433" max="8433" width="37.42578125" style="3" customWidth="1"/>
    <col min="8434" max="8434" width="7" style="3" customWidth="1"/>
    <col min="8435" max="8435" width="0" style="3" hidden="1" customWidth="1"/>
    <col min="8436" max="8436" width="14.140625" style="3" customWidth="1"/>
    <col min="8437" max="8437" width="14.42578125" style="3" customWidth="1"/>
    <col min="8438" max="8438" width="7.42578125" style="3" customWidth="1"/>
    <col min="8439" max="8439" width="16.140625" style="3" customWidth="1"/>
    <col min="8440" max="8440" width="8.5703125" style="3" customWidth="1"/>
    <col min="8441" max="8441" width="14" style="3" customWidth="1"/>
    <col min="8442" max="8442" width="13.42578125" style="3" customWidth="1"/>
    <col min="8443" max="8443" width="11.42578125" style="3" customWidth="1"/>
    <col min="8444" max="8444" width="13.42578125" style="3" customWidth="1"/>
    <col min="8445" max="8686" width="8.85546875" style="3"/>
    <col min="8687" max="8687" width="6" style="3" customWidth="1"/>
    <col min="8688" max="8688" width="10.140625" style="3" customWidth="1"/>
    <col min="8689" max="8689" width="37.42578125" style="3" customWidth="1"/>
    <col min="8690" max="8690" width="7" style="3" customWidth="1"/>
    <col min="8691" max="8691" width="0" style="3" hidden="1" customWidth="1"/>
    <col min="8692" max="8692" width="14.140625" style="3" customWidth="1"/>
    <col min="8693" max="8693" width="14.42578125" style="3" customWidth="1"/>
    <col min="8694" max="8694" width="7.42578125" style="3" customWidth="1"/>
    <col min="8695" max="8695" width="16.140625" style="3" customWidth="1"/>
    <col min="8696" max="8696" width="8.5703125" style="3" customWidth="1"/>
    <col min="8697" max="8697" width="14" style="3" customWidth="1"/>
    <col min="8698" max="8698" width="13.42578125" style="3" customWidth="1"/>
    <col min="8699" max="8699" width="11.42578125" style="3" customWidth="1"/>
    <col min="8700" max="8700" width="13.42578125" style="3" customWidth="1"/>
    <col min="8701" max="8942" width="8.85546875" style="3"/>
    <col min="8943" max="8943" width="6" style="3" customWidth="1"/>
    <col min="8944" max="8944" width="10.140625" style="3" customWidth="1"/>
    <col min="8945" max="8945" width="37.42578125" style="3" customWidth="1"/>
    <col min="8946" max="8946" width="7" style="3" customWidth="1"/>
    <col min="8947" max="8947" width="0" style="3" hidden="1" customWidth="1"/>
    <col min="8948" max="8948" width="14.140625" style="3" customWidth="1"/>
    <col min="8949" max="8949" width="14.42578125" style="3" customWidth="1"/>
    <col min="8950" max="8950" width="7.42578125" style="3" customWidth="1"/>
    <col min="8951" max="8951" width="16.140625" style="3" customWidth="1"/>
    <col min="8952" max="8952" width="8.5703125" style="3" customWidth="1"/>
    <col min="8953" max="8953" width="14" style="3" customWidth="1"/>
    <col min="8954" max="8954" width="13.42578125" style="3" customWidth="1"/>
    <col min="8955" max="8955" width="11.42578125" style="3" customWidth="1"/>
    <col min="8956" max="8956" width="13.42578125" style="3" customWidth="1"/>
    <col min="8957" max="9198" width="8.85546875" style="3"/>
    <col min="9199" max="9199" width="6" style="3" customWidth="1"/>
    <col min="9200" max="9200" width="10.140625" style="3" customWidth="1"/>
    <col min="9201" max="9201" width="37.42578125" style="3" customWidth="1"/>
    <col min="9202" max="9202" width="7" style="3" customWidth="1"/>
    <col min="9203" max="9203" width="0" style="3" hidden="1" customWidth="1"/>
    <col min="9204" max="9204" width="14.140625" style="3" customWidth="1"/>
    <col min="9205" max="9205" width="14.42578125" style="3" customWidth="1"/>
    <col min="9206" max="9206" width="7.42578125" style="3" customWidth="1"/>
    <col min="9207" max="9207" width="16.140625" style="3" customWidth="1"/>
    <col min="9208" max="9208" width="8.5703125" style="3" customWidth="1"/>
    <col min="9209" max="9209" width="14" style="3" customWidth="1"/>
    <col min="9210" max="9210" width="13.42578125" style="3" customWidth="1"/>
    <col min="9211" max="9211" width="11.42578125" style="3" customWidth="1"/>
    <col min="9212" max="9212" width="13.42578125" style="3" customWidth="1"/>
    <col min="9213" max="9454" width="8.85546875" style="3"/>
    <col min="9455" max="9455" width="6" style="3" customWidth="1"/>
    <col min="9456" max="9456" width="10.140625" style="3" customWidth="1"/>
    <col min="9457" max="9457" width="37.42578125" style="3" customWidth="1"/>
    <col min="9458" max="9458" width="7" style="3" customWidth="1"/>
    <col min="9459" max="9459" width="0" style="3" hidden="1" customWidth="1"/>
    <col min="9460" max="9460" width="14.140625" style="3" customWidth="1"/>
    <col min="9461" max="9461" width="14.42578125" style="3" customWidth="1"/>
    <col min="9462" max="9462" width="7.42578125" style="3" customWidth="1"/>
    <col min="9463" max="9463" width="16.140625" style="3" customWidth="1"/>
    <col min="9464" max="9464" width="8.5703125" style="3" customWidth="1"/>
    <col min="9465" max="9465" width="14" style="3" customWidth="1"/>
    <col min="9466" max="9466" width="13.42578125" style="3" customWidth="1"/>
    <col min="9467" max="9467" width="11.42578125" style="3" customWidth="1"/>
    <col min="9468" max="9468" width="13.42578125" style="3" customWidth="1"/>
    <col min="9469" max="9710" width="8.85546875" style="3"/>
    <col min="9711" max="9711" width="6" style="3" customWidth="1"/>
    <col min="9712" max="9712" width="10.140625" style="3" customWidth="1"/>
    <col min="9713" max="9713" width="37.42578125" style="3" customWidth="1"/>
    <col min="9714" max="9714" width="7" style="3" customWidth="1"/>
    <col min="9715" max="9715" width="0" style="3" hidden="1" customWidth="1"/>
    <col min="9716" max="9716" width="14.140625" style="3" customWidth="1"/>
    <col min="9717" max="9717" width="14.42578125" style="3" customWidth="1"/>
    <col min="9718" max="9718" width="7.42578125" style="3" customWidth="1"/>
    <col min="9719" max="9719" width="16.140625" style="3" customWidth="1"/>
    <col min="9720" max="9720" width="8.5703125" style="3" customWidth="1"/>
    <col min="9721" max="9721" width="14" style="3" customWidth="1"/>
    <col min="9722" max="9722" width="13.42578125" style="3" customWidth="1"/>
    <col min="9723" max="9723" width="11.42578125" style="3" customWidth="1"/>
    <col min="9724" max="9724" width="13.42578125" style="3" customWidth="1"/>
    <col min="9725" max="9966" width="8.85546875" style="3"/>
    <col min="9967" max="9967" width="6" style="3" customWidth="1"/>
    <col min="9968" max="9968" width="10.140625" style="3" customWidth="1"/>
    <col min="9969" max="9969" width="37.42578125" style="3" customWidth="1"/>
    <col min="9970" max="9970" width="7" style="3" customWidth="1"/>
    <col min="9971" max="9971" width="0" style="3" hidden="1" customWidth="1"/>
    <col min="9972" max="9972" width="14.140625" style="3" customWidth="1"/>
    <col min="9973" max="9973" width="14.42578125" style="3" customWidth="1"/>
    <col min="9974" max="9974" width="7.42578125" style="3" customWidth="1"/>
    <col min="9975" max="9975" width="16.140625" style="3" customWidth="1"/>
    <col min="9976" max="9976" width="8.5703125" style="3" customWidth="1"/>
    <col min="9977" max="9977" width="14" style="3" customWidth="1"/>
    <col min="9978" max="9978" width="13.42578125" style="3" customWidth="1"/>
    <col min="9979" max="9979" width="11.42578125" style="3" customWidth="1"/>
    <col min="9980" max="9980" width="13.42578125" style="3" customWidth="1"/>
    <col min="9981" max="10222" width="8.85546875" style="3"/>
    <col min="10223" max="10223" width="6" style="3" customWidth="1"/>
    <col min="10224" max="10224" width="10.140625" style="3" customWidth="1"/>
    <col min="10225" max="10225" width="37.42578125" style="3" customWidth="1"/>
    <col min="10226" max="10226" width="7" style="3" customWidth="1"/>
    <col min="10227" max="10227" width="0" style="3" hidden="1" customWidth="1"/>
    <col min="10228" max="10228" width="14.140625" style="3" customWidth="1"/>
    <col min="10229" max="10229" width="14.42578125" style="3" customWidth="1"/>
    <col min="10230" max="10230" width="7.42578125" style="3" customWidth="1"/>
    <col min="10231" max="10231" width="16.140625" style="3" customWidth="1"/>
    <col min="10232" max="10232" width="8.5703125" style="3" customWidth="1"/>
    <col min="10233" max="10233" width="14" style="3" customWidth="1"/>
    <col min="10234" max="10234" width="13.42578125" style="3" customWidth="1"/>
    <col min="10235" max="10235" width="11.42578125" style="3" customWidth="1"/>
    <col min="10236" max="10236" width="13.42578125" style="3" customWidth="1"/>
    <col min="10237" max="10478" width="8.85546875" style="3"/>
    <col min="10479" max="10479" width="6" style="3" customWidth="1"/>
    <col min="10480" max="10480" width="10.140625" style="3" customWidth="1"/>
    <col min="10481" max="10481" width="37.42578125" style="3" customWidth="1"/>
    <col min="10482" max="10482" width="7" style="3" customWidth="1"/>
    <col min="10483" max="10483" width="0" style="3" hidden="1" customWidth="1"/>
    <col min="10484" max="10484" width="14.140625" style="3" customWidth="1"/>
    <col min="10485" max="10485" width="14.42578125" style="3" customWidth="1"/>
    <col min="10486" max="10486" width="7.42578125" style="3" customWidth="1"/>
    <col min="10487" max="10487" width="16.140625" style="3" customWidth="1"/>
    <col min="10488" max="10488" width="8.5703125" style="3" customWidth="1"/>
    <col min="10489" max="10489" width="14" style="3" customWidth="1"/>
    <col min="10490" max="10490" width="13.42578125" style="3" customWidth="1"/>
    <col min="10491" max="10491" width="11.42578125" style="3" customWidth="1"/>
    <col min="10492" max="10492" width="13.42578125" style="3" customWidth="1"/>
    <col min="10493" max="10734" width="8.85546875" style="3"/>
    <col min="10735" max="10735" width="6" style="3" customWidth="1"/>
    <col min="10736" max="10736" width="10.140625" style="3" customWidth="1"/>
    <col min="10737" max="10737" width="37.42578125" style="3" customWidth="1"/>
    <col min="10738" max="10738" width="7" style="3" customWidth="1"/>
    <col min="10739" max="10739" width="0" style="3" hidden="1" customWidth="1"/>
    <col min="10740" max="10740" width="14.140625" style="3" customWidth="1"/>
    <col min="10741" max="10741" width="14.42578125" style="3" customWidth="1"/>
    <col min="10742" max="10742" width="7.42578125" style="3" customWidth="1"/>
    <col min="10743" max="10743" width="16.140625" style="3" customWidth="1"/>
    <col min="10744" max="10744" width="8.5703125" style="3" customWidth="1"/>
    <col min="10745" max="10745" width="14" style="3" customWidth="1"/>
    <col min="10746" max="10746" width="13.42578125" style="3" customWidth="1"/>
    <col min="10747" max="10747" width="11.42578125" style="3" customWidth="1"/>
    <col min="10748" max="10748" width="13.42578125" style="3" customWidth="1"/>
    <col min="10749" max="10990" width="8.85546875" style="3"/>
    <col min="10991" max="10991" width="6" style="3" customWidth="1"/>
    <col min="10992" max="10992" width="10.140625" style="3" customWidth="1"/>
    <col min="10993" max="10993" width="37.42578125" style="3" customWidth="1"/>
    <col min="10994" max="10994" width="7" style="3" customWidth="1"/>
    <col min="10995" max="10995" width="0" style="3" hidden="1" customWidth="1"/>
    <col min="10996" max="10996" width="14.140625" style="3" customWidth="1"/>
    <col min="10997" max="10997" width="14.42578125" style="3" customWidth="1"/>
    <col min="10998" max="10998" width="7.42578125" style="3" customWidth="1"/>
    <col min="10999" max="10999" width="16.140625" style="3" customWidth="1"/>
    <col min="11000" max="11000" width="8.5703125" style="3" customWidth="1"/>
    <col min="11001" max="11001" width="14" style="3" customWidth="1"/>
    <col min="11002" max="11002" width="13.42578125" style="3" customWidth="1"/>
    <col min="11003" max="11003" width="11.42578125" style="3" customWidth="1"/>
    <col min="11004" max="11004" width="13.42578125" style="3" customWidth="1"/>
    <col min="11005" max="11246" width="8.85546875" style="3"/>
    <col min="11247" max="11247" width="6" style="3" customWidth="1"/>
    <col min="11248" max="11248" width="10.140625" style="3" customWidth="1"/>
    <col min="11249" max="11249" width="37.42578125" style="3" customWidth="1"/>
    <col min="11250" max="11250" width="7" style="3" customWidth="1"/>
    <col min="11251" max="11251" width="0" style="3" hidden="1" customWidth="1"/>
    <col min="11252" max="11252" width="14.140625" style="3" customWidth="1"/>
    <col min="11253" max="11253" width="14.42578125" style="3" customWidth="1"/>
    <col min="11254" max="11254" width="7.42578125" style="3" customWidth="1"/>
    <col min="11255" max="11255" width="16.140625" style="3" customWidth="1"/>
    <col min="11256" max="11256" width="8.5703125" style="3" customWidth="1"/>
    <col min="11257" max="11257" width="14" style="3" customWidth="1"/>
    <col min="11258" max="11258" width="13.42578125" style="3" customWidth="1"/>
    <col min="11259" max="11259" width="11.42578125" style="3" customWidth="1"/>
    <col min="11260" max="11260" width="13.42578125" style="3" customWidth="1"/>
    <col min="11261" max="11502" width="8.85546875" style="3"/>
    <col min="11503" max="11503" width="6" style="3" customWidth="1"/>
    <col min="11504" max="11504" width="10.140625" style="3" customWidth="1"/>
    <col min="11505" max="11505" width="37.42578125" style="3" customWidth="1"/>
    <col min="11506" max="11506" width="7" style="3" customWidth="1"/>
    <col min="11507" max="11507" width="0" style="3" hidden="1" customWidth="1"/>
    <col min="11508" max="11508" width="14.140625" style="3" customWidth="1"/>
    <col min="11509" max="11509" width="14.42578125" style="3" customWidth="1"/>
    <col min="11510" max="11510" width="7.42578125" style="3" customWidth="1"/>
    <col min="11511" max="11511" width="16.140625" style="3" customWidth="1"/>
    <col min="11512" max="11512" width="8.5703125" style="3" customWidth="1"/>
    <col min="11513" max="11513" width="14" style="3" customWidth="1"/>
    <col min="11514" max="11514" width="13.42578125" style="3" customWidth="1"/>
    <col min="11515" max="11515" width="11.42578125" style="3" customWidth="1"/>
    <col min="11516" max="11516" width="13.42578125" style="3" customWidth="1"/>
    <col min="11517" max="11758" width="8.85546875" style="3"/>
    <col min="11759" max="11759" width="6" style="3" customWidth="1"/>
    <col min="11760" max="11760" width="10.140625" style="3" customWidth="1"/>
    <col min="11761" max="11761" width="37.42578125" style="3" customWidth="1"/>
    <col min="11762" max="11762" width="7" style="3" customWidth="1"/>
    <col min="11763" max="11763" width="0" style="3" hidden="1" customWidth="1"/>
    <col min="11764" max="11764" width="14.140625" style="3" customWidth="1"/>
    <col min="11765" max="11765" width="14.42578125" style="3" customWidth="1"/>
    <col min="11766" max="11766" width="7.42578125" style="3" customWidth="1"/>
    <col min="11767" max="11767" width="16.140625" style="3" customWidth="1"/>
    <col min="11768" max="11768" width="8.5703125" style="3" customWidth="1"/>
    <col min="11769" max="11769" width="14" style="3" customWidth="1"/>
    <col min="11770" max="11770" width="13.42578125" style="3" customWidth="1"/>
    <col min="11771" max="11771" width="11.42578125" style="3" customWidth="1"/>
    <col min="11772" max="11772" width="13.42578125" style="3" customWidth="1"/>
    <col min="11773" max="12014" width="8.85546875" style="3"/>
    <col min="12015" max="12015" width="6" style="3" customWidth="1"/>
    <col min="12016" max="12016" width="10.140625" style="3" customWidth="1"/>
    <col min="12017" max="12017" width="37.42578125" style="3" customWidth="1"/>
    <col min="12018" max="12018" width="7" style="3" customWidth="1"/>
    <col min="12019" max="12019" width="0" style="3" hidden="1" customWidth="1"/>
    <col min="12020" max="12020" width="14.140625" style="3" customWidth="1"/>
    <col min="12021" max="12021" width="14.42578125" style="3" customWidth="1"/>
    <col min="12022" max="12022" width="7.42578125" style="3" customWidth="1"/>
    <col min="12023" max="12023" width="16.140625" style="3" customWidth="1"/>
    <col min="12024" max="12024" width="8.5703125" style="3" customWidth="1"/>
    <col min="12025" max="12025" width="14" style="3" customWidth="1"/>
    <col min="12026" max="12026" width="13.42578125" style="3" customWidth="1"/>
    <col min="12027" max="12027" width="11.42578125" style="3" customWidth="1"/>
    <col min="12028" max="12028" width="13.42578125" style="3" customWidth="1"/>
    <col min="12029" max="12270" width="8.85546875" style="3"/>
    <col min="12271" max="12271" width="6" style="3" customWidth="1"/>
    <col min="12272" max="12272" width="10.140625" style="3" customWidth="1"/>
    <col min="12273" max="12273" width="37.42578125" style="3" customWidth="1"/>
    <col min="12274" max="12274" width="7" style="3" customWidth="1"/>
    <col min="12275" max="12275" width="0" style="3" hidden="1" customWidth="1"/>
    <col min="12276" max="12276" width="14.140625" style="3" customWidth="1"/>
    <col min="12277" max="12277" width="14.42578125" style="3" customWidth="1"/>
    <col min="12278" max="12278" width="7.42578125" style="3" customWidth="1"/>
    <col min="12279" max="12279" width="16.140625" style="3" customWidth="1"/>
    <col min="12280" max="12280" width="8.5703125" style="3" customWidth="1"/>
    <col min="12281" max="12281" width="14" style="3" customWidth="1"/>
    <col min="12282" max="12282" width="13.42578125" style="3" customWidth="1"/>
    <col min="12283" max="12283" width="11.42578125" style="3" customWidth="1"/>
    <col min="12284" max="12284" width="13.42578125" style="3" customWidth="1"/>
    <col min="12285" max="12526" width="8.85546875" style="3"/>
    <col min="12527" max="12527" width="6" style="3" customWidth="1"/>
    <col min="12528" max="12528" width="10.140625" style="3" customWidth="1"/>
    <col min="12529" max="12529" width="37.42578125" style="3" customWidth="1"/>
    <col min="12530" max="12530" width="7" style="3" customWidth="1"/>
    <col min="12531" max="12531" width="0" style="3" hidden="1" customWidth="1"/>
    <col min="12532" max="12532" width="14.140625" style="3" customWidth="1"/>
    <col min="12533" max="12533" width="14.42578125" style="3" customWidth="1"/>
    <col min="12534" max="12534" width="7.42578125" style="3" customWidth="1"/>
    <col min="12535" max="12535" width="16.140625" style="3" customWidth="1"/>
    <col min="12536" max="12536" width="8.5703125" style="3" customWidth="1"/>
    <col min="12537" max="12537" width="14" style="3" customWidth="1"/>
    <col min="12538" max="12538" width="13.42578125" style="3" customWidth="1"/>
    <col min="12539" max="12539" width="11.42578125" style="3" customWidth="1"/>
    <col min="12540" max="12540" width="13.42578125" style="3" customWidth="1"/>
    <col min="12541" max="12782" width="8.85546875" style="3"/>
    <col min="12783" max="12783" width="6" style="3" customWidth="1"/>
    <col min="12784" max="12784" width="10.140625" style="3" customWidth="1"/>
    <col min="12785" max="12785" width="37.42578125" style="3" customWidth="1"/>
    <col min="12786" max="12786" width="7" style="3" customWidth="1"/>
    <col min="12787" max="12787" width="0" style="3" hidden="1" customWidth="1"/>
    <col min="12788" max="12788" width="14.140625" style="3" customWidth="1"/>
    <col min="12789" max="12789" width="14.42578125" style="3" customWidth="1"/>
    <col min="12790" max="12790" width="7.42578125" style="3" customWidth="1"/>
    <col min="12791" max="12791" width="16.140625" style="3" customWidth="1"/>
    <col min="12792" max="12792" width="8.5703125" style="3" customWidth="1"/>
    <col min="12793" max="12793" width="14" style="3" customWidth="1"/>
    <col min="12794" max="12794" width="13.42578125" style="3" customWidth="1"/>
    <col min="12795" max="12795" width="11.42578125" style="3" customWidth="1"/>
    <col min="12796" max="12796" width="13.42578125" style="3" customWidth="1"/>
    <col min="12797" max="13038" width="8.85546875" style="3"/>
    <col min="13039" max="13039" width="6" style="3" customWidth="1"/>
    <col min="13040" max="13040" width="10.140625" style="3" customWidth="1"/>
    <col min="13041" max="13041" width="37.42578125" style="3" customWidth="1"/>
    <col min="13042" max="13042" width="7" style="3" customWidth="1"/>
    <col min="13043" max="13043" width="0" style="3" hidden="1" customWidth="1"/>
    <col min="13044" max="13044" width="14.140625" style="3" customWidth="1"/>
    <col min="13045" max="13045" width="14.42578125" style="3" customWidth="1"/>
    <col min="13046" max="13046" width="7.42578125" style="3" customWidth="1"/>
    <col min="13047" max="13047" width="16.140625" style="3" customWidth="1"/>
    <col min="13048" max="13048" width="8.5703125" style="3" customWidth="1"/>
    <col min="13049" max="13049" width="14" style="3" customWidth="1"/>
    <col min="13050" max="13050" width="13.42578125" style="3" customWidth="1"/>
    <col min="13051" max="13051" width="11.42578125" style="3" customWidth="1"/>
    <col min="13052" max="13052" width="13.42578125" style="3" customWidth="1"/>
    <col min="13053" max="13294" width="8.85546875" style="3"/>
    <col min="13295" max="13295" width="6" style="3" customWidth="1"/>
    <col min="13296" max="13296" width="10.140625" style="3" customWidth="1"/>
    <col min="13297" max="13297" width="37.42578125" style="3" customWidth="1"/>
    <col min="13298" max="13298" width="7" style="3" customWidth="1"/>
    <col min="13299" max="13299" width="0" style="3" hidden="1" customWidth="1"/>
    <col min="13300" max="13300" width="14.140625" style="3" customWidth="1"/>
    <col min="13301" max="13301" width="14.42578125" style="3" customWidth="1"/>
    <col min="13302" max="13302" width="7.42578125" style="3" customWidth="1"/>
    <col min="13303" max="13303" width="16.140625" style="3" customWidth="1"/>
    <col min="13304" max="13304" width="8.5703125" style="3" customWidth="1"/>
    <col min="13305" max="13305" width="14" style="3" customWidth="1"/>
    <col min="13306" max="13306" width="13.42578125" style="3" customWidth="1"/>
    <col min="13307" max="13307" width="11.42578125" style="3" customWidth="1"/>
    <col min="13308" max="13308" width="13.42578125" style="3" customWidth="1"/>
    <col min="13309" max="13550" width="8.85546875" style="3"/>
    <col min="13551" max="13551" width="6" style="3" customWidth="1"/>
    <col min="13552" max="13552" width="10.140625" style="3" customWidth="1"/>
    <col min="13553" max="13553" width="37.42578125" style="3" customWidth="1"/>
    <col min="13554" max="13554" width="7" style="3" customWidth="1"/>
    <col min="13555" max="13555" width="0" style="3" hidden="1" customWidth="1"/>
    <col min="13556" max="13556" width="14.140625" style="3" customWidth="1"/>
    <col min="13557" max="13557" width="14.42578125" style="3" customWidth="1"/>
    <col min="13558" max="13558" width="7.42578125" style="3" customWidth="1"/>
    <col min="13559" max="13559" width="16.140625" style="3" customWidth="1"/>
    <col min="13560" max="13560" width="8.5703125" style="3" customWidth="1"/>
    <col min="13561" max="13561" width="14" style="3" customWidth="1"/>
    <col min="13562" max="13562" width="13.42578125" style="3" customWidth="1"/>
    <col min="13563" max="13563" width="11.42578125" style="3" customWidth="1"/>
    <col min="13564" max="13564" width="13.42578125" style="3" customWidth="1"/>
    <col min="13565" max="13806" width="8.85546875" style="3"/>
    <col min="13807" max="13807" width="6" style="3" customWidth="1"/>
    <col min="13808" max="13808" width="10.140625" style="3" customWidth="1"/>
    <col min="13809" max="13809" width="37.42578125" style="3" customWidth="1"/>
    <col min="13810" max="13810" width="7" style="3" customWidth="1"/>
    <col min="13811" max="13811" width="0" style="3" hidden="1" customWidth="1"/>
    <col min="13812" max="13812" width="14.140625" style="3" customWidth="1"/>
    <col min="13813" max="13813" width="14.42578125" style="3" customWidth="1"/>
    <col min="13814" max="13814" width="7.42578125" style="3" customWidth="1"/>
    <col min="13815" max="13815" width="16.140625" style="3" customWidth="1"/>
    <col min="13816" max="13816" width="8.5703125" style="3" customWidth="1"/>
    <col min="13817" max="13817" width="14" style="3" customWidth="1"/>
    <col min="13818" max="13818" width="13.42578125" style="3" customWidth="1"/>
    <col min="13819" max="13819" width="11.42578125" style="3" customWidth="1"/>
    <col min="13820" max="13820" width="13.42578125" style="3" customWidth="1"/>
    <col min="13821" max="14062" width="8.85546875" style="3"/>
    <col min="14063" max="14063" width="6" style="3" customWidth="1"/>
    <col min="14064" max="14064" width="10.140625" style="3" customWidth="1"/>
    <col min="14065" max="14065" width="37.42578125" style="3" customWidth="1"/>
    <col min="14066" max="14066" width="7" style="3" customWidth="1"/>
    <col min="14067" max="14067" width="0" style="3" hidden="1" customWidth="1"/>
    <col min="14068" max="14068" width="14.140625" style="3" customWidth="1"/>
    <col min="14069" max="14069" width="14.42578125" style="3" customWidth="1"/>
    <col min="14070" max="14070" width="7.42578125" style="3" customWidth="1"/>
    <col min="14071" max="14071" width="16.140625" style="3" customWidth="1"/>
    <col min="14072" max="14072" width="8.5703125" style="3" customWidth="1"/>
    <col min="14073" max="14073" width="14" style="3" customWidth="1"/>
    <col min="14074" max="14074" width="13.42578125" style="3" customWidth="1"/>
    <col min="14075" max="14075" width="11.42578125" style="3" customWidth="1"/>
    <col min="14076" max="14076" width="13.42578125" style="3" customWidth="1"/>
    <col min="14077" max="14318" width="8.85546875" style="3"/>
    <col min="14319" max="14319" width="6" style="3" customWidth="1"/>
    <col min="14320" max="14320" width="10.140625" style="3" customWidth="1"/>
    <col min="14321" max="14321" width="37.42578125" style="3" customWidth="1"/>
    <col min="14322" max="14322" width="7" style="3" customWidth="1"/>
    <col min="14323" max="14323" width="0" style="3" hidden="1" customWidth="1"/>
    <col min="14324" max="14324" width="14.140625" style="3" customWidth="1"/>
    <col min="14325" max="14325" width="14.42578125" style="3" customWidth="1"/>
    <col min="14326" max="14326" width="7.42578125" style="3" customWidth="1"/>
    <col min="14327" max="14327" width="16.140625" style="3" customWidth="1"/>
    <col min="14328" max="14328" width="8.5703125" style="3" customWidth="1"/>
    <col min="14329" max="14329" width="14" style="3" customWidth="1"/>
    <col min="14330" max="14330" width="13.42578125" style="3" customWidth="1"/>
    <col min="14331" max="14331" width="11.42578125" style="3" customWidth="1"/>
    <col min="14332" max="14332" width="13.42578125" style="3" customWidth="1"/>
    <col min="14333" max="14574" width="8.85546875" style="3"/>
    <col min="14575" max="14575" width="6" style="3" customWidth="1"/>
    <col min="14576" max="14576" width="10.140625" style="3" customWidth="1"/>
    <col min="14577" max="14577" width="37.42578125" style="3" customWidth="1"/>
    <col min="14578" max="14578" width="7" style="3" customWidth="1"/>
    <col min="14579" max="14579" width="0" style="3" hidden="1" customWidth="1"/>
    <col min="14580" max="14580" width="14.140625" style="3" customWidth="1"/>
    <col min="14581" max="14581" width="14.42578125" style="3" customWidth="1"/>
    <col min="14582" max="14582" width="7.42578125" style="3" customWidth="1"/>
    <col min="14583" max="14583" width="16.140625" style="3" customWidth="1"/>
    <col min="14584" max="14584" width="8.5703125" style="3" customWidth="1"/>
    <col min="14585" max="14585" width="14" style="3" customWidth="1"/>
    <col min="14586" max="14586" width="13.42578125" style="3" customWidth="1"/>
    <col min="14587" max="14587" width="11.42578125" style="3" customWidth="1"/>
    <col min="14588" max="14588" width="13.42578125" style="3" customWidth="1"/>
    <col min="14589" max="14830" width="8.85546875" style="3"/>
    <col min="14831" max="14831" width="6" style="3" customWidth="1"/>
    <col min="14832" max="14832" width="10.140625" style="3" customWidth="1"/>
    <col min="14833" max="14833" width="37.42578125" style="3" customWidth="1"/>
    <col min="14834" max="14834" width="7" style="3" customWidth="1"/>
    <col min="14835" max="14835" width="0" style="3" hidden="1" customWidth="1"/>
    <col min="14836" max="14836" width="14.140625" style="3" customWidth="1"/>
    <col min="14837" max="14837" width="14.42578125" style="3" customWidth="1"/>
    <col min="14838" max="14838" width="7.42578125" style="3" customWidth="1"/>
    <col min="14839" max="14839" width="16.140625" style="3" customWidth="1"/>
    <col min="14840" max="14840" width="8.5703125" style="3" customWidth="1"/>
    <col min="14841" max="14841" width="14" style="3" customWidth="1"/>
    <col min="14842" max="14842" width="13.42578125" style="3" customWidth="1"/>
    <col min="14843" max="14843" width="11.42578125" style="3" customWidth="1"/>
    <col min="14844" max="14844" width="13.42578125" style="3" customWidth="1"/>
    <col min="14845" max="15086" width="8.85546875" style="3"/>
    <col min="15087" max="15087" width="6" style="3" customWidth="1"/>
    <col min="15088" max="15088" width="10.140625" style="3" customWidth="1"/>
    <col min="15089" max="15089" width="37.42578125" style="3" customWidth="1"/>
    <col min="15090" max="15090" width="7" style="3" customWidth="1"/>
    <col min="15091" max="15091" width="0" style="3" hidden="1" customWidth="1"/>
    <col min="15092" max="15092" width="14.140625" style="3" customWidth="1"/>
    <col min="15093" max="15093" width="14.42578125" style="3" customWidth="1"/>
    <col min="15094" max="15094" width="7.42578125" style="3" customWidth="1"/>
    <col min="15095" max="15095" width="16.140625" style="3" customWidth="1"/>
    <col min="15096" max="15096" width="8.5703125" style="3" customWidth="1"/>
    <col min="15097" max="15097" width="14" style="3" customWidth="1"/>
    <col min="15098" max="15098" width="13.42578125" style="3" customWidth="1"/>
    <col min="15099" max="15099" width="11.42578125" style="3" customWidth="1"/>
    <col min="15100" max="15100" width="13.42578125" style="3" customWidth="1"/>
    <col min="15101" max="15342" width="8.85546875" style="3"/>
    <col min="15343" max="15343" width="6" style="3" customWidth="1"/>
    <col min="15344" max="15344" width="10.140625" style="3" customWidth="1"/>
    <col min="15345" max="15345" width="37.42578125" style="3" customWidth="1"/>
    <col min="15346" max="15346" width="7" style="3" customWidth="1"/>
    <col min="15347" max="15347" width="0" style="3" hidden="1" customWidth="1"/>
    <col min="15348" max="15348" width="14.140625" style="3" customWidth="1"/>
    <col min="15349" max="15349" width="14.42578125" style="3" customWidth="1"/>
    <col min="15350" max="15350" width="7.42578125" style="3" customWidth="1"/>
    <col min="15351" max="15351" width="16.140625" style="3" customWidth="1"/>
    <col min="15352" max="15352" width="8.5703125" style="3" customWidth="1"/>
    <col min="15353" max="15353" width="14" style="3" customWidth="1"/>
    <col min="15354" max="15354" width="13.42578125" style="3" customWidth="1"/>
    <col min="15355" max="15355" width="11.42578125" style="3" customWidth="1"/>
    <col min="15356" max="15356" width="13.42578125" style="3" customWidth="1"/>
    <col min="15357" max="15598" width="8.85546875" style="3"/>
    <col min="15599" max="15599" width="6" style="3" customWidth="1"/>
    <col min="15600" max="15600" width="10.140625" style="3" customWidth="1"/>
    <col min="15601" max="15601" width="37.42578125" style="3" customWidth="1"/>
    <col min="15602" max="15602" width="7" style="3" customWidth="1"/>
    <col min="15603" max="15603" width="0" style="3" hidden="1" customWidth="1"/>
    <col min="15604" max="15604" width="14.140625" style="3" customWidth="1"/>
    <col min="15605" max="15605" width="14.42578125" style="3" customWidth="1"/>
    <col min="15606" max="15606" width="7.42578125" style="3" customWidth="1"/>
    <col min="15607" max="15607" width="16.140625" style="3" customWidth="1"/>
    <col min="15608" max="15608" width="8.5703125" style="3" customWidth="1"/>
    <col min="15609" max="15609" width="14" style="3" customWidth="1"/>
    <col min="15610" max="15610" width="13.42578125" style="3" customWidth="1"/>
    <col min="15611" max="15611" width="11.42578125" style="3" customWidth="1"/>
    <col min="15612" max="15612" width="13.42578125" style="3" customWidth="1"/>
    <col min="15613" max="15854" width="8.85546875" style="3"/>
    <col min="15855" max="15855" width="6" style="3" customWidth="1"/>
    <col min="15856" max="15856" width="10.140625" style="3" customWidth="1"/>
    <col min="15857" max="15857" width="37.42578125" style="3" customWidth="1"/>
    <col min="15858" max="15858" width="7" style="3" customWidth="1"/>
    <col min="15859" max="15859" width="0" style="3" hidden="1" customWidth="1"/>
    <col min="15860" max="15860" width="14.140625" style="3" customWidth="1"/>
    <col min="15861" max="15861" width="14.42578125" style="3" customWidth="1"/>
    <col min="15862" max="15862" width="7.42578125" style="3" customWidth="1"/>
    <col min="15863" max="15863" width="16.140625" style="3" customWidth="1"/>
    <col min="15864" max="15864" width="8.5703125" style="3" customWidth="1"/>
    <col min="15865" max="15865" width="14" style="3" customWidth="1"/>
    <col min="15866" max="15866" width="13.42578125" style="3" customWidth="1"/>
    <col min="15867" max="15867" width="11.42578125" style="3" customWidth="1"/>
    <col min="15868" max="15868" width="13.42578125" style="3" customWidth="1"/>
    <col min="15869" max="16110" width="8.85546875" style="3"/>
    <col min="16111" max="16111" width="6" style="3" customWidth="1"/>
    <col min="16112" max="16112" width="10.140625" style="3" customWidth="1"/>
    <col min="16113" max="16113" width="37.42578125" style="3" customWidth="1"/>
    <col min="16114" max="16114" width="7" style="3" customWidth="1"/>
    <col min="16115" max="16115" width="0" style="3" hidden="1" customWidth="1"/>
    <col min="16116" max="16116" width="14.140625" style="3" customWidth="1"/>
    <col min="16117" max="16117" width="14.42578125" style="3" customWidth="1"/>
    <col min="16118" max="16118" width="7.42578125" style="3" customWidth="1"/>
    <col min="16119" max="16119" width="16.140625" style="3" customWidth="1"/>
    <col min="16120" max="16120" width="8.5703125" style="3" customWidth="1"/>
    <col min="16121" max="16121" width="14" style="3" customWidth="1"/>
    <col min="16122" max="16122" width="13.42578125" style="3" customWidth="1"/>
    <col min="16123" max="16123" width="11.42578125" style="3" customWidth="1"/>
    <col min="16124" max="16124" width="13.42578125" style="3" customWidth="1"/>
    <col min="16125" max="16375" width="8.85546875" style="3"/>
    <col min="16376" max="16384" width="8.5703125" style="3" customWidth="1"/>
  </cols>
  <sheetData>
    <row r="1" spans="1:11" ht="47.45" customHeight="1">
      <c r="A1" s="142" t="s">
        <v>48</v>
      </c>
      <c r="B1" s="143"/>
      <c r="C1" s="143"/>
      <c r="D1" s="143"/>
      <c r="E1" s="143"/>
      <c r="F1" s="143"/>
      <c r="G1" s="143"/>
      <c r="H1" s="143"/>
      <c r="I1" s="143"/>
      <c r="J1" s="143"/>
      <c r="K1" s="143"/>
    </row>
    <row r="2" spans="1:11" ht="36.6" customHeight="1">
      <c r="A2" s="143"/>
      <c r="B2" s="143"/>
      <c r="C2" s="143"/>
      <c r="D2" s="143"/>
      <c r="E2" s="143"/>
      <c r="F2" s="143"/>
      <c r="G2" s="143"/>
      <c r="H2" s="143"/>
      <c r="I2" s="143"/>
      <c r="J2" s="143"/>
      <c r="K2" s="143"/>
    </row>
    <row r="3" spans="1:11" ht="17.45" customHeight="1">
      <c r="A3" s="143"/>
      <c r="B3" s="143"/>
      <c r="C3" s="143"/>
      <c r="D3" s="143"/>
      <c r="E3" s="143"/>
      <c r="F3" s="143"/>
      <c r="G3" s="143"/>
      <c r="H3" s="143"/>
      <c r="I3" s="143"/>
      <c r="J3" s="143"/>
      <c r="K3" s="143"/>
    </row>
    <row r="4" spans="1:11" ht="15">
      <c r="B4" s="4"/>
      <c r="C4" s="1"/>
      <c r="D4" s="2"/>
      <c r="E4" s="2"/>
      <c r="F4" s="1"/>
      <c r="G4" s="1"/>
      <c r="H4" s="5"/>
      <c r="I4" s="5"/>
      <c r="J4" s="6"/>
      <c r="K4" s="7"/>
    </row>
    <row r="5" spans="1:11" s="12" customFormat="1" ht="54.6" customHeight="1">
      <c r="B5" s="144" t="s">
        <v>90</v>
      </c>
      <c r="C5" s="145"/>
      <c r="D5" s="145"/>
      <c r="E5" s="145"/>
      <c r="F5" s="145"/>
      <c r="G5" s="145"/>
      <c r="H5" s="145"/>
      <c r="I5" s="145"/>
      <c r="J5" s="145"/>
      <c r="K5" s="145"/>
    </row>
    <row r="6" spans="1:11" s="12" customFormat="1" ht="31.5" customHeight="1">
      <c r="B6" s="138" t="s">
        <v>66</v>
      </c>
      <c r="C6" s="138"/>
      <c r="D6" s="138"/>
      <c r="E6" s="138"/>
      <c r="F6" s="138"/>
      <c r="G6" s="138"/>
      <c r="H6" s="138"/>
      <c r="I6" s="14"/>
      <c r="J6" s="15"/>
    </row>
    <row r="7" spans="1:11" s="12" customFormat="1" ht="48.75" customHeight="1">
      <c r="B7" s="138" t="s">
        <v>67</v>
      </c>
      <c r="C7" s="138"/>
      <c r="D7" s="138"/>
      <c r="E7" s="138"/>
      <c r="F7" s="138"/>
      <c r="G7" s="138"/>
      <c r="H7" s="138"/>
      <c r="I7" s="146" t="s">
        <v>57</v>
      </c>
      <c r="J7" s="146"/>
      <c r="K7" s="109" t="s">
        <v>89</v>
      </c>
    </row>
    <row r="8" spans="1:11" s="12" customFormat="1" ht="19.5" customHeight="1">
      <c r="B8" s="118" t="s">
        <v>46</v>
      </c>
      <c r="C8" s="117" t="s">
        <v>50</v>
      </c>
      <c r="D8" s="16"/>
      <c r="E8" s="16"/>
      <c r="F8" s="118"/>
      <c r="G8" s="118"/>
      <c r="H8" s="119"/>
      <c r="I8" s="147" t="s">
        <v>58</v>
      </c>
      <c r="J8" s="147"/>
      <c r="K8" s="147"/>
    </row>
    <row r="9" spans="1:11" ht="32.450000000000003" customHeight="1">
      <c r="B9" s="139" t="s">
        <v>59</v>
      </c>
      <c r="C9" s="139"/>
      <c r="D9" s="139"/>
      <c r="E9" s="139"/>
      <c r="F9" s="139"/>
      <c r="G9" s="139"/>
      <c r="H9" s="139"/>
      <c r="I9" s="139"/>
      <c r="J9" s="139"/>
      <c r="K9" s="139"/>
    </row>
    <row r="10" spans="1:11" ht="42" customHeight="1">
      <c r="B10" s="111" t="s">
        <v>1</v>
      </c>
      <c r="C10" s="112" t="s">
        <v>56</v>
      </c>
      <c r="D10" s="112" t="s">
        <v>64</v>
      </c>
      <c r="E10" s="112" t="s">
        <v>84</v>
      </c>
      <c r="F10" s="112" t="s">
        <v>63</v>
      </c>
      <c r="G10" s="112" t="s">
        <v>86</v>
      </c>
      <c r="H10" s="112" t="s">
        <v>60</v>
      </c>
      <c r="I10" s="112" t="s">
        <v>61</v>
      </c>
      <c r="J10" s="140" t="s">
        <v>62</v>
      </c>
      <c r="K10" s="141"/>
    </row>
    <row r="11" spans="1:11" ht="25.5">
      <c r="B11" s="116">
        <v>1</v>
      </c>
      <c r="C11" s="121" t="s">
        <v>93</v>
      </c>
      <c r="D11" s="113" t="s">
        <v>96</v>
      </c>
      <c r="E11" s="113" t="s">
        <v>92</v>
      </c>
      <c r="F11" s="115">
        <v>3</v>
      </c>
      <c r="G11" s="115" t="s">
        <v>87</v>
      </c>
      <c r="H11" s="120">
        <v>19000000</v>
      </c>
      <c r="I11" s="120">
        <f>H11*F11</f>
        <v>57000000</v>
      </c>
      <c r="J11" s="122"/>
      <c r="K11" s="123"/>
    </row>
    <row r="12" spans="1:11">
      <c r="B12" s="116">
        <v>2</v>
      </c>
      <c r="C12" s="121" t="s">
        <v>94</v>
      </c>
      <c r="D12" s="113" t="s">
        <v>95</v>
      </c>
      <c r="E12" s="113" t="s">
        <v>92</v>
      </c>
      <c r="F12" s="115">
        <v>9</v>
      </c>
      <c r="G12" s="115" t="s">
        <v>87</v>
      </c>
      <c r="H12" s="120">
        <v>10650000</v>
      </c>
      <c r="I12" s="120">
        <f>H12*F12</f>
        <v>95850000</v>
      </c>
      <c r="J12" s="122"/>
      <c r="K12" s="123"/>
    </row>
    <row r="13" spans="1:11" s="8" customFormat="1" ht="18.600000000000001" customHeight="1">
      <c r="B13" s="132" t="s">
        <v>83</v>
      </c>
      <c r="C13" s="133"/>
      <c r="D13" s="133"/>
      <c r="E13" s="133"/>
      <c r="F13" s="133"/>
      <c r="G13" s="133"/>
      <c r="H13" s="134"/>
      <c r="I13" s="110">
        <f>SUM(I11:I12)</f>
        <v>152850000</v>
      </c>
      <c r="J13" s="135"/>
      <c r="K13" s="136"/>
    </row>
    <row r="14" spans="1:11" s="8" customFormat="1" ht="18.600000000000001" customHeight="1">
      <c r="B14" s="132" t="s">
        <v>51</v>
      </c>
      <c r="C14" s="133"/>
      <c r="D14" s="133"/>
      <c r="E14" s="133"/>
      <c r="F14" s="133"/>
      <c r="G14" s="133"/>
      <c r="H14" s="134"/>
      <c r="I14" s="110">
        <f>I13*10%</f>
        <v>15285000</v>
      </c>
      <c r="J14" s="135"/>
      <c r="K14" s="136"/>
    </row>
    <row r="15" spans="1:11" s="8" customFormat="1" ht="18.600000000000001" customHeight="1">
      <c r="B15" s="132" t="s">
        <v>55</v>
      </c>
      <c r="C15" s="133"/>
      <c r="D15" s="133"/>
      <c r="E15" s="133"/>
      <c r="F15" s="133"/>
      <c r="G15" s="133"/>
      <c r="H15" s="134"/>
      <c r="I15" s="110">
        <f>I13+I14</f>
        <v>168135000</v>
      </c>
      <c r="J15" s="135"/>
      <c r="K15" s="136"/>
    </row>
    <row r="16" spans="1:11">
      <c r="B16" s="11"/>
      <c r="C16" s="11"/>
      <c r="D16" s="11"/>
      <c r="E16" s="11"/>
      <c r="F16" s="11"/>
      <c r="G16" s="11"/>
      <c r="H16" s="11"/>
      <c r="I16" s="11"/>
      <c r="J16" s="11"/>
      <c r="K16" s="11"/>
    </row>
    <row r="17" spans="2:11">
      <c r="B17" s="137" t="s">
        <v>65</v>
      </c>
      <c r="C17" s="137"/>
      <c r="D17" s="137"/>
      <c r="E17" s="137"/>
      <c r="F17" s="137"/>
      <c r="G17" s="137"/>
      <c r="H17" s="137"/>
      <c r="I17" s="137"/>
      <c r="J17" s="137"/>
      <c r="K17" s="137"/>
    </row>
    <row r="18" spans="2:11" s="12" customFormat="1" hidden="1">
      <c r="B18" s="14" t="s">
        <v>49</v>
      </c>
      <c r="C18" s="13"/>
      <c r="D18" s="17"/>
      <c r="E18" s="17"/>
      <c r="F18" s="13"/>
      <c r="G18" s="13"/>
      <c r="H18" s="24"/>
      <c r="I18" s="13"/>
      <c r="J18" s="15"/>
      <c r="K18" s="13"/>
    </row>
    <row r="19" spans="2:11" s="12" customFormat="1">
      <c r="B19" s="127" t="s">
        <v>68</v>
      </c>
      <c r="C19" s="127"/>
      <c r="D19" s="127"/>
      <c r="E19" s="127"/>
      <c r="F19" s="127"/>
      <c r="G19" s="127"/>
      <c r="H19" s="127"/>
      <c r="I19" s="127"/>
      <c r="J19" s="127"/>
      <c r="K19" s="127"/>
    </row>
    <row r="20" spans="2:11" s="12" customFormat="1" ht="29.1" customHeight="1">
      <c r="B20" s="138" t="s">
        <v>91</v>
      </c>
      <c r="C20" s="138"/>
      <c r="D20" s="138"/>
      <c r="E20" s="138"/>
      <c r="F20" s="138"/>
      <c r="G20" s="138"/>
      <c r="H20" s="138"/>
      <c r="I20" s="138"/>
      <c r="J20" s="138"/>
      <c r="K20" s="138"/>
    </row>
    <row r="21" spans="2:11" s="12" customFormat="1" ht="14.25" customHeight="1">
      <c r="B21" s="127" t="s">
        <v>69</v>
      </c>
      <c r="C21" s="127"/>
      <c r="D21" s="127"/>
      <c r="E21" s="127"/>
      <c r="F21" s="127"/>
      <c r="G21" s="127"/>
      <c r="H21" s="127"/>
      <c r="I21" s="127"/>
      <c r="J21" s="127"/>
      <c r="K21" s="127"/>
    </row>
    <row r="22" spans="2:11" s="12" customFormat="1" ht="16.5" customHeight="1">
      <c r="B22" s="131" t="s">
        <v>85</v>
      </c>
      <c r="C22" s="131"/>
      <c r="D22" s="131"/>
      <c r="E22" s="131"/>
      <c r="F22" s="131"/>
      <c r="G22" s="131"/>
      <c r="H22" s="131"/>
      <c r="I22" s="131"/>
      <c r="J22" s="131"/>
      <c r="K22" s="131"/>
    </row>
    <row r="23" spans="2:11" s="12" customFormat="1" ht="14.25" customHeight="1">
      <c r="B23" s="131" t="s">
        <v>70</v>
      </c>
      <c r="C23" s="131"/>
      <c r="D23" s="131"/>
      <c r="E23" s="131"/>
      <c r="F23" s="131"/>
      <c r="G23" s="131"/>
      <c r="H23" s="131"/>
      <c r="I23" s="131"/>
      <c r="J23" s="131"/>
      <c r="K23" s="131"/>
    </row>
    <row r="24" spans="2:11" s="12" customFormat="1">
      <c r="B24" s="127" t="s">
        <v>71</v>
      </c>
      <c r="C24" s="127"/>
      <c r="D24" s="127"/>
      <c r="E24" s="127"/>
      <c r="F24" s="127"/>
      <c r="G24" s="127"/>
      <c r="H24" s="127"/>
      <c r="I24" s="127"/>
      <c r="J24" s="127"/>
      <c r="K24" s="127"/>
    </row>
    <row r="25" spans="2:11" s="12" customFormat="1" ht="31.5" customHeight="1">
      <c r="B25" s="130" t="s">
        <v>88</v>
      </c>
      <c r="C25" s="131"/>
      <c r="D25" s="131"/>
      <c r="E25" s="131"/>
      <c r="F25" s="131"/>
      <c r="G25" s="131"/>
      <c r="H25" s="131"/>
      <c r="I25" s="131"/>
      <c r="J25" s="131"/>
      <c r="K25" s="131"/>
    </row>
    <row r="26" spans="2:11" s="12" customFormat="1" ht="20.100000000000001" customHeight="1">
      <c r="B26" s="127" t="s">
        <v>72</v>
      </c>
      <c r="C26" s="127"/>
      <c r="D26" s="127"/>
      <c r="E26" s="127"/>
      <c r="F26" s="127"/>
      <c r="G26" s="127"/>
      <c r="H26" s="127"/>
      <c r="I26" s="127"/>
      <c r="J26" s="127"/>
      <c r="K26" s="127"/>
    </row>
    <row r="27" spans="2:11" s="12" customFormat="1">
      <c r="B27" s="13"/>
      <c r="C27" s="13" t="s">
        <v>73</v>
      </c>
      <c r="D27" s="12" t="s">
        <v>52</v>
      </c>
      <c r="F27" s="13"/>
      <c r="G27" s="13"/>
      <c r="H27" s="125"/>
      <c r="I27" s="13"/>
      <c r="J27" s="15"/>
      <c r="K27" s="13"/>
    </row>
    <row r="28" spans="2:11" s="25" customFormat="1" ht="42.75">
      <c r="B28" s="18"/>
      <c r="C28" s="13" t="s">
        <v>74</v>
      </c>
      <c r="D28" s="25" t="s">
        <v>53</v>
      </c>
      <c r="F28" s="18"/>
      <c r="G28" s="18"/>
      <c r="H28" s="20"/>
      <c r="I28" s="18"/>
      <c r="J28" s="19"/>
      <c r="K28" s="18"/>
    </row>
    <row r="29" spans="2:11" s="25" customFormat="1">
      <c r="B29" s="18"/>
      <c r="C29" s="13" t="s">
        <v>75</v>
      </c>
      <c r="D29" s="114">
        <v>3502485184</v>
      </c>
      <c r="E29" s="114"/>
      <c r="F29" s="21"/>
      <c r="G29" s="21"/>
      <c r="H29" s="21"/>
      <c r="I29" s="21"/>
      <c r="J29" s="21"/>
      <c r="K29" s="18"/>
    </row>
    <row r="30" spans="2:11" s="25" customFormat="1" ht="38.25">
      <c r="B30" s="18"/>
      <c r="C30" s="18" t="s">
        <v>76</v>
      </c>
      <c r="D30" s="25" t="s">
        <v>54</v>
      </c>
      <c r="F30" s="21"/>
      <c r="G30" s="21"/>
      <c r="H30" s="21"/>
      <c r="I30" s="21"/>
      <c r="J30" s="21"/>
      <c r="K30" s="18"/>
    </row>
    <row r="31" spans="2:11" s="12" customFormat="1" ht="19.5" customHeight="1">
      <c r="B31" s="127" t="s">
        <v>77</v>
      </c>
      <c r="C31" s="127"/>
      <c r="D31" s="127"/>
      <c r="E31" s="127"/>
      <c r="F31" s="127"/>
      <c r="G31" s="127"/>
      <c r="H31" s="127"/>
      <c r="I31" s="127"/>
      <c r="J31" s="127"/>
      <c r="K31" s="127"/>
    </row>
    <row r="32" spans="2:11" s="12" customFormat="1">
      <c r="B32" s="13"/>
      <c r="C32" s="126" t="s">
        <v>78</v>
      </c>
      <c r="F32" s="13"/>
      <c r="G32" s="13"/>
      <c r="H32" s="125"/>
      <c r="I32" s="13"/>
      <c r="J32" s="15"/>
      <c r="K32" s="13"/>
    </row>
    <row r="33" spans="2:11" s="25" customFormat="1">
      <c r="B33" s="18"/>
      <c r="C33" s="126" t="s">
        <v>79</v>
      </c>
      <c r="F33" s="18"/>
      <c r="G33" s="18"/>
      <c r="H33" s="20"/>
      <c r="I33" s="18"/>
      <c r="J33" s="19"/>
      <c r="K33" s="18"/>
    </row>
    <row r="34" spans="2:11" s="25" customFormat="1" ht="14.25" customHeight="1">
      <c r="B34" s="18"/>
      <c r="C34" s="126" t="s">
        <v>80</v>
      </c>
      <c r="F34" s="17"/>
      <c r="G34" s="17"/>
      <c r="H34" s="17"/>
      <c r="I34" s="17"/>
      <c r="J34" s="17"/>
      <c r="K34" s="18"/>
    </row>
    <row r="35" spans="2:11" s="12" customFormat="1">
      <c r="B35" s="127"/>
      <c r="C35" s="127"/>
      <c r="D35" s="127"/>
      <c r="E35" s="127"/>
      <c r="F35" s="127"/>
      <c r="G35" s="127"/>
      <c r="H35" s="127"/>
      <c r="I35" s="127"/>
      <c r="J35" s="127"/>
      <c r="K35" s="127"/>
    </row>
    <row r="36" spans="2:11" s="12" customFormat="1" ht="27.95" customHeight="1">
      <c r="B36" s="128" t="s">
        <v>81</v>
      </c>
      <c r="C36" s="129"/>
      <c r="D36" s="129"/>
      <c r="E36" s="129"/>
      <c r="F36" s="129"/>
      <c r="G36" s="129"/>
      <c r="H36" s="129"/>
      <c r="I36" s="129"/>
      <c r="J36" s="129"/>
      <c r="K36" s="129"/>
    </row>
    <row r="37" spans="2:11" s="12" customFormat="1" ht="29.1" customHeight="1">
      <c r="B37" s="128" t="s">
        <v>82</v>
      </c>
      <c r="C37" s="129"/>
      <c r="D37" s="129"/>
      <c r="E37" s="129"/>
      <c r="F37" s="129"/>
      <c r="G37" s="129"/>
      <c r="H37" s="129"/>
      <c r="I37" s="129"/>
      <c r="J37" s="129"/>
      <c r="K37" s="129"/>
    </row>
    <row r="38" spans="2:11" s="12" customFormat="1">
      <c r="B38" s="17"/>
      <c r="C38" s="13"/>
      <c r="D38" s="13"/>
      <c r="E38" s="13"/>
      <c r="F38" s="13"/>
      <c r="G38" s="13"/>
      <c r="H38" s="125"/>
      <c r="I38" s="13"/>
      <c r="J38" s="15"/>
      <c r="K38" s="13"/>
    </row>
    <row r="39" spans="2:11" s="12" customFormat="1" ht="13.35" customHeight="1">
      <c r="B39" s="14"/>
      <c r="C39" s="14"/>
      <c r="D39" s="14"/>
      <c r="E39" s="14"/>
      <c r="F39" s="14"/>
      <c r="G39" s="14"/>
      <c r="H39" s="125"/>
      <c r="I39" s="22" t="s">
        <v>47</v>
      </c>
      <c r="J39" s="15"/>
      <c r="K39" s="14"/>
    </row>
    <row r="40" spans="2:11" s="12" customFormat="1" ht="13.35" customHeight="1">
      <c r="B40" s="14"/>
      <c r="C40" s="14"/>
      <c r="D40" s="14"/>
      <c r="E40" s="14"/>
      <c r="F40" s="14"/>
      <c r="G40" s="14"/>
      <c r="H40" s="125"/>
      <c r="I40" s="22"/>
      <c r="J40" s="15"/>
      <c r="K40" s="14"/>
    </row>
    <row r="41" spans="2:11" s="12" customFormat="1">
      <c r="D41" s="14"/>
      <c r="E41" s="14"/>
      <c r="F41" s="14"/>
      <c r="G41" s="14"/>
      <c r="H41" s="125"/>
      <c r="I41" s="13"/>
      <c r="J41" s="15"/>
      <c r="K41" s="14"/>
    </row>
    <row r="42" spans="2:11" s="12" customFormat="1">
      <c r="B42" s="26"/>
      <c r="C42" s="14"/>
      <c r="D42" s="14"/>
      <c r="E42" s="14"/>
      <c r="F42" s="14"/>
      <c r="G42" s="14"/>
      <c r="H42" s="124"/>
      <c r="I42" s="124"/>
      <c r="J42" s="15"/>
      <c r="K42" s="14"/>
    </row>
    <row r="43" spans="2:11" s="12" customFormat="1">
      <c r="B43" s="26"/>
      <c r="C43" s="14"/>
      <c r="D43" s="14"/>
      <c r="E43" s="14"/>
      <c r="F43" s="14"/>
      <c r="G43" s="14"/>
      <c r="H43" s="124"/>
      <c r="I43" s="124"/>
      <c r="J43" s="15"/>
      <c r="K43" s="14"/>
    </row>
    <row r="44" spans="2:11" s="12" customFormat="1">
      <c r="B44" s="27"/>
      <c r="C44" s="14"/>
      <c r="D44" s="14"/>
      <c r="E44" s="14"/>
      <c r="F44" s="14"/>
      <c r="G44" s="14"/>
      <c r="H44" s="23"/>
      <c r="I44" s="124"/>
      <c r="J44" s="15"/>
      <c r="K44" s="14"/>
    </row>
    <row r="45" spans="2:11" s="12" customFormat="1">
      <c r="B45" s="27"/>
      <c r="C45" s="14"/>
      <c r="D45" s="14"/>
      <c r="E45" s="14"/>
      <c r="F45" s="14"/>
      <c r="G45" s="14"/>
      <c r="H45" s="23"/>
      <c r="I45" s="124"/>
      <c r="J45" s="15"/>
      <c r="K45" s="14"/>
    </row>
    <row r="46" spans="2:11" s="12" customFormat="1">
      <c r="B46" s="28"/>
      <c r="C46" s="13"/>
      <c r="D46" s="14"/>
      <c r="E46" s="14"/>
      <c r="F46" s="14"/>
      <c r="G46" s="14"/>
      <c r="H46" s="23"/>
      <c r="I46" s="124"/>
      <c r="J46" s="15"/>
      <c r="K46" s="14"/>
    </row>
  </sheetData>
  <mergeCells count="27">
    <mergeCell ref="B9:K9"/>
    <mergeCell ref="J10:K10"/>
    <mergeCell ref="B13:H13"/>
    <mergeCell ref="J13:K13"/>
    <mergeCell ref="A1:K3"/>
    <mergeCell ref="B5:K5"/>
    <mergeCell ref="B6:H6"/>
    <mergeCell ref="B7:H7"/>
    <mergeCell ref="I7:J7"/>
    <mergeCell ref="I8:K8"/>
    <mergeCell ref="B25:K25"/>
    <mergeCell ref="B14:H14"/>
    <mergeCell ref="J14:K14"/>
    <mergeCell ref="B15:H15"/>
    <mergeCell ref="J15:K15"/>
    <mergeCell ref="B17:K17"/>
    <mergeCell ref="B19:K19"/>
    <mergeCell ref="B20:K20"/>
    <mergeCell ref="B21:K21"/>
    <mergeCell ref="B22:K22"/>
    <mergeCell ref="B23:K23"/>
    <mergeCell ref="B24:K24"/>
    <mergeCell ref="B26:K26"/>
    <mergeCell ref="B31:K31"/>
    <mergeCell ref="B35:K35"/>
    <mergeCell ref="B36:K36"/>
    <mergeCell ref="B37:K37"/>
  </mergeCells>
  <printOptions horizontalCentered="1"/>
  <pageMargins left="0" right="0" top="0" bottom="0" header="0" footer="0"/>
  <pageSetup paperSize="9" scale="70" fitToHeight="0" orientation="portrait" r:id="rId1"/>
  <rowBreaks count="1" manualBreakCount="1">
    <brk id="41" max="10"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8"/>
  <sheetViews>
    <sheetView topLeftCell="A34" workbookViewId="0">
      <selection activeCell="I17" sqref="I17"/>
    </sheetView>
  </sheetViews>
  <sheetFormatPr defaultColWidth="10.85546875" defaultRowHeight="15"/>
  <cols>
    <col min="2" max="2" width="26.140625" customWidth="1"/>
    <col min="3" max="3" width="18.42578125" customWidth="1"/>
    <col min="4" max="4" width="15.5703125" customWidth="1"/>
    <col min="5" max="5" width="19.42578125" customWidth="1"/>
    <col min="7" max="7" width="13.5703125" bestFit="1" customWidth="1"/>
  </cols>
  <sheetData>
    <row r="1" spans="1:8" s="33" customFormat="1" ht="12.75">
      <c r="A1" s="29"/>
      <c r="B1" s="30" t="s">
        <v>2</v>
      </c>
      <c r="C1" s="31"/>
      <c r="D1" s="32"/>
      <c r="H1" s="34"/>
    </row>
    <row r="2" spans="1:8" s="33" customFormat="1" ht="12.75">
      <c r="A2" s="29"/>
      <c r="B2" s="35" t="s">
        <v>3</v>
      </c>
      <c r="C2" s="30"/>
      <c r="D2" s="32"/>
      <c r="G2" s="36"/>
      <c r="H2" s="34"/>
    </row>
    <row r="3" spans="1:8" s="33" customFormat="1" ht="12.75">
      <c r="A3" s="29"/>
      <c r="B3" s="30" t="s">
        <v>4</v>
      </c>
      <c r="C3" s="30"/>
      <c r="D3" s="32"/>
      <c r="E3" s="37" t="s">
        <v>5</v>
      </c>
      <c r="F3" s="38">
        <v>23850</v>
      </c>
      <c r="H3" s="39"/>
    </row>
    <row r="4" spans="1:8" s="29" customFormat="1" ht="12.75">
      <c r="A4" s="40" t="s">
        <v>0</v>
      </c>
      <c r="B4" s="40" t="s">
        <v>6</v>
      </c>
      <c r="C4" s="41" t="s">
        <v>7</v>
      </c>
      <c r="D4" s="42" t="s">
        <v>8</v>
      </c>
      <c r="E4" s="43" t="s">
        <v>9</v>
      </c>
      <c r="F4" s="43" t="s">
        <v>10</v>
      </c>
      <c r="H4" s="44"/>
    </row>
    <row r="5" spans="1:8" s="50" customFormat="1" ht="12.75">
      <c r="A5" s="45">
        <v>1</v>
      </c>
      <c r="B5" s="46" t="s">
        <v>11</v>
      </c>
      <c r="C5" s="46"/>
      <c r="D5" s="47" t="e">
        <f>E5/$F$3</f>
        <v>#REF!</v>
      </c>
      <c r="E5" s="48" t="e">
        <f>#REF!</f>
        <v>#REF!</v>
      </c>
      <c r="F5" s="49"/>
      <c r="H5" s="51"/>
    </row>
    <row r="6" spans="1:8" s="50" customFormat="1" ht="12.75">
      <c r="A6" s="45">
        <v>2</v>
      </c>
      <c r="B6" s="46" t="s">
        <v>12</v>
      </c>
      <c r="C6" s="46"/>
      <c r="D6" s="47" t="e">
        <f>E6/$F$3</f>
        <v>#REF!</v>
      </c>
      <c r="E6" s="48" t="e">
        <f>SUM(E7:E13)</f>
        <v>#REF!</v>
      </c>
      <c r="F6" s="49"/>
      <c r="H6" s="51"/>
    </row>
    <row r="7" spans="1:8" s="50" customFormat="1" ht="12.75">
      <c r="A7" s="52"/>
      <c r="B7" s="53" t="s">
        <v>13</v>
      </c>
      <c r="C7" s="53"/>
      <c r="D7" s="47" t="e">
        <f t="shared" ref="D7" si="0">E7/$F$3</f>
        <v>#REF!</v>
      </c>
      <c r="E7" s="54" t="e">
        <f>G7*F3</f>
        <v>#REF!</v>
      </c>
      <c r="F7" s="55"/>
      <c r="G7" s="56" t="e">
        <f>#REF!</f>
        <v>#REF!</v>
      </c>
      <c r="H7" s="51"/>
    </row>
    <row r="8" spans="1:8" s="50" customFormat="1" ht="12.75">
      <c r="A8" s="52"/>
      <c r="B8" s="57" t="s">
        <v>14</v>
      </c>
      <c r="C8" s="58">
        <v>0.03</v>
      </c>
      <c r="D8" s="47" t="e">
        <f>E8/$F$3</f>
        <v>#REF!</v>
      </c>
      <c r="E8" s="59" t="e">
        <f>ROUND(C8*E5,-6)</f>
        <v>#REF!</v>
      </c>
      <c r="F8" s="60"/>
      <c r="G8" s="56"/>
      <c r="H8" s="51"/>
    </row>
    <row r="9" spans="1:8" s="50" customFormat="1" ht="12.75">
      <c r="A9" s="52"/>
      <c r="B9" s="53" t="s">
        <v>15</v>
      </c>
      <c r="C9" s="53"/>
      <c r="D9" s="47" t="e">
        <f t="shared" ref="D9:D32" si="1">E9/$F$3</f>
        <v>#REF!</v>
      </c>
      <c r="E9" s="61" t="e">
        <f>E8*5%</f>
        <v>#REF!</v>
      </c>
      <c r="F9" s="55"/>
      <c r="G9" s="56"/>
      <c r="H9" s="51"/>
    </row>
    <row r="10" spans="1:8" s="50" customFormat="1" ht="12.75">
      <c r="A10" s="52"/>
      <c r="B10" s="53" t="s">
        <v>16</v>
      </c>
      <c r="C10" s="58">
        <v>2E-3</v>
      </c>
      <c r="D10" s="47" t="e">
        <f t="shared" si="1"/>
        <v>#REF!</v>
      </c>
      <c r="E10" s="61" t="e">
        <f>C10*E5</f>
        <v>#REF!</v>
      </c>
      <c r="F10" s="55"/>
      <c r="H10" s="51"/>
    </row>
    <row r="11" spans="1:8" s="67" customFormat="1" ht="25.5">
      <c r="A11" s="62" t="s">
        <v>17</v>
      </c>
      <c r="B11" s="63" t="s">
        <v>18</v>
      </c>
      <c r="C11" s="64">
        <v>4.0000000000000001E-3</v>
      </c>
      <c r="D11" s="47" t="e">
        <f t="shared" si="1"/>
        <v>#REF!</v>
      </c>
      <c r="E11" s="65" t="e">
        <f>C11*E5</f>
        <v>#REF!</v>
      </c>
      <c r="F11" s="66"/>
      <c r="H11" s="68"/>
    </row>
    <row r="12" spans="1:8" s="67" customFormat="1" ht="12.75">
      <c r="A12" s="62" t="s">
        <v>17</v>
      </c>
      <c r="B12" s="63" t="s">
        <v>19</v>
      </c>
      <c r="C12" s="64">
        <v>2E-3</v>
      </c>
      <c r="D12" s="47" t="e">
        <f t="shared" si="1"/>
        <v>#REF!</v>
      </c>
      <c r="E12" s="65" t="e">
        <f>C12*E5</f>
        <v>#REF!</v>
      </c>
      <c r="F12" s="66"/>
      <c r="H12" s="68"/>
    </row>
    <row r="13" spans="1:8" s="67" customFormat="1" ht="12.75">
      <c r="A13" s="62"/>
      <c r="B13" s="63" t="s">
        <v>20</v>
      </c>
      <c r="C13" s="64"/>
      <c r="D13" s="47"/>
      <c r="E13" s="65" t="e">
        <f>SUM(E14:E15)</f>
        <v>#REF!</v>
      </c>
      <c r="F13" s="66"/>
      <c r="H13" s="68"/>
    </row>
    <row r="14" spans="1:8" s="50" customFormat="1" ht="12.75">
      <c r="A14" s="52"/>
      <c r="B14" s="69" t="s">
        <v>21</v>
      </c>
      <c r="C14" s="58">
        <v>1.4999999999999999E-2</v>
      </c>
      <c r="D14" s="47" t="e">
        <f t="shared" si="1"/>
        <v>#REF!</v>
      </c>
      <c r="E14" s="70" t="e">
        <f>ROUND(C14*E5,0)*0.8</f>
        <v>#REF!</v>
      </c>
      <c r="F14" s="55"/>
      <c r="H14" s="51"/>
    </row>
    <row r="15" spans="1:8" s="50" customFormat="1" ht="12.75">
      <c r="A15" s="52"/>
      <c r="B15" s="69" t="s">
        <v>22</v>
      </c>
      <c r="C15" s="58">
        <v>0</v>
      </c>
      <c r="D15" s="47">
        <f t="shared" si="1"/>
        <v>0</v>
      </c>
      <c r="E15" s="55"/>
      <c r="F15" s="71"/>
      <c r="H15" s="51"/>
    </row>
    <row r="16" spans="1:8" s="50" customFormat="1" ht="25.5">
      <c r="A16" s="45">
        <v>3</v>
      </c>
      <c r="B16" s="46" t="s">
        <v>23</v>
      </c>
      <c r="C16" s="72"/>
      <c r="D16" s="47" t="e">
        <f t="shared" si="1"/>
        <v>#REF!</v>
      </c>
      <c r="E16" s="73" t="e">
        <f>E5-E6</f>
        <v>#REF!</v>
      </c>
      <c r="F16" s="46" t="s">
        <v>24</v>
      </c>
      <c r="H16" s="51"/>
    </row>
    <row r="17" spans="1:8" s="50" customFormat="1" ht="12.75">
      <c r="A17" s="74"/>
      <c r="B17" s="46" t="s">
        <v>25</v>
      </c>
      <c r="C17" s="75"/>
      <c r="D17" s="47" t="e">
        <f t="shared" si="1"/>
        <v>#REF!</v>
      </c>
      <c r="E17" s="76" t="e">
        <f>E16/E5</f>
        <v>#REF!</v>
      </c>
      <c r="F17" s="77"/>
      <c r="G17" s="78"/>
      <c r="H17" s="79"/>
    </row>
    <row r="18" spans="1:8" s="50" customFormat="1" ht="12.75">
      <c r="A18" s="45">
        <v>4</v>
      </c>
      <c r="B18" s="46" t="s">
        <v>26</v>
      </c>
      <c r="C18" s="80"/>
      <c r="D18" s="47" t="e">
        <f t="shared" si="1"/>
        <v>#REF!</v>
      </c>
      <c r="E18" s="73" t="e">
        <f>SUM(E20:E24)</f>
        <v>#REF!</v>
      </c>
      <c r="F18" s="77"/>
      <c r="H18" s="79"/>
    </row>
    <row r="19" spans="1:8" s="67" customFormat="1" ht="12.75">
      <c r="A19" s="81"/>
      <c r="B19" s="53" t="s">
        <v>27</v>
      </c>
      <c r="C19" s="82"/>
      <c r="D19" s="47">
        <f t="shared" si="1"/>
        <v>1.2578616352201257E-4</v>
      </c>
      <c r="E19" s="55">
        <v>3</v>
      </c>
      <c r="F19" s="83"/>
      <c r="H19" s="68"/>
    </row>
    <row r="20" spans="1:8" s="67" customFormat="1" ht="38.25">
      <c r="A20" s="62" t="s">
        <v>17</v>
      </c>
      <c r="B20" s="63" t="s">
        <v>28</v>
      </c>
      <c r="C20" s="64" t="e">
        <f>E20/E5</f>
        <v>#REF!</v>
      </c>
      <c r="D20" s="47" t="e">
        <f t="shared" si="1"/>
        <v>#REF!</v>
      </c>
      <c r="E20" s="65" t="e">
        <f>((E7-G20)*E19*9%/360)</f>
        <v>#REF!</v>
      </c>
      <c r="F20" s="66" t="s">
        <v>29</v>
      </c>
      <c r="H20" s="68"/>
    </row>
    <row r="21" spans="1:8" s="33" customFormat="1" ht="12.75">
      <c r="A21" s="29"/>
      <c r="D21" s="47">
        <f t="shared" si="1"/>
        <v>0</v>
      </c>
      <c r="H21" s="34"/>
    </row>
    <row r="22" spans="1:8" s="67" customFormat="1" ht="38.25">
      <c r="A22" s="62" t="s">
        <v>17</v>
      </c>
      <c r="B22" s="63" t="s">
        <v>30</v>
      </c>
      <c r="C22" s="64">
        <v>0.03</v>
      </c>
      <c r="D22" s="47" t="e">
        <f t="shared" si="1"/>
        <v>#REF!</v>
      </c>
      <c r="E22" s="65" t="e">
        <f>C22*E16</f>
        <v>#REF!</v>
      </c>
      <c r="F22" s="66" t="s">
        <v>31</v>
      </c>
      <c r="H22" s="68"/>
    </row>
    <row r="23" spans="1:8" s="67" customFormat="1" ht="12.75">
      <c r="A23" s="62"/>
      <c r="B23" s="63" t="s">
        <v>32</v>
      </c>
      <c r="C23" s="64">
        <v>0</v>
      </c>
      <c r="D23" s="47" t="e">
        <f t="shared" si="1"/>
        <v>#REF!</v>
      </c>
      <c r="E23" s="65" t="e">
        <f>C23*E5</f>
        <v>#REF!</v>
      </c>
      <c r="F23" s="66"/>
      <c r="H23" s="68"/>
    </row>
    <row r="24" spans="1:8" s="67" customFormat="1" ht="12.75">
      <c r="A24" s="62" t="s">
        <v>17</v>
      </c>
      <c r="B24" s="63" t="s">
        <v>33</v>
      </c>
      <c r="C24" s="64"/>
      <c r="D24" s="47">
        <f t="shared" si="1"/>
        <v>0</v>
      </c>
      <c r="E24" s="65">
        <v>0</v>
      </c>
      <c r="F24" s="66"/>
      <c r="H24" s="68"/>
    </row>
    <row r="25" spans="1:8" s="50" customFormat="1" ht="12.75">
      <c r="A25" s="45">
        <v>5</v>
      </c>
      <c r="B25" s="46" t="s">
        <v>34</v>
      </c>
      <c r="C25" s="80"/>
      <c r="D25" s="47" t="e">
        <f t="shared" si="1"/>
        <v>#REF!</v>
      </c>
      <c r="E25" s="73" t="e">
        <f>E16-E18</f>
        <v>#REF!</v>
      </c>
      <c r="F25" s="77"/>
      <c r="G25" s="50" t="e">
        <f>E25/E8</f>
        <v>#REF!</v>
      </c>
      <c r="H25" s="51"/>
    </row>
    <row r="26" spans="1:8" s="50" customFormat="1" ht="25.5">
      <c r="A26" s="74"/>
      <c r="B26" s="46" t="s">
        <v>35</v>
      </c>
      <c r="C26" s="75"/>
      <c r="D26" s="47" t="e">
        <f t="shared" si="1"/>
        <v>#REF!</v>
      </c>
      <c r="E26" s="76" t="e">
        <f>E25/E5</f>
        <v>#REF!</v>
      </c>
      <c r="F26" s="77" t="s">
        <v>36</v>
      </c>
      <c r="H26" s="79"/>
    </row>
    <row r="27" spans="1:8" s="85" customFormat="1" ht="12.75">
      <c r="A27" s="52"/>
      <c r="B27" s="53"/>
      <c r="C27" s="58"/>
      <c r="D27" s="47">
        <f t="shared" si="1"/>
        <v>0</v>
      </c>
      <c r="E27" s="84"/>
      <c r="F27" s="71"/>
      <c r="H27" s="86"/>
    </row>
    <row r="28" spans="1:8" s="50" customFormat="1" ht="12.75">
      <c r="A28" s="45">
        <v>6</v>
      </c>
      <c r="B28" s="46" t="s">
        <v>37</v>
      </c>
      <c r="C28" s="80">
        <f>SUM(C29:C30)</f>
        <v>0</v>
      </c>
      <c r="D28" s="47" t="e">
        <f t="shared" si="1"/>
        <v>#REF!</v>
      </c>
      <c r="E28" s="73" t="e">
        <f>C28*E5</f>
        <v>#REF!</v>
      </c>
      <c r="F28" s="77"/>
      <c r="H28" s="51"/>
    </row>
    <row r="29" spans="1:8" s="67" customFormat="1" ht="25.5">
      <c r="A29" s="62"/>
      <c r="B29" s="63" t="s">
        <v>38</v>
      </c>
      <c r="C29" s="64">
        <v>0</v>
      </c>
      <c r="D29" s="47" t="e">
        <f t="shared" si="1"/>
        <v>#REF!</v>
      </c>
      <c r="E29" s="65" t="e">
        <f>C29*E5</f>
        <v>#REF!</v>
      </c>
      <c r="F29" s="66" t="s">
        <v>24</v>
      </c>
      <c r="H29" s="68"/>
    </row>
    <row r="30" spans="1:8" s="67" customFormat="1" ht="25.5">
      <c r="A30" s="62"/>
      <c r="B30" s="63" t="s">
        <v>39</v>
      </c>
      <c r="C30" s="64">
        <v>0</v>
      </c>
      <c r="D30" s="47" t="e">
        <f t="shared" si="1"/>
        <v>#REF!</v>
      </c>
      <c r="E30" s="65" t="e">
        <f>C30*E5</f>
        <v>#REF!</v>
      </c>
      <c r="F30" s="66" t="s">
        <v>24</v>
      </c>
      <c r="H30" s="68"/>
    </row>
    <row r="31" spans="1:8" s="33" customFormat="1" ht="12.75">
      <c r="A31" s="45">
        <v>7</v>
      </c>
      <c r="B31" s="46" t="s">
        <v>40</v>
      </c>
      <c r="C31" s="80"/>
      <c r="D31" s="47" t="e">
        <f t="shared" si="1"/>
        <v>#REF!</v>
      </c>
      <c r="E31" s="73" t="e">
        <f>E25-E28</f>
        <v>#REF!</v>
      </c>
      <c r="F31" s="77"/>
      <c r="H31" s="34"/>
    </row>
    <row r="32" spans="1:8" s="50" customFormat="1" ht="25.5">
      <c r="A32" s="87"/>
      <c r="B32" s="88" t="s">
        <v>41</v>
      </c>
      <c r="C32" s="89"/>
      <c r="D32" s="47" t="e">
        <f t="shared" si="1"/>
        <v>#REF!</v>
      </c>
      <c r="E32" s="90" t="e">
        <f>E31/E5</f>
        <v>#REF!</v>
      </c>
      <c r="F32" s="91"/>
      <c r="H32" s="79"/>
    </row>
    <row r="33" spans="1:8" s="33" customFormat="1" ht="12.75">
      <c r="A33" s="29"/>
      <c r="B33" s="92"/>
      <c r="C33" s="92"/>
      <c r="D33" s="93"/>
      <c r="E33" s="94"/>
      <c r="H33" s="34"/>
    </row>
    <row r="34" spans="1:8" s="33" customFormat="1" ht="12.75">
      <c r="A34" s="29"/>
      <c r="B34" s="95"/>
      <c r="C34" s="95"/>
      <c r="D34" s="34"/>
      <c r="E34" s="96"/>
      <c r="H34" s="34"/>
    </row>
    <row r="35" spans="1:8" s="33" customFormat="1" ht="12.75">
      <c r="A35" s="29"/>
      <c r="B35" s="97"/>
      <c r="C35" s="97"/>
      <c r="D35" s="98"/>
      <c r="E35" s="99"/>
      <c r="F35" s="100" t="s">
        <v>42</v>
      </c>
      <c r="H35" s="34"/>
    </row>
    <row r="36" spans="1:8" s="33" customFormat="1" ht="12.75">
      <c r="A36" s="29"/>
      <c r="B36" s="101" t="s">
        <v>43</v>
      </c>
      <c r="C36" s="102" t="s">
        <v>44</v>
      </c>
      <c r="D36" s="103"/>
      <c r="E36" s="99"/>
      <c r="F36" s="104" t="s">
        <v>45</v>
      </c>
      <c r="H36" s="34"/>
    </row>
    <row r="37" spans="1:8" s="33" customFormat="1" ht="12.75">
      <c r="A37" s="29"/>
      <c r="B37" s="105"/>
      <c r="C37" s="105"/>
      <c r="D37" s="106"/>
      <c r="E37" s="107"/>
      <c r="F37" s="108"/>
      <c r="H37" s="34"/>
    </row>
    <row r="38" spans="1:8" s="33" customFormat="1" ht="12.75">
      <c r="A38" s="29"/>
      <c r="B38" s="95"/>
      <c r="C38" s="95"/>
      <c r="D38" s="34"/>
      <c r="E38" s="96"/>
      <c r="H38" s="34"/>
    </row>
  </sheetData>
  <pageMargins left="0.7" right="0.7" top="0.75" bottom="0.75" header="0.3" footer="0.3"/>
  <pageSetup paperSize="9" orientation="portrait" horizontalDpi="0" verticalDpi="0"/>
  <legacyDrawing r:id="rId1"/>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Rack</vt:lpstr>
      <vt:lpstr>PAKD</vt:lpstr>
      <vt:lpstr>Rack!Print_Area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Huynh Trong Hieu</cp:lastModifiedBy>
  <cp:revision/>
  <cp:lastPrinted>2024-08-30T09:36:37Z</cp:lastPrinted>
  <dcterms:created xsi:type="dcterms:W3CDTF">2018-01-03T07:37:56Z</dcterms:created>
  <dcterms:modified xsi:type="dcterms:W3CDTF">2024-09-04T08:44:04Z</dcterms:modified>
  <cp:category/>
  <cp:contentStatus/>
</cp:coreProperties>
</file>