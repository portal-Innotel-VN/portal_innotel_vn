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STE\OneDrive\000WORK\04-A Hai\Sadesa\"/>
    </mc:Choice>
  </mc:AlternateContent>
  <bookViews>
    <workbookView xWindow="-105" yWindow="-105" windowWidth="19425" windowHeight="10305"/>
  </bookViews>
  <sheets>
    <sheet name="MS" sheetId="8" r:id="rId1"/>
    <sheet name="Sheet1" sheetId="11" r:id="rId2"/>
    <sheet name="PAKD" sheetId="10" state="hidden" r:id="rId3"/>
  </sheets>
  <definedNames>
    <definedName name="_xlnm.Print_Area" localSheetId="0">MS!$A$1:$I$45</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1" i="8" l="1"/>
  <c r="I7" i="8" l="1"/>
  <c r="I5" i="11"/>
  <c r="I6" i="11" s="1"/>
  <c r="G7" i="10" l="1"/>
  <c r="E7" i="10" s="1"/>
  <c r="D7" i="10" l="1"/>
  <c r="C28" i="10"/>
  <c r="D27" i="10"/>
  <c r="D24" i="10"/>
  <c r="D21" i="10"/>
  <c r="D19" i="10"/>
  <c r="D15" i="10"/>
  <c r="E20" i="10" l="1"/>
  <c r="D20" i="10" l="1"/>
  <c r="E6" i="10" l="1"/>
  <c r="D6" i="10" s="1"/>
  <c r="E18" i="10" l="1"/>
  <c r="D18" i="10" l="1"/>
  <c r="G12" i="8" l="1"/>
  <c r="G13" i="8" s="1"/>
  <c r="G14" i="8" l="1"/>
  <c r="E5" i="10" s="1"/>
  <c r="E14" i="10" l="1"/>
  <c r="E28" i="10"/>
  <c r="D28" i="10" s="1"/>
  <c r="E30" i="10"/>
  <c r="D30" i="10" s="1"/>
  <c r="E16" i="10"/>
  <c r="E11" i="10"/>
  <c r="D11" i="10" s="1"/>
  <c r="E23" i="10"/>
  <c r="D23" i="10" s="1"/>
  <c r="E12" i="10"/>
  <c r="D12" i="10" s="1"/>
  <c r="E8" i="10"/>
  <c r="D5" i="10"/>
  <c r="C20" i="10"/>
  <c r="E10" i="10"/>
  <c r="D10" i="10" s="1"/>
  <c r="E29" i="10"/>
  <c r="D29" i="10" s="1"/>
  <c r="E9" i="10" l="1"/>
  <c r="D9" i="10" s="1"/>
  <c r="D8" i="10"/>
  <c r="E22" i="10"/>
  <c r="D22" i="10" s="1"/>
  <c r="E17" i="10"/>
  <c r="D17" i="10" s="1"/>
  <c r="D16" i="10"/>
  <c r="E25" i="10"/>
  <c r="D14" i="10"/>
  <c r="E13" i="10"/>
  <c r="D25" i="10" l="1"/>
  <c r="E26" i="10"/>
  <c r="D26" i="10" s="1"/>
  <c r="G25" i="10"/>
  <c r="E31" i="10"/>
  <c r="D31" i="10" l="1"/>
  <c r="E32" i="10"/>
  <c r="D32" i="10" s="1"/>
</calcChain>
</file>

<file path=xl/comments1.xml><?xml version="1.0" encoding="utf-8"?>
<comments xmlns="http://schemas.openxmlformats.org/spreadsheetml/2006/main">
  <authors>
    <author>pvtrung</author>
  </authors>
  <commentList>
    <comment ref="B36" authorId="0" shapeId="0">
      <text>
        <r>
          <rPr>
            <b/>
            <sz val="8"/>
            <color rgb="FF000000"/>
            <rFont val="Tahoma"/>
            <family val="2"/>
          </rPr>
          <t>CBKD trực tiếp</t>
        </r>
        <r>
          <rPr>
            <sz val="8"/>
            <color rgb="FF000000"/>
            <rFont val="Tahoma"/>
            <family val="2"/>
          </rPr>
          <t xml:space="preserve">
</t>
        </r>
      </text>
    </comment>
  </commentList>
</comments>
</file>

<file path=xl/sharedStrings.xml><?xml version="1.0" encoding="utf-8"?>
<sst xmlns="http://schemas.openxmlformats.org/spreadsheetml/2006/main" count="104" uniqueCount="97">
  <si>
    <t>STT</t>
  </si>
  <si>
    <t>No.</t>
  </si>
  <si>
    <r>
      <t>Mã vụ việc</t>
    </r>
    <r>
      <rPr>
        <b/>
        <sz val="10"/>
        <rFont val="Arial"/>
        <family val="2"/>
      </rPr>
      <t xml:space="preserve">: </t>
    </r>
  </si>
  <si>
    <r>
      <rPr>
        <b/>
        <u/>
        <sz val="10"/>
        <rFont val="Arial"/>
        <family val="2"/>
      </rPr>
      <t>Cán bộ KD</t>
    </r>
    <r>
      <rPr>
        <b/>
        <sz val="10"/>
        <rFont val="Arial"/>
        <family val="2"/>
      </rPr>
      <t xml:space="preserve">: </t>
    </r>
  </si>
  <si>
    <t xml:space="preserve">TTKD:  </t>
  </si>
  <si>
    <t xml:space="preserve">Tỷ giá: </t>
  </si>
  <si>
    <t>Chỉ tiêu</t>
  </si>
  <si>
    <t>Tỷ lệ</t>
  </si>
  <si>
    <t>Dự toán USD</t>
  </si>
  <si>
    <t>Dự toán VND</t>
  </si>
  <si>
    <t>Ghi chú</t>
  </si>
  <si>
    <t xml:space="preserve">Tổng doanh thu </t>
  </si>
  <si>
    <t>Tổng biến phí</t>
  </si>
  <si>
    <t>Giá vốn hàng bán</t>
  </si>
  <si>
    <t>Giá vốn vật tư</t>
  </si>
  <si>
    <t>Giá vốn vật tư phụ</t>
  </si>
  <si>
    <t>Chi phí triển khai bằng tiền</t>
  </si>
  <si>
    <t>-</t>
  </si>
  <si>
    <t>Chi phí nhân công triển khai</t>
  </si>
  <si>
    <t>Chi phí duy trì NLCN</t>
  </si>
  <si>
    <t>Chi phí BH</t>
  </si>
  <si>
    <t>Trong thành phố</t>
  </si>
  <si>
    <t>Ngoại tỉnh</t>
  </si>
  <si>
    <t>Lãi gộp sau biến phí</t>
  </si>
  <si>
    <t>Phụ thuộc từng TT</t>
  </si>
  <si>
    <t>Tỷ lệ lãi gộp/ Doanh thu</t>
  </si>
  <si>
    <t>Tổng chi phí</t>
  </si>
  <si>
    <t>Số ngày triển khai</t>
  </si>
  <si>
    <t>Chi phí tài chính thực tế (tỉ lệ theo doanh thu)</t>
  </si>
  <si>
    <t>Chi phí TC 9.5%/1 năm</t>
  </si>
  <si>
    <t>Chi phí Marketing</t>
  </si>
  <si>
    <t>Phụ  thuộc từng TT</t>
  </si>
  <si>
    <t>Chi phí tư vấn</t>
  </si>
  <si>
    <t>Chi phí khác</t>
  </si>
  <si>
    <t>Lãi thuần dự án</t>
  </si>
  <si>
    <t>Tỷ lệ lãi thuần/ Doanh thu</t>
  </si>
  <si>
    <r>
      <t xml:space="preserve">LTDA </t>
    </r>
    <r>
      <rPr>
        <b/>
        <sz val="10"/>
        <rFont val="Calibri"/>
        <family val="2"/>
      </rPr>
      <t>≥</t>
    </r>
    <r>
      <rPr>
        <b/>
        <sz val="10"/>
        <rFont val="Arial"/>
        <family val="2"/>
      </rPr>
      <t xml:space="preserve"> GVVT</t>
    </r>
  </si>
  <si>
    <t xml:space="preserve">Tổng Chi phí phân bổ </t>
  </si>
  <si>
    <t>Chi phí hoạt động TT</t>
  </si>
  <si>
    <t>Chi phí văn phòng phân bổ  (KhốiBacOffice)</t>
  </si>
  <si>
    <t>Lãi trước thuế</t>
  </si>
  <si>
    <t>Tỷ lệ lãi trước thuế/ Doanh thu</t>
  </si>
  <si>
    <t xml:space="preserve"> Ngày 03 tháng 11 năm 2016</t>
  </si>
  <si>
    <t xml:space="preserve">       Người lập                         </t>
  </si>
  <si>
    <t>Kiểm tra</t>
  </si>
  <si>
    <t>Phê duyệt PAKD</t>
  </si>
  <si>
    <t>Attn:</t>
  </si>
  <si>
    <t>On behalf of Innotel</t>
  </si>
  <si>
    <r>
      <rPr>
        <b/>
        <sz val="11"/>
        <color theme="1"/>
        <rFont val="Arial"/>
        <family val="2"/>
      </rPr>
      <t>THUAN PHONG INNOVATIVE TELECOMMUNICATION CO., LTD.</t>
    </r>
    <r>
      <rPr>
        <sz val="11"/>
        <color theme="1"/>
        <rFont val="Arial"/>
        <family val="2"/>
      </rPr>
      <t xml:space="preserve">
Head Office: 55/31Tran Dinh Xu Street, 1 District, HCMC
Branch office: No 52 Chua Ha St., Cau Giay Dist., Ha Noi City
Website: http://www.innotel.com.vn            Email: nguyen@innotel.com.vn
Tel: (84 028) 38621119.                      Fax: (84 028) 38630366.
</t>
    </r>
  </si>
  <si>
    <t>Note: This quotation is for delivery only.</t>
  </si>
  <si>
    <t>Tram Do (Ms) – Purchasing Dept</t>
  </si>
  <si>
    <t>CÔNG TY TNHH SADESA VIỆT NAM</t>
  </si>
  <si>
    <t>Lô J6, Đường D1, Khu Công Nghiệp Chuyên Sâu Phú Mỹ 3,Phường Phước Hoà,Thị xã Phú Mỹ,Tỉnh Bà Rịa - Vũng Tàu,Việt Nam</t>
  </si>
  <si>
    <t>Ho.Thi.Hien@sadesa.com 
doantram@sadesa.com</t>
  </si>
  <si>
    <t>Total amount including VAT/ Tổng số tiền đã bao gồm VAT (VND)</t>
  </si>
  <si>
    <t xml:space="preserve">VAT 10% </t>
  </si>
  <si>
    <r>
      <t xml:space="preserve">No.
</t>
    </r>
    <r>
      <rPr>
        <b/>
        <i/>
        <sz val="11"/>
        <color rgb="FF000000"/>
        <rFont val="Times New Roman"/>
        <family val="1"/>
      </rPr>
      <t>STT</t>
    </r>
  </si>
  <si>
    <r>
      <t xml:space="preserve">Product Name
</t>
    </r>
    <r>
      <rPr>
        <b/>
        <i/>
        <sz val="11"/>
        <color rgb="FF000000"/>
        <rFont val="Times New Roman"/>
        <family val="1"/>
      </rPr>
      <t xml:space="preserve">Tên sản phẩm </t>
    </r>
  </si>
  <si>
    <r>
      <t xml:space="preserve">Quantity
</t>
    </r>
    <r>
      <rPr>
        <b/>
        <i/>
        <sz val="11"/>
        <color rgb="FF000000"/>
        <rFont val="Times New Roman"/>
        <family val="1"/>
      </rPr>
      <t>Số lượng</t>
    </r>
  </si>
  <si>
    <r>
      <t xml:space="preserve">Unit price
</t>
    </r>
    <r>
      <rPr>
        <b/>
        <i/>
        <sz val="11"/>
        <color rgb="FF000000"/>
        <rFont val="Times New Roman"/>
        <family val="1"/>
      </rPr>
      <t>Đơn giá
(VND)</t>
    </r>
  </si>
  <si>
    <r>
      <t xml:space="preserve">Amount
</t>
    </r>
    <r>
      <rPr>
        <b/>
        <i/>
        <sz val="11"/>
        <color rgb="FF000000"/>
        <rFont val="Times New Roman"/>
        <family val="1"/>
      </rPr>
      <t>Tổng cộng 
(VND)</t>
    </r>
  </si>
  <si>
    <r>
      <t xml:space="preserve">Remark
</t>
    </r>
    <r>
      <rPr>
        <b/>
        <i/>
        <sz val="11"/>
        <color rgb="FF000000"/>
        <rFont val="Times New Roman"/>
        <family val="1"/>
      </rPr>
      <t>Ghi chú</t>
    </r>
  </si>
  <si>
    <t>P/N
Mã hàng</t>
  </si>
  <si>
    <t>Date/Ngày:</t>
  </si>
  <si>
    <t>Valid in 14 days/ Có hiệu lực 14 ngày</t>
  </si>
  <si>
    <t>Thank you very much for your business opportunity with us on this requirement, we are pleased to submit you the quotation as follows:
Cảm ơn bạn rất nhiều vì cơ hội kinh doanh của bạn với chúng tôi về yêu cầu này, chúng tôi rất hân hạnh được gửi cho bạn báo giá như sau:</t>
  </si>
  <si>
    <t>Unit price
Đơn giá
(vnđ)</t>
  </si>
  <si>
    <t>Amount/
Tổng cộng
(vnđ)</t>
  </si>
  <si>
    <t>Remark
Ghi chú</t>
  </si>
  <si>
    <t>Q'ty
SL</t>
  </si>
  <si>
    <t>Descriptions
Mô tả</t>
  </si>
  <si>
    <t>Terms &amp; Conditions/ Điều khoản và điều kiện::</t>
  </si>
  <si>
    <r>
      <t xml:space="preserve">To      </t>
    </r>
    <r>
      <rPr>
        <b/>
        <sz val="15"/>
        <color theme="1"/>
        <rFont val="Arial"/>
        <family val="2"/>
      </rPr>
      <t xml:space="preserve">  CÔNG TY TNHH SADESA VIỆT NAM </t>
    </r>
    <r>
      <rPr>
        <b/>
        <sz val="10"/>
        <color theme="1"/>
        <rFont val="Arial"/>
        <family val="2"/>
      </rPr>
      <t xml:space="preserve">
Đến</t>
    </r>
  </si>
  <si>
    <r>
      <t xml:space="preserve">Add: </t>
    </r>
    <r>
      <rPr>
        <sz val="10"/>
        <color theme="1"/>
        <rFont val="Arial"/>
        <family val="2"/>
      </rPr>
      <t xml:space="preserve">Lot J6, D1 road, Phu My 3 Specialised Industrial Park, Phuoc Hoa Ward, Phu My Town, Ba Ria - Vung Tau Province, Vietnam
</t>
    </r>
    <r>
      <rPr>
        <b/>
        <sz val="10"/>
        <color theme="1"/>
        <rFont val="Arial"/>
        <family val="2"/>
      </rPr>
      <t xml:space="preserve">Địa chỉ: </t>
    </r>
    <r>
      <rPr>
        <sz val="10"/>
        <color theme="1"/>
        <rFont val="Arial"/>
        <family val="2"/>
      </rPr>
      <t>Lô J6, Đường D1, KCN Phú Mỹ 3, Phường Phước Hòa, Thị xã Phú Mỹ, Tỉnh Bà Rịa-Vũng Tàu, Việt Nam</t>
    </r>
  </si>
  <si>
    <t>Warranty/ Bảo hành:</t>
  </si>
  <si>
    <t xml:space="preserve">                                  Warranty onsite/ Bảo hành tại chỗ</t>
  </si>
  <si>
    <r>
      <t>Payment term/ Điều khoản thanh toán:</t>
    </r>
    <r>
      <rPr>
        <sz val="10"/>
        <color theme="1"/>
        <rFont val="Arial"/>
        <family val="2"/>
      </rPr>
      <t xml:space="preserve"> </t>
    </r>
  </si>
  <si>
    <t>Billing information/ Thông tin hóa đơn:</t>
  </si>
  <si>
    <t xml:space="preserve">Customer/ Khách hàng: </t>
  </si>
  <si>
    <t xml:space="preserve">Add/ Địa chỉ: </t>
  </si>
  <si>
    <t xml:space="preserve">Tax code/ MST: </t>
  </si>
  <si>
    <t>Billing recipient email
Email nhận hóa đơn</t>
  </si>
  <si>
    <t>Account Information/ Thông tin ngân hàng:</t>
  </si>
  <si>
    <r>
      <t xml:space="preserve">Benificiary/ Tên ngân hàng: </t>
    </r>
    <r>
      <rPr>
        <b/>
        <i/>
        <sz val="10"/>
        <color theme="1"/>
        <rFont val="Arial"/>
        <family val="2"/>
      </rPr>
      <t>CÔNG TY TNHH VIỄN THÔNG SÁNG TẠO THUẬN PHONG</t>
    </r>
  </si>
  <si>
    <t>VND Account/ Tài khoản: 17058209 (VND)</t>
  </si>
  <si>
    <r>
      <t xml:space="preserve">At/ Tại: </t>
    </r>
    <r>
      <rPr>
        <b/>
        <i/>
        <sz val="10"/>
        <color theme="1"/>
        <rFont val="Arial"/>
        <family val="2"/>
      </rPr>
      <t>Ngân hàng Thương Mại Cổ Phần Á Châu (ACB) - Chi nhánh Hồ Chí Minh</t>
    </r>
  </si>
  <si>
    <t>We hope you will find our prices and terms satisfactory and expecting your order as soon aspossible.
Chúng tôi hy vọng bạn sẽ thấy giá cả và các điều khoản của chúng tôi làm bạn hài lòng và mong nhận được đơn hàng của bạn sớm nhất có thể.</t>
  </si>
  <si>
    <t>Please contact us if you need any further clarification
Vui lòng liên hệ với chúng tôi nếu bạn cần thêm bất kỳ giải thích nào</t>
  </si>
  <si>
    <t>Total/ Tổng cộng (VND)</t>
  </si>
  <si>
    <t>VAT (0%)</t>
  </si>
  <si>
    <r>
      <t>Delivery time/ Thời gian giao hàng: 15</t>
    </r>
    <r>
      <rPr>
        <sz val="10"/>
        <color theme="1"/>
        <rFont val="Arial"/>
        <family val="2"/>
      </rPr>
      <t xml:space="preserve"> ngày kể từ ngày Bên A nhận được hợp đồng có chữ ký của hai bên
                                                                 15 days from the date Party A receives the signed contract by both parties.</t>
    </r>
  </si>
  <si>
    <t xml:space="preserve">                                  Warranty terms/ Điều khoản bảo hành: 1 years from receipt date/ 1 năm kể từ ngày nhận hàng</t>
  </si>
  <si>
    <r>
      <t xml:space="preserve">Goods condition/ Tình trạng hàng: </t>
    </r>
    <r>
      <rPr>
        <sz val="10"/>
        <color theme="1"/>
        <rFont val="Arial"/>
        <family val="2"/>
      </rPr>
      <t>Software License active by End User email/account/ Bản quyền phần mềm, kích hoạt theo email/tài khoản người dùng cuối.</t>
    </r>
  </si>
  <si>
    <t xml:space="preserve">                                   100% of the value of the total amount will be paid (VND) after the customer receiving PO.
                                   Thanh toán 100% bằng VNĐ sau khi đồng ý xác nhận đơn hàng.</t>
  </si>
  <si>
    <r>
      <t xml:space="preserve">Remark
</t>
    </r>
    <r>
      <rPr>
        <sz val="10"/>
        <color theme="1"/>
        <rFont val="Arial"/>
        <family val="2"/>
      </rPr>
      <t xml:space="preserve"> ** for windows server please add license to domain/account : SVNO365.onmicrosoft.com/admin@SVNO365.onmicrosoft.com</t>
    </r>
  </si>
  <si>
    <r>
      <t xml:space="preserve">QUOTATION/ BÁO GIÁ
</t>
    </r>
    <r>
      <rPr>
        <b/>
        <sz val="15"/>
        <color theme="1"/>
        <rFont val="Arial"/>
        <family val="2"/>
      </rPr>
      <t>No. 31082024-01</t>
    </r>
  </si>
  <si>
    <t>Project Plan 3 for 12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</si>
</sst>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5" formatCode="&quot;$&quot;#,##0_);\(&quot;$&quot;#,##0\)"/>
    <numFmt numFmtId="44" formatCode="_(&quot;$&quot;* #,##0.00_);_(&quot;$&quot;* \(#,##0.00\);_(&quot;$&quot;* &quot;-&quot;??_);_(@_)"/>
    <numFmt numFmtId="43" formatCode="_(* #,##0.00_);_(* \(#,##0.00\);_(* &quot;-&quot;??_);_(@_)"/>
    <numFmt numFmtId="164" formatCode="&quot;True&quot;;&quot;True&quot;;&quot;False&quot;"/>
    <numFmt numFmtId="165" formatCode="_(* #,##0_);_(* \(#,##0\);_(* &quot;-&quot;??_);_(@_)"/>
    <numFmt numFmtId="166" formatCode="#,##0.000"/>
    <numFmt numFmtId="167" formatCode="#,##0.0"/>
    <numFmt numFmtId="168" formatCode="dd/mm/yyyy"/>
  </numFmts>
  <fonts count="30">
    <font>
      <sz val="11"/>
      <color theme="1"/>
      <name val="Calibri"/>
      <family val="2"/>
      <scheme val="minor"/>
    </font>
    <font>
      <sz val="11"/>
      <color theme="1"/>
      <name val="Calibri"/>
      <family val="2"/>
      <scheme val="minor"/>
    </font>
    <font>
      <sz val="10"/>
      <name val="Arial"/>
      <family val="2"/>
    </font>
    <font>
      <sz val="11"/>
      <color theme="1"/>
      <name val="Calibri"/>
      <family val="2"/>
      <charset val="163"/>
      <scheme val="minor"/>
    </font>
    <font>
      <sz val="10"/>
      <name val="MS Sans Serif"/>
      <family val="2"/>
    </font>
    <font>
      <b/>
      <i/>
      <sz val="10"/>
      <color theme="1"/>
      <name val="Arial"/>
      <family val="2"/>
    </font>
    <font>
      <sz val="9"/>
      <name val=".VnTime"/>
      <family val="2"/>
    </font>
    <font>
      <i/>
      <sz val="10"/>
      <color theme="1"/>
      <name val="Arial"/>
      <family val="2"/>
    </font>
    <font>
      <u/>
      <sz val="10"/>
      <color indexed="12"/>
      <name val="Arial"/>
      <family val="2"/>
    </font>
    <font>
      <sz val="10"/>
      <name val=".VnTime"/>
      <family val="2"/>
    </font>
    <font>
      <sz val="10"/>
      <name val="Arial"/>
      <family val="2"/>
      <charset val="163"/>
    </font>
    <font>
      <b/>
      <sz val="11"/>
      <color theme="1"/>
      <name val="Arial"/>
      <family val="2"/>
    </font>
    <font>
      <sz val="11"/>
      <color theme="1"/>
      <name val="Arial"/>
      <family val="2"/>
    </font>
    <font>
      <b/>
      <sz val="10"/>
      <color theme="1"/>
      <name val="Arial"/>
      <family val="2"/>
    </font>
    <font>
      <sz val="10"/>
      <color theme="1"/>
      <name val="Arial"/>
      <family val="2"/>
    </font>
    <font>
      <b/>
      <sz val="15"/>
      <color theme="1"/>
      <name val="Arial"/>
      <family val="2"/>
    </font>
    <font>
      <b/>
      <u/>
      <sz val="10"/>
      <color theme="1"/>
      <name val="Arial"/>
      <family val="2"/>
    </font>
    <font>
      <b/>
      <sz val="10"/>
      <name val="Arial"/>
      <family val="2"/>
    </font>
    <font>
      <b/>
      <u/>
      <sz val="10"/>
      <name val="Arial"/>
      <family val="2"/>
    </font>
    <font>
      <b/>
      <sz val="10"/>
      <name val="Calibri"/>
      <family val="2"/>
    </font>
    <font>
      <i/>
      <sz val="10"/>
      <name val="Arial"/>
      <family val="2"/>
    </font>
    <font>
      <sz val="10"/>
      <name val="Helv"/>
      <family val="2"/>
    </font>
    <font>
      <b/>
      <sz val="8"/>
      <color rgb="FF000000"/>
      <name val="Tahoma"/>
      <family val="2"/>
    </font>
    <font>
      <sz val="8"/>
      <color rgb="FF000000"/>
      <name val="Tahoma"/>
      <family val="2"/>
    </font>
    <font>
      <b/>
      <sz val="22"/>
      <color theme="1"/>
      <name val="Arial"/>
      <family val="2"/>
    </font>
    <font>
      <b/>
      <sz val="11"/>
      <color rgb="FF000000"/>
      <name val="Times New Roman"/>
      <family val="1"/>
    </font>
    <font>
      <b/>
      <i/>
      <sz val="11"/>
      <color rgb="FF000000"/>
      <name val="Times New Roman"/>
      <family val="1"/>
    </font>
    <font>
      <sz val="11"/>
      <color rgb="FF000000"/>
      <name val="Times New Roman"/>
      <family val="1"/>
    </font>
    <font>
      <sz val="11"/>
      <color theme="1"/>
      <name val="Times New Roman"/>
      <family val="1"/>
    </font>
    <font>
      <u/>
      <sz val="10"/>
      <color theme="1"/>
      <name val="Arial"/>
      <family val="2"/>
    </font>
  </fonts>
  <fills count="12">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theme="0"/>
        <bgColor theme="0"/>
      </patternFill>
    </fill>
    <fill>
      <patternFill patternType="solid">
        <fgColor indexed="13"/>
        <bgColor indexed="64"/>
      </patternFill>
    </fill>
    <fill>
      <patternFill patternType="solid">
        <fgColor indexed="40"/>
        <bgColor indexed="64"/>
      </patternFill>
    </fill>
    <fill>
      <patternFill patternType="solid">
        <fgColor indexed="44"/>
        <bgColor indexed="64"/>
      </patternFill>
    </fill>
    <fill>
      <patternFill patternType="solid">
        <fgColor indexed="27"/>
        <bgColor indexed="64"/>
      </patternFill>
    </fill>
    <fill>
      <patternFill patternType="solid">
        <fgColor indexed="41"/>
        <bgColor indexed="64"/>
      </patternFill>
    </fill>
    <fill>
      <patternFill patternType="solid">
        <fgColor rgb="FFFFFF00"/>
        <bgColor indexed="64"/>
      </patternFill>
    </fill>
    <fill>
      <patternFill patternType="solid">
        <fgColor theme="7" tint="0.39997558519241921"/>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8"/>
      </left>
      <right style="thin">
        <color indexed="8"/>
      </right>
      <top/>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thin">
        <color auto="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s>
  <cellStyleXfs count="21">
    <xf numFmtId="0" fontId="0" fillId="0" borderId="0"/>
    <xf numFmtId="0" fontId="2" fillId="0" borderId="0"/>
    <xf numFmtId="0" fontId="3" fillId="0" borderId="0"/>
    <xf numFmtId="0" fontId="4" fillId="0" borderId="0"/>
    <xf numFmtId="0" fontId="6" fillId="0" borderId="2">
      <alignment horizontal="left" vertical="center"/>
    </xf>
    <xf numFmtId="5" fontId="9" fillId="0" borderId="2">
      <alignment horizontal="left" vertical="top"/>
    </xf>
    <xf numFmtId="44" fontId="10" fillId="0" borderId="0" applyFont="0" applyFill="0" applyBorder="0" applyAlignment="0" applyProtection="0"/>
    <xf numFmtId="5" fontId="2" fillId="0" borderId="0" applyFill="0" applyBorder="0" applyAlignment="0" applyProtection="0"/>
    <xf numFmtId="0" fontId="4" fillId="0" borderId="0"/>
    <xf numFmtId="0" fontId="8" fillId="0" borderId="0" applyNumberFormat="0" applyFill="0" applyBorder="0" applyAlignment="0" applyProtection="0"/>
    <xf numFmtId="0" fontId="10" fillId="0" borderId="0"/>
    <xf numFmtId="9" fontId="2" fillId="0" borderId="0" applyFont="0" applyFill="0" applyBorder="0" applyAlignment="0" applyProtection="0"/>
    <xf numFmtId="166" fontId="2" fillId="0" borderId="0" applyFill="0" applyBorder="0" applyAlignment="0" applyProtection="0"/>
    <xf numFmtId="9" fontId="2" fillId="0" borderId="0" applyFill="0" applyBorder="0" applyAlignment="0" applyProtection="0"/>
    <xf numFmtId="43" fontId="2" fillId="0" borderId="0" applyFont="0" applyFill="0" applyBorder="0" applyAlignment="0" applyProtection="0"/>
    <xf numFmtId="167" fontId="9" fillId="0" borderId="3">
      <alignment horizontal="left" vertical="top"/>
    </xf>
    <xf numFmtId="164" fontId="9" fillId="0" borderId="3">
      <alignment horizontal="left" vertical="top"/>
    </xf>
    <xf numFmtId="0" fontId="2" fillId="0" borderId="0"/>
    <xf numFmtId="0" fontId="2" fillId="0" borderId="0"/>
    <xf numFmtId="9" fontId="2" fillId="0" borderId="0" applyFont="0" applyFill="0" applyBorder="0" applyAlignment="0" applyProtection="0"/>
    <xf numFmtId="44" fontId="1" fillId="0" borderId="0" applyFont="0" applyFill="0" applyBorder="0" applyAlignment="0" applyProtection="0"/>
  </cellStyleXfs>
  <cellXfs count="157">
    <xf numFmtId="0" fontId="0" fillId="0" borderId="0" xfId="0"/>
    <xf numFmtId="0" fontId="12" fillId="2" borderId="0" xfId="0" applyFont="1" applyFill="1" applyAlignment="1">
      <alignment horizontal="center" vertical="center" wrapText="1"/>
    </xf>
    <xf numFmtId="0" fontId="12" fillId="2" borderId="0" xfId="0" applyFont="1" applyFill="1" applyAlignment="1">
      <alignment vertical="center" wrapText="1"/>
    </xf>
    <xf numFmtId="0" fontId="12" fillId="0" borderId="0" xfId="0" applyFont="1" applyAlignment="1">
      <alignment vertical="center"/>
    </xf>
    <xf numFmtId="0" fontId="12" fillId="2" borderId="0" xfId="0" applyFont="1" applyFill="1" applyAlignment="1">
      <alignment horizontal="center" vertical="center"/>
    </xf>
    <xf numFmtId="4" fontId="11" fillId="2" borderId="0" xfId="0" applyNumberFormat="1" applyFont="1" applyFill="1" applyAlignment="1">
      <alignment horizontal="right" vertical="center"/>
    </xf>
    <xf numFmtId="9" fontId="11" fillId="2" borderId="0" xfId="0" applyNumberFormat="1" applyFont="1" applyFill="1" applyAlignment="1">
      <alignment horizontal="center" vertical="center"/>
    </xf>
    <xf numFmtId="4" fontId="12" fillId="2" borderId="0" xfId="0" applyNumberFormat="1" applyFont="1" applyFill="1" applyAlignment="1">
      <alignment horizontal="center" vertical="center"/>
    </xf>
    <xf numFmtId="0" fontId="13" fillId="0" borderId="0" xfId="0" applyFont="1" applyAlignment="1">
      <alignment vertical="center"/>
    </xf>
    <xf numFmtId="0" fontId="12" fillId="0" borderId="0" xfId="0" applyFont="1" applyAlignment="1">
      <alignment horizontal="right" vertical="center"/>
    </xf>
    <xf numFmtId="0" fontId="12" fillId="0" borderId="0" xfId="0" applyFont="1" applyAlignment="1">
      <alignment horizontal="center" vertical="center"/>
    </xf>
    <xf numFmtId="0" fontId="14" fillId="3" borderId="0" xfId="0" applyFont="1" applyFill="1" applyAlignment="1">
      <alignment horizontal="right" vertical="center"/>
    </xf>
    <xf numFmtId="0" fontId="12" fillId="3" borderId="0" xfId="0" applyFont="1" applyFill="1" applyAlignment="1">
      <alignment vertical="center"/>
    </xf>
    <xf numFmtId="0" fontId="14" fillId="3" borderId="0" xfId="0" applyFont="1" applyFill="1" applyAlignment="1">
      <alignment vertical="center"/>
    </xf>
    <xf numFmtId="0" fontId="13" fillId="3" borderId="0" xfId="0" applyFont="1" applyFill="1" applyAlignment="1">
      <alignment vertical="center"/>
    </xf>
    <xf numFmtId="0" fontId="14" fillId="3" borderId="0" xfId="0" applyFont="1" applyFill="1" applyAlignment="1">
      <alignment horizontal="center" vertical="center"/>
    </xf>
    <xf numFmtId="0" fontId="14" fillId="3" borderId="0" xfId="0" quotePrefix="1" applyFont="1" applyFill="1" applyAlignment="1">
      <alignment horizontal="center" vertical="center"/>
    </xf>
    <xf numFmtId="0" fontId="7" fillId="3" borderId="0" xfId="0" applyFont="1" applyFill="1" applyAlignment="1">
      <alignment vertical="center"/>
    </xf>
    <xf numFmtId="0" fontId="14" fillId="3" borderId="0" xfId="0" applyFont="1" applyFill="1" applyAlignment="1">
      <alignment vertical="center" wrapText="1"/>
    </xf>
    <xf numFmtId="0" fontId="14" fillId="3" borderId="0" xfId="0" applyFont="1" applyFill="1" applyAlignment="1">
      <alignment horizontal="center" vertical="center" wrapText="1"/>
    </xf>
    <xf numFmtId="0" fontId="14" fillId="3" borderId="0" xfId="0" applyFont="1" applyFill="1" applyAlignment="1">
      <alignment horizontal="right" vertical="center" wrapText="1"/>
    </xf>
    <xf numFmtId="0" fontId="7" fillId="3" borderId="0" xfId="0" applyFont="1" applyFill="1" applyAlignment="1">
      <alignment vertical="center" wrapText="1"/>
    </xf>
    <xf numFmtId="0" fontId="13" fillId="3" borderId="0" xfId="0" applyFont="1" applyFill="1" applyAlignment="1">
      <alignment horizontal="center" vertical="center"/>
    </xf>
    <xf numFmtId="0" fontId="13" fillId="3" borderId="0" xfId="0" applyFont="1" applyFill="1" applyAlignment="1">
      <alignment horizontal="left" vertical="center"/>
    </xf>
    <xf numFmtId="0" fontId="13" fillId="3" borderId="0" xfId="0" applyFont="1" applyFill="1" applyAlignment="1">
      <alignment horizontal="right" vertical="center"/>
    </xf>
    <xf numFmtId="43" fontId="14" fillId="3" borderId="0" xfId="0" applyNumberFormat="1" applyFont="1" applyFill="1" applyAlignment="1">
      <alignment horizontal="right" vertical="center"/>
    </xf>
    <xf numFmtId="0" fontId="12" fillId="3" borderId="0" xfId="0" applyFont="1" applyFill="1" applyAlignment="1">
      <alignment vertical="center" wrapText="1"/>
    </xf>
    <xf numFmtId="0" fontId="2" fillId="4" borderId="0" xfId="17" applyFill="1" applyAlignment="1">
      <alignment horizontal="left" vertical="center"/>
    </xf>
    <xf numFmtId="0" fontId="17" fillId="3" borderId="0" xfId="17" applyFont="1" applyFill="1" applyAlignment="1">
      <alignment horizontal="left" vertical="center" indent="1"/>
    </xf>
    <xf numFmtId="0" fontId="2" fillId="3" borderId="0" xfId="17" applyFill="1" applyAlignment="1">
      <alignment horizontal="left" vertical="center" indent="1"/>
    </xf>
    <xf numFmtId="0" fontId="2" fillId="0" borderId="0" xfId="18" applyAlignment="1" applyProtection="1">
      <alignment horizontal="center" vertical="center"/>
      <protection locked="0"/>
    </xf>
    <xf numFmtId="0" fontId="18" fillId="0" borderId="0" xfId="18" applyFont="1" applyAlignment="1" applyProtection="1">
      <alignment vertical="center"/>
      <protection locked="0"/>
    </xf>
    <xf numFmtId="3" fontId="18" fillId="0" borderId="0" xfId="18" applyNumberFormat="1" applyFont="1" applyAlignment="1" applyProtection="1">
      <alignment vertical="center"/>
      <protection locked="0"/>
    </xf>
    <xf numFmtId="165" fontId="18" fillId="0" borderId="0" xfId="14" applyNumberFormat="1" applyFont="1" applyAlignment="1" applyProtection="1">
      <alignment vertical="center"/>
      <protection locked="0"/>
    </xf>
    <xf numFmtId="0" fontId="2" fillId="0" borderId="0" xfId="18" applyAlignment="1" applyProtection="1">
      <alignment vertical="center"/>
      <protection locked="0"/>
    </xf>
    <xf numFmtId="165" fontId="2" fillId="0" borderId="0" xfId="14" applyNumberFormat="1" applyFont="1" applyAlignment="1" applyProtection="1">
      <alignment vertical="center"/>
      <protection locked="0"/>
    </xf>
    <xf numFmtId="0" fontId="17" fillId="0" borderId="0" xfId="18" applyFont="1" applyAlignment="1" applyProtection="1">
      <alignment vertical="center"/>
      <protection locked="0"/>
    </xf>
    <xf numFmtId="43" fontId="2" fillId="0" borderId="0" xfId="14" applyFont="1" applyAlignment="1" applyProtection="1">
      <alignment vertical="center"/>
      <protection locked="0"/>
    </xf>
    <xf numFmtId="0" fontId="17" fillId="5" borderId="0" xfId="18" applyFont="1" applyFill="1" applyAlignment="1" applyProtection="1">
      <alignment vertical="center"/>
      <protection locked="0"/>
    </xf>
    <xf numFmtId="165" fontId="17" fillId="5" borderId="0" xfId="14" applyNumberFormat="1" applyFont="1" applyFill="1" applyAlignment="1" applyProtection="1">
      <alignment horizontal="left" vertical="center"/>
      <protection locked="0"/>
    </xf>
    <xf numFmtId="165" fontId="2" fillId="0" borderId="0" xfId="14" applyNumberFormat="1" applyFont="1" applyAlignment="1" applyProtection="1">
      <alignment horizontal="right" vertical="center"/>
      <protection locked="0"/>
    </xf>
    <xf numFmtId="0" fontId="17" fillId="6" borderId="4" xfId="18" applyFont="1" applyFill="1" applyBorder="1" applyAlignment="1" applyProtection="1">
      <alignment horizontal="center" vertical="center"/>
      <protection locked="0"/>
    </xf>
    <xf numFmtId="0" fontId="17" fillId="6" borderId="4" xfId="18" applyFont="1" applyFill="1" applyBorder="1" applyAlignment="1" applyProtection="1">
      <alignment horizontal="center" vertical="center" wrapText="1"/>
      <protection locked="0"/>
    </xf>
    <xf numFmtId="165" fontId="17" fillId="6" borderId="4" xfId="14" applyNumberFormat="1" applyFont="1" applyFill="1" applyBorder="1" applyAlignment="1" applyProtection="1">
      <alignment horizontal="center" vertical="center" wrapText="1"/>
      <protection locked="0"/>
    </xf>
    <xf numFmtId="165" fontId="17" fillId="6" borderId="4" xfId="14" applyNumberFormat="1" applyFont="1" applyFill="1" applyBorder="1" applyAlignment="1" applyProtection="1">
      <alignment horizontal="center" vertical="center"/>
      <protection locked="0"/>
    </xf>
    <xf numFmtId="10" fontId="2" fillId="0" borderId="0" xfId="19" applyNumberFormat="1" applyFont="1" applyAlignment="1" applyProtection="1">
      <alignment horizontal="right" vertical="center"/>
      <protection locked="0"/>
    </xf>
    <xf numFmtId="0" fontId="17" fillId="7" borderId="5" xfId="18" applyFont="1" applyFill="1" applyBorder="1" applyAlignment="1" applyProtection="1">
      <alignment horizontal="center" vertical="center" wrapText="1"/>
      <protection locked="0"/>
    </xf>
    <xf numFmtId="0" fontId="17" fillId="7" borderId="5" xfId="18" applyFont="1" applyFill="1" applyBorder="1" applyAlignment="1" applyProtection="1">
      <alignment vertical="center" wrapText="1"/>
      <protection locked="0"/>
    </xf>
    <xf numFmtId="43" fontId="17" fillId="7" borderId="5" xfId="14" applyFont="1" applyFill="1" applyBorder="1" applyAlignment="1" applyProtection="1">
      <alignment vertical="center" wrapText="1"/>
      <protection locked="0"/>
    </xf>
    <xf numFmtId="3" fontId="17" fillId="7" borderId="5" xfId="0" applyNumberFormat="1" applyFont="1" applyFill="1" applyBorder="1" applyAlignment="1" applyProtection="1">
      <alignment horizontal="right" vertical="center"/>
      <protection locked="0"/>
    </xf>
    <xf numFmtId="3" fontId="17" fillId="7" borderId="5" xfId="0" applyNumberFormat="1" applyFont="1" applyFill="1" applyBorder="1" applyAlignment="1" applyProtection="1">
      <alignment horizontal="left" vertical="center"/>
      <protection locked="0"/>
    </xf>
    <xf numFmtId="0" fontId="2" fillId="0" borderId="0" xfId="18" applyAlignment="1" applyProtection="1">
      <alignment vertical="center" wrapText="1"/>
      <protection locked="0"/>
    </xf>
    <xf numFmtId="165" fontId="2" fillId="0" borderId="0" xfId="14" applyNumberFormat="1" applyFont="1" applyAlignment="1" applyProtection="1">
      <alignment vertical="center" wrapText="1"/>
      <protection locked="0"/>
    </xf>
    <xf numFmtId="0" fontId="2" fillId="0" borderId="5" xfId="18" applyBorder="1" applyAlignment="1" applyProtection="1">
      <alignment horizontal="center" vertical="center" wrapText="1"/>
      <protection locked="0"/>
    </xf>
    <xf numFmtId="0" fontId="2" fillId="0" borderId="5" xfId="18" applyBorder="1" applyAlignment="1" applyProtection="1">
      <alignment vertical="center" wrapText="1"/>
      <protection locked="0"/>
    </xf>
    <xf numFmtId="165" fontId="17" fillId="0" borderId="5" xfId="14" applyNumberFormat="1" applyFont="1" applyFill="1" applyBorder="1" applyAlignment="1" applyProtection="1">
      <alignment horizontal="right" vertical="center" wrapText="1"/>
      <protection locked="0"/>
    </xf>
    <xf numFmtId="165" fontId="17" fillId="0" borderId="5" xfId="14" applyNumberFormat="1" applyFont="1" applyFill="1" applyBorder="1" applyAlignment="1" applyProtection="1">
      <alignment vertical="center" wrapText="1"/>
      <protection locked="0"/>
    </xf>
    <xf numFmtId="43" fontId="2" fillId="0" borderId="0" xfId="18" applyNumberFormat="1" applyAlignment="1" applyProtection="1">
      <alignment vertical="center" wrapText="1"/>
      <protection locked="0"/>
    </xf>
    <xf numFmtId="0" fontId="2" fillId="0" borderId="5" xfId="18" applyBorder="1" applyAlignment="1" applyProtection="1">
      <alignment horizontal="left" vertical="center" wrapText="1"/>
      <protection locked="0"/>
    </xf>
    <xf numFmtId="10" fontId="2" fillId="0" borderId="5" xfId="18" applyNumberFormat="1" applyBorder="1" applyAlignment="1" applyProtection="1">
      <alignment vertical="center" wrapText="1"/>
      <protection locked="0"/>
    </xf>
    <xf numFmtId="165" fontId="2" fillId="0" borderId="5" xfId="14" applyNumberFormat="1" applyFont="1" applyFill="1" applyBorder="1" applyAlignment="1" applyProtection="1">
      <alignment horizontal="right" vertical="center" wrapText="1"/>
      <protection locked="0"/>
    </xf>
    <xf numFmtId="43" fontId="2" fillId="0" borderId="5" xfId="14" applyFont="1" applyFill="1" applyBorder="1" applyAlignment="1" applyProtection="1">
      <alignment vertical="center" wrapText="1"/>
      <protection locked="0"/>
    </xf>
    <xf numFmtId="3" fontId="17" fillId="0" borderId="5" xfId="0" applyNumberFormat="1" applyFont="1" applyBorder="1" applyAlignment="1" applyProtection="1">
      <alignment horizontal="right" vertical="center"/>
      <protection locked="0"/>
    </xf>
    <xf numFmtId="0" fontId="17" fillId="8" borderId="5" xfId="18" applyFont="1" applyFill="1" applyBorder="1" applyAlignment="1" applyProtection="1">
      <alignment horizontal="center" vertical="center" wrapText="1"/>
      <protection locked="0"/>
    </xf>
    <xf numFmtId="0" fontId="17" fillId="8" borderId="5" xfId="18" applyFont="1" applyFill="1" applyBorder="1" applyAlignment="1" applyProtection="1">
      <alignment vertical="center" wrapText="1"/>
      <protection locked="0"/>
    </xf>
    <xf numFmtId="10" fontId="17" fillId="8" borderId="5" xfId="18" applyNumberFormat="1" applyFont="1" applyFill="1" applyBorder="1" applyAlignment="1" applyProtection="1">
      <alignment vertical="center" wrapText="1"/>
      <protection locked="0"/>
    </xf>
    <xf numFmtId="165" fontId="17" fillId="8" borderId="5" xfId="14" applyNumberFormat="1" applyFont="1" applyFill="1" applyBorder="1" applyAlignment="1" applyProtection="1">
      <alignment horizontal="right" vertical="center" wrapText="1"/>
      <protection locked="0"/>
    </xf>
    <xf numFmtId="165" fontId="17" fillId="9" borderId="5" xfId="14" applyNumberFormat="1" applyFont="1" applyFill="1" applyBorder="1" applyAlignment="1" applyProtection="1">
      <alignment vertical="center" wrapText="1"/>
      <protection locked="0"/>
    </xf>
    <xf numFmtId="0" fontId="17" fillId="0" borderId="0" xfId="18" applyFont="1" applyAlignment="1" applyProtection="1">
      <alignment vertical="center" wrapText="1"/>
      <protection locked="0"/>
    </xf>
    <xf numFmtId="165" fontId="17" fillId="0" borderId="0" xfId="14" applyNumberFormat="1" applyFont="1" applyFill="1" applyAlignment="1" applyProtection="1">
      <alignment vertical="center" wrapText="1"/>
      <protection locked="0"/>
    </xf>
    <xf numFmtId="0" fontId="2" fillId="0" borderId="5" xfId="18" applyBorder="1" applyAlignment="1" applyProtection="1">
      <alignment horizontal="left" vertical="center" wrapText="1" indent="2"/>
      <protection locked="0"/>
    </xf>
    <xf numFmtId="3" fontId="2" fillId="0" borderId="5" xfId="0" applyNumberFormat="1" applyFont="1" applyBorder="1" applyAlignment="1" applyProtection="1">
      <alignment horizontal="right" vertical="center"/>
      <protection locked="0"/>
    </xf>
    <xf numFmtId="165" fontId="2" fillId="0" borderId="5" xfId="14" applyNumberFormat="1" applyFont="1" applyFill="1" applyBorder="1" applyAlignment="1" applyProtection="1">
      <alignment vertical="center" wrapText="1"/>
      <protection locked="0"/>
    </xf>
    <xf numFmtId="10" fontId="17" fillId="7" borderId="5" xfId="19" applyNumberFormat="1" applyFont="1" applyFill="1" applyBorder="1" applyAlignment="1" applyProtection="1">
      <alignment vertical="center" wrapText="1"/>
      <protection locked="0"/>
    </xf>
    <xf numFmtId="165" fontId="17" fillId="7" borderId="5" xfId="14" applyNumberFormat="1" applyFont="1" applyFill="1" applyBorder="1" applyAlignment="1" applyProtection="1">
      <alignment horizontal="right" vertical="center" wrapText="1"/>
      <protection locked="0"/>
    </xf>
    <xf numFmtId="0" fontId="2" fillId="7" borderId="5" xfId="18" applyFill="1" applyBorder="1" applyAlignment="1" applyProtection="1">
      <alignment horizontal="center" vertical="center" wrapText="1"/>
      <protection locked="0"/>
    </xf>
    <xf numFmtId="0" fontId="2" fillId="7" borderId="5" xfId="18" applyFill="1" applyBorder="1" applyAlignment="1" applyProtection="1">
      <alignment vertical="center" wrapText="1"/>
      <protection locked="0"/>
    </xf>
    <xf numFmtId="10" fontId="17" fillId="7" borderId="5" xfId="14" applyNumberFormat="1" applyFont="1" applyFill="1" applyBorder="1" applyAlignment="1" applyProtection="1">
      <alignment horizontal="right" vertical="center" wrapText="1"/>
      <protection locked="0"/>
    </xf>
    <xf numFmtId="165" fontId="17" fillId="7" borderId="5" xfId="14" applyNumberFormat="1" applyFont="1" applyFill="1" applyBorder="1" applyAlignment="1" applyProtection="1">
      <alignment vertical="center" wrapText="1"/>
      <protection locked="0"/>
    </xf>
    <xf numFmtId="165" fontId="2" fillId="0" borderId="0" xfId="18" applyNumberFormat="1" applyAlignment="1" applyProtection="1">
      <alignment vertical="center" wrapText="1"/>
      <protection locked="0"/>
    </xf>
    <xf numFmtId="165" fontId="2" fillId="0" borderId="0" xfId="14" applyNumberFormat="1" applyFont="1" applyFill="1" applyAlignment="1" applyProtection="1">
      <alignment vertical="center" wrapText="1"/>
      <protection locked="0"/>
    </xf>
    <xf numFmtId="10" fontId="17" fillId="7" borderId="5" xfId="18" applyNumberFormat="1" applyFont="1" applyFill="1" applyBorder="1" applyAlignment="1" applyProtection="1">
      <alignment vertical="center" wrapText="1"/>
      <protection locked="0"/>
    </xf>
    <xf numFmtId="0" fontId="17" fillId="0" borderId="5" xfId="18" applyFont="1" applyBorder="1" applyAlignment="1" applyProtection="1">
      <alignment horizontal="center" vertical="center" wrapText="1"/>
      <protection locked="0"/>
    </xf>
    <xf numFmtId="10" fontId="17" fillId="0" borderId="5" xfId="18" applyNumberFormat="1" applyFont="1" applyBorder="1" applyAlignment="1" applyProtection="1">
      <alignment vertical="center" wrapText="1"/>
      <protection locked="0"/>
    </xf>
    <xf numFmtId="165" fontId="2" fillId="0" borderId="5" xfId="14" quotePrefix="1" applyNumberFormat="1" applyFont="1" applyFill="1" applyBorder="1" applyAlignment="1" applyProtection="1">
      <alignment vertical="center" wrapText="1"/>
      <protection locked="0"/>
    </xf>
    <xf numFmtId="10" fontId="2" fillId="0" borderId="5" xfId="19" applyNumberFormat="1" applyFont="1" applyFill="1" applyBorder="1" applyAlignment="1" applyProtection="1">
      <alignment horizontal="right" vertical="center" wrapText="1"/>
      <protection locked="0"/>
    </xf>
    <xf numFmtId="0" fontId="20" fillId="0" borderId="0" xfId="18" applyFont="1" applyAlignment="1" applyProtection="1">
      <alignment vertical="center"/>
      <protection locked="0"/>
    </xf>
    <xf numFmtId="165" fontId="20" fillId="0" borderId="0" xfId="14" applyNumberFormat="1" applyFont="1" applyBorder="1" applyAlignment="1" applyProtection="1">
      <alignment vertical="center"/>
      <protection locked="0"/>
    </xf>
    <xf numFmtId="0" fontId="2" fillId="7" borderId="6" xfId="18" applyFill="1" applyBorder="1" applyAlignment="1" applyProtection="1">
      <alignment horizontal="center" vertical="center" wrapText="1"/>
      <protection locked="0"/>
    </xf>
    <xf numFmtId="0" fontId="17" fillId="7" borderId="6" xfId="18" applyFont="1" applyFill="1" applyBorder="1" applyAlignment="1" applyProtection="1">
      <alignment vertical="center" wrapText="1"/>
      <protection locked="0"/>
    </xf>
    <xf numFmtId="0" fontId="2" fillId="7" borderId="6" xfId="18" applyFill="1" applyBorder="1" applyAlignment="1" applyProtection="1">
      <alignment vertical="center" wrapText="1"/>
      <protection locked="0"/>
    </xf>
    <xf numFmtId="10" fontId="17" fillId="7" borderId="6" xfId="14" applyNumberFormat="1" applyFont="1" applyFill="1" applyBorder="1" applyAlignment="1" applyProtection="1">
      <alignment horizontal="right" vertical="center" wrapText="1"/>
      <protection locked="0"/>
    </xf>
    <xf numFmtId="165" fontId="17" fillId="7" borderId="6" xfId="14" applyNumberFormat="1" applyFont="1" applyFill="1" applyBorder="1" applyAlignment="1" applyProtection="1">
      <alignment vertical="center" wrapText="1"/>
      <protection locked="0"/>
    </xf>
    <xf numFmtId="0" fontId="21" fillId="0" borderId="0" xfId="0" applyFont="1" applyAlignment="1" applyProtection="1">
      <alignment vertical="center"/>
      <protection locked="0"/>
    </xf>
    <xf numFmtId="165" fontId="21" fillId="0" borderId="0" xfId="14" applyNumberFormat="1" applyFont="1" applyAlignment="1" applyProtection="1">
      <alignment vertical="center"/>
      <protection locked="0"/>
    </xf>
    <xf numFmtId="0" fontId="21" fillId="0" borderId="0" xfId="0" applyFont="1" applyAlignment="1" applyProtection="1">
      <alignment horizontal="right" vertical="center"/>
      <protection locked="0"/>
    </xf>
    <xf numFmtId="0" fontId="2" fillId="0" borderId="0" xfId="0" applyFont="1" applyAlignment="1" applyProtection="1">
      <alignment vertical="center"/>
      <protection locked="0"/>
    </xf>
    <xf numFmtId="0" fontId="2" fillId="0" borderId="0" xfId="0" applyFont="1" applyAlignment="1" applyProtection="1">
      <alignment horizontal="right" vertical="center"/>
      <protection locked="0"/>
    </xf>
    <xf numFmtId="0" fontId="20" fillId="0" borderId="0" xfId="18" applyFont="1" applyAlignment="1">
      <alignment horizontal="left" vertical="center"/>
    </xf>
    <xf numFmtId="165" fontId="20" fillId="0" borderId="0" xfId="14" applyNumberFormat="1" applyFont="1" applyBorder="1" applyAlignment="1" applyProtection="1">
      <alignment horizontal="left" vertical="center"/>
    </xf>
    <xf numFmtId="0" fontId="2" fillId="0" borderId="0" xfId="18" applyAlignment="1">
      <alignment vertical="center"/>
    </xf>
    <xf numFmtId="0" fontId="20" fillId="0" borderId="0" xfId="18" applyFont="1" applyAlignment="1" applyProtection="1">
      <alignment horizontal="right" vertical="center"/>
      <protection locked="0"/>
    </xf>
    <xf numFmtId="0" fontId="17" fillId="0" borderId="0" xfId="0" applyFont="1" applyAlignment="1">
      <alignment vertical="center"/>
    </xf>
    <xf numFmtId="0" fontId="17" fillId="0" borderId="0" xfId="18" applyFont="1" applyAlignment="1">
      <alignment horizontal="center" vertical="center"/>
    </xf>
    <xf numFmtId="165" fontId="17" fillId="0" borderId="0" xfId="14" applyNumberFormat="1" applyFont="1" applyAlignment="1" applyProtection="1">
      <alignment horizontal="center" vertical="center"/>
    </xf>
    <xf numFmtId="0" fontId="17" fillId="0" borderId="0" xfId="0" applyFont="1" applyAlignment="1">
      <alignment horizontal="center" vertical="center"/>
    </xf>
    <xf numFmtId="0" fontId="2" fillId="0" borderId="0" xfId="0" applyFont="1" applyAlignment="1">
      <alignment vertical="center"/>
    </xf>
    <xf numFmtId="165" fontId="2" fillId="0" borderId="0" xfId="14" applyNumberFormat="1" applyFont="1" applyAlignment="1" applyProtection="1">
      <alignment vertical="center"/>
    </xf>
    <xf numFmtId="0" fontId="2" fillId="0" borderId="0" xfId="0" applyFont="1" applyAlignment="1">
      <alignment horizontal="right" vertical="center"/>
    </xf>
    <xf numFmtId="0" fontId="2" fillId="0" borderId="0" xfId="18" applyAlignment="1">
      <alignment horizontal="center" vertical="center"/>
    </xf>
    <xf numFmtId="0" fontId="7" fillId="3" borderId="0" xfId="0" applyFont="1" applyFill="1" applyAlignment="1">
      <alignment horizontal="left" vertical="center"/>
    </xf>
    <xf numFmtId="168" fontId="14" fillId="3" borderId="0" xfId="0" applyNumberFormat="1" applyFont="1" applyFill="1" applyAlignment="1">
      <alignment horizontal="right" vertical="center"/>
    </xf>
    <xf numFmtId="165" fontId="11" fillId="10" borderId="1" xfId="0" applyNumberFormat="1" applyFont="1" applyFill="1" applyBorder="1" applyAlignment="1">
      <alignment horizontal="center" vertical="center"/>
    </xf>
    <xf numFmtId="0" fontId="13" fillId="11" borderId="1" xfId="0" applyFont="1" applyFill="1" applyBorder="1" applyAlignment="1">
      <alignment horizontal="center" vertical="center"/>
    </xf>
    <xf numFmtId="0" fontId="13" fillId="11" borderId="1" xfId="0" applyFont="1" applyFill="1" applyBorder="1" applyAlignment="1">
      <alignment horizontal="center" vertical="center" wrapText="1"/>
    </xf>
    <xf numFmtId="0" fontId="14" fillId="3" borderId="1" xfId="0" applyFont="1" applyFill="1" applyBorder="1" applyAlignment="1">
      <alignment vertical="center" wrapText="1"/>
    </xf>
    <xf numFmtId="0" fontId="12" fillId="3" borderId="0" xfId="0" applyFont="1" applyFill="1" applyAlignment="1">
      <alignment horizontal="left" vertical="center" wrapText="1"/>
    </xf>
    <xf numFmtId="0" fontId="25" fillId="0" borderId="1" xfId="0" applyFont="1" applyBorder="1" applyAlignment="1">
      <alignment horizontal="center" vertical="center" wrapText="1"/>
    </xf>
    <xf numFmtId="0" fontId="27" fillId="0" borderId="1" xfId="0" applyFont="1" applyBorder="1" applyAlignment="1">
      <alignment horizontal="center" vertical="center"/>
    </xf>
    <xf numFmtId="165" fontId="28" fillId="3" borderId="1" xfId="0" applyNumberFormat="1" applyFont="1" applyFill="1" applyBorder="1" applyAlignment="1">
      <alignment horizontal="center" vertical="center"/>
    </xf>
    <xf numFmtId="3" fontId="27" fillId="0" borderId="1" xfId="0" applyNumberFormat="1" applyFont="1" applyBorder="1" applyAlignment="1">
      <alignment horizontal="center" vertical="center" wrapText="1"/>
    </xf>
    <xf numFmtId="3" fontId="25" fillId="0" borderId="1" xfId="0" applyNumberFormat="1" applyFont="1" applyBorder="1" applyAlignment="1">
      <alignment horizontal="center" vertical="center"/>
    </xf>
    <xf numFmtId="0" fontId="27" fillId="0" borderId="1" xfId="0" applyFont="1" applyBorder="1" applyAlignment="1">
      <alignment horizontal="center" vertical="center" wrapText="1"/>
    </xf>
    <xf numFmtId="165" fontId="27" fillId="0" borderId="1" xfId="0" applyNumberFormat="1" applyFont="1" applyBorder="1" applyAlignment="1">
      <alignment horizontal="center" vertical="center"/>
    </xf>
    <xf numFmtId="165" fontId="25" fillId="0" borderId="1" xfId="0" applyNumberFormat="1" applyFont="1" applyBorder="1" applyAlignment="1">
      <alignment horizontal="center" vertical="center"/>
    </xf>
    <xf numFmtId="0" fontId="12" fillId="3" borderId="1" xfId="0" applyFont="1" applyFill="1" applyBorder="1" applyAlignment="1">
      <alignment horizontal="center" vertical="center"/>
    </xf>
    <xf numFmtId="0" fontId="13" fillId="3" borderId="1" xfId="0" applyFont="1" applyFill="1" applyBorder="1" applyAlignment="1">
      <alignment horizontal="center" vertical="center" wrapText="1"/>
    </xf>
    <xf numFmtId="0" fontId="13" fillId="3" borderId="1" xfId="0" applyFont="1" applyFill="1" applyBorder="1" applyAlignment="1">
      <alignment horizontal="center" vertical="center"/>
    </xf>
    <xf numFmtId="0" fontId="12" fillId="3" borderId="0" xfId="0" applyFont="1" applyFill="1" applyAlignment="1">
      <alignment horizontal="left" vertical="center"/>
    </xf>
    <xf numFmtId="0" fontId="16" fillId="3" borderId="0" xfId="0" applyFont="1" applyFill="1" applyAlignment="1">
      <alignment horizontal="left" vertical="center"/>
    </xf>
    <xf numFmtId="0" fontId="16" fillId="3" borderId="0" xfId="0" applyFont="1" applyFill="1" applyAlignment="1">
      <alignment horizontal="right" vertical="center"/>
    </xf>
    <xf numFmtId="3" fontId="13" fillId="3" borderId="1" xfId="0" applyNumberFormat="1" applyFont="1" applyFill="1" applyBorder="1" applyAlignment="1">
      <alignment horizontal="center" vertical="center" wrapText="1"/>
    </xf>
    <xf numFmtId="0" fontId="13" fillId="3" borderId="7" xfId="0" applyFont="1" applyFill="1" applyBorder="1" applyAlignment="1">
      <alignment horizontal="center" vertical="center"/>
    </xf>
    <xf numFmtId="0" fontId="13" fillId="3" borderId="8" xfId="0" applyFont="1" applyFill="1" applyBorder="1" applyAlignment="1">
      <alignment horizontal="center" vertical="center"/>
    </xf>
    <xf numFmtId="3" fontId="13" fillId="3" borderId="1" xfId="0" applyNumberFormat="1" applyFont="1" applyFill="1" applyBorder="1" applyAlignment="1">
      <alignment horizontal="right" vertical="center" wrapText="1"/>
    </xf>
    <xf numFmtId="0" fontId="12" fillId="0" borderId="0" xfId="0" applyFont="1" applyAlignment="1">
      <alignment horizontal="right" wrapText="1"/>
    </xf>
    <xf numFmtId="0" fontId="12" fillId="0" borderId="0" xfId="0" applyFont="1" applyAlignment="1">
      <alignment horizontal="right"/>
    </xf>
    <xf numFmtId="2" fontId="24" fillId="3" borderId="0" xfId="3" applyNumberFormat="1" applyFont="1" applyFill="1" applyAlignment="1">
      <alignment horizontal="center" wrapText="1"/>
    </xf>
    <xf numFmtId="2" fontId="24" fillId="3" borderId="0" xfId="3" applyNumberFormat="1" applyFont="1" applyFill="1" applyAlignment="1">
      <alignment horizontal="center"/>
    </xf>
    <xf numFmtId="1" fontId="11" fillId="10" borderId="7" xfId="4" applyNumberFormat="1" applyFont="1" applyFill="1" applyBorder="1" applyAlignment="1">
      <alignment horizontal="center" vertical="center"/>
    </xf>
    <xf numFmtId="1" fontId="11" fillId="10" borderId="9" xfId="4" applyNumberFormat="1" applyFont="1" applyFill="1" applyBorder="1" applyAlignment="1">
      <alignment horizontal="center" vertical="center"/>
    </xf>
    <xf numFmtId="1" fontId="11" fillId="10" borderId="8" xfId="4" applyNumberFormat="1" applyFont="1" applyFill="1" applyBorder="1" applyAlignment="1">
      <alignment horizontal="center" vertical="center"/>
    </xf>
    <xf numFmtId="0" fontId="13" fillId="11" borderId="7" xfId="0" applyFont="1" applyFill="1" applyBorder="1" applyAlignment="1">
      <alignment horizontal="center" vertical="center" wrapText="1"/>
    </xf>
    <xf numFmtId="0" fontId="13" fillId="11" borderId="8" xfId="0" applyFont="1" applyFill="1" applyBorder="1" applyAlignment="1">
      <alignment horizontal="center" vertical="center"/>
    </xf>
    <xf numFmtId="43" fontId="11" fillId="10" borderId="7" xfId="20" applyNumberFormat="1" applyFont="1" applyFill="1" applyBorder="1" applyAlignment="1">
      <alignment horizontal="center" vertical="center"/>
    </xf>
    <xf numFmtId="43" fontId="11" fillId="10" borderId="8" xfId="20" applyNumberFormat="1" applyFont="1" applyFill="1" applyBorder="1" applyAlignment="1">
      <alignment horizontal="center" vertical="center"/>
    </xf>
    <xf numFmtId="0" fontId="13" fillId="3" borderId="0" xfId="0" applyFont="1" applyFill="1" applyAlignment="1">
      <alignment horizontal="left" vertical="center" wrapText="1"/>
    </xf>
    <xf numFmtId="0" fontId="16" fillId="2" borderId="0" xfId="0" applyFont="1" applyFill="1" applyAlignment="1">
      <alignment horizontal="left" vertical="center"/>
    </xf>
    <xf numFmtId="0" fontId="13" fillId="3" borderId="0" xfId="0" applyFont="1" applyFill="1" applyAlignment="1">
      <alignment horizontal="left" vertical="center"/>
    </xf>
    <xf numFmtId="0" fontId="14" fillId="3" borderId="0" xfId="0" applyFont="1" applyFill="1" applyAlignment="1">
      <alignment horizontal="right" vertical="center"/>
    </xf>
    <xf numFmtId="3" fontId="12" fillId="2" borderId="0" xfId="0" applyNumberFormat="1" applyFont="1" applyFill="1" applyAlignment="1">
      <alignment horizontal="right" vertical="center"/>
    </xf>
    <xf numFmtId="0" fontId="29" fillId="3" borderId="10" xfId="0" applyFont="1" applyFill="1" applyBorder="1" applyAlignment="1">
      <alignment horizontal="left" vertical="center" wrapText="1"/>
    </xf>
    <xf numFmtId="0" fontId="7" fillId="3" borderId="0" xfId="0" applyFont="1" applyFill="1" applyAlignment="1">
      <alignment horizontal="left" vertical="center" wrapText="1"/>
    </xf>
    <xf numFmtId="0" fontId="7" fillId="3" borderId="0" xfId="0" applyFont="1" applyFill="1" applyAlignment="1">
      <alignment horizontal="left" vertical="center"/>
    </xf>
    <xf numFmtId="0" fontId="14" fillId="3" borderId="0" xfId="0" applyFont="1" applyFill="1" applyAlignment="1">
      <alignment horizontal="left" vertical="center" wrapText="1"/>
    </xf>
    <xf numFmtId="0" fontId="14" fillId="3" borderId="0" xfId="0" applyFont="1" applyFill="1" applyAlignment="1">
      <alignment horizontal="left" vertical="center"/>
    </xf>
    <xf numFmtId="0" fontId="25" fillId="0" borderId="1" xfId="0" applyFont="1" applyBorder="1" applyAlignment="1">
      <alignment horizontal="center" vertical="center"/>
    </xf>
  </cellXfs>
  <cellStyles count="21">
    <cellStyle name="Comma 3" xfId="14"/>
    <cellStyle name="Comma 3 2" xfId="12"/>
    <cellStyle name="Currency" xfId="20" builtinId="4"/>
    <cellStyle name="Currency 3" xfId="6"/>
    <cellStyle name="Currency 3 2" xfId="7"/>
    <cellStyle name="Hyperlink 2 2" xfId="9"/>
    <cellStyle name="Ledger 17 x 11 in 2" xfId="3"/>
    <cellStyle name="Ledger 17 x 11 in 2 2" xfId="8"/>
    <cellStyle name="Normal" xfId="0" builtinId="0"/>
    <cellStyle name="Normal 2" xfId="1"/>
    <cellStyle name="Normal 2 4" xfId="17"/>
    <cellStyle name="Normal 3" xfId="10"/>
    <cellStyle name="Normal 6" xfId="2"/>
    <cellStyle name="Normal_MAU QT DU AN" xfId="18"/>
    <cellStyle name="Percent 2" xfId="19"/>
    <cellStyle name="Percent 2 2" xfId="13"/>
    <cellStyle name="Percent 3 2" xfId="11"/>
    <cellStyle name="vntxt1" xfId="5"/>
    <cellStyle name="vntxt1 3" xfId="15"/>
    <cellStyle name="vntxt1 3 2" xfId="16"/>
    <cellStyle name="vntxt2"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122670</xdr:colOff>
      <xdr:row>3</xdr:row>
      <xdr:rowOff>37566</xdr:rowOff>
    </xdr:from>
    <xdr:to>
      <xdr:col>9</xdr:col>
      <xdr:colOff>0</xdr:colOff>
      <xdr:row>4</xdr:row>
      <xdr:rowOff>0</xdr:rowOff>
    </xdr:to>
    <xdr:pic>
      <xdr:nvPicPr>
        <xdr:cNvPr id="4" name="Picture 3" descr="Image_1">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2670" y="1329214"/>
          <a:ext cx="10499148" cy="1428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42333</xdr:colOff>
      <xdr:row>0</xdr:row>
      <xdr:rowOff>257884</xdr:rowOff>
    </xdr:from>
    <xdr:to>
      <xdr:col>3</xdr:col>
      <xdr:colOff>728807</xdr:colOff>
      <xdr:row>2</xdr:row>
      <xdr:rowOff>62654</xdr:rowOff>
    </xdr:to>
    <xdr:pic>
      <xdr:nvPicPr>
        <xdr:cNvPr id="8" name="Picture 28">
          <a:extLst>
            <a:ext uri="{FF2B5EF4-FFF2-40B4-BE49-F238E27FC236}">
              <a16:creationId xmlns:a16="http://schemas.microsoft.com/office/drawing/2014/main" id="{00000000-0008-0000-0000-000008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91765" y="257884"/>
          <a:ext cx="2086360" cy="8655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5"/>
  <sheetViews>
    <sheetView showGridLines="0" tabSelected="1" view="pageBreakPreview" topLeftCell="A5" zoomScale="88" zoomScaleNormal="88" zoomScaleSheetLayoutView="88" workbookViewId="0">
      <selection activeCell="J9" sqref="J9"/>
    </sheetView>
  </sheetViews>
  <sheetFormatPr defaultColWidth="8.85546875" defaultRowHeight="14.25"/>
  <cols>
    <col min="1" max="1" width="4.42578125" style="3" customWidth="1"/>
    <col min="2" max="2" width="4.85546875" style="3" customWidth="1"/>
    <col min="3" max="3" width="20" style="3" customWidth="1"/>
    <col min="4" max="4" width="65.42578125" style="3" customWidth="1"/>
    <col min="5" max="5" width="5.42578125" style="3" customWidth="1"/>
    <col min="6" max="6" width="16.140625" style="9" customWidth="1"/>
    <col min="7" max="7" width="17.140625" style="3" customWidth="1"/>
    <col min="8" max="8" width="5.140625" style="10" customWidth="1"/>
    <col min="9" max="9" width="13.85546875" style="3" customWidth="1"/>
    <col min="10" max="10" width="10" style="3" bestFit="1" customWidth="1"/>
    <col min="11" max="236" width="8.5703125" style="3"/>
    <col min="237" max="237" width="6" style="3" customWidth="1"/>
    <col min="238" max="238" width="10.140625" style="3" customWidth="1"/>
    <col min="239" max="239" width="37.42578125" style="3" customWidth="1"/>
    <col min="240" max="240" width="7" style="3" customWidth="1"/>
    <col min="241" max="241" width="0" style="3" hidden="1" customWidth="1"/>
    <col min="242" max="242" width="14.140625" style="3" customWidth="1"/>
    <col min="243" max="243" width="14.42578125" style="3" customWidth="1"/>
    <col min="244" max="244" width="7.42578125" style="3" customWidth="1"/>
    <col min="245" max="245" width="16.140625" style="3" customWidth="1"/>
    <col min="246" max="246" width="8.5703125" style="3" customWidth="1"/>
    <col min="247" max="247" width="14" style="3" customWidth="1"/>
    <col min="248" max="248" width="13.42578125" style="3" customWidth="1"/>
    <col min="249" max="249" width="11.42578125" style="3" customWidth="1"/>
    <col min="250" max="250" width="13.42578125" style="3" customWidth="1"/>
    <col min="251" max="492" width="8.5703125" style="3"/>
    <col min="493" max="493" width="6" style="3" customWidth="1"/>
    <col min="494" max="494" width="10.140625" style="3" customWidth="1"/>
    <col min="495" max="495" width="37.42578125" style="3" customWidth="1"/>
    <col min="496" max="496" width="7" style="3" customWidth="1"/>
    <col min="497" max="497" width="0" style="3" hidden="1" customWidth="1"/>
    <col min="498" max="498" width="14.140625" style="3" customWidth="1"/>
    <col min="499" max="499" width="14.42578125" style="3" customWidth="1"/>
    <col min="500" max="500" width="7.42578125" style="3" customWidth="1"/>
    <col min="501" max="501" width="16.140625" style="3" customWidth="1"/>
    <col min="502" max="502" width="8.5703125" style="3" customWidth="1"/>
    <col min="503" max="503" width="14" style="3" customWidth="1"/>
    <col min="504" max="504" width="13.42578125" style="3" customWidth="1"/>
    <col min="505" max="505" width="11.42578125" style="3" customWidth="1"/>
    <col min="506" max="506" width="13.42578125" style="3" customWidth="1"/>
    <col min="507" max="748" width="8.5703125" style="3"/>
    <col min="749" max="749" width="6" style="3" customWidth="1"/>
    <col min="750" max="750" width="10.140625" style="3" customWidth="1"/>
    <col min="751" max="751" width="37.42578125" style="3" customWidth="1"/>
    <col min="752" max="752" width="7" style="3" customWidth="1"/>
    <col min="753" max="753" width="0" style="3" hidden="1" customWidth="1"/>
    <col min="754" max="754" width="14.140625" style="3" customWidth="1"/>
    <col min="755" max="755" width="14.42578125" style="3" customWidth="1"/>
    <col min="756" max="756" width="7.42578125" style="3" customWidth="1"/>
    <col min="757" max="757" width="16.140625" style="3" customWidth="1"/>
    <col min="758" max="758" width="8.5703125" style="3" customWidth="1"/>
    <col min="759" max="759" width="14" style="3" customWidth="1"/>
    <col min="760" max="760" width="13.42578125" style="3" customWidth="1"/>
    <col min="761" max="761" width="11.42578125" style="3" customWidth="1"/>
    <col min="762" max="762" width="13.42578125" style="3" customWidth="1"/>
    <col min="763" max="1004" width="8.5703125" style="3"/>
    <col min="1005" max="1005" width="6" style="3" customWidth="1"/>
    <col min="1006" max="1006" width="10.140625" style="3" customWidth="1"/>
    <col min="1007" max="1007" width="37.42578125" style="3" customWidth="1"/>
    <col min="1008" max="1008" width="7" style="3" customWidth="1"/>
    <col min="1009" max="1009" width="0" style="3" hidden="1" customWidth="1"/>
    <col min="1010" max="1010" width="14.140625" style="3" customWidth="1"/>
    <col min="1011" max="1011" width="14.42578125" style="3" customWidth="1"/>
    <col min="1012" max="1012" width="7.42578125" style="3" customWidth="1"/>
    <col min="1013" max="1013" width="16.140625" style="3" customWidth="1"/>
    <col min="1014" max="1014" width="8.5703125" style="3" customWidth="1"/>
    <col min="1015" max="1015" width="14" style="3" customWidth="1"/>
    <col min="1016" max="1016" width="13.42578125" style="3" customWidth="1"/>
    <col min="1017" max="1017" width="11.42578125" style="3" customWidth="1"/>
    <col min="1018" max="1018" width="13.42578125" style="3" customWidth="1"/>
    <col min="1019" max="1260" width="8.5703125" style="3"/>
    <col min="1261" max="1261" width="6" style="3" customWidth="1"/>
    <col min="1262" max="1262" width="10.140625" style="3" customWidth="1"/>
    <col min="1263" max="1263" width="37.42578125" style="3" customWidth="1"/>
    <col min="1264" max="1264" width="7" style="3" customWidth="1"/>
    <col min="1265" max="1265" width="0" style="3" hidden="1" customWidth="1"/>
    <col min="1266" max="1266" width="14.140625" style="3" customWidth="1"/>
    <col min="1267" max="1267" width="14.42578125" style="3" customWidth="1"/>
    <col min="1268" max="1268" width="7.42578125" style="3" customWidth="1"/>
    <col min="1269" max="1269" width="16.140625" style="3" customWidth="1"/>
    <col min="1270" max="1270" width="8.5703125" style="3" customWidth="1"/>
    <col min="1271" max="1271" width="14" style="3" customWidth="1"/>
    <col min="1272" max="1272" width="13.42578125" style="3" customWidth="1"/>
    <col min="1273" max="1273" width="11.42578125" style="3" customWidth="1"/>
    <col min="1274" max="1274" width="13.42578125" style="3" customWidth="1"/>
    <col min="1275" max="1516" width="8.5703125" style="3"/>
    <col min="1517" max="1517" width="6" style="3" customWidth="1"/>
    <col min="1518" max="1518" width="10.140625" style="3" customWidth="1"/>
    <col min="1519" max="1519" width="37.42578125" style="3" customWidth="1"/>
    <col min="1520" max="1520" width="7" style="3" customWidth="1"/>
    <col min="1521" max="1521" width="0" style="3" hidden="1" customWidth="1"/>
    <col min="1522" max="1522" width="14.140625" style="3" customWidth="1"/>
    <col min="1523" max="1523" width="14.42578125" style="3" customWidth="1"/>
    <col min="1524" max="1524" width="7.42578125" style="3" customWidth="1"/>
    <col min="1525" max="1525" width="16.140625" style="3" customWidth="1"/>
    <col min="1526" max="1526" width="8.5703125" style="3" customWidth="1"/>
    <col min="1527" max="1527" width="14" style="3" customWidth="1"/>
    <col min="1528" max="1528" width="13.42578125" style="3" customWidth="1"/>
    <col min="1529" max="1529" width="11.42578125" style="3" customWidth="1"/>
    <col min="1530" max="1530" width="13.42578125" style="3" customWidth="1"/>
    <col min="1531" max="1772" width="8.5703125" style="3"/>
    <col min="1773" max="1773" width="6" style="3" customWidth="1"/>
    <col min="1774" max="1774" width="10.140625" style="3" customWidth="1"/>
    <col min="1775" max="1775" width="37.42578125" style="3" customWidth="1"/>
    <col min="1776" max="1776" width="7" style="3" customWidth="1"/>
    <col min="1777" max="1777" width="0" style="3" hidden="1" customWidth="1"/>
    <col min="1778" max="1778" width="14.140625" style="3" customWidth="1"/>
    <col min="1779" max="1779" width="14.42578125" style="3" customWidth="1"/>
    <col min="1780" max="1780" width="7.42578125" style="3" customWidth="1"/>
    <col min="1781" max="1781" width="16.140625" style="3" customWidth="1"/>
    <col min="1782" max="1782" width="8.5703125" style="3" customWidth="1"/>
    <col min="1783" max="1783" width="14" style="3" customWidth="1"/>
    <col min="1784" max="1784" width="13.42578125" style="3" customWidth="1"/>
    <col min="1785" max="1785" width="11.42578125" style="3" customWidth="1"/>
    <col min="1786" max="1786" width="13.42578125" style="3" customWidth="1"/>
    <col min="1787" max="2028" width="8.5703125" style="3"/>
    <col min="2029" max="2029" width="6" style="3" customWidth="1"/>
    <col min="2030" max="2030" width="10.140625" style="3" customWidth="1"/>
    <col min="2031" max="2031" width="37.42578125" style="3" customWidth="1"/>
    <col min="2032" max="2032" width="7" style="3" customWidth="1"/>
    <col min="2033" max="2033" width="0" style="3" hidden="1" customWidth="1"/>
    <col min="2034" max="2034" width="14.140625" style="3" customWidth="1"/>
    <col min="2035" max="2035" width="14.42578125" style="3" customWidth="1"/>
    <col min="2036" max="2036" width="7.42578125" style="3" customWidth="1"/>
    <col min="2037" max="2037" width="16.140625" style="3" customWidth="1"/>
    <col min="2038" max="2038" width="8.5703125" style="3" customWidth="1"/>
    <col min="2039" max="2039" width="14" style="3" customWidth="1"/>
    <col min="2040" max="2040" width="13.42578125" style="3" customWidth="1"/>
    <col min="2041" max="2041" width="11.42578125" style="3" customWidth="1"/>
    <col min="2042" max="2042" width="13.42578125" style="3" customWidth="1"/>
    <col min="2043" max="2284" width="8.5703125" style="3"/>
    <col min="2285" max="2285" width="6" style="3" customWidth="1"/>
    <col min="2286" max="2286" width="10.140625" style="3" customWidth="1"/>
    <col min="2287" max="2287" width="37.42578125" style="3" customWidth="1"/>
    <col min="2288" max="2288" width="7" style="3" customWidth="1"/>
    <col min="2289" max="2289" width="0" style="3" hidden="1" customWidth="1"/>
    <col min="2290" max="2290" width="14.140625" style="3" customWidth="1"/>
    <col min="2291" max="2291" width="14.42578125" style="3" customWidth="1"/>
    <col min="2292" max="2292" width="7.42578125" style="3" customWidth="1"/>
    <col min="2293" max="2293" width="16.140625" style="3" customWidth="1"/>
    <col min="2294" max="2294" width="8.5703125" style="3" customWidth="1"/>
    <col min="2295" max="2295" width="14" style="3" customWidth="1"/>
    <col min="2296" max="2296" width="13.42578125" style="3" customWidth="1"/>
    <col min="2297" max="2297" width="11.42578125" style="3" customWidth="1"/>
    <col min="2298" max="2298" width="13.42578125" style="3" customWidth="1"/>
    <col min="2299" max="2540" width="8.5703125" style="3"/>
    <col min="2541" max="2541" width="6" style="3" customWidth="1"/>
    <col min="2542" max="2542" width="10.140625" style="3" customWidth="1"/>
    <col min="2543" max="2543" width="37.42578125" style="3" customWidth="1"/>
    <col min="2544" max="2544" width="7" style="3" customWidth="1"/>
    <col min="2545" max="2545" width="0" style="3" hidden="1" customWidth="1"/>
    <col min="2546" max="2546" width="14.140625" style="3" customWidth="1"/>
    <col min="2547" max="2547" width="14.42578125" style="3" customWidth="1"/>
    <col min="2548" max="2548" width="7.42578125" style="3" customWidth="1"/>
    <col min="2549" max="2549" width="16.140625" style="3" customWidth="1"/>
    <col min="2550" max="2550" width="8.5703125" style="3" customWidth="1"/>
    <col min="2551" max="2551" width="14" style="3" customWidth="1"/>
    <col min="2552" max="2552" width="13.42578125" style="3" customWidth="1"/>
    <col min="2553" max="2553" width="11.42578125" style="3" customWidth="1"/>
    <col min="2554" max="2554" width="13.42578125" style="3" customWidth="1"/>
    <col min="2555" max="2796" width="8.5703125" style="3"/>
    <col min="2797" max="2797" width="6" style="3" customWidth="1"/>
    <col min="2798" max="2798" width="10.140625" style="3" customWidth="1"/>
    <col min="2799" max="2799" width="37.42578125" style="3" customWidth="1"/>
    <col min="2800" max="2800" width="7" style="3" customWidth="1"/>
    <col min="2801" max="2801" width="0" style="3" hidden="1" customWidth="1"/>
    <col min="2802" max="2802" width="14.140625" style="3" customWidth="1"/>
    <col min="2803" max="2803" width="14.42578125" style="3" customWidth="1"/>
    <col min="2804" max="2804" width="7.42578125" style="3" customWidth="1"/>
    <col min="2805" max="2805" width="16.140625" style="3" customWidth="1"/>
    <col min="2806" max="2806" width="8.5703125" style="3" customWidth="1"/>
    <col min="2807" max="2807" width="14" style="3" customWidth="1"/>
    <col min="2808" max="2808" width="13.42578125" style="3" customWidth="1"/>
    <col min="2809" max="2809" width="11.42578125" style="3" customWidth="1"/>
    <col min="2810" max="2810" width="13.42578125" style="3" customWidth="1"/>
    <col min="2811" max="3052" width="8.5703125" style="3"/>
    <col min="3053" max="3053" width="6" style="3" customWidth="1"/>
    <col min="3054" max="3054" width="10.140625" style="3" customWidth="1"/>
    <col min="3055" max="3055" width="37.42578125" style="3" customWidth="1"/>
    <col min="3056" max="3056" width="7" style="3" customWidth="1"/>
    <col min="3057" max="3057" width="0" style="3" hidden="1" customWidth="1"/>
    <col min="3058" max="3058" width="14.140625" style="3" customWidth="1"/>
    <col min="3059" max="3059" width="14.42578125" style="3" customWidth="1"/>
    <col min="3060" max="3060" width="7.42578125" style="3" customWidth="1"/>
    <col min="3061" max="3061" width="16.140625" style="3" customWidth="1"/>
    <col min="3062" max="3062" width="8.5703125" style="3" customWidth="1"/>
    <col min="3063" max="3063" width="14" style="3" customWidth="1"/>
    <col min="3064" max="3064" width="13.42578125" style="3" customWidth="1"/>
    <col min="3065" max="3065" width="11.42578125" style="3" customWidth="1"/>
    <col min="3066" max="3066" width="13.42578125" style="3" customWidth="1"/>
    <col min="3067" max="3308" width="8.5703125" style="3"/>
    <col min="3309" max="3309" width="6" style="3" customWidth="1"/>
    <col min="3310" max="3310" width="10.140625" style="3" customWidth="1"/>
    <col min="3311" max="3311" width="37.42578125" style="3" customWidth="1"/>
    <col min="3312" max="3312" width="7" style="3" customWidth="1"/>
    <col min="3313" max="3313" width="0" style="3" hidden="1" customWidth="1"/>
    <col min="3314" max="3314" width="14.140625" style="3" customWidth="1"/>
    <col min="3315" max="3315" width="14.42578125" style="3" customWidth="1"/>
    <col min="3316" max="3316" width="7.42578125" style="3" customWidth="1"/>
    <col min="3317" max="3317" width="16.140625" style="3" customWidth="1"/>
    <col min="3318" max="3318" width="8.5703125" style="3" customWidth="1"/>
    <col min="3319" max="3319" width="14" style="3" customWidth="1"/>
    <col min="3320" max="3320" width="13.42578125" style="3" customWidth="1"/>
    <col min="3321" max="3321" width="11.42578125" style="3" customWidth="1"/>
    <col min="3322" max="3322" width="13.42578125" style="3" customWidth="1"/>
    <col min="3323" max="3564" width="8.5703125" style="3"/>
    <col min="3565" max="3565" width="6" style="3" customWidth="1"/>
    <col min="3566" max="3566" width="10.140625" style="3" customWidth="1"/>
    <col min="3567" max="3567" width="37.42578125" style="3" customWidth="1"/>
    <col min="3568" max="3568" width="7" style="3" customWidth="1"/>
    <col min="3569" max="3569" width="0" style="3" hidden="1" customWidth="1"/>
    <col min="3570" max="3570" width="14.140625" style="3" customWidth="1"/>
    <col min="3571" max="3571" width="14.42578125" style="3" customWidth="1"/>
    <col min="3572" max="3572" width="7.42578125" style="3" customWidth="1"/>
    <col min="3573" max="3573" width="16.140625" style="3" customWidth="1"/>
    <col min="3574" max="3574" width="8.5703125" style="3" customWidth="1"/>
    <col min="3575" max="3575" width="14" style="3" customWidth="1"/>
    <col min="3576" max="3576" width="13.42578125" style="3" customWidth="1"/>
    <col min="3577" max="3577" width="11.42578125" style="3" customWidth="1"/>
    <col min="3578" max="3578" width="13.42578125" style="3" customWidth="1"/>
    <col min="3579" max="3820" width="8.5703125" style="3"/>
    <col min="3821" max="3821" width="6" style="3" customWidth="1"/>
    <col min="3822" max="3822" width="10.140625" style="3" customWidth="1"/>
    <col min="3823" max="3823" width="37.42578125" style="3" customWidth="1"/>
    <col min="3824" max="3824" width="7" style="3" customWidth="1"/>
    <col min="3825" max="3825" width="0" style="3" hidden="1" customWidth="1"/>
    <col min="3826" max="3826" width="14.140625" style="3" customWidth="1"/>
    <col min="3827" max="3827" width="14.42578125" style="3" customWidth="1"/>
    <col min="3828" max="3828" width="7.42578125" style="3" customWidth="1"/>
    <col min="3829" max="3829" width="16.140625" style="3" customWidth="1"/>
    <col min="3830" max="3830" width="8.5703125" style="3" customWidth="1"/>
    <col min="3831" max="3831" width="14" style="3" customWidth="1"/>
    <col min="3832" max="3832" width="13.42578125" style="3" customWidth="1"/>
    <col min="3833" max="3833" width="11.42578125" style="3" customWidth="1"/>
    <col min="3834" max="3834" width="13.42578125" style="3" customWidth="1"/>
    <col min="3835" max="4076" width="8.5703125" style="3"/>
    <col min="4077" max="4077" width="6" style="3" customWidth="1"/>
    <col min="4078" max="4078" width="10.140625" style="3" customWidth="1"/>
    <col min="4079" max="4079" width="37.42578125" style="3" customWidth="1"/>
    <col min="4080" max="4080" width="7" style="3" customWidth="1"/>
    <col min="4081" max="4081" width="0" style="3" hidden="1" customWidth="1"/>
    <col min="4082" max="4082" width="14.140625" style="3" customWidth="1"/>
    <col min="4083" max="4083" width="14.42578125" style="3" customWidth="1"/>
    <col min="4084" max="4084" width="7.42578125" style="3" customWidth="1"/>
    <col min="4085" max="4085" width="16.140625" style="3" customWidth="1"/>
    <col min="4086" max="4086" width="8.5703125" style="3" customWidth="1"/>
    <col min="4087" max="4087" width="14" style="3" customWidth="1"/>
    <col min="4088" max="4088" width="13.42578125" style="3" customWidth="1"/>
    <col min="4089" max="4089" width="11.42578125" style="3" customWidth="1"/>
    <col min="4090" max="4090" width="13.42578125" style="3" customWidth="1"/>
    <col min="4091" max="4332" width="8.5703125" style="3"/>
    <col min="4333" max="4333" width="6" style="3" customWidth="1"/>
    <col min="4334" max="4334" width="10.140625" style="3" customWidth="1"/>
    <col min="4335" max="4335" width="37.42578125" style="3" customWidth="1"/>
    <col min="4336" max="4336" width="7" style="3" customWidth="1"/>
    <col min="4337" max="4337" width="0" style="3" hidden="1" customWidth="1"/>
    <col min="4338" max="4338" width="14.140625" style="3" customWidth="1"/>
    <col min="4339" max="4339" width="14.42578125" style="3" customWidth="1"/>
    <col min="4340" max="4340" width="7.42578125" style="3" customWidth="1"/>
    <col min="4341" max="4341" width="16.140625" style="3" customWidth="1"/>
    <col min="4342" max="4342" width="8.5703125" style="3" customWidth="1"/>
    <col min="4343" max="4343" width="14" style="3" customWidth="1"/>
    <col min="4344" max="4344" width="13.42578125" style="3" customWidth="1"/>
    <col min="4345" max="4345" width="11.42578125" style="3" customWidth="1"/>
    <col min="4346" max="4346" width="13.42578125" style="3" customWidth="1"/>
    <col min="4347" max="4588" width="8.5703125" style="3"/>
    <col min="4589" max="4589" width="6" style="3" customWidth="1"/>
    <col min="4590" max="4590" width="10.140625" style="3" customWidth="1"/>
    <col min="4591" max="4591" width="37.42578125" style="3" customWidth="1"/>
    <col min="4592" max="4592" width="7" style="3" customWidth="1"/>
    <col min="4593" max="4593" width="0" style="3" hidden="1" customWidth="1"/>
    <col min="4594" max="4594" width="14.140625" style="3" customWidth="1"/>
    <col min="4595" max="4595" width="14.42578125" style="3" customWidth="1"/>
    <col min="4596" max="4596" width="7.42578125" style="3" customWidth="1"/>
    <col min="4597" max="4597" width="16.140625" style="3" customWidth="1"/>
    <col min="4598" max="4598" width="8.5703125" style="3" customWidth="1"/>
    <col min="4599" max="4599" width="14" style="3" customWidth="1"/>
    <col min="4600" max="4600" width="13.42578125" style="3" customWidth="1"/>
    <col min="4601" max="4601" width="11.42578125" style="3" customWidth="1"/>
    <col min="4602" max="4602" width="13.42578125" style="3" customWidth="1"/>
    <col min="4603" max="4844" width="8.5703125" style="3"/>
    <col min="4845" max="4845" width="6" style="3" customWidth="1"/>
    <col min="4846" max="4846" width="10.140625" style="3" customWidth="1"/>
    <col min="4847" max="4847" width="37.42578125" style="3" customWidth="1"/>
    <col min="4848" max="4848" width="7" style="3" customWidth="1"/>
    <col min="4849" max="4849" width="0" style="3" hidden="1" customWidth="1"/>
    <col min="4850" max="4850" width="14.140625" style="3" customWidth="1"/>
    <col min="4851" max="4851" width="14.42578125" style="3" customWidth="1"/>
    <col min="4852" max="4852" width="7.42578125" style="3" customWidth="1"/>
    <col min="4853" max="4853" width="16.140625" style="3" customWidth="1"/>
    <col min="4854" max="4854" width="8.5703125" style="3" customWidth="1"/>
    <col min="4855" max="4855" width="14" style="3" customWidth="1"/>
    <col min="4856" max="4856" width="13.42578125" style="3" customWidth="1"/>
    <col min="4857" max="4857" width="11.42578125" style="3" customWidth="1"/>
    <col min="4858" max="4858" width="13.42578125" style="3" customWidth="1"/>
    <col min="4859" max="5100" width="8.5703125" style="3"/>
    <col min="5101" max="5101" width="6" style="3" customWidth="1"/>
    <col min="5102" max="5102" width="10.140625" style="3" customWidth="1"/>
    <col min="5103" max="5103" width="37.42578125" style="3" customWidth="1"/>
    <col min="5104" max="5104" width="7" style="3" customWidth="1"/>
    <col min="5105" max="5105" width="0" style="3" hidden="1" customWidth="1"/>
    <col min="5106" max="5106" width="14.140625" style="3" customWidth="1"/>
    <col min="5107" max="5107" width="14.42578125" style="3" customWidth="1"/>
    <col min="5108" max="5108" width="7.42578125" style="3" customWidth="1"/>
    <col min="5109" max="5109" width="16.140625" style="3" customWidth="1"/>
    <col min="5110" max="5110" width="8.5703125" style="3" customWidth="1"/>
    <col min="5111" max="5111" width="14" style="3" customWidth="1"/>
    <col min="5112" max="5112" width="13.42578125" style="3" customWidth="1"/>
    <col min="5113" max="5113" width="11.42578125" style="3" customWidth="1"/>
    <col min="5114" max="5114" width="13.42578125" style="3" customWidth="1"/>
    <col min="5115" max="5356" width="8.5703125" style="3"/>
    <col min="5357" max="5357" width="6" style="3" customWidth="1"/>
    <col min="5358" max="5358" width="10.140625" style="3" customWidth="1"/>
    <col min="5359" max="5359" width="37.42578125" style="3" customWidth="1"/>
    <col min="5360" max="5360" width="7" style="3" customWidth="1"/>
    <col min="5361" max="5361" width="0" style="3" hidden="1" customWidth="1"/>
    <col min="5362" max="5362" width="14.140625" style="3" customWidth="1"/>
    <col min="5363" max="5363" width="14.42578125" style="3" customWidth="1"/>
    <col min="5364" max="5364" width="7.42578125" style="3" customWidth="1"/>
    <col min="5365" max="5365" width="16.140625" style="3" customWidth="1"/>
    <col min="5366" max="5366" width="8.5703125" style="3" customWidth="1"/>
    <col min="5367" max="5367" width="14" style="3" customWidth="1"/>
    <col min="5368" max="5368" width="13.42578125" style="3" customWidth="1"/>
    <col min="5369" max="5369" width="11.42578125" style="3" customWidth="1"/>
    <col min="5370" max="5370" width="13.42578125" style="3" customWidth="1"/>
    <col min="5371" max="5612" width="8.5703125" style="3"/>
    <col min="5613" max="5613" width="6" style="3" customWidth="1"/>
    <col min="5614" max="5614" width="10.140625" style="3" customWidth="1"/>
    <col min="5615" max="5615" width="37.42578125" style="3" customWidth="1"/>
    <col min="5616" max="5616" width="7" style="3" customWidth="1"/>
    <col min="5617" max="5617" width="0" style="3" hidden="1" customWidth="1"/>
    <col min="5618" max="5618" width="14.140625" style="3" customWidth="1"/>
    <col min="5619" max="5619" width="14.42578125" style="3" customWidth="1"/>
    <col min="5620" max="5620" width="7.42578125" style="3" customWidth="1"/>
    <col min="5621" max="5621" width="16.140625" style="3" customWidth="1"/>
    <col min="5622" max="5622" width="8.5703125" style="3" customWidth="1"/>
    <col min="5623" max="5623" width="14" style="3" customWidth="1"/>
    <col min="5624" max="5624" width="13.42578125" style="3" customWidth="1"/>
    <col min="5625" max="5625" width="11.42578125" style="3" customWidth="1"/>
    <col min="5626" max="5626" width="13.42578125" style="3" customWidth="1"/>
    <col min="5627" max="5868" width="8.5703125" style="3"/>
    <col min="5869" max="5869" width="6" style="3" customWidth="1"/>
    <col min="5870" max="5870" width="10.140625" style="3" customWidth="1"/>
    <col min="5871" max="5871" width="37.42578125" style="3" customWidth="1"/>
    <col min="5872" max="5872" width="7" style="3" customWidth="1"/>
    <col min="5873" max="5873" width="0" style="3" hidden="1" customWidth="1"/>
    <col min="5874" max="5874" width="14.140625" style="3" customWidth="1"/>
    <col min="5875" max="5875" width="14.42578125" style="3" customWidth="1"/>
    <col min="5876" max="5876" width="7.42578125" style="3" customWidth="1"/>
    <col min="5877" max="5877" width="16.140625" style="3" customWidth="1"/>
    <col min="5878" max="5878" width="8.5703125" style="3" customWidth="1"/>
    <col min="5879" max="5879" width="14" style="3" customWidth="1"/>
    <col min="5880" max="5880" width="13.42578125" style="3" customWidth="1"/>
    <col min="5881" max="5881" width="11.42578125" style="3" customWidth="1"/>
    <col min="5882" max="5882" width="13.42578125" style="3" customWidth="1"/>
    <col min="5883" max="6124" width="8.5703125" style="3"/>
    <col min="6125" max="6125" width="6" style="3" customWidth="1"/>
    <col min="6126" max="6126" width="10.140625" style="3" customWidth="1"/>
    <col min="6127" max="6127" width="37.42578125" style="3" customWidth="1"/>
    <col min="6128" max="6128" width="7" style="3" customWidth="1"/>
    <col min="6129" max="6129" width="0" style="3" hidden="1" customWidth="1"/>
    <col min="6130" max="6130" width="14.140625" style="3" customWidth="1"/>
    <col min="6131" max="6131" width="14.42578125" style="3" customWidth="1"/>
    <col min="6132" max="6132" width="7.42578125" style="3" customWidth="1"/>
    <col min="6133" max="6133" width="16.140625" style="3" customWidth="1"/>
    <col min="6134" max="6134" width="8.5703125" style="3" customWidth="1"/>
    <col min="6135" max="6135" width="14" style="3" customWidth="1"/>
    <col min="6136" max="6136" width="13.42578125" style="3" customWidth="1"/>
    <col min="6137" max="6137" width="11.42578125" style="3" customWidth="1"/>
    <col min="6138" max="6138" width="13.42578125" style="3" customWidth="1"/>
    <col min="6139" max="6380" width="8.5703125" style="3"/>
    <col min="6381" max="6381" width="6" style="3" customWidth="1"/>
    <col min="6382" max="6382" width="10.140625" style="3" customWidth="1"/>
    <col min="6383" max="6383" width="37.42578125" style="3" customWidth="1"/>
    <col min="6384" max="6384" width="7" style="3" customWidth="1"/>
    <col min="6385" max="6385" width="0" style="3" hidden="1" customWidth="1"/>
    <col min="6386" max="6386" width="14.140625" style="3" customWidth="1"/>
    <col min="6387" max="6387" width="14.42578125" style="3" customWidth="1"/>
    <col min="6388" max="6388" width="7.42578125" style="3" customWidth="1"/>
    <col min="6389" max="6389" width="16.140625" style="3" customWidth="1"/>
    <col min="6390" max="6390" width="8.5703125" style="3" customWidth="1"/>
    <col min="6391" max="6391" width="14" style="3" customWidth="1"/>
    <col min="6392" max="6392" width="13.42578125" style="3" customWidth="1"/>
    <col min="6393" max="6393" width="11.42578125" style="3" customWidth="1"/>
    <col min="6394" max="6394" width="13.42578125" style="3" customWidth="1"/>
    <col min="6395" max="6636" width="8.5703125" style="3"/>
    <col min="6637" max="6637" width="6" style="3" customWidth="1"/>
    <col min="6638" max="6638" width="10.140625" style="3" customWidth="1"/>
    <col min="6639" max="6639" width="37.42578125" style="3" customWidth="1"/>
    <col min="6640" max="6640" width="7" style="3" customWidth="1"/>
    <col min="6641" max="6641" width="0" style="3" hidden="1" customWidth="1"/>
    <col min="6642" max="6642" width="14.140625" style="3" customWidth="1"/>
    <col min="6643" max="6643" width="14.42578125" style="3" customWidth="1"/>
    <col min="6644" max="6644" width="7.42578125" style="3" customWidth="1"/>
    <col min="6645" max="6645" width="16.140625" style="3" customWidth="1"/>
    <col min="6646" max="6646" width="8.5703125" style="3" customWidth="1"/>
    <col min="6647" max="6647" width="14" style="3" customWidth="1"/>
    <col min="6648" max="6648" width="13.42578125" style="3" customWidth="1"/>
    <col min="6649" max="6649" width="11.42578125" style="3" customWidth="1"/>
    <col min="6650" max="6650" width="13.42578125" style="3" customWidth="1"/>
    <col min="6651" max="6892" width="8.5703125" style="3"/>
    <col min="6893" max="6893" width="6" style="3" customWidth="1"/>
    <col min="6894" max="6894" width="10.140625" style="3" customWidth="1"/>
    <col min="6895" max="6895" width="37.42578125" style="3" customWidth="1"/>
    <col min="6896" max="6896" width="7" style="3" customWidth="1"/>
    <col min="6897" max="6897" width="0" style="3" hidden="1" customWidth="1"/>
    <col min="6898" max="6898" width="14.140625" style="3" customWidth="1"/>
    <col min="6899" max="6899" width="14.42578125" style="3" customWidth="1"/>
    <col min="6900" max="6900" width="7.42578125" style="3" customWidth="1"/>
    <col min="6901" max="6901" width="16.140625" style="3" customWidth="1"/>
    <col min="6902" max="6902" width="8.5703125" style="3" customWidth="1"/>
    <col min="6903" max="6903" width="14" style="3" customWidth="1"/>
    <col min="6904" max="6904" width="13.42578125" style="3" customWidth="1"/>
    <col min="6905" max="6905" width="11.42578125" style="3" customWidth="1"/>
    <col min="6906" max="6906" width="13.42578125" style="3" customWidth="1"/>
    <col min="6907" max="7148" width="8.5703125" style="3"/>
    <col min="7149" max="7149" width="6" style="3" customWidth="1"/>
    <col min="7150" max="7150" width="10.140625" style="3" customWidth="1"/>
    <col min="7151" max="7151" width="37.42578125" style="3" customWidth="1"/>
    <col min="7152" max="7152" width="7" style="3" customWidth="1"/>
    <col min="7153" max="7153" width="0" style="3" hidden="1" customWidth="1"/>
    <col min="7154" max="7154" width="14.140625" style="3" customWidth="1"/>
    <col min="7155" max="7155" width="14.42578125" style="3" customWidth="1"/>
    <col min="7156" max="7156" width="7.42578125" style="3" customWidth="1"/>
    <col min="7157" max="7157" width="16.140625" style="3" customWidth="1"/>
    <col min="7158" max="7158" width="8.5703125" style="3" customWidth="1"/>
    <col min="7159" max="7159" width="14" style="3" customWidth="1"/>
    <col min="7160" max="7160" width="13.42578125" style="3" customWidth="1"/>
    <col min="7161" max="7161" width="11.42578125" style="3" customWidth="1"/>
    <col min="7162" max="7162" width="13.42578125" style="3" customWidth="1"/>
    <col min="7163" max="7404" width="8.5703125" style="3"/>
    <col min="7405" max="7405" width="6" style="3" customWidth="1"/>
    <col min="7406" max="7406" width="10.140625" style="3" customWidth="1"/>
    <col min="7407" max="7407" width="37.42578125" style="3" customWidth="1"/>
    <col min="7408" max="7408" width="7" style="3" customWidth="1"/>
    <col min="7409" max="7409" width="0" style="3" hidden="1" customWidth="1"/>
    <col min="7410" max="7410" width="14.140625" style="3" customWidth="1"/>
    <col min="7411" max="7411" width="14.42578125" style="3" customWidth="1"/>
    <col min="7412" max="7412" width="7.42578125" style="3" customWidth="1"/>
    <col min="7413" max="7413" width="16.140625" style="3" customWidth="1"/>
    <col min="7414" max="7414" width="8.5703125" style="3" customWidth="1"/>
    <col min="7415" max="7415" width="14" style="3" customWidth="1"/>
    <col min="7416" max="7416" width="13.42578125" style="3" customWidth="1"/>
    <col min="7417" max="7417" width="11.42578125" style="3" customWidth="1"/>
    <col min="7418" max="7418" width="13.42578125" style="3" customWidth="1"/>
    <col min="7419" max="7660" width="8.5703125" style="3"/>
    <col min="7661" max="7661" width="6" style="3" customWidth="1"/>
    <col min="7662" max="7662" width="10.140625" style="3" customWidth="1"/>
    <col min="7663" max="7663" width="37.42578125" style="3" customWidth="1"/>
    <col min="7664" max="7664" width="7" style="3" customWidth="1"/>
    <col min="7665" max="7665" width="0" style="3" hidden="1" customWidth="1"/>
    <col min="7666" max="7666" width="14.140625" style="3" customWidth="1"/>
    <col min="7667" max="7667" width="14.42578125" style="3" customWidth="1"/>
    <col min="7668" max="7668" width="7.42578125" style="3" customWidth="1"/>
    <col min="7669" max="7669" width="16.140625" style="3" customWidth="1"/>
    <col min="7670" max="7670" width="8.5703125" style="3" customWidth="1"/>
    <col min="7671" max="7671" width="14" style="3" customWidth="1"/>
    <col min="7672" max="7672" width="13.42578125" style="3" customWidth="1"/>
    <col min="7673" max="7673" width="11.42578125" style="3" customWidth="1"/>
    <col min="7674" max="7674" width="13.42578125" style="3" customWidth="1"/>
    <col min="7675" max="7916" width="8.5703125" style="3"/>
    <col min="7917" max="7917" width="6" style="3" customWidth="1"/>
    <col min="7918" max="7918" width="10.140625" style="3" customWidth="1"/>
    <col min="7919" max="7919" width="37.42578125" style="3" customWidth="1"/>
    <col min="7920" max="7920" width="7" style="3" customWidth="1"/>
    <col min="7921" max="7921" width="0" style="3" hidden="1" customWidth="1"/>
    <col min="7922" max="7922" width="14.140625" style="3" customWidth="1"/>
    <col min="7923" max="7923" width="14.42578125" style="3" customWidth="1"/>
    <col min="7924" max="7924" width="7.42578125" style="3" customWidth="1"/>
    <col min="7925" max="7925" width="16.140625" style="3" customWidth="1"/>
    <col min="7926" max="7926" width="8.5703125" style="3" customWidth="1"/>
    <col min="7927" max="7927" width="14" style="3" customWidth="1"/>
    <col min="7928" max="7928" width="13.42578125" style="3" customWidth="1"/>
    <col min="7929" max="7929" width="11.42578125" style="3" customWidth="1"/>
    <col min="7930" max="7930" width="13.42578125" style="3" customWidth="1"/>
    <col min="7931" max="8172" width="8.5703125" style="3"/>
    <col min="8173" max="8173" width="6" style="3" customWidth="1"/>
    <col min="8174" max="8174" width="10.140625" style="3" customWidth="1"/>
    <col min="8175" max="8175" width="37.42578125" style="3" customWidth="1"/>
    <col min="8176" max="8176" width="7" style="3" customWidth="1"/>
    <col min="8177" max="8177" width="0" style="3" hidden="1" customWidth="1"/>
    <col min="8178" max="8178" width="14.140625" style="3" customWidth="1"/>
    <col min="8179" max="8179" width="14.42578125" style="3" customWidth="1"/>
    <col min="8180" max="8180" width="7.42578125" style="3" customWidth="1"/>
    <col min="8181" max="8181" width="16.140625" style="3" customWidth="1"/>
    <col min="8182" max="8182" width="8.5703125" style="3" customWidth="1"/>
    <col min="8183" max="8183" width="14" style="3" customWidth="1"/>
    <col min="8184" max="8184" width="13.42578125" style="3" customWidth="1"/>
    <col min="8185" max="8185" width="11.42578125" style="3" customWidth="1"/>
    <col min="8186" max="8186" width="13.42578125" style="3" customWidth="1"/>
    <col min="8187" max="8428" width="8.5703125" style="3"/>
    <col min="8429" max="8429" width="6" style="3" customWidth="1"/>
    <col min="8430" max="8430" width="10.140625" style="3" customWidth="1"/>
    <col min="8431" max="8431" width="37.42578125" style="3" customWidth="1"/>
    <col min="8432" max="8432" width="7" style="3" customWidth="1"/>
    <col min="8433" max="8433" width="0" style="3" hidden="1" customWidth="1"/>
    <col min="8434" max="8434" width="14.140625" style="3" customWidth="1"/>
    <col min="8435" max="8435" width="14.42578125" style="3" customWidth="1"/>
    <col min="8436" max="8436" width="7.42578125" style="3" customWidth="1"/>
    <col min="8437" max="8437" width="16.140625" style="3" customWidth="1"/>
    <col min="8438" max="8438" width="8.5703125" style="3" customWidth="1"/>
    <col min="8439" max="8439" width="14" style="3" customWidth="1"/>
    <col min="8440" max="8440" width="13.42578125" style="3" customWidth="1"/>
    <col min="8441" max="8441" width="11.42578125" style="3" customWidth="1"/>
    <col min="8442" max="8442" width="13.42578125" style="3" customWidth="1"/>
    <col min="8443" max="8684" width="8.5703125" style="3"/>
    <col min="8685" max="8685" width="6" style="3" customWidth="1"/>
    <col min="8686" max="8686" width="10.140625" style="3" customWidth="1"/>
    <col min="8687" max="8687" width="37.42578125" style="3" customWidth="1"/>
    <col min="8688" max="8688" width="7" style="3" customWidth="1"/>
    <col min="8689" max="8689" width="0" style="3" hidden="1" customWidth="1"/>
    <col min="8690" max="8690" width="14.140625" style="3" customWidth="1"/>
    <col min="8691" max="8691" width="14.42578125" style="3" customWidth="1"/>
    <col min="8692" max="8692" width="7.42578125" style="3" customWidth="1"/>
    <col min="8693" max="8693" width="16.140625" style="3" customWidth="1"/>
    <col min="8694" max="8694" width="8.5703125" style="3" customWidth="1"/>
    <col min="8695" max="8695" width="14" style="3" customWidth="1"/>
    <col min="8696" max="8696" width="13.42578125" style="3" customWidth="1"/>
    <col min="8697" max="8697" width="11.42578125" style="3" customWidth="1"/>
    <col min="8698" max="8698" width="13.42578125" style="3" customWidth="1"/>
    <col min="8699" max="8940" width="8.5703125" style="3"/>
    <col min="8941" max="8941" width="6" style="3" customWidth="1"/>
    <col min="8942" max="8942" width="10.140625" style="3" customWidth="1"/>
    <col min="8943" max="8943" width="37.42578125" style="3" customWidth="1"/>
    <col min="8944" max="8944" width="7" style="3" customWidth="1"/>
    <col min="8945" max="8945" width="0" style="3" hidden="1" customWidth="1"/>
    <col min="8946" max="8946" width="14.140625" style="3" customWidth="1"/>
    <col min="8947" max="8947" width="14.42578125" style="3" customWidth="1"/>
    <col min="8948" max="8948" width="7.42578125" style="3" customWidth="1"/>
    <col min="8949" max="8949" width="16.140625" style="3" customWidth="1"/>
    <col min="8950" max="8950" width="8.5703125" style="3" customWidth="1"/>
    <col min="8951" max="8951" width="14" style="3" customWidth="1"/>
    <col min="8952" max="8952" width="13.42578125" style="3" customWidth="1"/>
    <col min="8953" max="8953" width="11.42578125" style="3" customWidth="1"/>
    <col min="8954" max="8954" width="13.42578125" style="3" customWidth="1"/>
    <col min="8955" max="9196" width="8.5703125" style="3"/>
    <col min="9197" max="9197" width="6" style="3" customWidth="1"/>
    <col min="9198" max="9198" width="10.140625" style="3" customWidth="1"/>
    <col min="9199" max="9199" width="37.42578125" style="3" customWidth="1"/>
    <col min="9200" max="9200" width="7" style="3" customWidth="1"/>
    <col min="9201" max="9201" width="0" style="3" hidden="1" customWidth="1"/>
    <col min="9202" max="9202" width="14.140625" style="3" customWidth="1"/>
    <col min="9203" max="9203" width="14.42578125" style="3" customWidth="1"/>
    <col min="9204" max="9204" width="7.42578125" style="3" customWidth="1"/>
    <col min="9205" max="9205" width="16.140625" style="3" customWidth="1"/>
    <col min="9206" max="9206" width="8.5703125" style="3" customWidth="1"/>
    <col min="9207" max="9207" width="14" style="3" customWidth="1"/>
    <col min="9208" max="9208" width="13.42578125" style="3" customWidth="1"/>
    <col min="9209" max="9209" width="11.42578125" style="3" customWidth="1"/>
    <col min="9210" max="9210" width="13.42578125" style="3" customWidth="1"/>
    <col min="9211" max="9452" width="8.5703125" style="3"/>
    <col min="9453" max="9453" width="6" style="3" customWidth="1"/>
    <col min="9454" max="9454" width="10.140625" style="3" customWidth="1"/>
    <col min="9455" max="9455" width="37.42578125" style="3" customWidth="1"/>
    <col min="9456" max="9456" width="7" style="3" customWidth="1"/>
    <col min="9457" max="9457" width="0" style="3" hidden="1" customWidth="1"/>
    <col min="9458" max="9458" width="14.140625" style="3" customWidth="1"/>
    <col min="9459" max="9459" width="14.42578125" style="3" customWidth="1"/>
    <col min="9460" max="9460" width="7.42578125" style="3" customWidth="1"/>
    <col min="9461" max="9461" width="16.140625" style="3" customWidth="1"/>
    <col min="9462" max="9462" width="8.5703125" style="3" customWidth="1"/>
    <col min="9463" max="9463" width="14" style="3" customWidth="1"/>
    <col min="9464" max="9464" width="13.42578125" style="3" customWidth="1"/>
    <col min="9465" max="9465" width="11.42578125" style="3" customWidth="1"/>
    <col min="9466" max="9466" width="13.42578125" style="3" customWidth="1"/>
    <col min="9467" max="9708" width="8.5703125" style="3"/>
    <col min="9709" max="9709" width="6" style="3" customWidth="1"/>
    <col min="9710" max="9710" width="10.140625" style="3" customWidth="1"/>
    <col min="9711" max="9711" width="37.42578125" style="3" customWidth="1"/>
    <col min="9712" max="9712" width="7" style="3" customWidth="1"/>
    <col min="9713" max="9713" width="0" style="3" hidden="1" customWidth="1"/>
    <col min="9714" max="9714" width="14.140625" style="3" customWidth="1"/>
    <col min="9715" max="9715" width="14.42578125" style="3" customWidth="1"/>
    <col min="9716" max="9716" width="7.42578125" style="3" customWidth="1"/>
    <col min="9717" max="9717" width="16.140625" style="3" customWidth="1"/>
    <col min="9718" max="9718" width="8.5703125" style="3" customWidth="1"/>
    <col min="9719" max="9719" width="14" style="3" customWidth="1"/>
    <col min="9720" max="9720" width="13.42578125" style="3" customWidth="1"/>
    <col min="9721" max="9721" width="11.42578125" style="3" customWidth="1"/>
    <col min="9722" max="9722" width="13.42578125" style="3" customWidth="1"/>
    <col min="9723" max="9964" width="8.5703125" style="3"/>
    <col min="9965" max="9965" width="6" style="3" customWidth="1"/>
    <col min="9966" max="9966" width="10.140625" style="3" customWidth="1"/>
    <col min="9967" max="9967" width="37.42578125" style="3" customWidth="1"/>
    <col min="9968" max="9968" width="7" style="3" customWidth="1"/>
    <col min="9969" max="9969" width="0" style="3" hidden="1" customWidth="1"/>
    <col min="9970" max="9970" width="14.140625" style="3" customWidth="1"/>
    <col min="9971" max="9971" width="14.42578125" style="3" customWidth="1"/>
    <col min="9972" max="9972" width="7.42578125" style="3" customWidth="1"/>
    <col min="9973" max="9973" width="16.140625" style="3" customWidth="1"/>
    <col min="9974" max="9974" width="8.5703125" style="3" customWidth="1"/>
    <col min="9975" max="9975" width="14" style="3" customWidth="1"/>
    <col min="9976" max="9976" width="13.42578125" style="3" customWidth="1"/>
    <col min="9977" max="9977" width="11.42578125" style="3" customWidth="1"/>
    <col min="9978" max="9978" width="13.42578125" style="3" customWidth="1"/>
    <col min="9979" max="10220" width="8.5703125" style="3"/>
    <col min="10221" max="10221" width="6" style="3" customWidth="1"/>
    <col min="10222" max="10222" width="10.140625" style="3" customWidth="1"/>
    <col min="10223" max="10223" width="37.42578125" style="3" customWidth="1"/>
    <col min="10224" max="10224" width="7" style="3" customWidth="1"/>
    <col min="10225" max="10225" width="0" style="3" hidden="1" customWidth="1"/>
    <col min="10226" max="10226" width="14.140625" style="3" customWidth="1"/>
    <col min="10227" max="10227" width="14.42578125" style="3" customWidth="1"/>
    <col min="10228" max="10228" width="7.42578125" style="3" customWidth="1"/>
    <col min="10229" max="10229" width="16.140625" style="3" customWidth="1"/>
    <col min="10230" max="10230" width="8.5703125" style="3" customWidth="1"/>
    <col min="10231" max="10231" width="14" style="3" customWidth="1"/>
    <col min="10232" max="10232" width="13.42578125" style="3" customWidth="1"/>
    <col min="10233" max="10233" width="11.42578125" style="3" customWidth="1"/>
    <col min="10234" max="10234" width="13.42578125" style="3" customWidth="1"/>
    <col min="10235" max="10476" width="8.5703125" style="3"/>
    <col min="10477" max="10477" width="6" style="3" customWidth="1"/>
    <col min="10478" max="10478" width="10.140625" style="3" customWidth="1"/>
    <col min="10479" max="10479" width="37.42578125" style="3" customWidth="1"/>
    <col min="10480" max="10480" width="7" style="3" customWidth="1"/>
    <col min="10481" max="10481" width="0" style="3" hidden="1" customWidth="1"/>
    <col min="10482" max="10482" width="14.140625" style="3" customWidth="1"/>
    <col min="10483" max="10483" width="14.42578125" style="3" customWidth="1"/>
    <col min="10484" max="10484" width="7.42578125" style="3" customWidth="1"/>
    <col min="10485" max="10485" width="16.140625" style="3" customWidth="1"/>
    <col min="10486" max="10486" width="8.5703125" style="3" customWidth="1"/>
    <col min="10487" max="10487" width="14" style="3" customWidth="1"/>
    <col min="10488" max="10488" width="13.42578125" style="3" customWidth="1"/>
    <col min="10489" max="10489" width="11.42578125" style="3" customWidth="1"/>
    <col min="10490" max="10490" width="13.42578125" style="3" customWidth="1"/>
    <col min="10491" max="10732" width="8.5703125" style="3"/>
    <col min="10733" max="10733" width="6" style="3" customWidth="1"/>
    <col min="10734" max="10734" width="10.140625" style="3" customWidth="1"/>
    <col min="10735" max="10735" width="37.42578125" style="3" customWidth="1"/>
    <col min="10736" max="10736" width="7" style="3" customWidth="1"/>
    <col min="10737" max="10737" width="0" style="3" hidden="1" customWidth="1"/>
    <col min="10738" max="10738" width="14.140625" style="3" customWidth="1"/>
    <col min="10739" max="10739" width="14.42578125" style="3" customWidth="1"/>
    <col min="10740" max="10740" width="7.42578125" style="3" customWidth="1"/>
    <col min="10741" max="10741" width="16.140625" style="3" customWidth="1"/>
    <col min="10742" max="10742" width="8.5703125" style="3" customWidth="1"/>
    <col min="10743" max="10743" width="14" style="3" customWidth="1"/>
    <col min="10744" max="10744" width="13.42578125" style="3" customWidth="1"/>
    <col min="10745" max="10745" width="11.42578125" style="3" customWidth="1"/>
    <col min="10746" max="10746" width="13.42578125" style="3" customWidth="1"/>
    <col min="10747" max="10988" width="8.5703125" style="3"/>
    <col min="10989" max="10989" width="6" style="3" customWidth="1"/>
    <col min="10990" max="10990" width="10.140625" style="3" customWidth="1"/>
    <col min="10991" max="10991" width="37.42578125" style="3" customWidth="1"/>
    <col min="10992" max="10992" width="7" style="3" customWidth="1"/>
    <col min="10993" max="10993" width="0" style="3" hidden="1" customWidth="1"/>
    <col min="10994" max="10994" width="14.140625" style="3" customWidth="1"/>
    <col min="10995" max="10995" width="14.42578125" style="3" customWidth="1"/>
    <col min="10996" max="10996" width="7.42578125" style="3" customWidth="1"/>
    <col min="10997" max="10997" width="16.140625" style="3" customWidth="1"/>
    <col min="10998" max="10998" width="8.5703125" style="3" customWidth="1"/>
    <col min="10999" max="10999" width="14" style="3" customWidth="1"/>
    <col min="11000" max="11000" width="13.42578125" style="3" customWidth="1"/>
    <col min="11001" max="11001" width="11.42578125" style="3" customWidth="1"/>
    <col min="11002" max="11002" width="13.42578125" style="3" customWidth="1"/>
    <col min="11003" max="11244" width="8.5703125" style="3"/>
    <col min="11245" max="11245" width="6" style="3" customWidth="1"/>
    <col min="11246" max="11246" width="10.140625" style="3" customWidth="1"/>
    <col min="11247" max="11247" width="37.42578125" style="3" customWidth="1"/>
    <col min="11248" max="11248" width="7" style="3" customWidth="1"/>
    <col min="11249" max="11249" width="0" style="3" hidden="1" customWidth="1"/>
    <col min="11250" max="11250" width="14.140625" style="3" customWidth="1"/>
    <col min="11251" max="11251" width="14.42578125" style="3" customWidth="1"/>
    <col min="11252" max="11252" width="7.42578125" style="3" customWidth="1"/>
    <col min="11253" max="11253" width="16.140625" style="3" customWidth="1"/>
    <col min="11254" max="11254" width="8.5703125" style="3" customWidth="1"/>
    <col min="11255" max="11255" width="14" style="3" customWidth="1"/>
    <col min="11256" max="11256" width="13.42578125" style="3" customWidth="1"/>
    <col min="11257" max="11257" width="11.42578125" style="3" customWidth="1"/>
    <col min="11258" max="11258" width="13.42578125" style="3" customWidth="1"/>
    <col min="11259" max="11500" width="8.5703125" style="3"/>
    <col min="11501" max="11501" width="6" style="3" customWidth="1"/>
    <col min="11502" max="11502" width="10.140625" style="3" customWidth="1"/>
    <col min="11503" max="11503" width="37.42578125" style="3" customWidth="1"/>
    <col min="11504" max="11504" width="7" style="3" customWidth="1"/>
    <col min="11505" max="11505" width="0" style="3" hidden="1" customWidth="1"/>
    <col min="11506" max="11506" width="14.140625" style="3" customWidth="1"/>
    <col min="11507" max="11507" width="14.42578125" style="3" customWidth="1"/>
    <col min="11508" max="11508" width="7.42578125" style="3" customWidth="1"/>
    <col min="11509" max="11509" width="16.140625" style="3" customWidth="1"/>
    <col min="11510" max="11510" width="8.5703125" style="3" customWidth="1"/>
    <col min="11511" max="11511" width="14" style="3" customWidth="1"/>
    <col min="11512" max="11512" width="13.42578125" style="3" customWidth="1"/>
    <col min="11513" max="11513" width="11.42578125" style="3" customWidth="1"/>
    <col min="11514" max="11514" width="13.42578125" style="3" customWidth="1"/>
    <col min="11515" max="11756" width="8.5703125" style="3"/>
    <col min="11757" max="11757" width="6" style="3" customWidth="1"/>
    <col min="11758" max="11758" width="10.140625" style="3" customWidth="1"/>
    <col min="11759" max="11759" width="37.42578125" style="3" customWidth="1"/>
    <col min="11760" max="11760" width="7" style="3" customWidth="1"/>
    <col min="11761" max="11761" width="0" style="3" hidden="1" customWidth="1"/>
    <col min="11762" max="11762" width="14.140625" style="3" customWidth="1"/>
    <col min="11763" max="11763" width="14.42578125" style="3" customWidth="1"/>
    <col min="11764" max="11764" width="7.42578125" style="3" customWidth="1"/>
    <col min="11765" max="11765" width="16.140625" style="3" customWidth="1"/>
    <col min="11766" max="11766" width="8.5703125" style="3" customWidth="1"/>
    <col min="11767" max="11767" width="14" style="3" customWidth="1"/>
    <col min="11768" max="11768" width="13.42578125" style="3" customWidth="1"/>
    <col min="11769" max="11769" width="11.42578125" style="3" customWidth="1"/>
    <col min="11770" max="11770" width="13.42578125" style="3" customWidth="1"/>
    <col min="11771" max="12012" width="8.5703125" style="3"/>
    <col min="12013" max="12013" width="6" style="3" customWidth="1"/>
    <col min="12014" max="12014" width="10.140625" style="3" customWidth="1"/>
    <col min="12015" max="12015" width="37.42578125" style="3" customWidth="1"/>
    <col min="12016" max="12016" width="7" style="3" customWidth="1"/>
    <col min="12017" max="12017" width="0" style="3" hidden="1" customWidth="1"/>
    <col min="12018" max="12018" width="14.140625" style="3" customWidth="1"/>
    <col min="12019" max="12019" width="14.42578125" style="3" customWidth="1"/>
    <col min="12020" max="12020" width="7.42578125" style="3" customWidth="1"/>
    <col min="12021" max="12021" width="16.140625" style="3" customWidth="1"/>
    <col min="12022" max="12022" width="8.5703125" style="3" customWidth="1"/>
    <col min="12023" max="12023" width="14" style="3" customWidth="1"/>
    <col min="12024" max="12024" width="13.42578125" style="3" customWidth="1"/>
    <col min="12025" max="12025" width="11.42578125" style="3" customWidth="1"/>
    <col min="12026" max="12026" width="13.42578125" style="3" customWidth="1"/>
    <col min="12027" max="12268" width="8.5703125" style="3"/>
    <col min="12269" max="12269" width="6" style="3" customWidth="1"/>
    <col min="12270" max="12270" width="10.140625" style="3" customWidth="1"/>
    <col min="12271" max="12271" width="37.42578125" style="3" customWidth="1"/>
    <col min="12272" max="12272" width="7" style="3" customWidth="1"/>
    <col min="12273" max="12273" width="0" style="3" hidden="1" customWidth="1"/>
    <col min="12274" max="12274" width="14.140625" style="3" customWidth="1"/>
    <col min="12275" max="12275" width="14.42578125" style="3" customWidth="1"/>
    <col min="12276" max="12276" width="7.42578125" style="3" customWidth="1"/>
    <col min="12277" max="12277" width="16.140625" style="3" customWidth="1"/>
    <col min="12278" max="12278" width="8.5703125" style="3" customWidth="1"/>
    <col min="12279" max="12279" width="14" style="3" customWidth="1"/>
    <col min="12280" max="12280" width="13.42578125" style="3" customWidth="1"/>
    <col min="12281" max="12281" width="11.42578125" style="3" customWidth="1"/>
    <col min="12282" max="12282" width="13.42578125" style="3" customWidth="1"/>
    <col min="12283" max="12524" width="8.5703125" style="3"/>
    <col min="12525" max="12525" width="6" style="3" customWidth="1"/>
    <col min="12526" max="12526" width="10.140625" style="3" customWidth="1"/>
    <col min="12527" max="12527" width="37.42578125" style="3" customWidth="1"/>
    <col min="12528" max="12528" width="7" style="3" customWidth="1"/>
    <col min="12529" max="12529" width="0" style="3" hidden="1" customWidth="1"/>
    <col min="12530" max="12530" width="14.140625" style="3" customWidth="1"/>
    <col min="12531" max="12531" width="14.42578125" style="3" customWidth="1"/>
    <col min="12532" max="12532" width="7.42578125" style="3" customWidth="1"/>
    <col min="12533" max="12533" width="16.140625" style="3" customWidth="1"/>
    <col min="12534" max="12534" width="8.5703125" style="3" customWidth="1"/>
    <col min="12535" max="12535" width="14" style="3" customWidth="1"/>
    <col min="12536" max="12536" width="13.42578125" style="3" customWidth="1"/>
    <col min="12537" max="12537" width="11.42578125" style="3" customWidth="1"/>
    <col min="12538" max="12538" width="13.42578125" style="3" customWidth="1"/>
    <col min="12539" max="12780" width="8.5703125" style="3"/>
    <col min="12781" max="12781" width="6" style="3" customWidth="1"/>
    <col min="12782" max="12782" width="10.140625" style="3" customWidth="1"/>
    <col min="12783" max="12783" width="37.42578125" style="3" customWidth="1"/>
    <col min="12784" max="12784" width="7" style="3" customWidth="1"/>
    <col min="12785" max="12785" width="0" style="3" hidden="1" customWidth="1"/>
    <col min="12786" max="12786" width="14.140625" style="3" customWidth="1"/>
    <col min="12787" max="12787" width="14.42578125" style="3" customWidth="1"/>
    <col min="12788" max="12788" width="7.42578125" style="3" customWidth="1"/>
    <col min="12789" max="12789" width="16.140625" style="3" customWidth="1"/>
    <col min="12790" max="12790" width="8.5703125" style="3" customWidth="1"/>
    <col min="12791" max="12791" width="14" style="3" customWidth="1"/>
    <col min="12792" max="12792" width="13.42578125" style="3" customWidth="1"/>
    <col min="12793" max="12793" width="11.42578125" style="3" customWidth="1"/>
    <col min="12794" max="12794" width="13.42578125" style="3" customWidth="1"/>
    <col min="12795" max="13036" width="8.5703125" style="3"/>
    <col min="13037" max="13037" width="6" style="3" customWidth="1"/>
    <col min="13038" max="13038" width="10.140625" style="3" customWidth="1"/>
    <col min="13039" max="13039" width="37.42578125" style="3" customWidth="1"/>
    <col min="13040" max="13040" width="7" style="3" customWidth="1"/>
    <col min="13041" max="13041" width="0" style="3" hidden="1" customWidth="1"/>
    <col min="13042" max="13042" width="14.140625" style="3" customWidth="1"/>
    <col min="13043" max="13043" width="14.42578125" style="3" customWidth="1"/>
    <col min="13044" max="13044" width="7.42578125" style="3" customWidth="1"/>
    <col min="13045" max="13045" width="16.140625" style="3" customWidth="1"/>
    <col min="13046" max="13046" width="8.5703125" style="3" customWidth="1"/>
    <col min="13047" max="13047" width="14" style="3" customWidth="1"/>
    <col min="13048" max="13048" width="13.42578125" style="3" customWidth="1"/>
    <col min="13049" max="13049" width="11.42578125" style="3" customWidth="1"/>
    <col min="13050" max="13050" width="13.42578125" style="3" customWidth="1"/>
    <col min="13051" max="13292" width="8.5703125" style="3"/>
    <col min="13293" max="13293" width="6" style="3" customWidth="1"/>
    <col min="13294" max="13294" width="10.140625" style="3" customWidth="1"/>
    <col min="13295" max="13295" width="37.42578125" style="3" customWidth="1"/>
    <col min="13296" max="13296" width="7" style="3" customWidth="1"/>
    <col min="13297" max="13297" width="0" style="3" hidden="1" customWidth="1"/>
    <col min="13298" max="13298" width="14.140625" style="3" customWidth="1"/>
    <col min="13299" max="13299" width="14.42578125" style="3" customWidth="1"/>
    <col min="13300" max="13300" width="7.42578125" style="3" customWidth="1"/>
    <col min="13301" max="13301" width="16.140625" style="3" customWidth="1"/>
    <col min="13302" max="13302" width="8.5703125" style="3" customWidth="1"/>
    <col min="13303" max="13303" width="14" style="3" customWidth="1"/>
    <col min="13304" max="13304" width="13.42578125" style="3" customWidth="1"/>
    <col min="13305" max="13305" width="11.42578125" style="3" customWidth="1"/>
    <col min="13306" max="13306" width="13.42578125" style="3" customWidth="1"/>
    <col min="13307" max="13548" width="8.5703125" style="3"/>
    <col min="13549" max="13549" width="6" style="3" customWidth="1"/>
    <col min="13550" max="13550" width="10.140625" style="3" customWidth="1"/>
    <col min="13551" max="13551" width="37.42578125" style="3" customWidth="1"/>
    <col min="13552" max="13552" width="7" style="3" customWidth="1"/>
    <col min="13553" max="13553" width="0" style="3" hidden="1" customWidth="1"/>
    <col min="13554" max="13554" width="14.140625" style="3" customWidth="1"/>
    <col min="13555" max="13555" width="14.42578125" style="3" customWidth="1"/>
    <col min="13556" max="13556" width="7.42578125" style="3" customWidth="1"/>
    <col min="13557" max="13557" width="16.140625" style="3" customWidth="1"/>
    <col min="13558" max="13558" width="8.5703125" style="3" customWidth="1"/>
    <col min="13559" max="13559" width="14" style="3" customWidth="1"/>
    <col min="13560" max="13560" width="13.42578125" style="3" customWidth="1"/>
    <col min="13561" max="13561" width="11.42578125" style="3" customWidth="1"/>
    <col min="13562" max="13562" width="13.42578125" style="3" customWidth="1"/>
    <col min="13563" max="13804" width="8.5703125" style="3"/>
    <col min="13805" max="13805" width="6" style="3" customWidth="1"/>
    <col min="13806" max="13806" width="10.140625" style="3" customWidth="1"/>
    <col min="13807" max="13807" width="37.42578125" style="3" customWidth="1"/>
    <col min="13808" max="13808" width="7" style="3" customWidth="1"/>
    <col min="13809" max="13809" width="0" style="3" hidden="1" customWidth="1"/>
    <col min="13810" max="13810" width="14.140625" style="3" customWidth="1"/>
    <col min="13811" max="13811" width="14.42578125" style="3" customWidth="1"/>
    <col min="13812" max="13812" width="7.42578125" style="3" customWidth="1"/>
    <col min="13813" max="13813" width="16.140625" style="3" customWidth="1"/>
    <col min="13814" max="13814" width="8.5703125" style="3" customWidth="1"/>
    <col min="13815" max="13815" width="14" style="3" customWidth="1"/>
    <col min="13816" max="13816" width="13.42578125" style="3" customWidth="1"/>
    <col min="13817" max="13817" width="11.42578125" style="3" customWidth="1"/>
    <col min="13818" max="13818" width="13.42578125" style="3" customWidth="1"/>
    <col min="13819" max="14060" width="8.5703125" style="3"/>
    <col min="14061" max="14061" width="6" style="3" customWidth="1"/>
    <col min="14062" max="14062" width="10.140625" style="3" customWidth="1"/>
    <col min="14063" max="14063" width="37.42578125" style="3" customWidth="1"/>
    <col min="14064" max="14064" width="7" style="3" customWidth="1"/>
    <col min="14065" max="14065" width="0" style="3" hidden="1" customWidth="1"/>
    <col min="14066" max="14066" width="14.140625" style="3" customWidth="1"/>
    <col min="14067" max="14067" width="14.42578125" style="3" customWidth="1"/>
    <col min="14068" max="14068" width="7.42578125" style="3" customWidth="1"/>
    <col min="14069" max="14069" width="16.140625" style="3" customWidth="1"/>
    <col min="14070" max="14070" width="8.5703125" style="3" customWidth="1"/>
    <col min="14071" max="14071" width="14" style="3" customWidth="1"/>
    <col min="14072" max="14072" width="13.42578125" style="3" customWidth="1"/>
    <col min="14073" max="14073" width="11.42578125" style="3" customWidth="1"/>
    <col min="14074" max="14074" width="13.42578125" style="3" customWidth="1"/>
    <col min="14075" max="14316" width="8.5703125" style="3"/>
    <col min="14317" max="14317" width="6" style="3" customWidth="1"/>
    <col min="14318" max="14318" width="10.140625" style="3" customWidth="1"/>
    <col min="14319" max="14319" width="37.42578125" style="3" customWidth="1"/>
    <col min="14320" max="14320" width="7" style="3" customWidth="1"/>
    <col min="14321" max="14321" width="0" style="3" hidden="1" customWidth="1"/>
    <col min="14322" max="14322" width="14.140625" style="3" customWidth="1"/>
    <col min="14323" max="14323" width="14.42578125" style="3" customWidth="1"/>
    <col min="14324" max="14324" width="7.42578125" style="3" customWidth="1"/>
    <col min="14325" max="14325" width="16.140625" style="3" customWidth="1"/>
    <col min="14326" max="14326" width="8.5703125" style="3" customWidth="1"/>
    <col min="14327" max="14327" width="14" style="3" customWidth="1"/>
    <col min="14328" max="14328" width="13.42578125" style="3" customWidth="1"/>
    <col min="14329" max="14329" width="11.42578125" style="3" customWidth="1"/>
    <col min="14330" max="14330" width="13.42578125" style="3" customWidth="1"/>
    <col min="14331" max="14572" width="8.5703125" style="3"/>
    <col min="14573" max="14573" width="6" style="3" customWidth="1"/>
    <col min="14574" max="14574" width="10.140625" style="3" customWidth="1"/>
    <col min="14575" max="14575" width="37.42578125" style="3" customWidth="1"/>
    <col min="14576" max="14576" width="7" style="3" customWidth="1"/>
    <col min="14577" max="14577" width="0" style="3" hidden="1" customWidth="1"/>
    <col min="14578" max="14578" width="14.140625" style="3" customWidth="1"/>
    <col min="14579" max="14579" width="14.42578125" style="3" customWidth="1"/>
    <col min="14580" max="14580" width="7.42578125" style="3" customWidth="1"/>
    <col min="14581" max="14581" width="16.140625" style="3" customWidth="1"/>
    <col min="14582" max="14582" width="8.5703125" style="3" customWidth="1"/>
    <col min="14583" max="14583" width="14" style="3" customWidth="1"/>
    <col min="14584" max="14584" width="13.42578125" style="3" customWidth="1"/>
    <col min="14585" max="14585" width="11.42578125" style="3" customWidth="1"/>
    <col min="14586" max="14586" width="13.42578125" style="3" customWidth="1"/>
    <col min="14587" max="14828" width="8.5703125" style="3"/>
    <col min="14829" max="14829" width="6" style="3" customWidth="1"/>
    <col min="14830" max="14830" width="10.140625" style="3" customWidth="1"/>
    <col min="14831" max="14831" width="37.42578125" style="3" customWidth="1"/>
    <col min="14832" max="14832" width="7" style="3" customWidth="1"/>
    <col min="14833" max="14833" width="0" style="3" hidden="1" customWidth="1"/>
    <col min="14834" max="14834" width="14.140625" style="3" customWidth="1"/>
    <col min="14835" max="14835" width="14.42578125" style="3" customWidth="1"/>
    <col min="14836" max="14836" width="7.42578125" style="3" customWidth="1"/>
    <col min="14837" max="14837" width="16.140625" style="3" customWidth="1"/>
    <col min="14838" max="14838" width="8.5703125" style="3" customWidth="1"/>
    <col min="14839" max="14839" width="14" style="3" customWidth="1"/>
    <col min="14840" max="14840" width="13.42578125" style="3" customWidth="1"/>
    <col min="14841" max="14841" width="11.42578125" style="3" customWidth="1"/>
    <col min="14842" max="14842" width="13.42578125" style="3" customWidth="1"/>
    <col min="14843" max="15084" width="8.5703125" style="3"/>
    <col min="15085" max="15085" width="6" style="3" customWidth="1"/>
    <col min="15086" max="15086" width="10.140625" style="3" customWidth="1"/>
    <col min="15087" max="15087" width="37.42578125" style="3" customWidth="1"/>
    <col min="15088" max="15088" width="7" style="3" customWidth="1"/>
    <col min="15089" max="15089" width="0" style="3" hidden="1" customWidth="1"/>
    <col min="15090" max="15090" width="14.140625" style="3" customWidth="1"/>
    <col min="15091" max="15091" width="14.42578125" style="3" customWidth="1"/>
    <col min="15092" max="15092" width="7.42578125" style="3" customWidth="1"/>
    <col min="15093" max="15093" width="16.140625" style="3" customWidth="1"/>
    <col min="15094" max="15094" width="8.5703125" style="3" customWidth="1"/>
    <col min="15095" max="15095" width="14" style="3" customWidth="1"/>
    <col min="15096" max="15096" width="13.42578125" style="3" customWidth="1"/>
    <col min="15097" max="15097" width="11.42578125" style="3" customWidth="1"/>
    <col min="15098" max="15098" width="13.42578125" style="3" customWidth="1"/>
    <col min="15099" max="15340" width="8.5703125" style="3"/>
    <col min="15341" max="15341" width="6" style="3" customWidth="1"/>
    <col min="15342" max="15342" width="10.140625" style="3" customWidth="1"/>
    <col min="15343" max="15343" width="37.42578125" style="3" customWidth="1"/>
    <col min="15344" max="15344" width="7" style="3" customWidth="1"/>
    <col min="15345" max="15345" width="0" style="3" hidden="1" customWidth="1"/>
    <col min="15346" max="15346" width="14.140625" style="3" customWidth="1"/>
    <col min="15347" max="15347" width="14.42578125" style="3" customWidth="1"/>
    <col min="15348" max="15348" width="7.42578125" style="3" customWidth="1"/>
    <col min="15349" max="15349" width="16.140625" style="3" customWidth="1"/>
    <col min="15350" max="15350" width="8.5703125" style="3" customWidth="1"/>
    <col min="15351" max="15351" width="14" style="3" customWidth="1"/>
    <col min="15352" max="15352" width="13.42578125" style="3" customWidth="1"/>
    <col min="15353" max="15353" width="11.42578125" style="3" customWidth="1"/>
    <col min="15354" max="15354" width="13.42578125" style="3" customWidth="1"/>
    <col min="15355" max="15596" width="8.5703125" style="3"/>
    <col min="15597" max="15597" width="6" style="3" customWidth="1"/>
    <col min="15598" max="15598" width="10.140625" style="3" customWidth="1"/>
    <col min="15599" max="15599" width="37.42578125" style="3" customWidth="1"/>
    <col min="15600" max="15600" width="7" style="3" customWidth="1"/>
    <col min="15601" max="15601" width="0" style="3" hidden="1" customWidth="1"/>
    <col min="15602" max="15602" width="14.140625" style="3" customWidth="1"/>
    <col min="15603" max="15603" width="14.42578125" style="3" customWidth="1"/>
    <col min="15604" max="15604" width="7.42578125" style="3" customWidth="1"/>
    <col min="15605" max="15605" width="16.140625" style="3" customWidth="1"/>
    <col min="15606" max="15606" width="8.5703125" style="3" customWidth="1"/>
    <col min="15607" max="15607" width="14" style="3" customWidth="1"/>
    <col min="15608" max="15608" width="13.42578125" style="3" customWidth="1"/>
    <col min="15609" max="15609" width="11.42578125" style="3" customWidth="1"/>
    <col min="15610" max="15610" width="13.42578125" style="3" customWidth="1"/>
    <col min="15611" max="15852" width="8.5703125" style="3"/>
    <col min="15853" max="15853" width="6" style="3" customWidth="1"/>
    <col min="15854" max="15854" width="10.140625" style="3" customWidth="1"/>
    <col min="15855" max="15855" width="37.42578125" style="3" customWidth="1"/>
    <col min="15856" max="15856" width="7" style="3" customWidth="1"/>
    <col min="15857" max="15857" width="0" style="3" hidden="1" customWidth="1"/>
    <col min="15858" max="15858" width="14.140625" style="3" customWidth="1"/>
    <col min="15859" max="15859" width="14.42578125" style="3" customWidth="1"/>
    <col min="15860" max="15860" width="7.42578125" style="3" customWidth="1"/>
    <col min="15861" max="15861" width="16.140625" style="3" customWidth="1"/>
    <col min="15862" max="15862" width="8.5703125" style="3" customWidth="1"/>
    <col min="15863" max="15863" width="14" style="3" customWidth="1"/>
    <col min="15864" max="15864" width="13.42578125" style="3" customWidth="1"/>
    <col min="15865" max="15865" width="11.42578125" style="3" customWidth="1"/>
    <col min="15866" max="15866" width="13.42578125" style="3" customWidth="1"/>
    <col min="15867" max="16108" width="8.5703125" style="3"/>
    <col min="16109" max="16109" width="6" style="3" customWidth="1"/>
    <col min="16110" max="16110" width="10.140625" style="3" customWidth="1"/>
    <col min="16111" max="16111" width="37.42578125" style="3" customWidth="1"/>
    <col min="16112" max="16112" width="7" style="3" customWidth="1"/>
    <col min="16113" max="16113" width="0" style="3" hidden="1" customWidth="1"/>
    <col min="16114" max="16114" width="14.140625" style="3" customWidth="1"/>
    <col min="16115" max="16115" width="14.42578125" style="3" customWidth="1"/>
    <col min="16116" max="16116" width="7.42578125" style="3" customWidth="1"/>
    <col min="16117" max="16117" width="16.140625" style="3" customWidth="1"/>
    <col min="16118" max="16118" width="8.5703125" style="3" customWidth="1"/>
    <col min="16119" max="16119" width="14" style="3" customWidth="1"/>
    <col min="16120" max="16120" width="13.42578125" style="3" customWidth="1"/>
    <col min="16121" max="16121" width="11.42578125" style="3" customWidth="1"/>
    <col min="16122" max="16122" width="13.42578125" style="3" customWidth="1"/>
    <col min="16123" max="16373" width="8.5703125" style="3"/>
    <col min="16374" max="16384" width="8.5703125" style="3" customWidth="1"/>
  </cols>
  <sheetData>
    <row r="1" spans="1:9" ht="47.45" customHeight="1">
      <c r="A1" s="135" t="s">
        <v>48</v>
      </c>
      <c r="B1" s="136"/>
      <c r="C1" s="136"/>
      <c r="D1" s="136"/>
      <c r="E1" s="136"/>
      <c r="F1" s="136"/>
      <c r="G1" s="136"/>
      <c r="H1" s="136"/>
      <c r="I1" s="136"/>
    </row>
    <row r="2" spans="1:9" ht="36.6" customHeight="1">
      <c r="A2" s="136"/>
      <c r="B2" s="136"/>
      <c r="C2" s="136"/>
      <c r="D2" s="136"/>
      <c r="E2" s="136"/>
      <c r="F2" s="136"/>
      <c r="G2" s="136"/>
      <c r="H2" s="136"/>
      <c r="I2" s="136"/>
    </row>
    <row r="3" spans="1:9" ht="17.45" customHeight="1">
      <c r="A3" s="136"/>
      <c r="B3" s="136"/>
      <c r="C3" s="136"/>
      <c r="D3" s="136"/>
      <c r="E3" s="136"/>
      <c r="F3" s="136"/>
      <c r="G3" s="136"/>
      <c r="H3" s="136"/>
      <c r="I3" s="136"/>
    </row>
    <row r="4" spans="1:9" ht="15">
      <c r="B4" s="4"/>
      <c r="C4" s="1"/>
      <c r="D4" s="2"/>
      <c r="E4" s="1"/>
      <c r="F4" s="5"/>
      <c r="G4" s="5"/>
      <c r="H4" s="6"/>
      <c r="I4" s="7"/>
    </row>
    <row r="5" spans="1:9" s="12" customFormat="1" ht="54.6" customHeight="1">
      <c r="B5" s="137" t="s">
        <v>95</v>
      </c>
      <c r="C5" s="138"/>
      <c r="D5" s="138"/>
      <c r="E5" s="138"/>
      <c r="F5" s="138"/>
      <c r="G5" s="138"/>
      <c r="H5" s="138"/>
      <c r="I5" s="138"/>
    </row>
    <row r="6" spans="1:9" s="12" customFormat="1" ht="31.5" customHeight="1">
      <c r="B6" s="146" t="s">
        <v>72</v>
      </c>
      <c r="C6" s="146"/>
      <c r="D6" s="146"/>
      <c r="E6" s="146"/>
      <c r="F6" s="146"/>
      <c r="G6" s="14"/>
      <c r="H6" s="15"/>
    </row>
    <row r="7" spans="1:9" s="12" customFormat="1" ht="48.75" customHeight="1">
      <c r="B7" s="146" t="s">
        <v>73</v>
      </c>
      <c r="C7" s="146"/>
      <c r="D7" s="146"/>
      <c r="E7" s="146"/>
      <c r="F7" s="146"/>
      <c r="G7" s="149" t="s">
        <v>63</v>
      </c>
      <c r="H7" s="149"/>
      <c r="I7" s="111">
        <f ca="1">TODAY()</f>
        <v>45535</v>
      </c>
    </row>
    <row r="8" spans="1:9" s="12" customFormat="1" ht="19.5" customHeight="1">
      <c r="B8" s="129" t="s">
        <v>46</v>
      </c>
      <c r="C8" s="128" t="s">
        <v>50</v>
      </c>
      <c r="D8" s="16"/>
      <c r="E8" s="129"/>
      <c r="F8" s="130"/>
      <c r="G8" s="150" t="s">
        <v>64</v>
      </c>
      <c r="H8" s="150"/>
      <c r="I8" s="150"/>
    </row>
    <row r="9" spans="1:9" ht="32.450000000000003" customHeight="1">
      <c r="B9" s="151" t="s">
        <v>65</v>
      </c>
      <c r="C9" s="151"/>
      <c r="D9" s="151"/>
      <c r="E9" s="151"/>
      <c r="F9" s="151"/>
      <c r="G9" s="151"/>
      <c r="H9" s="151"/>
      <c r="I9" s="151"/>
    </row>
    <row r="10" spans="1:9" ht="42" customHeight="1">
      <c r="B10" s="113" t="s">
        <v>1</v>
      </c>
      <c r="C10" s="114" t="s">
        <v>62</v>
      </c>
      <c r="D10" s="114" t="s">
        <v>70</v>
      </c>
      <c r="E10" s="114" t="s">
        <v>69</v>
      </c>
      <c r="F10" s="114" t="s">
        <v>66</v>
      </c>
      <c r="G10" s="114" t="s">
        <v>67</v>
      </c>
      <c r="H10" s="142" t="s">
        <v>68</v>
      </c>
      <c r="I10" s="143"/>
    </row>
    <row r="11" spans="1:9">
      <c r="B11" s="127"/>
      <c r="C11" s="126"/>
      <c r="D11" s="115" t="s">
        <v>96</v>
      </c>
      <c r="E11" s="125">
        <v>1</v>
      </c>
      <c r="F11" s="131">
        <v>8070000</v>
      </c>
      <c r="G11" s="134">
        <f t="shared" ref="G11" si="0">F11*E11</f>
        <v>8070000</v>
      </c>
      <c r="H11" s="132"/>
      <c r="I11" s="133"/>
    </row>
    <row r="12" spans="1:9" s="8" customFormat="1" ht="18.600000000000001" customHeight="1">
      <c r="B12" s="139" t="s">
        <v>88</v>
      </c>
      <c r="C12" s="140"/>
      <c r="D12" s="140"/>
      <c r="E12" s="140"/>
      <c r="F12" s="141"/>
      <c r="G12" s="112">
        <f>SUM(G11:G11)</f>
        <v>8070000</v>
      </c>
      <c r="H12" s="144"/>
      <c r="I12" s="145"/>
    </row>
    <row r="13" spans="1:9" s="8" customFormat="1" ht="18.600000000000001" customHeight="1">
      <c r="B13" s="139" t="s">
        <v>89</v>
      </c>
      <c r="C13" s="140"/>
      <c r="D13" s="140"/>
      <c r="E13" s="140"/>
      <c r="F13" s="141"/>
      <c r="G13" s="112">
        <f>G12*0</f>
        <v>0</v>
      </c>
      <c r="H13" s="144"/>
      <c r="I13" s="145"/>
    </row>
    <row r="14" spans="1:9" s="8" customFormat="1" ht="18.600000000000001" customHeight="1">
      <c r="B14" s="139" t="s">
        <v>54</v>
      </c>
      <c r="C14" s="140"/>
      <c r="D14" s="140"/>
      <c r="E14" s="140"/>
      <c r="F14" s="141"/>
      <c r="G14" s="112">
        <f>G12+G13</f>
        <v>8070000</v>
      </c>
      <c r="H14" s="144"/>
      <c r="I14" s="145"/>
    </row>
    <row r="15" spans="1:9" s="12" customFormat="1" ht="50.25" customHeight="1">
      <c r="B15" s="146" t="s">
        <v>94</v>
      </c>
      <c r="C15" s="146"/>
      <c r="D15" s="146"/>
      <c r="E15" s="146"/>
      <c r="F15" s="146"/>
      <c r="G15" s="146"/>
      <c r="H15" s="146"/>
      <c r="I15" s="146"/>
    </row>
    <row r="16" spans="1:9">
      <c r="B16" s="147" t="s">
        <v>71</v>
      </c>
      <c r="C16" s="147"/>
      <c r="D16" s="147"/>
      <c r="E16" s="147"/>
      <c r="F16" s="147"/>
      <c r="G16" s="147"/>
      <c r="H16" s="147"/>
      <c r="I16" s="147"/>
    </row>
    <row r="17" spans="2:9" s="12" customFormat="1" hidden="1">
      <c r="B17" s="14" t="s">
        <v>49</v>
      </c>
      <c r="C17" s="13"/>
      <c r="D17" s="17"/>
      <c r="E17" s="13"/>
      <c r="F17" s="25"/>
      <c r="G17" s="13"/>
      <c r="H17" s="15"/>
      <c r="I17" s="13"/>
    </row>
    <row r="18" spans="2:9" s="12" customFormat="1">
      <c r="B18" s="148" t="s">
        <v>92</v>
      </c>
      <c r="C18" s="148"/>
      <c r="D18" s="148"/>
      <c r="E18" s="148"/>
      <c r="F18" s="148"/>
      <c r="G18" s="148"/>
      <c r="H18" s="148"/>
      <c r="I18" s="148"/>
    </row>
    <row r="19" spans="2:9" s="12" customFormat="1" ht="29.1" customHeight="1">
      <c r="B19" s="146" t="s">
        <v>90</v>
      </c>
      <c r="C19" s="146"/>
      <c r="D19" s="146"/>
      <c r="E19" s="146"/>
      <c r="F19" s="146"/>
      <c r="G19" s="146"/>
      <c r="H19" s="146"/>
      <c r="I19" s="146"/>
    </row>
    <row r="20" spans="2:9" s="12" customFormat="1" ht="14.25" customHeight="1">
      <c r="B20" s="148" t="s">
        <v>74</v>
      </c>
      <c r="C20" s="148"/>
      <c r="D20" s="148"/>
      <c r="E20" s="148"/>
      <c r="F20" s="148"/>
      <c r="G20" s="148"/>
      <c r="H20" s="148"/>
      <c r="I20" s="148"/>
    </row>
    <row r="21" spans="2:9" s="12" customFormat="1" ht="16.5" customHeight="1">
      <c r="B21" s="155" t="s">
        <v>91</v>
      </c>
      <c r="C21" s="155"/>
      <c r="D21" s="155"/>
      <c r="E21" s="155"/>
      <c r="F21" s="155"/>
      <c r="G21" s="155"/>
      <c r="H21" s="155"/>
      <c r="I21" s="155"/>
    </row>
    <row r="22" spans="2:9" s="12" customFormat="1" ht="14.25" customHeight="1">
      <c r="B22" s="155" t="s">
        <v>75</v>
      </c>
      <c r="C22" s="155"/>
      <c r="D22" s="155"/>
      <c r="E22" s="155"/>
      <c r="F22" s="155"/>
      <c r="G22" s="155"/>
      <c r="H22" s="155"/>
      <c r="I22" s="155"/>
    </row>
    <row r="23" spans="2:9" s="12" customFormat="1">
      <c r="B23" s="148" t="s">
        <v>76</v>
      </c>
      <c r="C23" s="148"/>
      <c r="D23" s="148"/>
      <c r="E23" s="148"/>
      <c r="F23" s="148"/>
      <c r="G23" s="148"/>
      <c r="H23" s="148"/>
      <c r="I23" s="148"/>
    </row>
    <row r="24" spans="2:9" s="12" customFormat="1" ht="31.5" customHeight="1">
      <c r="B24" s="154" t="s">
        <v>93</v>
      </c>
      <c r="C24" s="155"/>
      <c r="D24" s="155"/>
      <c r="E24" s="155"/>
      <c r="F24" s="155"/>
      <c r="G24" s="155"/>
      <c r="H24" s="155"/>
      <c r="I24" s="155"/>
    </row>
    <row r="25" spans="2:9" s="12" customFormat="1" ht="20.100000000000001" customHeight="1">
      <c r="B25" s="148" t="s">
        <v>77</v>
      </c>
      <c r="C25" s="148"/>
      <c r="D25" s="148"/>
      <c r="E25" s="148"/>
      <c r="F25" s="148"/>
      <c r="G25" s="148"/>
      <c r="H25" s="148"/>
      <c r="I25" s="148"/>
    </row>
    <row r="26" spans="2:9" s="12" customFormat="1">
      <c r="B26" s="13"/>
      <c r="C26" s="13" t="s">
        <v>78</v>
      </c>
      <c r="D26" s="12" t="s">
        <v>51</v>
      </c>
      <c r="E26" s="13"/>
      <c r="F26" s="11"/>
      <c r="G26" s="13"/>
      <c r="H26" s="15"/>
      <c r="I26" s="13"/>
    </row>
    <row r="27" spans="2:9" s="26" customFormat="1" ht="42.75">
      <c r="B27" s="18"/>
      <c r="C27" s="13" t="s">
        <v>79</v>
      </c>
      <c r="D27" s="26" t="s">
        <v>52</v>
      </c>
      <c r="E27" s="18"/>
      <c r="F27" s="20"/>
      <c r="G27" s="18"/>
      <c r="H27" s="19"/>
      <c r="I27" s="18"/>
    </row>
    <row r="28" spans="2:9" s="26" customFormat="1">
      <c r="B28" s="18"/>
      <c r="C28" s="13" t="s">
        <v>80</v>
      </c>
      <c r="D28" s="116">
        <v>3502485184</v>
      </c>
      <c r="E28" s="21"/>
      <c r="F28" s="21"/>
      <c r="G28" s="21"/>
      <c r="H28" s="21"/>
      <c r="I28" s="18"/>
    </row>
    <row r="29" spans="2:9" s="26" customFormat="1" ht="28.5">
      <c r="B29" s="18"/>
      <c r="C29" s="18" t="s">
        <v>81</v>
      </c>
      <c r="D29" s="26" t="s">
        <v>53</v>
      </c>
      <c r="E29" s="21"/>
      <c r="F29" s="21"/>
      <c r="G29" s="21"/>
      <c r="H29" s="21"/>
      <c r="I29" s="18"/>
    </row>
    <row r="30" spans="2:9" s="12" customFormat="1" ht="19.5" customHeight="1">
      <c r="B30" s="148" t="s">
        <v>82</v>
      </c>
      <c r="C30" s="148"/>
      <c r="D30" s="148"/>
      <c r="E30" s="148"/>
      <c r="F30" s="148"/>
      <c r="G30" s="148"/>
      <c r="H30" s="148"/>
      <c r="I30" s="148"/>
    </row>
    <row r="31" spans="2:9" s="12" customFormat="1">
      <c r="B31" s="13"/>
      <c r="C31" s="110" t="s">
        <v>83</v>
      </c>
      <c r="E31" s="13"/>
      <c r="F31" s="11"/>
      <c r="G31" s="13"/>
      <c r="H31" s="15"/>
      <c r="I31" s="13"/>
    </row>
    <row r="32" spans="2:9" s="26" customFormat="1">
      <c r="B32" s="18"/>
      <c r="C32" s="110" t="s">
        <v>84</v>
      </c>
      <c r="E32" s="18"/>
      <c r="F32" s="20"/>
      <c r="G32" s="18"/>
      <c r="H32" s="19"/>
      <c r="I32" s="18"/>
    </row>
    <row r="33" spans="2:9" s="26" customFormat="1" ht="14.25" customHeight="1">
      <c r="B33" s="18"/>
      <c r="C33" s="110" t="s">
        <v>85</v>
      </c>
      <c r="E33" s="17"/>
      <c r="F33" s="17"/>
      <c r="G33" s="17"/>
      <c r="H33" s="17"/>
      <c r="I33" s="18"/>
    </row>
    <row r="34" spans="2:9" s="12" customFormat="1">
      <c r="B34" s="148"/>
      <c r="C34" s="148"/>
      <c r="D34" s="148"/>
      <c r="E34" s="148"/>
      <c r="F34" s="148"/>
      <c r="G34" s="148"/>
      <c r="H34" s="148"/>
      <c r="I34" s="148"/>
    </row>
    <row r="35" spans="2:9" s="12" customFormat="1" ht="27.95" customHeight="1">
      <c r="B35" s="152" t="s">
        <v>86</v>
      </c>
      <c r="C35" s="153"/>
      <c r="D35" s="153"/>
      <c r="E35" s="153"/>
      <c r="F35" s="153"/>
      <c r="G35" s="153"/>
      <c r="H35" s="153"/>
      <c r="I35" s="153"/>
    </row>
    <row r="36" spans="2:9" s="12" customFormat="1" ht="29.1" customHeight="1">
      <c r="B36" s="152" t="s">
        <v>87</v>
      </c>
      <c r="C36" s="153"/>
      <c r="D36" s="153"/>
      <c r="E36" s="153"/>
      <c r="F36" s="153"/>
      <c r="G36" s="153"/>
      <c r="H36" s="153"/>
      <c r="I36" s="153"/>
    </row>
    <row r="37" spans="2:9" s="12" customFormat="1">
      <c r="B37" s="17"/>
      <c r="C37" s="13"/>
      <c r="D37" s="13"/>
      <c r="E37" s="13"/>
      <c r="F37" s="11"/>
      <c r="G37" s="13"/>
      <c r="H37" s="15"/>
      <c r="I37" s="13"/>
    </row>
    <row r="38" spans="2:9" s="12" customFormat="1" ht="13.35" customHeight="1">
      <c r="B38" s="14"/>
      <c r="C38" s="14"/>
      <c r="D38" s="14"/>
      <c r="E38" s="14"/>
      <c r="F38" s="11"/>
      <c r="G38" s="22" t="s">
        <v>47</v>
      </c>
      <c r="H38" s="15"/>
      <c r="I38" s="14"/>
    </row>
    <row r="39" spans="2:9" s="12" customFormat="1" ht="13.35" customHeight="1">
      <c r="B39" s="14"/>
      <c r="C39" s="14"/>
      <c r="D39" s="14"/>
      <c r="E39" s="14"/>
      <c r="F39" s="11"/>
      <c r="G39" s="22"/>
      <c r="H39" s="15"/>
      <c r="I39" s="14"/>
    </row>
    <row r="40" spans="2:9" s="12" customFormat="1">
      <c r="D40" s="14"/>
      <c r="E40" s="14"/>
      <c r="F40" s="11"/>
      <c r="G40" s="13"/>
      <c r="H40" s="15"/>
      <c r="I40" s="14"/>
    </row>
    <row r="41" spans="2:9" s="12" customFormat="1">
      <c r="B41" s="27"/>
      <c r="C41" s="14"/>
      <c r="D41" s="14"/>
      <c r="E41" s="14"/>
      <c r="F41" s="23"/>
      <c r="G41" s="23"/>
      <c r="H41" s="15"/>
      <c r="I41" s="14"/>
    </row>
    <row r="42" spans="2:9" s="12" customFormat="1">
      <c r="B42" s="27"/>
      <c r="C42" s="14"/>
      <c r="D42" s="14"/>
      <c r="E42" s="14"/>
      <c r="F42" s="23"/>
      <c r="G42" s="23"/>
      <c r="H42" s="15"/>
      <c r="I42" s="14"/>
    </row>
    <row r="43" spans="2:9" s="12" customFormat="1">
      <c r="B43" s="28"/>
      <c r="C43" s="14"/>
      <c r="D43" s="14"/>
      <c r="E43" s="14"/>
      <c r="F43" s="24"/>
      <c r="G43" s="23"/>
      <c r="H43" s="15"/>
      <c r="I43" s="14"/>
    </row>
    <row r="44" spans="2:9" s="12" customFormat="1">
      <c r="B44" s="28"/>
      <c r="C44" s="14"/>
      <c r="D44" s="14"/>
      <c r="E44" s="14"/>
      <c r="F44" s="24"/>
      <c r="G44" s="23"/>
      <c r="H44" s="15"/>
      <c r="I44" s="14"/>
    </row>
    <row r="45" spans="2:9" s="12" customFormat="1">
      <c r="B45" s="29"/>
      <c r="C45" s="13"/>
      <c r="D45" s="14"/>
      <c r="E45" s="14"/>
      <c r="F45" s="24"/>
      <c r="G45" s="23"/>
      <c r="H45" s="15"/>
      <c r="I45" s="14"/>
    </row>
  </sheetData>
  <mergeCells count="28">
    <mergeCell ref="B35:I35"/>
    <mergeCell ref="B36:I36"/>
    <mergeCell ref="B30:I30"/>
    <mergeCell ref="B24:I24"/>
    <mergeCell ref="B20:I20"/>
    <mergeCell ref="B21:I21"/>
    <mergeCell ref="B22:I22"/>
    <mergeCell ref="B23:I23"/>
    <mergeCell ref="B25:I25"/>
    <mergeCell ref="B34:I34"/>
    <mergeCell ref="B16:I16"/>
    <mergeCell ref="B19:I19"/>
    <mergeCell ref="B18:I18"/>
    <mergeCell ref="B7:F7"/>
    <mergeCell ref="G7:H7"/>
    <mergeCell ref="G8:I8"/>
    <mergeCell ref="B9:I9"/>
    <mergeCell ref="B15:I15"/>
    <mergeCell ref="A1:I3"/>
    <mergeCell ref="B5:I5"/>
    <mergeCell ref="B14:F14"/>
    <mergeCell ref="B12:F12"/>
    <mergeCell ref="B13:F13"/>
    <mergeCell ref="H10:I10"/>
    <mergeCell ref="H12:I12"/>
    <mergeCell ref="H13:I13"/>
    <mergeCell ref="H14:I14"/>
    <mergeCell ref="B6:F6"/>
  </mergeCells>
  <printOptions horizontalCentered="1"/>
  <pageMargins left="0" right="0" top="0" bottom="0" header="0" footer="0"/>
  <pageSetup paperSize="9" scale="70" fitToHeight="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E3:J6"/>
  <sheetViews>
    <sheetView zoomScaleNormal="100" workbookViewId="0">
      <selection activeCell="F4" sqref="F4:J4"/>
    </sheetView>
  </sheetViews>
  <sheetFormatPr defaultRowHeight="15"/>
  <cols>
    <col min="5" max="5" width="5.42578125" customWidth="1"/>
    <col min="6" max="6" width="56.5703125" customWidth="1"/>
    <col min="7" max="7" width="9.28515625" customWidth="1"/>
    <col min="8" max="8" width="11.85546875" customWidth="1"/>
    <col min="9" max="9" width="11.5703125" customWidth="1"/>
    <col min="10" max="10" width="14.140625" customWidth="1"/>
  </cols>
  <sheetData>
    <row r="3" spans="5:10" ht="42" customHeight="1">
      <c r="E3" s="117" t="s">
        <v>56</v>
      </c>
      <c r="F3" s="117" t="s">
        <v>57</v>
      </c>
      <c r="G3" s="117" t="s">
        <v>58</v>
      </c>
      <c r="H3" s="117" t="s">
        <v>59</v>
      </c>
      <c r="I3" s="117" t="s">
        <v>60</v>
      </c>
      <c r="J3" s="117" t="s">
        <v>61</v>
      </c>
    </row>
    <row r="4" spans="5:10" ht="57.95" customHeight="1">
      <c r="E4" s="118">
        <v>1</v>
      </c>
      <c r="F4" s="122"/>
      <c r="G4" s="118"/>
      <c r="H4" s="119"/>
      <c r="I4" s="119"/>
      <c r="J4" s="120"/>
    </row>
    <row r="5" spans="5:10" ht="17.45" customHeight="1">
      <c r="E5" s="156" t="s">
        <v>55</v>
      </c>
      <c r="F5" s="156"/>
      <c r="G5" s="156"/>
      <c r="H5" s="156"/>
      <c r="I5" s="123">
        <f>I4*10%</f>
        <v>0</v>
      </c>
      <c r="J5" s="118"/>
    </row>
    <row r="6" spans="5:10" ht="18.600000000000001" customHeight="1">
      <c r="E6" s="156" t="s">
        <v>54</v>
      </c>
      <c r="F6" s="156"/>
      <c r="G6" s="156"/>
      <c r="H6" s="156"/>
      <c r="I6" s="124">
        <f>I4+I5</f>
        <v>0</v>
      </c>
      <c r="J6" s="121"/>
    </row>
  </sheetData>
  <mergeCells count="2">
    <mergeCell ref="E5:H5"/>
    <mergeCell ref="E6:H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38"/>
  <sheetViews>
    <sheetView topLeftCell="A34" workbookViewId="0">
      <selection activeCell="I17" sqref="I17"/>
    </sheetView>
  </sheetViews>
  <sheetFormatPr defaultColWidth="10.85546875" defaultRowHeight="15"/>
  <cols>
    <col min="2" max="2" width="26.140625" customWidth="1"/>
    <col min="3" max="3" width="18.42578125" customWidth="1"/>
    <col min="4" max="4" width="15.5703125" customWidth="1"/>
    <col min="5" max="5" width="19.42578125" customWidth="1"/>
    <col min="7" max="7" width="13.5703125" bestFit="1" customWidth="1"/>
  </cols>
  <sheetData>
    <row r="1" spans="1:8" s="34" customFormat="1" ht="12.75">
      <c r="A1" s="30"/>
      <c r="B1" s="31" t="s">
        <v>2</v>
      </c>
      <c r="C1" s="32"/>
      <c r="D1" s="33"/>
      <c r="H1" s="35"/>
    </row>
    <row r="2" spans="1:8" s="34" customFormat="1" ht="12.75">
      <c r="A2" s="30"/>
      <c r="B2" s="36" t="s">
        <v>3</v>
      </c>
      <c r="C2" s="31"/>
      <c r="D2" s="33"/>
      <c r="G2" s="37"/>
      <c r="H2" s="35"/>
    </row>
    <row r="3" spans="1:8" s="34" customFormat="1" ht="12.75">
      <c r="A3" s="30"/>
      <c r="B3" s="31" t="s">
        <v>4</v>
      </c>
      <c r="C3" s="31"/>
      <c r="D3" s="33"/>
      <c r="E3" s="38" t="s">
        <v>5</v>
      </c>
      <c r="F3" s="39">
        <v>23850</v>
      </c>
      <c r="H3" s="40"/>
    </row>
    <row r="4" spans="1:8" s="30" customFormat="1" ht="12.75">
      <c r="A4" s="41" t="s">
        <v>0</v>
      </c>
      <c r="B4" s="41" t="s">
        <v>6</v>
      </c>
      <c r="C4" s="42" t="s">
        <v>7</v>
      </c>
      <c r="D4" s="43" t="s">
        <v>8</v>
      </c>
      <c r="E4" s="44" t="s">
        <v>9</v>
      </c>
      <c r="F4" s="44" t="s">
        <v>10</v>
      </c>
      <c r="H4" s="45"/>
    </row>
    <row r="5" spans="1:8" s="51" customFormat="1" ht="12.75">
      <c r="A5" s="46">
        <v>1</v>
      </c>
      <c r="B5" s="47" t="s">
        <v>11</v>
      </c>
      <c r="C5" s="47"/>
      <c r="D5" s="48">
        <f>E5/$F$3</f>
        <v>338.36477987421381</v>
      </c>
      <c r="E5" s="49">
        <f>MS!G14</f>
        <v>8070000</v>
      </c>
      <c r="F5" s="50"/>
      <c r="H5" s="52"/>
    </row>
    <row r="6" spans="1:8" s="51" customFormat="1" ht="12.75">
      <c r="A6" s="46">
        <v>2</v>
      </c>
      <c r="B6" s="47" t="s">
        <v>12</v>
      </c>
      <c r="C6" s="47"/>
      <c r="D6" s="48" t="e">
        <f>E6/$F$3</f>
        <v>#REF!</v>
      </c>
      <c r="E6" s="49" t="e">
        <f>SUM(E7:E13)</f>
        <v>#REF!</v>
      </c>
      <c r="F6" s="50"/>
      <c r="H6" s="52"/>
    </row>
    <row r="7" spans="1:8" s="51" customFormat="1" ht="12.75">
      <c r="A7" s="53"/>
      <c r="B7" s="54" t="s">
        <v>13</v>
      </c>
      <c r="C7" s="54"/>
      <c r="D7" s="48" t="e">
        <f t="shared" ref="D7" si="0">E7/$F$3</f>
        <v>#REF!</v>
      </c>
      <c r="E7" s="55" t="e">
        <f>G7*F3</f>
        <v>#REF!</v>
      </c>
      <c r="F7" s="56"/>
      <c r="G7" s="57" t="e">
        <f>MS!#REF!</f>
        <v>#REF!</v>
      </c>
      <c r="H7" s="52"/>
    </row>
    <row r="8" spans="1:8" s="51" customFormat="1" ht="12.75">
      <c r="A8" s="53"/>
      <c r="B8" s="58" t="s">
        <v>14</v>
      </c>
      <c r="C8" s="59">
        <v>0.03</v>
      </c>
      <c r="D8" s="48">
        <f>E8/$F$3</f>
        <v>0</v>
      </c>
      <c r="E8" s="60">
        <f>ROUND(C8*E5,-6)</f>
        <v>0</v>
      </c>
      <c r="F8" s="61"/>
      <c r="G8" s="57"/>
      <c r="H8" s="52"/>
    </row>
    <row r="9" spans="1:8" s="51" customFormat="1" ht="12.75">
      <c r="A9" s="53"/>
      <c r="B9" s="54" t="s">
        <v>15</v>
      </c>
      <c r="C9" s="54"/>
      <c r="D9" s="48">
        <f t="shared" ref="D9:D32" si="1">E9/$F$3</f>
        <v>0</v>
      </c>
      <c r="E9" s="62">
        <f>E8*5%</f>
        <v>0</v>
      </c>
      <c r="F9" s="56"/>
      <c r="G9" s="57"/>
      <c r="H9" s="52"/>
    </row>
    <row r="10" spans="1:8" s="51" customFormat="1" ht="12.75">
      <c r="A10" s="53"/>
      <c r="B10" s="54" t="s">
        <v>16</v>
      </c>
      <c r="C10" s="59">
        <v>2E-3</v>
      </c>
      <c r="D10" s="48">
        <f t="shared" si="1"/>
        <v>0.67672955974842763</v>
      </c>
      <c r="E10" s="62">
        <f>C10*E5</f>
        <v>16140</v>
      </c>
      <c r="F10" s="56"/>
      <c r="H10" s="52"/>
    </row>
    <row r="11" spans="1:8" s="68" customFormat="1" ht="25.5">
      <c r="A11" s="63" t="s">
        <v>17</v>
      </c>
      <c r="B11" s="64" t="s">
        <v>18</v>
      </c>
      <c r="C11" s="65">
        <v>4.0000000000000001E-3</v>
      </c>
      <c r="D11" s="48">
        <f t="shared" si="1"/>
        <v>1.3534591194968553</v>
      </c>
      <c r="E11" s="66">
        <f>C11*E5</f>
        <v>32280</v>
      </c>
      <c r="F11" s="67"/>
      <c r="H11" s="69"/>
    </row>
    <row r="12" spans="1:8" s="68" customFormat="1" ht="12.75">
      <c r="A12" s="63" t="s">
        <v>17</v>
      </c>
      <c r="B12" s="64" t="s">
        <v>19</v>
      </c>
      <c r="C12" s="65">
        <v>2E-3</v>
      </c>
      <c r="D12" s="48">
        <f t="shared" si="1"/>
        <v>0.67672955974842763</v>
      </c>
      <c r="E12" s="66">
        <f>C12*E5</f>
        <v>16140</v>
      </c>
      <c r="F12" s="67"/>
      <c r="H12" s="69"/>
    </row>
    <row r="13" spans="1:8" s="68" customFormat="1" ht="12.75">
      <c r="A13" s="63"/>
      <c r="B13" s="64" t="s">
        <v>20</v>
      </c>
      <c r="C13" s="65"/>
      <c r="D13" s="48"/>
      <c r="E13" s="66">
        <f>SUM(E14:E15)</f>
        <v>96840</v>
      </c>
      <c r="F13" s="67"/>
      <c r="H13" s="69"/>
    </row>
    <row r="14" spans="1:8" s="51" customFormat="1" ht="12.75">
      <c r="A14" s="53"/>
      <c r="B14" s="70" t="s">
        <v>21</v>
      </c>
      <c r="C14" s="59">
        <v>1.4999999999999999E-2</v>
      </c>
      <c r="D14" s="48">
        <f t="shared" si="1"/>
        <v>4.060377358490566</v>
      </c>
      <c r="E14" s="71">
        <f>ROUND(C14*E5,0)*0.8</f>
        <v>96840</v>
      </c>
      <c r="F14" s="56"/>
      <c r="H14" s="52"/>
    </row>
    <row r="15" spans="1:8" s="51" customFormat="1" ht="12.75">
      <c r="A15" s="53"/>
      <c r="B15" s="70" t="s">
        <v>22</v>
      </c>
      <c r="C15" s="59">
        <v>0</v>
      </c>
      <c r="D15" s="48">
        <f t="shared" si="1"/>
        <v>0</v>
      </c>
      <c r="E15" s="56"/>
      <c r="F15" s="72"/>
      <c r="H15" s="52"/>
    </row>
    <row r="16" spans="1:8" s="51" customFormat="1" ht="25.5">
      <c r="A16" s="46">
        <v>3</v>
      </c>
      <c r="B16" s="47" t="s">
        <v>23</v>
      </c>
      <c r="C16" s="73"/>
      <c r="D16" s="48" t="e">
        <f t="shared" si="1"/>
        <v>#REF!</v>
      </c>
      <c r="E16" s="74" t="e">
        <f>E5-E6</f>
        <v>#REF!</v>
      </c>
      <c r="F16" s="47" t="s">
        <v>24</v>
      </c>
      <c r="H16" s="52"/>
    </row>
    <row r="17" spans="1:8" s="51" customFormat="1" ht="12.75">
      <c r="A17" s="75"/>
      <c r="B17" s="47" t="s">
        <v>25</v>
      </c>
      <c r="C17" s="76"/>
      <c r="D17" s="48" t="e">
        <f t="shared" si="1"/>
        <v>#REF!</v>
      </c>
      <c r="E17" s="77" t="e">
        <f>E16/E5</f>
        <v>#REF!</v>
      </c>
      <c r="F17" s="78"/>
      <c r="G17" s="79"/>
      <c r="H17" s="80"/>
    </row>
    <row r="18" spans="1:8" s="51" customFormat="1" ht="12.75">
      <c r="A18" s="46">
        <v>4</v>
      </c>
      <c r="B18" s="47" t="s">
        <v>26</v>
      </c>
      <c r="C18" s="81"/>
      <c r="D18" s="48" t="e">
        <f t="shared" si="1"/>
        <v>#REF!</v>
      </c>
      <c r="E18" s="74" t="e">
        <f>SUM(E20:E24)</f>
        <v>#REF!</v>
      </c>
      <c r="F18" s="78"/>
      <c r="H18" s="80"/>
    </row>
    <row r="19" spans="1:8" s="68" customFormat="1" ht="12.75">
      <c r="A19" s="82"/>
      <c r="B19" s="54" t="s">
        <v>27</v>
      </c>
      <c r="C19" s="83"/>
      <c r="D19" s="48">
        <f t="shared" si="1"/>
        <v>1.2578616352201257E-4</v>
      </c>
      <c r="E19" s="56">
        <v>3</v>
      </c>
      <c r="F19" s="84"/>
      <c r="H19" s="69"/>
    </row>
    <row r="20" spans="1:8" s="68" customFormat="1" ht="38.25">
      <c r="A20" s="63" t="s">
        <v>17</v>
      </c>
      <c r="B20" s="64" t="s">
        <v>28</v>
      </c>
      <c r="C20" s="65" t="e">
        <f>E20/E5</f>
        <v>#REF!</v>
      </c>
      <c r="D20" s="48" t="e">
        <f t="shared" si="1"/>
        <v>#REF!</v>
      </c>
      <c r="E20" s="66" t="e">
        <f>((E7-G20)*E19*9%/360)</f>
        <v>#REF!</v>
      </c>
      <c r="F20" s="67" t="s">
        <v>29</v>
      </c>
      <c r="H20" s="69"/>
    </row>
    <row r="21" spans="1:8" s="34" customFormat="1" ht="12.75">
      <c r="A21" s="30"/>
      <c r="D21" s="48">
        <f t="shared" si="1"/>
        <v>0</v>
      </c>
      <c r="H21" s="35"/>
    </row>
    <row r="22" spans="1:8" s="68" customFormat="1" ht="38.25">
      <c r="A22" s="63" t="s">
        <v>17</v>
      </c>
      <c r="B22" s="64" t="s">
        <v>30</v>
      </c>
      <c r="C22" s="65">
        <v>0.03</v>
      </c>
      <c r="D22" s="48" t="e">
        <f t="shared" si="1"/>
        <v>#REF!</v>
      </c>
      <c r="E22" s="66" t="e">
        <f>C22*E16</f>
        <v>#REF!</v>
      </c>
      <c r="F22" s="67" t="s">
        <v>31</v>
      </c>
      <c r="H22" s="69"/>
    </row>
    <row r="23" spans="1:8" s="68" customFormat="1" ht="12.75">
      <c r="A23" s="63"/>
      <c r="B23" s="64" t="s">
        <v>32</v>
      </c>
      <c r="C23" s="65">
        <v>0</v>
      </c>
      <c r="D23" s="48">
        <f t="shared" si="1"/>
        <v>0</v>
      </c>
      <c r="E23" s="66">
        <f>C23*E5</f>
        <v>0</v>
      </c>
      <c r="F23" s="67"/>
      <c r="H23" s="69"/>
    </row>
    <row r="24" spans="1:8" s="68" customFormat="1" ht="12.75">
      <c r="A24" s="63" t="s">
        <v>17</v>
      </c>
      <c r="B24" s="64" t="s">
        <v>33</v>
      </c>
      <c r="C24" s="65"/>
      <c r="D24" s="48">
        <f t="shared" si="1"/>
        <v>0</v>
      </c>
      <c r="E24" s="66">
        <v>0</v>
      </c>
      <c r="F24" s="67"/>
      <c r="H24" s="69"/>
    </row>
    <row r="25" spans="1:8" s="51" customFormat="1" ht="12.75">
      <c r="A25" s="46">
        <v>5</v>
      </c>
      <c r="B25" s="47" t="s">
        <v>34</v>
      </c>
      <c r="C25" s="81"/>
      <c r="D25" s="48" t="e">
        <f t="shared" si="1"/>
        <v>#REF!</v>
      </c>
      <c r="E25" s="74" t="e">
        <f>E16-E18</f>
        <v>#REF!</v>
      </c>
      <c r="F25" s="78"/>
      <c r="G25" s="51" t="e">
        <f>E25/E8</f>
        <v>#REF!</v>
      </c>
      <c r="H25" s="52"/>
    </row>
    <row r="26" spans="1:8" s="51" customFormat="1" ht="25.5">
      <c r="A26" s="75"/>
      <c r="B26" s="47" t="s">
        <v>35</v>
      </c>
      <c r="C26" s="76"/>
      <c r="D26" s="48" t="e">
        <f t="shared" si="1"/>
        <v>#REF!</v>
      </c>
      <c r="E26" s="77" t="e">
        <f>E25/E5</f>
        <v>#REF!</v>
      </c>
      <c r="F26" s="78" t="s">
        <v>36</v>
      </c>
      <c r="H26" s="80"/>
    </row>
    <row r="27" spans="1:8" s="86" customFormat="1" ht="12.75">
      <c r="A27" s="53"/>
      <c r="B27" s="54"/>
      <c r="C27" s="59"/>
      <c r="D27" s="48">
        <f t="shared" si="1"/>
        <v>0</v>
      </c>
      <c r="E27" s="85"/>
      <c r="F27" s="72"/>
      <c r="H27" s="87"/>
    </row>
    <row r="28" spans="1:8" s="51" customFormat="1" ht="12.75">
      <c r="A28" s="46">
        <v>6</v>
      </c>
      <c r="B28" s="47" t="s">
        <v>37</v>
      </c>
      <c r="C28" s="81">
        <f>SUM(C29:C30)</f>
        <v>0</v>
      </c>
      <c r="D28" s="48">
        <f t="shared" si="1"/>
        <v>0</v>
      </c>
      <c r="E28" s="74">
        <f>C28*E5</f>
        <v>0</v>
      </c>
      <c r="F28" s="78"/>
      <c r="H28" s="52"/>
    </row>
    <row r="29" spans="1:8" s="68" customFormat="1" ht="25.5">
      <c r="A29" s="63"/>
      <c r="B29" s="64" t="s">
        <v>38</v>
      </c>
      <c r="C29" s="65">
        <v>0</v>
      </c>
      <c r="D29" s="48">
        <f t="shared" si="1"/>
        <v>0</v>
      </c>
      <c r="E29" s="66">
        <f>C29*E5</f>
        <v>0</v>
      </c>
      <c r="F29" s="67" t="s">
        <v>24</v>
      </c>
      <c r="H29" s="69"/>
    </row>
    <row r="30" spans="1:8" s="68" customFormat="1" ht="25.5">
      <c r="A30" s="63"/>
      <c r="B30" s="64" t="s">
        <v>39</v>
      </c>
      <c r="C30" s="65">
        <v>0</v>
      </c>
      <c r="D30" s="48">
        <f t="shared" si="1"/>
        <v>0</v>
      </c>
      <c r="E30" s="66">
        <f>C30*E5</f>
        <v>0</v>
      </c>
      <c r="F30" s="67" t="s">
        <v>24</v>
      </c>
      <c r="H30" s="69"/>
    </row>
    <row r="31" spans="1:8" s="34" customFormat="1" ht="12.75">
      <c r="A31" s="46">
        <v>7</v>
      </c>
      <c r="B31" s="47" t="s">
        <v>40</v>
      </c>
      <c r="C31" s="81"/>
      <c r="D31" s="48" t="e">
        <f t="shared" si="1"/>
        <v>#REF!</v>
      </c>
      <c r="E31" s="74" t="e">
        <f>E25-E28</f>
        <v>#REF!</v>
      </c>
      <c r="F31" s="78"/>
      <c r="H31" s="35"/>
    </row>
    <row r="32" spans="1:8" s="51" customFormat="1" ht="25.5">
      <c r="A32" s="88"/>
      <c r="B32" s="89" t="s">
        <v>41</v>
      </c>
      <c r="C32" s="90"/>
      <c r="D32" s="48" t="e">
        <f t="shared" si="1"/>
        <v>#REF!</v>
      </c>
      <c r="E32" s="91" t="e">
        <f>E31/E5</f>
        <v>#REF!</v>
      </c>
      <c r="F32" s="92"/>
      <c r="H32" s="80"/>
    </row>
    <row r="33" spans="1:8" s="34" customFormat="1" ht="12.75">
      <c r="A33" s="30"/>
      <c r="B33" s="93"/>
      <c r="C33" s="93"/>
      <c r="D33" s="94"/>
      <c r="E33" s="95"/>
      <c r="H33" s="35"/>
    </row>
    <row r="34" spans="1:8" s="34" customFormat="1" ht="12.75">
      <c r="A34" s="30"/>
      <c r="B34" s="96"/>
      <c r="C34" s="96"/>
      <c r="D34" s="35"/>
      <c r="E34" s="97"/>
      <c r="H34" s="35"/>
    </row>
    <row r="35" spans="1:8" s="34" customFormat="1" ht="12.75">
      <c r="A35" s="30"/>
      <c r="B35" s="98"/>
      <c r="C35" s="98"/>
      <c r="D35" s="99"/>
      <c r="E35" s="100"/>
      <c r="F35" s="101" t="s">
        <v>42</v>
      </c>
      <c r="H35" s="35"/>
    </row>
    <row r="36" spans="1:8" s="34" customFormat="1" ht="12.75">
      <c r="A36" s="30"/>
      <c r="B36" s="102" t="s">
        <v>43</v>
      </c>
      <c r="C36" s="103" t="s">
        <v>44</v>
      </c>
      <c r="D36" s="104"/>
      <c r="E36" s="100"/>
      <c r="F36" s="105" t="s">
        <v>45</v>
      </c>
      <c r="H36" s="35"/>
    </row>
    <row r="37" spans="1:8" s="34" customFormat="1" ht="12.75">
      <c r="A37" s="30"/>
      <c r="B37" s="106"/>
      <c r="C37" s="106"/>
      <c r="D37" s="107"/>
      <c r="E37" s="108"/>
      <c r="F37" s="109"/>
      <c r="H37" s="35"/>
    </row>
    <row r="38" spans="1:8" s="34" customFormat="1" ht="12.75">
      <c r="A38" s="30"/>
      <c r="B38" s="96"/>
      <c r="C38" s="96"/>
      <c r="D38" s="35"/>
      <c r="E38" s="97"/>
      <c r="H38" s="35"/>
    </row>
  </sheetData>
  <pageMargins left="0.7" right="0.7" top="0.75" bottom="0.75" header="0.3" footer="0.3"/>
  <pageSetup paperSize="9" orientation="portrait" horizontalDpi="0" verticalDpi="0"/>
  <legacyDrawing r:id="rId1"/>
</worksheet>
</file>

<file path=docMetadata/LabelInfo.xml><?xml version="1.0" encoding="utf-8"?>
<clbl:labelList xmlns:clbl="http://schemas.microsoft.com/office/2020/mipLabelMetadata">
  <clbl:label id="{2f173612-6f45-4520-9df8-32d7ba5f2c44}" enabled="0" method="" siteId="{2f173612-6f45-4520-9df8-32d7ba5f2c44}"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MS</vt:lpstr>
      <vt:lpstr>Sheet1</vt:lpstr>
      <vt:lpstr>PAKD</vt:lpstr>
      <vt:lpstr>MS!Print_Area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Thao.Nguyen Thi /CMCSISG-QA Executive</dc:creator>
  <cp:keywords/>
  <dc:description/>
  <cp:lastModifiedBy>Huynh Trong Hieu</cp:lastModifiedBy>
  <cp:revision/>
  <cp:lastPrinted>2024-08-31T04:23:00Z</cp:lastPrinted>
  <dcterms:created xsi:type="dcterms:W3CDTF">2018-01-03T07:37:56Z</dcterms:created>
  <dcterms:modified xsi:type="dcterms:W3CDTF">2024-08-31T04:23:13Z</dcterms:modified>
  <cp:category/>
  <cp:contentStatus/>
</cp:coreProperties>
</file>