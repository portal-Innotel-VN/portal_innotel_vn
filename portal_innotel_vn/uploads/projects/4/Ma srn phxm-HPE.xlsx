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neDrive-hps\OneDrive - hps.edu.vn\01-Workspace\Alphanam\BoQ\_Newest\"/>
    </mc:Choice>
  </mc:AlternateContent>
  <bookViews>
    <workbookView xWindow="0" yWindow="180" windowWidth="16380" windowHeight="8010" tabRatio="500"/>
  </bookViews>
  <sheets>
    <sheet name="Networking BOQ" sheetId="5" r:id="rId1"/>
    <sheet name="Accessory" sheetId="6" r:id="rId2"/>
    <sheet name="Detail" sheetId="1" state="hidden" r:id="rId3"/>
    <sheet name="Apartment" sheetId="2" state="hidden" r:id="rId4"/>
    <sheet name="GPON" sheetId="3" state="hidden" r:id="rId5"/>
    <sheet name="Trang_tính1" sheetId="4" state="hidden" r:id="rId6"/>
  </sheets>
  <definedNames>
    <definedName name="_xlnm.Print_Area" localSheetId="1">Accessory!$A$1:$F$17</definedName>
    <definedName name="_xlnm.Print_Area" localSheetId="2">Detail!$A$1:$T$59</definedName>
    <definedName name="_xlnm.Print_Area" localSheetId="0">'Networking BOQ'!$A$1:$G$50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7" i="1" l="1"/>
  <c r="C31" i="5" l="1"/>
  <c r="B55" i="1" l="1"/>
  <c r="C34" i="5" l="1"/>
  <c r="C32" i="5"/>
  <c r="C36" i="5" l="1"/>
  <c r="L55" i="1"/>
  <c r="C4" i="6" s="1"/>
  <c r="G55" i="1"/>
  <c r="T50" i="1"/>
  <c r="S50" i="1"/>
  <c r="R50" i="1"/>
  <c r="Q50" i="1"/>
  <c r="P50" i="1"/>
  <c r="O50" i="1"/>
  <c r="N50" i="1"/>
  <c r="T47" i="1"/>
  <c r="S47" i="1"/>
  <c r="R47" i="1"/>
  <c r="Q47" i="1"/>
  <c r="P47" i="1"/>
  <c r="O47" i="1"/>
  <c r="N47" i="1"/>
  <c r="T44" i="1"/>
  <c r="S44" i="1"/>
  <c r="R44" i="1"/>
  <c r="Q44" i="1"/>
  <c r="P44" i="1"/>
  <c r="O44" i="1"/>
  <c r="N44" i="1"/>
  <c r="T41" i="1"/>
  <c r="S41" i="1"/>
  <c r="R41" i="1"/>
  <c r="Q41" i="1"/>
  <c r="P41" i="1"/>
  <c r="O41" i="1"/>
  <c r="N41" i="1"/>
  <c r="T38" i="1"/>
  <c r="S38" i="1"/>
  <c r="R38" i="1"/>
  <c r="Q38" i="1"/>
  <c r="P38" i="1"/>
  <c r="O38" i="1"/>
  <c r="N38" i="1"/>
  <c r="T36" i="1"/>
  <c r="S36" i="1"/>
  <c r="R36" i="1"/>
  <c r="Q36" i="1"/>
  <c r="P36" i="1"/>
  <c r="O36" i="1"/>
  <c r="N36" i="1"/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51" i="1"/>
  <c r="T52" i="1"/>
  <c r="T4" i="1"/>
  <c r="S52" i="1"/>
  <c r="S51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51" i="1"/>
  <c r="R52" i="1"/>
  <c r="R4" i="1"/>
  <c r="Q52" i="1"/>
  <c r="Q51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52" i="1"/>
  <c r="P51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H55" i="1"/>
  <c r="H58" i="1" s="1"/>
  <c r="C14" i="5" s="1"/>
  <c r="N52" i="1"/>
  <c r="N51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O52" i="1"/>
  <c r="O51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T55" i="1" l="1"/>
  <c r="T59" i="1" s="1"/>
  <c r="C17" i="6" s="1"/>
  <c r="R55" i="1"/>
  <c r="R59" i="1" s="1"/>
  <c r="P55" i="1"/>
  <c r="P58" i="1" s="1"/>
  <c r="Q55" i="1"/>
  <c r="C9" i="6" s="1"/>
  <c r="N55" i="1"/>
  <c r="C6" i="6" s="1"/>
  <c r="S55" i="1"/>
  <c r="S59" i="1" s="1"/>
  <c r="C8" i="6" s="1"/>
  <c r="O55" i="1"/>
  <c r="C7" i="6" s="1"/>
  <c r="J55" i="1"/>
  <c r="J58" i="1" s="1"/>
  <c r="C27" i="5" s="1"/>
  <c r="I55" i="1"/>
  <c r="C25" i="5" l="1"/>
  <c r="P59" i="1"/>
  <c r="C15" i="6" s="1"/>
  <c r="C14" i="6"/>
  <c r="C12" i="5"/>
  <c r="G54" i="3"/>
  <c r="E54" i="3"/>
  <c r="D54" i="3"/>
  <c r="B54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55" i="2"/>
  <c r="E55" i="2"/>
  <c r="D55" i="2"/>
  <c r="C55" i="2"/>
  <c r="B55" i="2"/>
  <c r="M55" i="1"/>
  <c r="K55" i="1"/>
  <c r="E55" i="1"/>
  <c r="C21" i="5" s="1"/>
  <c r="D55" i="1"/>
  <c r="C22" i="5" s="1"/>
  <c r="C55" i="1"/>
  <c r="C8" i="5" s="1"/>
  <c r="C9" i="5"/>
  <c r="C11" i="6" l="1"/>
  <c r="M59" i="1"/>
  <c r="C12" i="6" s="1"/>
  <c r="F54" i="3"/>
  <c r="B58" i="1"/>
  <c r="B57" i="1"/>
</calcChain>
</file>

<file path=xl/comments1.xml><?xml version="1.0" encoding="utf-8"?>
<comments xmlns="http://schemas.openxmlformats.org/spreadsheetml/2006/main">
  <authors>
    <author>DucNT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DucNT:</t>
        </r>
        <r>
          <rPr>
            <sz val="9"/>
            <color indexed="81"/>
            <rFont val="Tahoma"/>
            <family val="2"/>
          </rPr>
          <t xml:space="preserve">
SW apart</t>
        </r>
      </text>
    </comment>
  </commentList>
</comments>
</file>

<file path=xl/sharedStrings.xml><?xml version="1.0" encoding="utf-8"?>
<sst xmlns="http://schemas.openxmlformats.org/spreadsheetml/2006/main" count="230" uniqueCount="126">
  <si>
    <t>Floor</t>
  </si>
  <si>
    <t>GPNS</t>
  </si>
  <si>
    <t>Engineer</t>
  </si>
  <si>
    <t>Wifi</t>
  </si>
  <si>
    <t>Data</t>
  </si>
  <si>
    <t>Rack 42U</t>
  </si>
  <si>
    <t>DAC 10G</t>
  </si>
  <si>
    <t>SFP+</t>
  </si>
  <si>
    <t>ODF 12</t>
  </si>
  <si>
    <t>ODF 24</t>
  </si>
  <si>
    <t>B5</t>
  </si>
  <si>
    <t>B4</t>
  </si>
  <si>
    <t>B3</t>
  </si>
  <si>
    <t>B2</t>
  </si>
  <si>
    <t>B1</t>
  </si>
  <si>
    <t>B1A</t>
  </si>
  <si>
    <t>3A</t>
  </si>
  <si>
    <t>4A</t>
  </si>
  <si>
    <t>4B</t>
  </si>
  <si>
    <t>24A</t>
  </si>
  <si>
    <t>KT Bể bơi</t>
  </si>
  <si>
    <t>ROOF</t>
  </si>
  <si>
    <t>Thang máy</t>
  </si>
  <si>
    <t>SUM</t>
  </si>
  <si>
    <t>SW48</t>
  </si>
  <si>
    <t>SW24</t>
  </si>
  <si>
    <t>Switch</t>
  </si>
  <si>
    <t>ONT</t>
  </si>
  <si>
    <t>ODF 48</t>
  </si>
  <si>
    <t>ODF 48
(Khong Coupler)</t>
  </si>
  <si>
    <t>Moi han x 6</t>
  </si>
  <si>
    <t>Tu GPON</t>
  </si>
  <si>
    <t>ggggg</t>
  </si>
  <si>
    <t>Core Switch</t>
  </si>
  <si>
    <t>Access Switch</t>
  </si>
  <si>
    <t>SFP+ 10G</t>
  </si>
  <si>
    <t>Item</t>
  </si>
  <si>
    <t>Part No.</t>
  </si>
  <si>
    <t>Units</t>
  </si>
  <si>
    <t>Engineer Switch Infrastructure</t>
  </si>
  <si>
    <t>GPNS Switch Infrastructure</t>
  </si>
  <si>
    <t>Stack cable</t>
  </si>
  <si>
    <t>24G PoE+ 4SFP+ Switch</t>
  </si>
  <si>
    <t>48G PoE+ 4SFP+ Switch</t>
  </si>
  <si>
    <t>10G SFP+ to SFP+ 3m DAC Cable</t>
  </si>
  <si>
    <t>10G SFP+ LC SR 300m MMF Transceiver</t>
  </si>
  <si>
    <t>……</t>
  </si>
  <si>
    <t xml:space="preserve">Unit
Price
</t>
  </si>
  <si>
    <t>Total</t>
  </si>
  <si>
    <t>Wireless Infrastructure</t>
  </si>
  <si>
    <t>Wireless Controller</t>
  </si>
  <si>
    <t xml:space="preserve">Guest Room Wireless </t>
  </si>
  <si>
    <t>Guest Corridor Wireless</t>
  </si>
  <si>
    <t>Public Area Wireless</t>
  </si>
  <si>
    <t>BOH Wireless</t>
  </si>
  <si>
    <t>Conference Area Wireless</t>
  </si>
  <si>
    <t>Elevator Wireless</t>
  </si>
  <si>
    <t>Test &amp; Commission</t>
  </si>
  <si>
    <t>Heat Map Test (AirMagnet Survey wireless)</t>
  </si>
  <si>
    <t>Pool Tech.</t>
  </si>
  <si>
    <t>Elevator</t>
  </si>
  <si>
    <t>Warranty:
- Server + Core Sw: 3Years, 24/7/4
- Switch + access point: Basic warranty</t>
  </si>
  <si>
    <t>Spare List</t>
  </si>
  <si>
    <t>PP24</t>
  </si>
  <si>
    <t>PP48</t>
  </si>
  <si>
    <t>Fiber PC</t>
  </si>
  <si>
    <t>SFP+ SUM</t>
  </si>
  <si>
    <t>Pigtail SUM</t>
  </si>
  <si>
    <t>Copper PC</t>
  </si>
  <si>
    <t>Adapters Strip, 6 Port SC Duplex (12F) MM</t>
  </si>
  <si>
    <t>For DC:</t>
  </si>
  <si>
    <t>Cab Mgmt</t>
  </si>
  <si>
    <t>PDU 24</t>
  </si>
  <si>
    <t>Rack</t>
  </si>
  <si>
    <t>RACK 42U 800x1000</t>
  </si>
  <si>
    <t>RACK 42U 600x800</t>
  </si>
  <si>
    <t>Path Panel</t>
  </si>
  <si>
    <t>Patch Panel 24</t>
  </si>
  <si>
    <t>Patch Panel 48</t>
  </si>
  <si>
    <t>Fiber Accessory</t>
  </si>
  <si>
    <t>PDU</t>
  </si>
  <si>
    <t>Fiber Patch Cord LC/SC OM3</t>
  </si>
  <si>
    <t>Pigtail SC OM3 Simplex</t>
  </si>
  <si>
    <t>Patch Cord</t>
  </si>
  <si>
    <t>Note</t>
  </si>
  <si>
    <t>Vietrack</t>
  </si>
  <si>
    <t>Belden</t>
  </si>
  <si>
    <t>APC</t>
  </si>
  <si>
    <t>AP will be connected to TV and Telephone (POE)</t>
  </si>
  <si>
    <t>Outdoor Wireless</t>
  </si>
  <si>
    <t>+17 Convert RG6 to Cat6</t>
  </si>
  <si>
    <t>ODF 48 DC</t>
  </si>
  <si>
    <t>DAC sum</t>
  </si>
  <si>
    <t>Rack 42U
(600x800)</t>
  </si>
  <si>
    <t>Part</t>
  </si>
  <si>
    <t>Mô tả</t>
  </si>
  <si>
    <t>J9822A</t>
  </si>
  <si>
    <t>JH235A</t>
  </si>
  <si>
    <t>HPE X242 40G QSFP+ to QSFP+ 3m DAC Cable</t>
  </si>
  <si>
    <t>JL255A</t>
  </si>
  <si>
    <t>Aruba 2930F 24G PoE+ 4SFP+ Switch</t>
  </si>
  <si>
    <t>JL558A</t>
  </si>
  <si>
    <t>Aruba 2930F 48G PoE+ 740W 4SFP+</t>
  </si>
  <si>
    <t>J9283D</t>
  </si>
  <si>
    <t>Aruba 10G SFP+ to SFP+ 3m DAC Cable</t>
  </si>
  <si>
    <t>J9150D</t>
  </si>
  <si>
    <t>Aruba 10G SFP+ LC SR 300m OM3 MMF Transceiver</t>
  </si>
  <si>
    <t>J9821A</t>
  </si>
  <si>
    <t>Aruba 5406R zl2 Switch</t>
  </si>
  <si>
    <t>JW783A</t>
  </si>
  <si>
    <t>Aruba 7240XM (RW) 4p 10GBase-X (SFP+) 2p Dual Pers (10/100/1000BASE-T or SFP) Controller</t>
  </si>
  <si>
    <t>JY678A</t>
  </si>
  <si>
    <t>Aruba AP-303H (RW) Unified AP</t>
  </si>
  <si>
    <t>JZ320A</t>
  </si>
  <si>
    <t>Aruba AP-303 (RW) Unified AP</t>
  </si>
  <si>
    <t>JZ031A</t>
  </si>
  <si>
    <t>Aruba AP-345 (RW) Unified AP</t>
  </si>
  <si>
    <t>JX966A</t>
  </si>
  <si>
    <t>JX936A</t>
  </si>
  <si>
    <r>
      <t xml:space="preserve">Aruba </t>
    </r>
    <r>
      <rPr>
        <b/>
        <sz val="11"/>
        <color rgb="FF000000"/>
        <rFont val="Arial"/>
        <family val="2"/>
      </rPr>
      <t>5412R zl2</t>
    </r>
    <r>
      <rPr>
        <sz val="11"/>
        <color rgb="FF000000"/>
        <rFont val="Arial"/>
        <family val="2"/>
        <charset val="1"/>
      </rPr>
      <t xml:space="preserve"> Switch</t>
    </r>
  </si>
  <si>
    <r>
      <t xml:space="preserve">Aruba </t>
    </r>
    <r>
      <rPr>
        <b/>
        <sz val="11"/>
        <color rgb="FF000000"/>
        <rFont val="Arial"/>
        <family val="2"/>
      </rPr>
      <t>AP-303H (RW)</t>
    </r>
    <r>
      <rPr>
        <sz val="11"/>
        <color rgb="FF000000"/>
        <rFont val="Arial"/>
        <family val="2"/>
        <charset val="1"/>
      </rPr>
      <t xml:space="preserve"> Unified AP</t>
    </r>
  </si>
  <si>
    <r>
      <t xml:space="preserve">Aruba </t>
    </r>
    <r>
      <rPr>
        <b/>
        <sz val="11"/>
        <color rgb="FF000000"/>
        <rFont val="Arial"/>
        <family val="2"/>
      </rPr>
      <t>AP-303 (RW)</t>
    </r>
    <r>
      <rPr>
        <sz val="11"/>
        <color rgb="FF000000"/>
        <rFont val="Arial"/>
        <family val="2"/>
        <charset val="1"/>
      </rPr>
      <t xml:space="preserve"> Unified AP</t>
    </r>
  </si>
  <si>
    <r>
      <t xml:space="preserve">Aruba </t>
    </r>
    <r>
      <rPr>
        <b/>
        <sz val="11"/>
        <color rgb="FF000000"/>
        <rFont val="Arial"/>
        <family val="2"/>
      </rPr>
      <t>AP-305</t>
    </r>
    <r>
      <rPr>
        <sz val="11"/>
        <color rgb="FF000000"/>
        <rFont val="Arial"/>
        <family val="2"/>
        <charset val="1"/>
      </rPr>
      <t xml:space="preserve"> 802.11n/ac 2x2:2/3x3:3 MU-MIMO Dual Radio Integrated Antenna AP</t>
    </r>
  </si>
  <si>
    <r>
      <t xml:space="preserve">Aruba </t>
    </r>
    <r>
      <rPr>
        <b/>
        <sz val="11"/>
        <color rgb="FF000000"/>
        <rFont val="Arial"/>
        <family val="2"/>
      </rPr>
      <t>AP-345 (RW)</t>
    </r>
    <r>
      <rPr>
        <sz val="11"/>
        <color rgb="FF000000"/>
        <rFont val="Arial"/>
        <family val="2"/>
        <charset val="1"/>
      </rPr>
      <t xml:space="preserve"> Unified AP</t>
    </r>
  </si>
  <si>
    <r>
      <t xml:space="preserve">Aruba </t>
    </r>
    <r>
      <rPr>
        <b/>
        <sz val="11"/>
        <color rgb="FF000000"/>
        <rFont val="Arial"/>
        <family val="2"/>
      </rPr>
      <t>AP-365 (RW)</t>
    </r>
    <r>
      <rPr>
        <sz val="11"/>
        <color rgb="FF000000"/>
        <rFont val="Arial"/>
        <family val="2"/>
        <charset val="1"/>
      </rPr>
      <t xml:space="preserve"> Outdoor AP</t>
    </r>
  </si>
  <si>
    <r>
      <rPr>
        <b/>
        <sz val="11"/>
        <color rgb="FF000000"/>
        <rFont val="Arial"/>
        <family val="2"/>
      </rPr>
      <t>Planet VC-232G</t>
    </r>
    <r>
      <rPr>
        <sz val="11"/>
        <color rgb="FF000000"/>
        <rFont val="Arial"/>
        <family val="2"/>
        <charset val="1"/>
      </rPr>
      <t xml:space="preserve"> 1-Port 10/100/1000T Ethernet over Coaxial Converter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</si>
</sst>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  <charset val="1"/>
    </font>
    <font>
      <sz val="11"/>
      <name val="Arial"/>
      <family val="2"/>
      <charset val="1"/>
    </font>
    <font>
      <b/>
      <sz val="8"/>
      <color rgb="FFFF000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rgb="FFF2F2F2"/>
        <bgColor rgb="FFEEECE1"/>
      </patternFill>
    </fill>
    <fill>
      <patternFill patternType="solid">
        <fgColor rgb="FFFDEADA"/>
        <bgColor rgb="FFEEECE1"/>
      </patternFill>
    </fill>
    <fill>
      <patternFill patternType="solid">
        <fgColor rgb="FFC6D9F1"/>
        <bgColor rgb="FFD9D9D9"/>
      </patternFill>
    </fill>
    <fill>
      <patternFill patternType="solid">
        <fgColor rgb="FFD9D9D9"/>
        <bgColor rgb="FFC6D9F1"/>
      </patternFill>
    </fill>
    <fill>
      <patternFill patternType="solid">
        <fgColor rgb="FFFFFFFF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6D9F1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3" borderId="0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Border="1"/>
    <xf numFmtId="0" fontId="0" fillId="5" borderId="0" xfId="0" applyFill="1" applyBorder="1"/>
    <xf numFmtId="0" fontId="0" fillId="6" borderId="0" xfId="0" applyFill="1" applyBorder="1"/>
    <xf numFmtId="0" fontId="0" fillId="0" borderId="2" xfId="0" applyBorder="1"/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/>
    <xf numFmtId="0" fontId="0" fillId="7" borderId="0" xfId="0" applyFill="1"/>
    <xf numFmtId="0" fontId="0" fillId="0" borderId="1" xfId="0" applyBorder="1"/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10" borderId="1" xfId="0" applyFont="1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0" fillId="0" borderId="1" xfId="0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0" fillId="0" borderId="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DEADA"/>
      <rgbColor rgb="FFF2F2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view="pageBreakPreview" topLeftCell="A28" zoomScale="115" zoomScaleNormal="115" zoomScaleSheetLayoutView="115" workbookViewId="0">
      <selection activeCell="G39" sqref="G39"/>
    </sheetView>
  </sheetViews>
  <sheetFormatPr defaultRowHeight="14.25" x14ac:dyDescent="0.2"/>
  <cols>
    <col min="1" max="1" width="36" customWidth="1"/>
    <col min="2" max="2" width="8.25" style="37" customWidth="1"/>
    <col min="3" max="3" width="5.5" style="37" bestFit="1" customWidth="1"/>
    <col min="4" max="4" width="11.875" bestFit="1" customWidth="1"/>
    <col min="5" max="5" width="13.875" customWidth="1"/>
    <col min="6" max="6" width="12.75" style="86" customWidth="1"/>
    <col min="7" max="7" width="44.75" style="10" customWidth="1"/>
  </cols>
  <sheetData>
    <row r="1" spans="1:7" s="10" customFormat="1" ht="21.75" customHeight="1" x14ac:dyDescent="0.2">
      <c r="A1" s="33" t="s">
        <v>36</v>
      </c>
      <c r="B1" s="33" t="s">
        <v>37</v>
      </c>
      <c r="C1" s="33" t="s">
        <v>38</v>
      </c>
      <c r="D1" s="33" t="s">
        <v>47</v>
      </c>
      <c r="E1" s="33"/>
      <c r="F1" s="33" t="s">
        <v>94</v>
      </c>
      <c r="G1" s="33" t="s">
        <v>95</v>
      </c>
    </row>
    <row r="2" spans="1:7" ht="15" x14ac:dyDescent="0.25">
      <c r="A2" s="35" t="s">
        <v>40</v>
      </c>
      <c r="B2" s="36"/>
      <c r="C2" s="36"/>
      <c r="D2" s="36"/>
      <c r="E2" s="36"/>
      <c r="F2" s="81"/>
      <c r="G2" s="36"/>
    </row>
    <row r="3" spans="1:7" ht="15" x14ac:dyDescent="0.25">
      <c r="A3" s="49" t="s">
        <v>33</v>
      </c>
      <c r="B3" s="50"/>
      <c r="C3" s="50"/>
      <c r="D3" s="50"/>
      <c r="E3" s="50"/>
      <c r="F3" s="82"/>
      <c r="G3" s="50"/>
    </row>
    <row r="4" spans="1:7" ht="15" x14ac:dyDescent="0.25">
      <c r="A4" s="32" t="s">
        <v>33</v>
      </c>
      <c r="B4" s="1"/>
      <c r="C4" s="1">
        <v>2</v>
      </c>
      <c r="D4" s="32"/>
      <c r="E4" s="32"/>
      <c r="F4" s="83" t="s">
        <v>96</v>
      </c>
      <c r="G4" s="32" t="s">
        <v>119</v>
      </c>
    </row>
    <row r="5" spans="1:7" x14ac:dyDescent="0.2">
      <c r="A5" s="32" t="s">
        <v>41</v>
      </c>
      <c r="B5" s="1"/>
      <c r="C5" s="1">
        <v>2</v>
      </c>
      <c r="D5" s="32"/>
      <c r="E5" s="32"/>
      <c r="F5" s="83" t="s">
        <v>97</v>
      </c>
      <c r="G5" s="32" t="s">
        <v>98</v>
      </c>
    </row>
    <row r="6" spans="1:7" s="10" customFormat="1" x14ac:dyDescent="0.2">
      <c r="A6" s="32" t="s">
        <v>46</v>
      </c>
      <c r="B6" s="1"/>
      <c r="C6" s="1"/>
      <c r="D6" s="32"/>
      <c r="E6" s="32"/>
      <c r="F6" s="83"/>
      <c r="G6" s="32"/>
    </row>
    <row r="7" spans="1:7" ht="15" x14ac:dyDescent="0.25">
      <c r="A7" s="49" t="s">
        <v>34</v>
      </c>
      <c r="B7" s="50"/>
      <c r="C7" s="50"/>
      <c r="D7" s="50"/>
      <c r="E7" s="50"/>
      <c r="F7" s="82"/>
      <c r="G7" s="50"/>
    </row>
    <row r="8" spans="1:7" x14ac:dyDescent="0.2">
      <c r="A8" s="32" t="s">
        <v>42</v>
      </c>
      <c r="B8" s="1"/>
      <c r="C8" s="1">
        <f>Detail!C55</f>
        <v>13</v>
      </c>
      <c r="D8" s="32"/>
      <c r="E8" s="32"/>
      <c r="F8" s="83" t="s">
        <v>99</v>
      </c>
      <c r="G8" s="32" t="s">
        <v>100</v>
      </c>
    </row>
    <row r="9" spans="1:7" x14ac:dyDescent="0.2">
      <c r="A9" s="32" t="s">
        <v>43</v>
      </c>
      <c r="B9" s="1"/>
      <c r="C9" s="53">
        <f>Detail!B55</f>
        <v>48</v>
      </c>
      <c r="D9" s="32"/>
      <c r="E9" s="32"/>
      <c r="F9" s="83" t="s">
        <v>101</v>
      </c>
      <c r="G9" s="32" t="s">
        <v>102</v>
      </c>
    </row>
    <row r="10" spans="1:7" s="10" customFormat="1" x14ac:dyDescent="0.2">
      <c r="A10" s="32" t="s">
        <v>41</v>
      </c>
      <c r="B10" s="1"/>
      <c r="C10" s="53"/>
      <c r="D10" s="32"/>
      <c r="E10" s="32"/>
      <c r="F10" s="83"/>
      <c r="G10" s="32"/>
    </row>
    <row r="11" spans="1:7" ht="15" x14ac:dyDescent="0.25">
      <c r="A11" s="49" t="s">
        <v>6</v>
      </c>
      <c r="B11" s="50"/>
      <c r="C11" s="50"/>
      <c r="D11" s="50"/>
      <c r="E11" s="50"/>
      <c r="F11" s="82"/>
      <c r="G11" s="50"/>
    </row>
    <row r="12" spans="1:7" x14ac:dyDescent="0.2">
      <c r="A12" s="32" t="s">
        <v>44</v>
      </c>
      <c r="B12" s="1"/>
      <c r="C12" s="53">
        <f>Detail!G55</f>
        <v>59</v>
      </c>
      <c r="D12" s="32"/>
      <c r="E12" s="32"/>
      <c r="F12" s="83" t="s">
        <v>103</v>
      </c>
      <c r="G12" s="32" t="s">
        <v>104</v>
      </c>
    </row>
    <row r="13" spans="1:7" ht="15" x14ac:dyDescent="0.25">
      <c r="A13" s="49" t="s">
        <v>35</v>
      </c>
      <c r="B13" s="50"/>
      <c r="C13" s="50"/>
      <c r="D13" s="50"/>
      <c r="E13" s="50"/>
      <c r="F13" s="82"/>
      <c r="G13" s="50"/>
    </row>
    <row r="14" spans="1:7" x14ac:dyDescent="0.2">
      <c r="A14" s="32" t="s">
        <v>45</v>
      </c>
      <c r="B14" s="1"/>
      <c r="C14" s="53">
        <f>Detail!H58</f>
        <v>100</v>
      </c>
      <c r="D14" s="32"/>
      <c r="E14" s="32"/>
      <c r="F14" s="83" t="s">
        <v>105</v>
      </c>
      <c r="G14" s="32" t="s">
        <v>106</v>
      </c>
    </row>
    <row r="15" spans="1:7" ht="15" x14ac:dyDescent="0.25">
      <c r="A15" s="35" t="s">
        <v>39</v>
      </c>
      <c r="B15" s="34"/>
      <c r="C15" s="36"/>
      <c r="D15" s="36"/>
      <c r="E15" s="36"/>
      <c r="F15" s="81"/>
      <c r="G15" s="36"/>
    </row>
    <row r="16" spans="1:7" ht="15" x14ac:dyDescent="0.25">
      <c r="A16" s="49" t="s">
        <v>33</v>
      </c>
      <c r="B16" s="51"/>
      <c r="C16" s="50"/>
      <c r="D16" s="50"/>
      <c r="E16" s="50"/>
      <c r="F16" s="82"/>
      <c r="G16" s="50"/>
    </row>
    <row r="17" spans="1:7" x14ac:dyDescent="0.2">
      <c r="A17" s="32" t="s">
        <v>33</v>
      </c>
      <c r="B17" s="1"/>
      <c r="C17" s="1">
        <v>2</v>
      </c>
      <c r="D17" s="32"/>
      <c r="E17" s="32"/>
      <c r="F17" s="83" t="s">
        <v>107</v>
      </c>
      <c r="G17" s="32" t="s">
        <v>108</v>
      </c>
    </row>
    <row r="18" spans="1:7" x14ac:dyDescent="0.2">
      <c r="A18" s="32" t="s">
        <v>41</v>
      </c>
      <c r="B18" s="1"/>
      <c r="C18" s="1">
        <v>2</v>
      </c>
      <c r="D18" s="32"/>
      <c r="E18" s="32"/>
      <c r="F18" s="83" t="s">
        <v>97</v>
      </c>
      <c r="G18" s="32" t="s">
        <v>98</v>
      </c>
    </row>
    <row r="19" spans="1:7" x14ac:dyDescent="0.2">
      <c r="A19" s="32" t="s">
        <v>46</v>
      </c>
      <c r="B19" s="1"/>
      <c r="C19" s="1"/>
      <c r="D19" s="32"/>
      <c r="E19" s="32"/>
      <c r="F19" s="83"/>
      <c r="G19" s="32"/>
    </row>
    <row r="20" spans="1:7" ht="15" x14ac:dyDescent="0.25">
      <c r="A20" s="49" t="s">
        <v>34</v>
      </c>
      <c r="B20" s="51"/>
      <c r="C20" s="50"/>
      <c r="D20" s="50"/>
      <c r="E20" s="50"/>
      <c r="F20" s="82"/>
      <c r="G20" s="50"/>
    </row>
    <row r="21" spans="1:7" x14ac:dyDescent="0.2">
      <c r="A21" s="32" t="s">
        <v>42</v>
      </c>
      <c r="B21" s="32"/>
      <c r="C21" s="53">
        <f>Detail!E55</f>
        <v>24</v>
      </c>
      <c r="D21" s="32"/>
      <c r="E21" s="32"/>
      <c r="F21" s="83" t="s">
        <v>99</v>
      </c>
      <c r="G21" s="32" t="s">
        <v>100</v>
      </c>
    </row>
    <row r="22" spans="1:7" x14ac:dyDescent="0.2">
      <c r="A22" s="32" t="s">
        <v>43</v>
      </c>
      <c r="B22" s="32"/>
      <c r="C22" s="53">
        <f>Detail!D55</f>
        <v>5</v>
      </c>
      <c r="D22" s="32"/>
      <c r="E22" s="32"/>
      <c r="F22" s="83" t="s">
        <v>101</v>
      </c>
      <c r="G22" s="32" t="s">
        <v>102</v>
      </c>
    </row>
    <row r="23" spans="1:7" s="10" customFormat="1" x14ac:dyDescent="0.2">
      <c r="A23" s="32" t="s">
        <v>41</v>
      </c>
      <c r="B23" s="32"/>
      <c r="C23" s="53"/>
      <c r="D23" s="32"/>
      <c r="E23" s="32"/>
      <c r="F23" s="83"/>
      <c r="G23" s="32"/>
    </row>
    <row r="24" spans="1:7" ht="15" x14ac:dyDescent="0.25">
      <c r="A24" s="49" t="s">
        <v>6</v>
      </c>
      <c r="B24" s="51"/>
      <c r="C24" s="50"/>
      <c r="D24" s="50"/>
      <c r="E24" s="50"/>
      <c r="F24" s="82"/>
      <c r="G24" s="50"/>
    </row>
    <row r="25" spans="1:7" x14ac:dyDescent="0.2">
      <c r="A25" s="32" t="s">
        <v>44</v>
      </c>
      <c r="B25" s="32"/>
      <c r="C25" s="53">
        <f>Detail!I55</f>
        <v>7</v>
      </c>
      <c r="D25" s="32"/>
      <c r="E25" s="32"/>
      <c r="F25" s="83" t="s">
        <v>103</v>
      </c>
      <c r="G25" s="32" t="s">
        <v>104</v>
      </c>
    </row>
    <row r="26" spans="1:7" ht="15" x14ac:dyDescent="0.25">
      <c r="A26" s="49" t="s">
        <v>35</v>
      </c>
      <c r="B26" s="51"/>
      <c r="C26" s="50"/>
      <c r="D26" s="50"/>
      <c r="E26" s="50"/>
      <c r="F26" s="82"/>
      <c r="G26" s="50"/>
    </row>
    <row r="27" spans="1:7" x14ac:dyDescent="0.2">
      <c r="A27" s="32" t="s">
        <v>45</v>
      </c>
      <c r="B27" s="32"/>
      <c r="C27" s="53">
        <f>Detail!J58</f>
        <v>100</v>
      </c>
      <c r="D27" s="32"/>
      <c r="E27" s="32"/>
      <c r="F27" s="83" t="s">
        <v>105</v>
      </c>
      <c r="G27" s="32" t="s">
        <v>106</v>
      </c>
    </row>
    <row r="28" spans="1:7" ht="15" x14ac:dyDescent="0.25">
      <c r="A28" s="35" t="s">
        <v>49</v>
      </c>
      <c r="B28" s="36"/>
      <c r="C28" s="36"/>
      <c r="D28" s="36"/>
      <c r="E28" s="36"/>
      <c r="F28" s="81"/>
      <c r="G28" s="36"/>
    </row>
    <row r="29" spans="1:7" ht="28.5" x14ac:dyDescent="0.2">
      <c r="A29" s="48" t="s">
        <v>50</v>
      </c>
      <c r="B29" s="1"/>
      <c r="C29" s="1">
        <v>2</v>
      </c>
      <c r="D29" s="32"/>
      <c r="E29" s="32"/>
      <c r="F29" s="83" t="s">
        <v>109</v>
      </c>
      <c r="G29" s="60" t="s">
        <v>110</v>
      </c>
    </row>
    <row r="30" spans="1:7" x14ac:dyDescent="0.2">
      <c r="A30" s="48" t="s">
        <v>46</v>
      </c>
      <c r="B30" s="1"/>
      <c r="C30" s="1"/>
      <c r="D30" s="32"/>
      <c r="E30" s="32"/>
      <c r="F30" s="83"/>
      <c r="G30" s="32"/>
    </row>
    <row r="31" spans="1:7" ht="71.25" x14ac:dyDescent="0.2">
      <c r="A31" s="48" t="s">
        <v>51</v>
      </c>
      <c r="B31" s="9"/>
      <c r="C31" s="62">
        <f>487+392</f>
        <v>879</v>
      </c>
      <c r="D31" s="48"/>
      <c r="E31" s="63" t="s">
        <v>88</v>
      </c>
      <c r="F31" s="84" t="s">
        <v>111</v>
      </c>
      <c r="G31" s="63" t="s">
        <v>120</v>
      </c>
    </row>
    <row r="32" spans="1:7" ht="15" x14ac:dyDescent="0.25">
      <c r="A32" s="32" t="s">
        <v>52</v>
      </c>
      <c r="B32" s="1"/>
      <c r="C32" s="53">
        <f>95+65</f>
        <v>160</v>
      </c>
      <c r="D32" s="53"/>
      <c r="E32" s="32"/>
      <c r="F32" s="85" t="s">
        <v>113</v>
      </c>
      <c r="G32" s="32" t="s">
        <v>121</v>
      </c>
    </row>
    <row r="33" spans="1:7" ht="29.25" x14ac:dyDescent="0.2">
      <c r="A33" s="32" t="s">
        <v>53</v>
      </c>
      <c r="B33" s="1"/>
      <c r="C33" s="53">
        <v>112</v>
      </c>
      <c r="D33" s="53"/>
      <c r="E33" s="32"/>
      <c r="F33" s="85" t="s">
        <v>118</v>
      </c>
      <c r="G33" s="60" t="s">
        <v>122</v>
      </c>
    </row>
    <row r="34" spans="1:7" ht="15" x14ac:dyDescent="0.25">
      <c r="A34" s="32" t="s">
        <v>54</v>
      </c>
      <c r="B34" s="1"/>
      <c r="C34" s="53">
        <f>15+5</f>
        <v>20</v>
      </c>
      <c r="D34" s="53"/>
      <c r="E34" s="32"/>
      <c r="F34" s="85" t="s">
        <v>113</v>
      </c>
      <c r="G34" s="32" t="s">
        <v>121</v>
      </c>
    </row>
    <row r="35" spans="1:7" ht="15" x14ac:dyDescent="0.25">
      <c r="A35" s="32" t="s">
        <v>55</v>
      </c>
      <c r="B35" s="1"/>
      <c r="C35" s="53">
        <v>14</v>
      </c>
      <c r="D35" s="53"/>
      <c r="E35" s="32"/>
      <c r="F35" s="85" t="s">
        <v>115</v>
      </c>
      <c r="G35" s="32" t="s">
        <v>123</v>
      </c>
    </row>
    <row r="36" spans="1:7" ht="29.25" x14ac:dyDescent="0.25">
      <c r="A36" s="32" t="s">
        <v>56</v>
      </c>
      <c r="B36" s="1"/>
      <c r="C36" s="53">
        <f>13+4</f>
        <v>17</v>
      </c>
      <c r="D36" s="32"/>
      <c r="E36" s="80" t="s">
        <v>90</v>
      </c>
      <c r="F36" s="83" t="s">
        <v>113</v>
      </c>
      <c r="G36" s="79" t="s">
        <v>121</v>
      </c>
    </row>
    <row r="37" spans="1:7" s="10" customFormat="1" ht="29.25" x14ac:dyDescent="0.2">
      <c r="A37" s="32"/>
      <c r="B37" s="1"/>
      <c r="C37" s="53"/>
      <c r="D37" s="32"/>
      <c r="E37" s="80"/>
      <c r="F37" s="83"/>
      <c r="G37" s="91" t="s">
        <v>125</v>
      </c>
    </row>
    <row r="38" spans="1:7" s="10" customFormat="1" ht="15" x14ac:dyDescent="0.25">
      <c r="A38" s="32" t="s">
        <v>89</v>
      </c>
      <c r="B38" s="1"/>
      <c r="C38" s="53">
        <v>3</v>
      </c>
      <c r="D38" s="32"/>
      <c r="E38" s="32"/>
      <c r="F38" s="83" t="s">
        <v>117</v>
      </c>
      <c r="G38" s="32" t="s">
        <v>124</v>
      </c>
    </row>
    <row r="39" spans="1:7" s="10" customFormat="1" x14ac:dyDescent="0.2">
      <c r="A39" s="32" t="s">
        <v>58</v>
      </c>
      <c r="B39" s="1"/>
      <c r="C39" s="1">
        <v>1</v>
      </c>
      <c r="D39" s="32"/>
      <c r="E39" s="32"/>
      <c r="F39" s="83"/>
      <c r="G39" s="32"/>
    </row>
    <row r="40" spans="1:7" ht="15" x14ac:dyDescent="0.25">
      <c r="A40" s="35" t="s">
        <v>57</v>
      </c>
      <c r="B40" s="36"/>
      <c r="C40" s="36">
        <v>1</v>
      </c>
      <c r="D40" s="36"/>
      <c r="E40" s="36"/>
      <c r="F40" s="81"/>
      <c r="G40" s="36"/>
    </row>
    <row r="41" spans="1:7" ht="42.75" x14ac:dyDescent="0.2">
      <c r="A41" s="52" t="s">
        <v>61</v>
      </c>
      <c r="B41" s="1"/>
      <c r="C41" s="9">
        <v>1</v>
      </c>
      <c r="D41" s="32"/>
      <c r="E41" s="32"/>
      <c r="F41" s="83"/>
      <c r="G41" s="32"/>
    </row>
    <row r="43" spans="1:7" ht="15" x14ac:dyDescent="0.25">
      <c r="A43" s="35" t="s">
        <v>62</v>
      </c>
      <c r="B43" s="36"/>
      <c r="C43" s="36"/>
      <c r="D43" s="36"/>
      <c r="E43" s="36"/>
      <c r="F43" s="81"/>
      <c r="G43" s="36"/>
    </row>
    <row r="44" spans="1:7" x14ac:dyDescent="0.2">
      <c r="A44" s="32" t="s">
        <v>42</v>
      </c>
      <c r="B44" s="1"/>
      <c r="C44" s="1">
        <v>2</v>
      </c>
      <c r="D44" s="32"/>
      <c r="E44" s="32"/>
      <c r="F44" s="83" t="s">
        <v>99</v>
      </c>
      <c r="G44" s="32" t="s">
        <v>100</v>
      </c>
    </row>
    <row r="45" spans="1:7" x14ac:dyDescent="0.2">
      <c r="A45" s="32" t="s">
        <v>43</v>
      </c>
      <c r="B45" s="1"/>
      <c r="C45" s="1">
        <v>2</v>
      </c>
      <c r="D45" s="32"/>
      <c r="E45" s="32"/>
      <c r="F45" s="83" t="s">
        <v>101</v>
      </c>
      <c r="G45" s="32" t="s">
        <v>102</v>
      </c>
    </row>
    <row r="46" spans="1:7" x14ac:dyDescent="0.2">
      <c r="A46" s="32" t="s">
        <v>44</v>
      </c>
      <c r="B46" s="1"/>
      <c r="C46" s="1">
        <v>6</v>
      </c>
      <c r="D46" s="32"/>
      <c r="E46" s="32"/>
      <c r="F46" s="83" t="s">
        <v>103</v>
      </c>
      <c r="G46" s="32" t="s">
        <v>104</v>
      </c>
    </row>
    <row r="47" spans="1:7" x14ac:dyDescent="0.2">
      <c r="A47" s="32" t="s">
        <v>51</v>
      </c>
      <c r="B47" s="1"/>
      <c r="C47" s="1">
        <v>5</v>
      </c>
      <c r="D47" s="32"/>
      <c r="E47" s="32"/>
      <c r="F47" s="83" t="s">
        <v>111</v>
      </c>
      <c r="G47" s="32" t="s">
        <v>112</v>
      </c>
    </row>
    <row r="48" spans="1:7" x14ac:dyDescent="0.2">
      <c r="A48" s="32" t="s">
        <v>52</v>
      </c>
      <c r="B48" s="1"/>
      <c r="C48" s="1">
        <v>5</v>
      </c>
      <c r="D48" s="32"/>
      <c r="E48" s="32"/>
      <c r="F48" s="83" t="s">
        <v>113</v>
      </c>
      <c r="G48" s="32" t="s">
        <v>114</v>
      </c>
    </row>
    <row r="49" spans="1:7" x14ac:dyDescent="0.2">
      <c r="A49" s="32" t="s">
        <v>54</v>
      </c>
      <c r="B49" s="1"/>
      <c r="C49" s="1">
        <v>5</v>
      </c>
      <c r="D49" s="32"/>
      <c r="E49" s="32"/>
      <c r="F49" s="83" t="s">
        <v>113</v>
      </c>
      <c r="G49" s="32" t="s">
        <v>114</v>
      </c>
    </row>
    <row r="50" spans="1:7" x14ac:dyDescent="0.2">
      <c r="A50" s="32" t="s">
        <v>55</v>
      </c>
      <c r="B50" s="1"/>
      <c r="C50" s="1">
        <v>5</v>
      </c>
      <c r="D50" s="32"/>
      <c r="E50" s="32"/>
      <c r="F50" s="83" t="s">
        <v>115</v>
      </c>
      <c r="G50" s="32" t="s">
        <v>116</v>
      </c>
    </row>
  </sheetData>
  <pageMargins left="0.7" right="0.7" top="0.75" bottom="0.75" header="0.3" footer="0.3"/>
  <pageSetup scale="62" orientation="portrait" r:id="rId1"/>
  <colBreaks count="1" manualBreakCount="1">
    <brk id="7" max="4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view="pageBreakPreview" zoomScale="115" zoomScaleNormal="115" zoomScaleSheetLayoutView="115" workbookViewId="0">
      <selection activeCell="C17" sqref="C17"/>
    </sheetView>
  </sheetViews>
  <sheetFormatPr defaultRowHeight="14.25" x14ac:dyDescent="0.2"/>
  <cols>
    <col min="1" max="1" width="29.75" style="10" customWidth="1"/>
    <col min="2" max="2" width="7.875" style="37" customWidth="1"/>
    <col min="3" max="3" width="5.5" style="37" bestFit="1" customWidth="1"/>
    <col min="4" max="4" width="12.625" style="10" customWidth="1"/>
    <col min="5" max="16384" width="9" style="10"/>
  </cols>
  <sheetData>
    <row r="1" spans="1:6" ht="21.75" customHeight="1" x14ac:dyDescent="0.2">
      <c r="A1" s="33" t="s">
        <v>36</v>
      </c>
      <c r="B1" s="33" t="s">
        <v>37</v>
      </c>
      <c r="C1" s="33" t="s">
        <v>38</v>
      </c>
      <c r="D1" s="33" t="s">
        <v>47</v>
      </c>
      <c r="E1" s="33" t="s">
        <v>48</v>
      </c>
      <c r="F1" s="33" t="s">
        <v>84</v>
      </c>
    </row>
    <row r="2" spans="1:6" ht="15" x14ac:dyDescent="0.25">
      <c r="A2" s="49" t="s">
        <v>73</v>
      </c>
      <c r="B2" s="50"/>
      <c r="C2" s="50"/>
      <c r="D2" s="50"/>
      <c r="E2" s="50"/>
      <c r="F2" s="50"/>
    </row>
    <row r="3" spans="1:6" x14ac:dyDescent="0.2">
      <c r="A3" s="32" t="s">
        <v>74</v>
      </c>
      <c r="B3" s="1"/>
      <c r="C3" s="9">
        <v>6</v>
      </c>
      <c r="D3" s="32"/>
      <c r="E3" s="32"/>
      <c r="F3" s="32" t="s">
        <v>85</v>
      </c>
    </row>
    <row r="4" spans="1:6" x14ac:dyDescent="0.2">
      <c r="A4" s="32" t="s">
        <v>75</v>
      </c>
      <c r="B4" s="1"/>
      <c r="C4" s="9">
        <f>Detail!L55</f>
        <v>24</v>
      </c>
      <c r="D4" s="32"/>
      <c r="E4" s="32"/>
      <c r="F4" s="32" t="s">
        <v>85</v>
      </c>
    </row>
    <row r="5" spans="1:6" ht="15" x14ac:dyDescent="0.25">
      <c r="A5" s="49" t="s">
        <v>76</v>
      </c>
      <c r="B5" s="50"/>
      <c r="C5" s="61"/>
      <c r="D5" s="50"/>
      <c r="E5" s="50"/>
      <c r="F5" s="50"/>
    </row>
    <row r="6" spans="1:6" x14ac:dyDescent="0.2">
      <c r="A6" s="32" t="s">
        <v>77</v>
      </c>
      <c r="B6" s="1"/>
      <c r="C6" s="9">
        <f>Detail!N55</f>
        <v>37</v>
      </c>
      <c r="D6" s="32"/>
      <c r="E6" s="32"/>
      <c r="F6" s="32" t="s">
        <v>86</v>
      </c>
    </row>
    <row r="7" spans="1:6" x14ac:dyDescent="0.2">
      <c r="A7" s="32" t="s">
        <v>78</v>
      </c>
      <c r="B7" s="1"/>
      <c r="C7" s="62">
        <f>Detail!O55</f>
        <v>53</v>
      </c>
      <c r="D7" s="32"/>
      <c r="E7" s="32"/>
      <c r="F7" s="32" t="s">
        <v>86</v>
      </c>
    </row>
    <row r="8" spans="1:6" x14ac:dyDescent="0.2">
      <c r="A8" s="32" t="s">
        <v>71</v>
      </c>
      <c r="B8" s="1"/>
      <c r="C8" s="62">
        <f>Detail!S59</f>
        <v>94</v>
      </c>
      <c r="D8" s="32"/>
      <c r="E8" s="32"/>
      <c r="F8" s="32" t="s">
        <v>85</v>
      </c>
    </row>
    <row r="9" spans="1:6" x14ac:dyDescent="0.2">
      <c r="A9" s="32" t="s">
        <v>83</v>
      </c>
      <c r="B9" s="1"/>
      <c r="C9" s="62">
        <f>Detail!Q55</f>
        <v>3432</v>
      </c>
      <c r="D9" s="32"/>
      <c r="E9" s="32"/>
      <c r="F9" s="32" t="s">
        <v>86</v>
      </c>
    </row>
    <row r="10" spans="1:6" ht="15" x14ac:dyDescent="0.25">
      <c r="A10" s="49" t="s">
        <v>79</v>
      </c>
      <c r="B10" s="50"/>
      <c r="C10" s="61"/>
      <c r="D10" s="50"/>
      <c r="E10" s="50"/>
      <c r="F10" s="50"/>
    </row>
    <row r="11" spans="1:6" x14ac:dyDescent="0.2">
      <c r="A11" s="32" t="s">
        <v>8</v>
      </c>
      <c r="B11" s="1"/>
      <c r="C11" s="62">
        <f>Detail!M55</f>
        <v>24</v>
      </c>
      <c r="D11" s="32"/>
      <c r="E11" s="32"/>
      <c r="F11" s="32" t="s">
        <v>86</v>
      </c>
    </row>
    <row r="12" spans="1:6" x14ac:dyDescent="0.2">
      <c r="A12" s="32" t="s">
        <v>28</v>
      </c>
      <c r="B12" s="1"/>
      <c r="C12" s="9">
        <f>Detail!M59</f>
        <v>6</v>
      </c>
      <c r="D12" s="32"/>
      <c r="E12" s="32"/>
      <c r="F12" s="32" t="s">
        <v>86</v>
      </c>
    </row>
    <row r="13" spans="1:6" ht="28.5" x14ac:dyDescent="0.2">
      <c r="A13" s="60" t="s">
        <v>69</v>
      </c>
      <c r="B13" s="1"/>
      <c r="C13" s="9">
        <v>54</v>
      </c>
      <c r="D13" s="32"/>
      <c r="E13" s="32"/>
      <c r="F13" s="32" t="s">
        <v>86</v>
      </c>
    </row>
    <row r="14" spans="1:6" x14ac:dyDescent="0.2">
      <c r="A14" s="32" t="s">
        <v>81</v>
      </c>
      <c r="B14" s="1"/>
      <c r="C14" s="9">
        <f>Detail!P58</f>
        <v>200</v>
      </c>
      <c r="D14" s="32"/>
      <c r="E14" s="32"/>
      <c r="F14" s="32" t="s">
        <v>86</v>
      </c>
    </row>
    <row r="15" spans="1:6" x14ac:dyDescent="0.2">
      <c r="A15" s="32" t="s">
        <v>82</v>
      </c>
      <c r="B15" s="1"/>
      <c r="C15" s="9">
        <f>Detail!P59</f>
        <v>400</v>
      </c>
      <c r="D15" s="32"/>
      <c r="E15" s="32"/>
      <c r="F15" s="32" t="s">
        <v>86</v>
      </c>
    </row>
    <row r="16" spans="1:6" ht="15" x14ac:dyDescent="0.25">
      <c r="A16" s="49" t="s">
        <v>80</v>
      </c>
      <c r="B16" s="51"/>
      <c r="C16" s="50"/>
      <c r="D16" s="50"/>
      <c r="E16" s="50"/>
      <c r="F16" s="50"/>
    </row>
    <row r="17" spans="1:6" x14ac:dyDescent="0.2">
      <c r="A17" s="32" t="s">
        <v>72</v>
      </c>
      <c r="B17" s="32"/>
      <c r="C17" s="53">
        <f>Detail!T59</f>
        <v>60</v>
      </c>
      <c r="D17" s="32"/>
      <c r="E17" s="32"/>
      <c r="F17" s="32" t="s">
        <v>87</v>
      </c>
    </row>
  </sheetData>
  <pageMargins left="0.7" right="0.7" top="0.75" bottom="0.75" header="0.3" footer="0.3"/>
  <pageSetup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9"/>
  <sheetViews>
    <sheetView view="pageBreakPreview" zoomScaleNormal="90" zoomScaleSheetLayoutView="100" workbookViewId="0">
      <pane ySplit="2" topLeftCell="A6" activePane="bottomLeft" state="frozen"/>
      <selection pane="bottomLeft" activeCell="W49" sqref="W49"/>
    </sheetView>
  </sheetViews>
  <sheetFormatPr defaultRowHeight="14.25" x14ac:dyDescent="0.2"/>
  <cols>
    <col min="1" max="1" width="10.375" style="45" customWidth="1"/>
    <col min="2" max="2" width="6.125" style="45" customWidth="1"/>
    <col min="3" max="3" width="8.125" style="45" customWidth="1"/>
    <col min="4" max="4" width="8.75" style="45" customWidth="1"/>
    <col min="5" max="5" width="8.875" style="45" customWidth="1"/>
    <col min="6" max="6" width="4" style="45" bestFit="1" customWidth="1"/>
    <col min="7" max="7" width="9" style="45" customWidth="1"/>
    <col min="8" max="8" width="9.375" style="45" customWidth="1"/>
    <col min="9" max="9" width="10.25" style="45" customWidth="1"/>
    <col min="10" max="10" width="9.375" style="45" customWidth="1"/>
    <col min="11" max="11" width="14.75" style="45" hidden="1" customWidth="1"/>
    <col min="12" max="12" width="11.375" style="45" customWidth="1"/>
    <col min="13" max="13" width="10.625" style="45" customWidth="1"/>
    <col min="14" max="17" width="9.5" style="45" customWidth="1"/>
    <col min="18" max="18" width="16" style="45" customWidth="1"/>
    <col min="19" max="20" width="9.25" style="45" bestFit="1" customWidth="1"/>
    <col min="21" max="1025" width="8.625" style="22" customWidth="1"/>
    <col min="1026" max="16384" width="9" style="22"/>
  </cols>
  <sheetData>
    <row r="1" spans="1:20" ht="13.9" customHeight="1" x14ac:dyDescent="0.2">
      <c r="A1" s="88" t="s">
        <v>0</v>
      </c>
      <c r="B1" s="88" t="s">
        <v>1</v>
      </c>
      <c r="C1" s="88"/>
      <c r="D1" s="88" t="s">
        <v>2</v>
      </c>
      <c r="E1" s="88"/>
      <c r="F1" s="88" t="s">
        <v>3</v>
      </c>
      <c r="G1" s="89" t="s">
        <v>1</v>
      </c>
      <c r="H1" s="89"/>
      <c r="I1" s="89" t="s">
        <v>2</v>
      </c>
      <c r="J1" s="89"/>
      <c r="K1" s="90" t="s">
        <v>4</v>
      </c>
      <c r="L1" s="87" t="s">
        <v>93</v>
      </c>
      <c r="M1" s="88" t="s">
        <v>8</v>
      </c>
      <c r="N1" s="88" t="s">
        <v>63</v>
      </c>
      <c r="O1" s="88" t="s">
        <v>64</v>
      </c>
      <c r="P1" s="88" t="s">
        <v>65</v>
      </c>
      <c r="Q1" s="88" t="s">
        <v>68</v>
      </c>
      <c r="R1" s="87" t="s">
        <v>69</v>
      </c>
      <c r="S1" s="87" t="s">
        <v>71</v>
      </c>
      <c r="T1" s="87" t="s">
        <v>72</v>
      </c>
    </row>
    <row r="2" spans="1:20" ht="39.75" customHeight="1" x14ac:dyDescent="0.2">
      <c r="A2" s="88"/>
      <c r="B2" s="2">
        <v>48</v>
      </c>
      <c r="C2" s="2">
        <v>24</v>
      </c>
      <c r="D2" s="2">
        <v>48</v>
      </c>
      <c r="E2" s="2">
        <v>24</v>
      </c>
      <c r="F2" s="88"/>
      <c r="G2" s="2" t="s">
        <v>6</v>
      </c>
      <c r="H2" s="2" t="s">
        <v>7</v>
      </c>
      <c r="I2" s="2" t="s">
        <v>6</v>
      </c>
      <c r="J2" s="2" t="s">
        <v>7</v>
      </c>
      <c r="K2" s="90"/>
      <c r="L2" s="87"/>
      <c r="M2" s="88" t="s">
        <v>8</v>
      </c>
      <c r="N2" s="88" t="s">
        <v>9</v>
      </c>
      <c r="O2" s="88"/>
      <c r="P2" s="88"/>
      <c r="Q2" s="88"/>
      <c r="R2" s="87"/>
      <c r="S2" s="87"/>
      <c r="T2" s="87"/>
    </row>
    <row r="3" spans="1:20" ht="15" x14ac:dyDescent="0.2">
      <c r="A3" s="8" t="s">
        <v>10</v>
      </c>
      <c r="B3" s="9"/>
      <c r="C3" s="9"/>
      <c r="D3" s="9"/>
      <c r="E3" s="9"/>
      <c r="F3" s="9"/>
      <c r="G3" s="9"/>
      <c r="H3" s="9"/>
      <c r="I3" s="9"/>
      <c r="J3" s="9"/>
      <c r="K3" s="3"/>
      <c r="L3" s="9"/>
      <c r="M3" s="1"/>
      <c r="N3" s="1"/>
      <c r="O3" s="1"/>
      <c r="P3" s="1"/>
      <c r="Q3" s="1"/>
      <c r="R3" s="1"/>
      <c r="S3" s="1"/>
      <c r="T3" s="1"/>
    </row>
    <row r="4" spans="1:20" ht="15" x14ac:dyDescent="0.2">
      <c r="A4" s="8" t="s">
        <v>11</v>
      </c>
      <c r="B4" s="9"/>
      <c r="C4" s="9">
        <v>1</v>
      </c>
      <c r="D4" s="9">
        <v>1</v>
      </c>
      <c r="E4" s="9"/>
      <c r="F4" s="9"/>
      <c r="G4" s="9"/>
      <c r="H4" s="9">
        <v>2</v>
      </c>
      <c r="I4" s="9"/>
      <c r="J4" s="9">
        <v>2</v>
      </c>
      <c r="K4" s="3"/>
      <c r="L4" s="9">
        <v>1</v>
      </c>
      <c r="M4" s="1">
        <v>1</v>
      </c>
      <c r="N4" s="1">
        <f t="shared" ref="N4:N52" si="0">C4+E4</f>
        <v>1</v>
      </c>
      <c r="O4" s="1">
        <f t="shared" ref="O4:O52" si="1">D4+B4</f>
        <v>1</v>
      </c>
      <c r="P4" s="1">
        <f t="shared" ref="P4:P52" si="2">J4+H4</f>
        <v>4</v>
      </c>
      <c r="Q4" s="1">
        <f t="shared" ref="Q4:Q52" si="3">B4*48+C4*24+D4*48+E4*24</f>
        <v>72</v>
      </c>
      <c r="R4" s="1">
        <f t="shared" ref="R4:R52" si="4">L4*2</f>
        <v>2</v>
      </c>
      <c r="S4" s="1">
        <f t="shared" ref="S4:S52" si="5">SUM(B4:E4)</f>
        <v>2</v>
      </c>
      <c r="T4" s="1">
        <f t="shared" ref="T4:T52" si="6">L4*2</f>
        <v>2</v>
      </c>
    </row>
    <row r="5" spans="1:20" ht="15" x14ac:dyDescent="0.2">
      <c r="A5" s="8" t="s">
        <v>12</v>
      </c>
      <c r="B5" s="9"/>
      <c r="C5" s="9"/>
      <c r="D5" s="9"/>
      <c r="E5" s="9"/>
      <c r="F5" s="9"/>
      <c r="G5" s="9"/>
      <c r="H5" s="9"/>
      <c r="I5" s="9"/>
      <c r="J5" s="9"/>
      <c r="K5" s="3"/>
      <c r="L5" s="9"/>
      <c r="M5" s="1"/>
      <c r="N5" s="1">
        <f t="shared" si="0"/>
        <v>0</v>
      </c>
      <c r="O5" s="1">
        <f t="shared" si="1"/>
        <v>0</v>
      </c>
      <c r="P5" s="1">
        <f t="shared" si="2"/>
        <v>0</v>
      </c>
      <c r="Q5" s="1">
        <f t="shared" si="3"/>
        <v>0</v>
      </c>
      <c r="R5" s="1">
        <f t="shared" si="4"/>
        <v>0</v>
      </c>
      <c r="S5" s="1">
        <f t="shared" si="5"/>
        <v>0</v>
      </c>
      <c r="T5" s="1">
        <f t="shared" si="6"/>
        <v>0</v>
      </c>
    </row>
    <row r="6" spans="1:20" s="11" customFormat="1" ht="15" x14ac:dyDescent="0.2">
      <c r="A6" s="4" t="s">
        <v>13</v>
      </c>
      <c r="B6" s="5"/>
      <c r="C6" s="5"/>
      <c r="D6" s="5"/>
      <c r="E6" s="5"/>
      <c r="F6" s="5"/>
      <c r="G6" s="5"/>
      <c r="H6" s="5"/>
      <c r="I6" s="5"/>
      <c r="J6" s="5"/>
      <c r="K6" s="38"/>
      <c r="L6" s="5"/>
      <c r="M6" s="54"/>
      <c r="N6" s="54">
        <f t="shared" si="0"/>
        <v>0</v>
      </c>
      <c r="O6" s="54">
        <f t="shared" si="1"/>
        <v>0</v>
      </c>
      <c r="P6" s="54">
        <f t="shared" si="2"/>
        <v>0</v>
      </c>
      <c r="Q6" s="54">
        <f t="shared" si="3"/>
        <v>0</v>
      </c>
      <c r="R6" s="1">
        <f t="shared" si="4"/>
        <v>0</v>
      </c>
      <c r="S6" s="1">
        <f t="shared" si="5"/>
        <v>0</v>
      </c>
      <c r="T6" s="1">
        <f t="shared" si="6"/>
        <v>0</v>
      </c>
    </row>
    <row r="7" spans="1:20" s="11" customFormat="1" ht="15" x14ac:dyDescent="0.2">
      <c r="A7" s="4" t="s">
        <v>14</v>
      </c>
      <c r="B7" s="5">
        <v>1</v>
      </c>
      <c r="C7" s="5">
        <v>1</v>
      </c>
      <c r="D7" s="5">
        <v>1</v>
      </c>
      <c r="E7" s="5"/>
      <c r="F7" s="5"/>
      <c r="G7" s="5">
        <v>2</v>
      </c>
      <c r="H7" s="5">
        <v>2</v>
      </c>
      <c r="I7" s="5"/>
      <c r="J7" s="5">
        <v>2</v>
      </c>
      <c r="K7" s="38"/>
      <c r="L7" s="5">
        <v>1</v>
      </c>
      <c r="M7" s="54">
        <v>1</v>
      </c>
      <c r="N7" s="54">
        <f t="shared" si="0"/>
        <v>1</v>
      </c>
      <c r="O7" s="54">
        <f t="shared" si="1"/>
        <v>2</v>
      </c>
      <c r="P7" s="54">
        <f t="shared" si="2"/>
        <v>4</v>
      </c>
      <c r="Q7" s="54">
        <f t="shared" si="3"/>
        <v>120</v>
      </c>
      <c r="R7" s="1">
        <f t="shared" si="4"/>
        <v>2</v>
      </c>
      <c r="S7" s="1">
        <f t="shared" si="5"/>
        <v>3</v>
      </c>
      <c r="T7" s="1">
        <f t="shared" si="6"/>
        <v>2</v>
      </c>
    </row>
    <row r="8" spans="1:20" s="11" customFormat="1" ht="15" x14ac:dyDescent="0.2">
      <c r="A8" s="4" t="s">
        <v>15</v>
      </c>
      <c r="B8" s="7"/>
      <c r="C8" s="7"/>
      <c r="D8" s="7"/>
      <c r="E8" s="7"/>
      <c r="F8" s="7"/>
      <c r="G8" s="7"/>
      <c r="H8" s="7"/>
      <c r="I8" s="7"/>
      <c r="J8" s="7"/>
      <c r="K8" s="39"/>
      <c r="L8" s="7"/>
      <c r="M8" s="54"/>
      <c r="N8" s="54">
        <f t="shared" si="0"/>
        <v>0</v>
      </c>
      <c r="O8" s="54">
        <f t="shared" si="1"/>
        <v>0</v>
      </c>
      <c r="P8" s="54">
        <f t="shared" si="2"/>
        <v>0</v>
      </c>
      <c r="Q8" s="54">
        <f t="shared" si="3"/>
        <v>0</v>
      </c>
      <c r="R8" s="1">
        <f t="shared" si="4"/>
        <v>0</v>
      </c>
      <c r="S8" s="1">
        <f t="shared" si="5"/>
        <v>0</v>
      </c>
      <c r="T8" s="1">
        <f t="shared" si="6"/>
        <v>0</v>
      </c>
    </row>
    <row r="9" spans="1:20" ht="15" x14ac:dyDescent="0.2">
      <c r="A9" s="8">
        <v>1</v>
      </c>
      <c r="B9" s="9">
        <v>3</v>
      </c>
      <c r="C9" s="9"/>
      <c r="D9" s="9">
        <v>1</v>
      </c>
      <c r="E9" s="9"/>
      <c r="F9" s="9"/>
      <c r="G9" s="9">
        <v>3</v>
      </c>
      <c r="H9" s="9">
        <v>2</v>
      </c>
      <c r="I9" s="9"/>
      <c r="J9" s="9">
        <v>2</v>
      </c>
      <c r="K9" s="3"/>
      <c r="L9" s="9">
        <v>1</v>
      </c>
      <c r="M9" s="1">
        <v>1</v>
      </c>
      <c r="N9" s="1">
        <f t="shared" si="0"/>
        <v>0</v>
      </c>
      <c r="O9" s="1">
        <f t="shared" si="1"/>
        <v>4</v>
      </c>
      <c r="P9" s="1">
        <f t="shared" si="2"/>
        <v>4</v>
      </c>
      <c r="Q9" s="1">
        <f t="shared" si="3"/>
        <v>192</v>
      </c>
      <c r="R9" s="1">
        <f t="shared" si="4"/>
        <v>2</v>
      </c>
      <c r="S9" s="1">
        <f t="shared" si="5"/>
        <v>4</v>
      </c>
      <c r="T9" s="1">
        <f t="shared" si="6"/>
        <v>2</v>
      </c>
    </row>
    <row r="10" spans="1:20" ht="15" x14ac:dyDescent="0.2">
      <c r="A10" s="8">
        <v>2</v>
      </c>
      <c r="B10" s="9">
        <v>1</v>
      </c>
      <c r="C10" s="9">
        <v>1</v>
      </c>
      <c r="D10" s="78">
        <v>1</v>
      </c>
      <c r="E10" s="9">
        <v>2</v>
      </c>
      <c r="F10" s="9"/>
      <c r="G10" s="9">
        <v>2</v>
      </c>
      <c r="H10" s="9">
        <v>2</v>
      </c>
      <c r="I10" s="9">
        <v>3</v>
      </c>
      <c r="J10" s="9">
        <v>2</v>
      </c>
      <c r="K10" s="3"/>
      <c r="L10" s="9">
        <v>1</v>
      </c>
      <c r="M10" s="1">
        <v>1</v>
      </c>
      <c r="N10" s="1">
        <f t="shared" si="0"/>
        <v>3</v>
      </c>
      <c r="O10" s="1">
        <f t="shared" si="1"/>
        <v>2</v>
      </c>
      <c r="P10" s="1">
        <f t="shared" si="2"/>
        <v>4</v>
      </c>
      <c r="Q10" s="1">
        <f t="shared" si="3"/>
        <v>168</v>
      </c>
      <c r="R10" s="1">
        <f t="shared" si="4"/>
        <v>2</v>
      </c>
      <c r="S10" s="1">
        <f t="shared" si="5"/>
        <v>5</v>
      </c>
      <c r="T10" s="1">
        <f t="shared" si="6"/>
        <v>2</v>
      </c>
    </row>
    <row r="11" spans="1:20" ht="15" x14ac:dyDescent="0.2">
      <c r="A11" s="8">
        <v>3</v>
      </c>
      <c r="B11" s="64">
        <v>1</v>
      </c>
      <c r="C11" s="64">
        <v>1</v>
      </c>
      <c r="D11" s="9"/>
      <c r="E11" s="9">
        <v>2</v>
      </c>
      <c r="F11" s="9"/>
      <c r="G11" s="9">
        <v>2</v>
      </c>
      <c r="H11" s="9">
        <v>2</v>
      </c>
      <c r="I11" s="9">
        <v>2</v>
      </c>
      <c r="J11" s="9">
        <v>2</v>
      </c>
      <c r="K11" s="3"/>
      <c r="L11" s="9">
        <v>1</v>
      </c>
      <c r="M11" s="54">
        <v>1</v>
      </c>
      <c r="N11" s="54">
        <f t="shared" si="0"/>
        <v>3</v>
      </c>
      <c r="O11" s="54">
        <f t="shared" si="1"/>
        <v>1</v>
      </c>
      <c r="P11" s="54">
        <f t="shared" si="2"/>
        <v>4</v>
      </c>
      <c r="Q11" s="54">
        <f t="shared" si="3"/>
        <v>120</v>
      </c>
      <c r="R11" s="1">
        <f t="shared" si="4"/>
        <v>2</v>
      </c>
      <c r="S11" s="1">
        <f t="shared" si="5"/>
        <v>4</v>
      </c>
      <c r="T11" s="1">
        <f t="shared" si="6"/>
        <v>2</v>
      </c>
    </row>
    <row r="12" spans="1:20" ht="15" x14ac:dyDescent="0.2">
      <c r="A12" s="8" t="s">
        <v>16</v>
      </c>
      <c r="B12" s="9">
        <v>1</v>
      </c>
      <c r="C12" s="9">
        <v>1</v>
      </c>
      <c r="D12" s="9"/>
      <c r="E12" s="9">
        <v>2</v>
      </c>
      <c r="F12" s="9"/>
      <c r="G12" s="9">
        <v>2</v>
      </c>
      <c r="H12" s="9">
        <v>2</v>
      </c>
      <c r="I12" s="9">
        <v>2</v>
      </c>
      <c r="J12" s="9">
        <v>2</v>
      </c>
      <c r="K12" s="3"/>
      <c r="L12" s="9">
        <v>1</v>
      </c>
      <c r="M12" s="54">
        <v>1</v>
      </c>
      <c r="N12" s="54">
        <f t="shared" si="0"/>
        <v>3</v>
      </c>
      <c r="O12" s="54">
        <f t="shared" si="1"/>
        <v>1</v>
      </c>
      <c r="P12" s="54">
        <f t="shared" si="2"/>
        <v>4</v>
      </c>
      <c r="Q12" s="54">
        <f t="shared" si="3"/>
        <v>120</v>
      </c>
      <c r="R12" s="1">
        <f t="shared" si="4"/>
        <v>2</v>
      </c>
      <c r="S12" s="1">
        <f t="shared" si="5"/>
        <v>4</v>
      </c>
      <c r="T12" s="1">
        <f t="shared" si="6"/>
        <v>2</v>
      </c>
    </row>
    <row r="13" spans="1:20" ht="15" x14ac:dyDescent="0.2">
      <c r="A13" s="8">
        <v>4</v>
      </c>
      <c r="B13" s="9">
        <v>1</v>
      </c>
      <c r="C13" s="9">
        <v>1</v>
      </c>
      <c r="D13" s="9"/>
      <c r="E13" s="9">
        <v>1</v>
      </c>
      <c r="F13" s="9"/>
      <c r="G13" s="9">
        <v>2</v>
      </c>
      <c r="H13" s="9">
        <v>2</v>
      </c>
      <c r="I13" s="9"/>
      <c r="J13" s="9">
        <v>2</v>
      </c>
      <c r="K13" s="3"/>
      <c r="L13" s="9">
        <v>1</v>
      </c>
      <c r="M13" s="54">
        <v>1</v>
      </c>
      <c r="N13" s="54">
        <f t="shared" si="0"/>
        <v>2</v>
      </c>
      <c r="O13" s="54">
        <f t="shared" si="1"/>
        <v>1</v>
      </c>
      <c r="P13" s="54">
        <f t="shared" si="2"/>
        <v>4</v>
      </c>
      <c r="Q13" s="54">
        <f t="shared" si="3"/>
        <v>96</v>
      </c>
      <c r="R13" s="1">
        <f t="shared" si="4"/>
        <v>2</v>
      </c>
      <c r="S13" s="1">
        <f t="shared" si="5"/>
        <v>3</v>
      </c>
      <c r="T13" s="1">
        <f t="shared" si="6"/>
        <v>2</v>
      </c>
    </row>
    <row r="14" spans="1:20" s="23" customFormat="1" ht="15" x14ac:dyDescent="0.2">
      <c r="A14" s="12" t="s">
        <v>17</v>
      </c>
      <c r="B14" s="13">
        <v>1</v>
      </c>
      <c r="C14" s="13">
        <v>1</v>
      </c>
      <c r="D14" s="13"/>
      <c r="E14" s="13">
        <v>1</v>
      </c>
      <c r="F14" s="13"/>
      <c r="G14" s="13">
        <v>2</v>
      </c>
      <c r="H14" s="13">
        <v>2</v>
      </c>
      <c r="I14" s="13"/>
      <c r="J14" s="13">
        <v>2</v>
      </c>
      <c r="K14" s="40"/>
      <c r="L14" s="13">
        <v>1</v>
      </c>
      <c r="M14" s="55">
        <v>1</v>
      </c>
      <c r="N14" s="55">
        <f t="shared" si="0"/>
        <v>2</v>
      </c>
      <c r="O14" s="55">
        <f t="shared" si="1"/>
        <v>1</v>
      </c>
      <c r="P14" s="55">
        <f t="shared" si="2"/>
        <v>4</v>
      </c>
      <c r="Q14" s="55">
        <f t="shared" si="3"/>
        <v>96</v>
      </c>
      <c r="R14" s="1">
        <f t="shared" si="4"/>
        <v>2</v>
      </c>
      <c r="S14" s="1">
        <f t="shared" si="5"/>
        <v>3</v>
      </c>
      <c r="T14" s="1">
        <f t="shared" si="6"/>
        <v>2</v>
      </c>
    </row>
    <row r="15" spans="1:20" s="23" customFormat="1" ht="15" x14ac:dyDescent="0.2">
      <c r="A15" s="12" t="s">
        <v>18</v>
      </c>
      <c r="B15" s="13">
        <v>4</v>
      </c>
      <c r="C15" s="13"/>
      <c r="D15" s="13"/>
      <c r="E15" s="13">
        <v>1</v>
      </c>
      <c r="F15" s="13"/>
      <c r="G15" s="13">
        <v>4</v>
      </c>
      <c r="H15" s="13">
        <v>2</v>
      </c>
      <c r="I15" s="13"/>
      <c r="J15" s="13">
        <v>2</v>
      </c>
      <c r="K15" s="40"/>
      <c r="L15" s="13">
        <v>1</v>
      </c>
      <c r="M15" s="55">
        <v>1</v>
      </c>
      <c r="N15" s="55">
        <f t="shared" si="0"/>
        <v>1</v>
      </c>
      <c r="O15" s="55">
        <f t="shared" si="1"/>
        <v>4</v>
      </c>
      <c r="P15" s="55">
        <f t="shared" si="2"/>
        <v>4</v>
      </c>
      <c r="Q15" s="55">
        <f t="shared" si="3"/>
        <v>216</v>
      </c>
      <c r="R15" s="1">
        <f t="shared" si="4"/>
        <v>2</v>
      </c>
      <c r="S15" s="1">
        <f t="shared" si="5"/>
        <v>5</v>
      </c>
      <c r="T15" s="1">
        <f t="shared" si="6"/>
        <v>2</v>
      </c>
    </row>
    <row r="16" spans="1:20" ht="15" x14ac:dyDescent="0.2">
      <c r="A16" s="8">
        <v>5</v>
      </c>
      <c r="B16" s="9">
        <v>2</v>
      </c>
      <c r="C16" s="9"/>
      <c r="D16" s="9"/>
      <c r="E16" s="9">
        <v>1</v>
      </c>
      <c r="F16" s="9"/>
      <c r="G16" s="9">
        <v>2</v>
      </c>
      <c r="H16" s="9">
        <v>2</v>
      </c>
      <c r="I16" s="9"/>
      <c r="J16" s="9">
        <v>2</v>
      </c>
      <c r="K16" s="3"/>
      <c r="L16" s="9">
        <v>1</v>
      </c>
      <c r="M16" s="54">
        <v>1</v>
      </c>
      <c r="N16" s="54">
        <f t="shared" si="0"/>
        <v>1</v>
      </c>
      <c r="O16" s="54">
        <f t="shared" si="1"/>
        <v>2</v>
      </c>
      <c r="P16" s="54">
        <f t="shared" si="2"/>
        <v>4</v>
      </c>
      <c r="Q16" s="54">
        <f t="shared" si="3"/>
        <v>120</v>
      </c>
      <c r="R16" s="1">
        <f t="shared" si="4"/>
        <v>2</v>
      </c>
      <c r="S16" s="1">
        <f t="shared" si="5"/>
        <v>3</v>
      </c>
      <c r="T16" s="1">
        <f t="shared" si="6"/>
        <v>2</v>
      </c>
    </row>
    <row r="17" spans="1:20" ht="15" x14ac:dyDescent="0.2">
      <c r="A17" s="8">
        <v>6</v>
      </c>
      <c r="B17" s="32"/>
      <c r="C17" s="9"/>
      <c r="D17" s="9"/>
      <c r="E17" s="32"/>
      <c r="F17" s="9"/>
      <c r="G17" s="9"/>
      <c r="H17" s="9"/>
      <c r="I17" s="9"/>
      <c r="J17" s="9"/>
      <c r="K17" s="3"/>
      <c r="L17" s="9"/>
      <c r="M17" s="1"/>
      <c r="N17" s="1">
        <f t="shared" si="0"/>
        <v>0</v>
      </c>
      <c r="O17" s="1">
        <f t="shared" si="1"/>
        <v>0</v>
      </c>
      <c r="P17" s="1">
        <f t="shared" si="2"/>
        <v>0</v>
      </c>
      <c r="Q17" s="1">
        <f t="shared" si="3"/>
        <v>0</v>
      </c>
      <c r="R17" s="1">
        <f t="shared" si="4"/>
        <v>0</v>
      </c>
      <c r="S17" s="1">
        <f t="shared" si="5"/>
        <v>0</v>
      </c>
      <c r="T17" s="1">
        <f t="shared" si="6"/>
        <v>0</v>
      </c>
    </row>
    <row r="18" spans="1:20" s="24" customFormat="1" ht="15" x14ac:dyDescent="0.2">
      <c r="A18" s="15">
        <v>7</v>
      </c>
      <c r="B18" s="16">
        <v>2</v>
      </c>
      <c r="C18" s="16"/>
      <c r="D18" s="16"/>
      <c r="E18" s="16">
        <v>1</v>
      </c>
      <c r="F18" s="16"/>
      <c r="G18" s="16">
        <v>2</v>
      </c>
      <c r="H18" s="16">
        <v>2</v>
      </c>
      <c r="I18" s="16"/>
      <c r="J18" s="16">
        <v>2</v>
      </c>
      <c r="K18" s="41"/>
      <c r="L18" s="16">
        <v>1</v>
      </c>
      <c r="M18" s="56">
        <v>1</v>
      </c>
      <c r="N18" s="56">
        <f t="shared" si="0"/>
        <v>1</v>
      </c>
      <c r="O18" s="56">
        <f t="shared" si="1"/>
        <v>2</v>
      </c>
      <c r="P18" s="56">
        <f t="shared" si="2"/>
        <v>4</v>
      </c>
      <c r="Q18" s="56">
        <f t="shared" si="3"/>
        <v>120</v>
      </c>
      <c r="R18" s="1">
        <f t="shared" si="4"/>
        <v>2</v>
      </c>
      <c r="S18" s="1">
        <f t="shared" si="5"/>
        <v>3</v>
      </c>
      <c r="T18" s="1">
        <f t="shared" si="6"/>
        <v>2</v>
      </c>
    </row>
    <row r="19" spans="1:20" s="24" customFormat="1" ht="15" x14ac:dyDescent="0.2">
      <c r="A19" s="15">
        <v>8</v>
      </c>
      <c r="B19" s="16"/>
      <c r="C19" s="16"/>
      <c r="D19" s="16"/>
      <c r="E19" s="16"/>
      <c r="F19" s="16"/>
      <c r="G19" s="16"/>
      <c r="H19" s="16"/>
      <c r="I19" s="16"/>
      <c r="J19" s="16"/>
      <c r="K19" s="41"/>
      <c r="L19" s="16"/>
      <c r="M19" s="56"/>
      <c r="N19" s="56">
        <f t="shared" si="0"/>
        <v>0</v>
      </c>
      <c r="O19" s="56">
        <f t="shared" si="1"/>
        <v>0</v>
      </c>
      <c r="P19" s="56">
        <f t="shared" si="2"/>
        <v>0</v>
      </c>
      <c r="Q19" s="56">
        <f t="shared" si="3"/>
        <v>0</v>
      </c>
      <c r="R19" s="1">
        <f t="shared" si="4"/>
        <v>0</v>
      </c>
      <c r="S19" s="1">
        <f t="shared" si="5"/>
        <v>0</v>
      </c>
      <c r="T19" s="1">
        <f t="shared" si="6"/>
        <v>0</v>
      </c>
    </row>
    <row r="20" spans="1:20" ht="15" x14ac:dyDescent="0.2">
      <c r="A20" s="8">
        <v>9</v>
      </c>
      <c r="B20" s="9">
        <v>2</v>
      </c>
      <c r="C20" s="9"/>
      <c r="D20" s="9"/>
      <c r="E20" s="9">
        <v>1</v>
      </c>
      <c r="F20" s="9"/>
      <c r="G20" s="9">
        <v>2</v>
      </c>
      <c r="H20" s="9">
        <v>2</v>
      </c>
      <c r="I20" s="9"/>
      <c r="J20" s="9">
        <v>2</v>
      </c>
      <c r="K20" s="3"/>
      <c r="L20" s="9">
        <v>1</v>
      </c>
      <c r="M20" s="1">
        <v>1</v>
      </c>
      <c r="N20" s="1">
        <f t="shared" si="0"/>
        <v>1</v>
      </c>
      <c r="O20" s="1">
        <f t="shared" si="1"/>
        <v>2</v>
      </c>
      <c r="P20" s="1">
        <f t="shared" si="2"/>
        <v>4</v>
      </c>
      <c r="Q20" s="1">
        <f t="shared" si="3"/>
        <v>120</v>
      </c>
      <c r="R20" s="1">
        <f t="shared" si="4"/>
        <v>2</v>
      </c>
      <c r="S20" s="1">
        <f t="shared" si="5"/>
        <v>3</v>
      </c>
      <c r="T20" s="1">
        <f t="shared" si="6"/>
        <v>2</v>
      </c>
    </row>
    <row r="21" spans="1:20" ht="15" x14ac:dyDescent="0.2">
      <c r="A21" s="8">
        <v>10</v>
      </c>
      <c r="B21" s="9"/>
      <c r="C21" s="9"/>
      <c r="D21" s="9"/>
      <c r="E21" s="9"/>
      <c r="F21" s="9"/>
      <c r="G21" s="9"/>
      <c r="H21" s="9"/>
      <c r="I21" s="9"/>
      <c r="J21" s="9"/>
      <c r="K21" s="3"/>
      <c r="L21" s="9"/>
      <c r="M21" s="1"/>
      <c r="N21" s="1">
        <f t="shared" si="0"/>
        <v>0</v>
      </c>
      <c r="O21" s="1">
        <f t="shared" si="1"/>
        <v>0</v>
      </c>
      <c r="P21" s="1">
        <f t="shared" si="2"/>
        <v>0</v>
      </c>
      <c r="Q21" s="1">
        <f t="shared" si="3"/>
        <v>0</v>
      </c>
      <c r="R21" s="1">
        <f t="shared" si="4"/>
        <v>0</v>
      </c>
      <c r="S21" s="1">
        <f t="shared" si="5"/>
        <v>0</v>
      </c>
      <c r="T21" s="1">
        <f t="shared" si="6"/>
        <v>0</v>
      </c>
    </row>
    <row r="22" spans="1:20" s="24" customFormat="1" ht="15" x14ac:dyDescent="0.2">
      <c r="A22" s="15">
        <v>11</v>
      </c>
      <c r="B22" s="16">
        <v>2</v>
      </c>
      <c r="C22" s="16"/>
      <c r="D22" s="16"/>
      <c r="E22" s="16">
        <v>1</v>
      </c>
      <c r="F22" s="16"/>
      <c r="G22" s="16">
        <v>2</v>
      </c>
      <c r="H22" s="16">
        <v>2</v>
      </c>
      <c r="I22" s="16"/>
      <c r="J22" s="16">
        <v>2</v>
      </c>
      <c r="K22" s="41"/>
      <c r="L22" s="16">
        <v>1</v>
      </c>
      <c r="M22" s="56">
        <v>1</v>
      </c>
      <c r="N22" s="56">
        <f t="shared" si="0"/>
        <v>1</v>
      </c>
      <c r="O22" s="56">
        <f t="shared" si="1"/>
        <v>2</v>
      </c>
      <c r="P22" s="56">
        <f t="shared" si="2"/>
        <v>4</v>
      </c>
      <c r="Q22" s="56">
        <f t="shared" si="3"/>
        <v>120</v>
      </c>
      <c r="R22" s="1">
        <f t="shared" si="4"/>
        <v>2</v>
      </c>
      <c r="S22" s="1">
        <f t="shared" si="5"/>
        <v>3</v>
      </c>
      <c r="T22" s="1">
        <f t="shared" si="6"/>
        <v>2</v>
      </c>
    </row>
    <row r="23" spans="1:20" s="24" customFormat="1" ht="15" x14ac:dyDescent="0.2">
      <c r="A23" s="15">
        <v>12</v>
      </c>
      <c r="B23" s="16"/>
      <c r="C23" s="16"/>
      <c r="D23" s="16"/>
      <c r="E23" s="16"/>
      <c r="F23" s="16"/>
      <c r="G23" s="16"/>
      <c r="H23" s="16"/>
      <c r="I23" s="16"/>
      <c r="J23" s="16"/>
      <c r="K23" s="41"/>
      <c r="L23" s="16"/>
      <c r="M23" s="56"/>
      <c r="N23" s="56">
        <f t="shared" si="0"/>
        <v>0</v>
      </c>
      <c r="O23" s="56">
        <f t="shared" si="1"/>
        <v>0</v>
      </c>
      <c r="P23" s="56">
        <f t="shared" si="2"/>
        <v>0</v>
      </c>
      <c r="Q23" s="56">
        <f t="shared" si="3"/>
        <v>0</v>
      </c>
      <c r="R23" s="1">
        <f t="shared" si="4"/>
        <v>0</v>
      </c>
      <c r="S23" s="1">
        <f t="shared" si="5"/>
        <v>0</v>
      </c>
      <c r="T23" s="1">
        <f t="shared" si="6"/>
        <v>0</v>
      </c>
    </row>
    <row r="24" spans="1:20" ht="15" x14ac:dyDescent="0.2">
      <c r="A24" s="8">
        <v>13</v>
      </c>
      <c r="B24" s="9">
        <v>2</v>
      </c>
      <c r="C24" s="9"/>
      <c r="D24" s="9"/>
      <c r="E24" s="9">
        <v>1</v>
      </c>
      <c r="F24" s="9"/>
      <c r="G24" s="9">
        <v>2</v>
      </c>
      <c r="H24" s="9">
        <v>2</v>
      </c>
      <c r="I24" s="9"/>
      <c r="J24" s="9">
        <v>2</v>
      </c>
      <c r="K24" s="3"/>
      <c r="L24" s="9">
        <v>1</v>
      </c>
      <c r="M24" s="1">
        <v>1</v>
      </c>
      <c r="N24" s="1">
        <f t="shared" si="0"/>
        <v>1</v>
      </c>
      <c r="O24" s="1">
        <f t="shared" si="1"/>
        <v>2</v>
      </c>
      <c r="P24" s="1">
        <f t="shared" si="2"/>
        <v>4</v>
      </c>
      <c r="Q24" s="1">
        <f t="shared" si="3"/>
        <v>120</v>
      </c>
      <c r="R24" s="1">
        <f t="shared" si="4"/>
        <v>2</v>
      </c>
      <c r="S24" s="1">
        <f t="shared" si="5"/>
        <v>3</v>
      </c>
      <c r="T24" s="1">
        <f t="shared" si="6"/>
        <v>2</v>
      </c>
    </row>
    <row r="25" spans="1:20" ht="15" x14ac:dyDescent="0.2">
      <c r="A25" s="8">
        <v>14</v>
      </c>
      <c r="B25" s="9"/>
      <c r="C25" s="9"/>
      <c r="D25" s="9"/>
      <c r="E25" s="9"/>
      <c r="F25" s="9"/>
      <c r="G25" s="9"/>
      <c r="H25" s="9"/>
      <c r="I25" s="9"/>
      <c r="J25" s="9"/>
      <c r="K25" s="3"/>
      <c r="L25" s="9"/>
      <c r="M25" s="1"/>
      <c r="N25" s="1">
        <f t="shared" si="0"/>
        <v>0</v>
      </c>
      <c r="O25" s="1">
        <f t="shared" si="1"/>
        <v>0</v>
      </c>
      <c r="P25" s="1">
        <f t="shared" si="2"/>
        <v>0</v>
      </c>
      <c r="Q25" s="1">
        <f t="shared" si="3"/>
        <v>0</v>
      </c>
      <c r="R25" s="1">
        <f t="shared" si="4"/>
        <v>0</v>
      </c>
      <c r="S25" s="1">
        <f t="shared" si="5"/>
        <v>0</v>
      </c>
      <c r="T25" s="1">
        <f t="shared" si="6"/>
        <v>0</v>
      </c>
    </row>
    <row r="26" spans="1:20" s="24" customFormat="1" ht="15" x14ac:dyDescent="0.2">
      <c r="A26" s="15">
        <v>15</v>
      </c>
      <c r="B26" s="16">
        <v>2</v>
      </c>
      <c r="C26" s="16"/>
      <c r="D26" s="16"/>
      <c r="E26" s="16">
        <v>1</v>
      </c>
      <c r="F26" s="16"/>
      <c r="G26" s="16">
        <v>2</v>
      </c>
      <c r="H26" s="16">
        <v>2</v>
      </c>
      <c r="I26" s="16"/>
      <c r="J26" s="16">
        <v>2</v>
      </c>
      <c r="K26" s="41"/>
      <c r="L26" s="16">
        <v>1</v>
      </c>
      <c r="M26" s="56">
        <v>1</v>
      </c>
      <c r="N26" s="56">
        <f t="shared" si="0"/>
        <v>1</v>
      </c>
      <c r="O26" s="56">
        <f t="shared" si="1"/>
        <v>2</v>
      </c>
      <c r="P26" s="56">
        <f t="shared" si="2"/>
        <v>4</v>
      </c>
      <c r="Q26" s="56">
        <f t="shared" si="3"/>
        <v>120</v>
      </c>
      <c r="R26" s="1">
        <f t="shared" si="4"/>
        <v>2</v>
      </c>
      <c r="S26" s="1">
        <f t="shared" si="5"/>
        <v>3</v>
      </c>
      <c r="T26" s="1">
        <f t="shared" si="6"/>
        <v>2</v>
      </c>
    </row>
    <row r="27" spans="1:20" s="24" customFormat="1" ht="15" x14ac:dyDescent="0.2">
      <c r="A27" s="15">
        <v>16</v>
      </c>
      <c r="B27" s="16"/>
      <c r="C27" s="16"/>
      <c r="D27" s="16"/>
      <c r="E27" s="16"/>
      <c r="F27" s="16"/>
      <c r="G27" s="16"/>
      <c r="H27" s="16"/>
      <c r="I27" s="16"/>
      <c r="J27" s="16"/>
      <c r="K27" s="41"/>
      <c r="L27" s="16"/>
      <c r="M27" s="56"/>
      <c r="N27" s="56">
        <f t="shared" si="0"/>
        <v>0</v>
      </c>
      <c r="O27" s="56">
        <f t="shared" si="1"/>
        <v>0</v>
      </c>
      <c r="P27" s="56">
        <f t="shared" si="2"/>
        <v>0</v>
      </c>
      <c r="Q27" s="56">
        <f t="shared" si="3"/>
        <v>0</v>
      </c>
      <c r="R27" s="1">
        <f t="shared" si="4"/>
        <v>0</v>
      </c>
      <c r="S27" s="1">
        <f t="shared" si="5"/>
        <v>0</v>
      </c>
      <c r="T27" s="1">
        <f t="shared" si="6"/>
        <v>0</v>
      </c>
    </row>
    <row r="28" spans="1:20" ht="15" x14ac:dyDescent="0.2">
      <c r="A28" s="8">
        <v>17</v>
      </c>
      <c r="B28" s="9"/>
      <c r="C28" s="9"/>
      <c r="D28" s="9"/>
      <c r="E28" s="9"/>
      <c r="F28" s="9"/>
      <c r="G28" s="9"/>
      <c r="H28" s="9"/>
      <c r="I28" s="9"/>
      <c r="J28" s="9"/>
      <c r="K28" s="3"/>
      <c r="L28" s="9"/>
      <c r="M28" s="1"/>
      <c r="N28" s="1">
        <f t="shared" si="0"/>
        <v>0</v>
      </c>
      <c r="O28" s="1">
        <f t="shared" si="1"/>
        <v>0</v>
      </c>
      <c r="P28" s="1">
        <f t="shared" si="2"/>
        <v>0</v>
      </c>
      <c r="Q28" s="1">
        <f t="shared" si="3"/>
        <v>0</v>
      </c>
      <c r="R28" s="1">
        <f t="shared" si="4"/>
        <v>0</v>
      </c>
      <c r="S28" s="1">
        <f t="shared" si="5"/>
        <v>0</v>
      </c>
      <c r="T28" s="1">
        <f t="shared" si="6"/>
        <v>0</v>
      </c>
    </row>
    <row r="29" spans="1:20" ht="14.25" customHeight="1" x14ac:dyDescent="0.2">
      <c r="A29" s="8">
        <v>18</v>
      </c>
      <c r="B29" s="9">
        <v>3</v>
      </c>
      <c r="C29" s="9"/>
      <c r="D29" s="9"/>
      <c r="E29" s="9">
        <v>1</v>
      </c>
      <c r="F29" s="9"/>
      <c r="G29" s="9">
        <v>3</v>
      </c>
      <c r="H29" s="9">
        <v>2</v>
      </c>
      <c r="I29" s="9"/>
      <c r="J29" s="9">
        <v>2</v>
      </c>
      <c r="K29" s="3"/>
      <c r="L29" s="9">
        <v>1</v>
      </c>
      <c r="M29" s="1">
        <v>1</v>
      </c>
      <c r="N29" s="1">
        <f t="shared" si="0"/>
        <v>1</v>
      </c>
      <c r="O29" s="1">
        <f t="shared" si="1"/>
        <v>3</v>
      </c>
      <c r="P29" s="1">
        <f t="shared" si="2"/>
        <v>4</v>
      </c>
      <c r="Q29" s="1">
        <f t="shared" si="3"/>
        <v>168</v>
      </c>
      <c r="R29" s="1">
        <f t="shared" si="4"/>
        <v>2</v>
      </c>
      <c r="S29" s="1">
        <f t="shared" si="5"/>
        <v>4</v>
      </c>
      <c r="T29" s="1">
        <f t="shared" si="6"/>
        <v>2</v>
      </c>
    </row>
    <row r="30" spans="1:20" ht="15" x14ac:dyDescent="0.2">
      <c r="A30" s="8">
        <v>19</v>
      </c>
      <c r="B30" s="9"/>
      <c r="C30" s="9"/>
      <c r="D30" s="9"/>
      <c r="E30" s="9"/>
      <c r="F30" s="9"/>
      <c r="G30" s="9"/>
      <c r="H30" s="9"/>
      <c r="I30" s="9"/>
      <c r="J30" s="9"/>
      <c r="K30" s="3"/>
      <c r="L30" s="9"/>
      <c r="M30" s="1"/>
      <c r="N30" s="1">
        <f t="shared" si="0"/>
        <v>0</v>
      </c>
      <c r="O30" s="1">
        <f t="shared" si="1"/>
        <v>0</v>
      </c>
      <c r="P30" s="1">
        <f t="shared" si="2"/>
        <v>0</v>
      </c>
      <c r="Q30" s="1">
        <f t="shared" si="3"/>
        <v>0</v>
      </c>
      <c r="R30" s="1">
        <f t="shared" si="4"/>
        <v>0</v>
      </c>
      <c r="S30" s="1">
        <f t="shared" si="5"/>
        <v>0</v>
      </c>
      <c r="T30" s="1">
        <f t="shared" si="6"/>
        <v>0</v>
      </c>
    </row>
    <row r="31" spans="1:20" s="24" customFormat="1" ht="15" x14ac:dyDescent="0.2">
      <c r="A31" s="15">
        <v>20</v>
      </c>
      <c r="B31" s="16"/>
      <c r="C31" s="16"/>
      <c r="D31" s="16"/>
      <c r="E31" s="16"/>
      <c r="F31" s="16"/>
      <c r="G31" s="16"/>
      <c r="H31" s="16"/>
      <c r="I31" s="16"/>
      <c r="J31" s="16"/>
      <c r="K31" s="41"/>
      <c r="L31" s="16"/>
      <c r="M31" s="56"/>
      <c r="N31" s="56">
        <f t="shared" si="0"/>
        <v>0</v>
      </c>
      <c r="O31" s="56">
        <f t="shared" si="1"/>
        <v>0</v>
      </c>
      <c r="P31" s="56">
        <f t="shared" si="2"/>
        <v>0</v>
      </c>
      <c r="Q31" s="56">
        <f t="shared" si="3"/>
        <v>0</v>
      </c>
      <c r="R31" s="1">
        <f t="shared" si="4"/>
        <v>0</v>
      </c>
      <c r="S31" s="1">
        <f t="shared" si="5"/>
        <v>0</v>
      </c>
      <c r="T31" s="1">
        <f t="shared" si="6"/>
        <v>0</v>
      </c>
    </row>
    <row r="32" spans="1:20" s="24" customFormat="1" ht="15" x14ac:dyDescent="0.2">
      <c r="A32" s="15">
        <v>21</v>
      </c>
      <c r="B32" s="16">
        <v>3</v>
      </c>
      <c r="C32" s="16"/>
      <c r="D32" s="16"/>
      <c r="E32" s="16">
        <v>1</v>
      </c>
      <c r="F32" s="16"/>
      <c r="G32" s="16">
        <v>3</v>
      </c>
      <c r="H32" s="16">
        <v>2</v>
      </c>
      <c r="I32" s="16"/>
      <c r="J32" s="16">
        <v>2</v>
      </c>
      <c r="K32" s="41"/>
      <c r="L32" s="16">
        <v>1</v>
      </c>
      <c r="M32" s="56">
        <v>1</v>
      </c>
      <c r="N32" s="56">
        <f t="shared" si="0"/>
        <v>1</v>
      </c>
      <c r="O32" s="56">
        <f t="shared" si="1"/>
        <v>3</v>
      </c>
      <c r="P32" s="56">
        <f t="shared" si="2"/>
        <v>4</v>
      </c>
      <c r="Q32" s="56">
        <f t="shared" si="3"/>
        <v>168</v>
      </c>
      <c r="R32" s="1">
        <f t="shared" si="4"/>
        <v>2</v>
      </c>
      <c r="S32" s="1">
        <f t="shared" si="5"/>
        <v>4</v>
      </c>
      <c r="T32" s="1">
        <f t="shared" si="6"/>
        <v>2</v>
      </c>
    </row>
    <row r="33" spans="1:20" s="24" customFormat="1" ht="15" x14ac:dyDescent="0.2">
      <c r="A33" s="15">
        <v>22</v>
      </c>
      <c r="B33" s="16"/>
      <c r="C33" s="16"/>
      <c r="D33" s="16"/>
      <c r="E33" s="16"/>
      <c r="F33" s="16"/>
      <c r="G33" s="16"/>
      <c r="H33" s="16"/>
      <c r="I33" s="16"/>
      <c r="J33" s="16"/>
      <c r="K33" s="41"/>
      <c r="L33" s="16"/>
      <c r="M33" s="56"/>
      <c r="N33" s="56">
        <f t="shared" si="0"/>
        <v>0</v>
      </c>
      <c r="O33" s="56">
        <f t="shared" si="1"/>
        <v>0</v>
      </c>
      <c r="P33" s="56">
        <f t="shared" si="2"/>
        <v>0</v>
      </c>
      <c r="Q33" s="56">
        <f t="shared" si="3"/>
        <v>0</v>
      </c>
      <c r="R33" s="1">
        <f t="shared" si="4"/>
        <v>0</v>
      </c>
      <c r="S33" s="1">
        <f t="shared" si="5"/>
        <v>0</v>
      </c>
      <c r="T33" s="1">
        <f t="shared" si="6"/>
        <v>0</v>
      </c>
    </row>
    <row r="34" spans="1:20" ht="15" x14ac:dyDescent="0.2">
      <c r="A34" s="8">
        <v>23</v>
      </c>
      <c r="B34" s="9">
        <v>1</v>
      </c>
      <c r="C34" s="9"/>
      <c r="D34" s="9"/>
      <c r="E34" s="9">
        <v>1</v>
      </c>
      <c r="F34" s="9"/>
      <c r="G34" s="9">
        <v>1</v>
      </c>
      <c r="H34" s="9">
        <v>2</v>
      </c>
      <c r="I34" s="9"/>
      <c r="J34" s="9">
        <v>2</v>
      </c>
      <c r="K34" s="3"/>
      <c r="L34" s="9"/>
      <c r="M34" s="1"/>
      <c r="N34" s="1">
        <f t="shared" si="0"/>
        <v>1</v>
      </c>
      <c r="O34" s="1">
        <f t="shared" si="1"/>
        <v>1</v>
      </c>
      <c r="P34" s="1">
        <f t="shared" si="2"/>
        <v>4</v>
      </c>
      <c r="Q34" s="1">
        <f t="shared" si="3"/>
        <v>72</v>
      </c>
      <c r="R34" s="1">
        <f t="shared" si="4"/>
        <v>0</v>
      </c>
      <c r="S34" s="1">
        <f t="shared" si="5"/>
        <v>2</v>
      </c>
      <c r="T34" s="1">
        <f t="shared" si="6"/>
        <v>0</v>
      </c>
    </row>
    <row r="35" spans="1:20" s="24" customFormat="1" ht="15" x14ac:dyDescent="0.2">
      <c r="A35" s="76">
        <v>24</v>
      </c>
      <c r="B35" s="69"/>
      <c r="C35" s="69"/>
      <c r="D35" s="69"/>
      <c r="E35" s="69"/>
      <c r="F35" s="69"/>
      <c r="G35" s="69"/>
      <c r="H35" s="69"/>
      <c r="I35" s="69"/>
      <c r="J35" s="69"/>
      <c r="K35" s="70"/>
      <c r="L35" s="69"/>
      <c r="M35" s="71"/>
      <c r="N35" s="71"/>
      <c r="O35" s="71"/>
      <c r="P35" s="71"/>
      <c r="Q35" s="71"/>
      <c r="R35" s="72"/>
      <c r="S35" s="72"/>
      <c r="T35" s="72"/>
    </row>
    <row r="36" spans="1:20" s="24" customFormat="1" ht="15" x14ac:dyDescent="0.2">
      <c r="A36" s="77" t="s">
        <v>19</v>
      </c>
      <c r="B36" s="73">
        <v>1</v>
      </c>
      <c r="C36" s="73"/>
      <c r="D36" s="73"/>
      <c r="E36" s="73">
        <v>1</v>
      </c>
      <c r="F36" s="73"/>
      <c r="G36" s="73"/>
      <c r="H36" s="73">
        <v>2</v>
      </c>
      <c r="I36" s="73"/>
      <c r="J36" s="73">
        <v>2</v>
      </c>
      <c r="K36" s="74"/>
      <c r="L36" s="73">
        <v>1</v>
      </c>
      <c r="M36" s="75">
        <v>1</v>
      </c>
      <c r="N36" s="75">
        <f t="shared" si="0"/>
        <v>1</v>
      </c>
      <c r="O36" s="75">
        <f t="shared" si="1"/>
        <v>1</v>
      </c>
      <c r="P36" s="75">
        <f t="shared" si="2"/>
        <v>4</v>
      </c>
      <c r="Q36" s="75">
        <f t="shared" si="3"/>
        <v>72</v>
      </c>
      <c r="R36" s="68">
        <f t="shared" si="4"/>
        <v>2</v>
      </c>
      <c r="S36" s="68">
        <f t="shared" si="5"/>
        <v>2</v>
      </c>
      <c r="T36" s="68">
        <f t="shared" si="6"/>
        <v>2</v>
      </c>
    </row>
    <row r="37" spans="1:20" ht="15" x14ac:dyDescent="0.2">
      <c r="A37" s="8">
        <v>25</v>
      </c>
      <c r="B37" s="9"/>
      <c r="C37" s="9"/>
      <c r="D37" s="9"/>
      <c r="E37" s="9"/>
      <c r="F37" s="9"/>
      <c r="G37" s="9"/>
      <c r="H37" s="9"/>
      <c r="I37" s="9"/>
      <c r="J37" s="9"/>
      <c r="K37" s="3"/>
      <c r="L37" s="9"/>
      <c r="M37" s="1"/>
      <c r="N37" s="1"/>
      <c r="O37" s="1"/>
      <c r="P37" s="1"/>
      <c r="Q37" s="1"/>
      <c r="R37" s="1"/>
      <c r="S37" s="1"/>
      <c r="T37" s="1"/>
    </row>
    <row r="38" spans="1:20" ht="15" x14ac:dyDescent="0.2">
      <c r="A38" s="65">
        <v>26</v>
      </c>
      <c r="B38" s="66">
        <v>3</v>
      </c>
      <c r="C38" s="66">
        <v>1</v>
      </c>
      <c r="D38" s="66"/>
      <c r="E38" s="66">
        <v>1</v>
      </c>
      <c r="F38" s="66"/>
      <c r="G38" s="66">
        <v>4</v>
      </c>
      <c r="H38" s="66">
        <v>2</v>
      </c>
      <c r="I38" s="66"/>
      <c r="J38" s="66">
        <v>2</v>
      </c>
      <c r="K38" s="67"/>
      <c r="L38" s="66">
        <v>1</v>
      </c>
      <c r="M38" s="68">
        <v>1</v>
      </c>
      <c r="N38" s="68">
        <f t="shared" si="0"/>
        <v>2</v>
      </c>
      <c r="O38" s="68">
        <f t="shared" si="1"/>
        <v>3</v>
      </c>
      <c r="P38" s="68">
        <f t="shared" si="2"/>
        <v>4</v>
      </c>
      <c r="Q38" s="68">
        <f t="shared" si="3"/>
        <v>192</v>
      </c>
      <c r="R38" s="68">
        <f t="shared" si="4"/>
        <v>2</v>
      </c>
      <c r="S38" s="68">
        <f t="shared" si="5"/>
        <v>5</v>
      </c>
      <c r="T38" s="68">
        <f t="shared" si="6"/>
        <v>2</v>
      </c>
    </row>
    <row r="39" spans="1:20" s="24" customFormat="1" ht="15" x14ac:dyDescent="0.2">
      <c r="A39" s="8">
        <v>27</v>
      </c>
      <c r="B39" s="69"/>
      <c r="C39" s="69"/>
      <c r="D39" s="69"/>
      <c r="E39" s="69"/>
      <c r="F39" s="69"/>
      <c r="G39" s="69"/>
      <c r="H39" s="69"/>
      <c r="I39" s="69"/>
      <c r="J39" s="69"/>
      <c r="K39" s="70"/>
      <c r="L39" s="69"/>
      <c r="M39" s="71"/>
      <c r="N39" s="71"/>
      <c r="O39" s="71"/>
      <c r="P39" s="71"/>
      <c r="Q39" s="71"/>
      <c r="R39" s="72"/>
      <c r="S39" s="72"/>
      <c r="T39" s="72"/>
    </row>
    <row r="40" spans="1:20" s="24" customFormat="1" ht="15" x14ac:dyDescent="0.2">
      <c r="A40" s="8">
        <v>28</v>
      </c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69"/>
      <c r="M40" s="71"/>
      <c r="N40" s="71"/>
      <c r="O40" s="71"/>
      <c r="P40" s="71"/>
      <c r="Q40" s="71"/>
      <c r="R40" s="72"/>
      <c r="S40" s="72"/>
      <c r="T40" s="72"/>
    </row>
    <row r="41" spans="1:20" ht="15" x14ac:dyDescent="0.2">
      <c r="A41" s="65">
        <v>29</v>
      </c>
      <c r="B41" s="66">
        <v>3</v>
      </c>
      <c r="C41" s="66">
        <v>1</v>
      </c>
      <c r="D41" s="66"/>
      <c r="E41" s="66">
        <v>1</v>
      </c>
      <c r="F41" s="66"/>
      <c r="G41" s="66">
        <v>4</v>
      </c>
      <c r="H41" s="66">
        <v>2</v>
      </c>
      <c r="I41" s="66"/>
      <c r="J41" s="66">
        <v>2</v>
      </c>
      <c r="K41" s="67"/>
      <c r="L41" s="66">
        <v>1</v>
      </c>
      <c r="M41" s="68">
        <v>1</v>
      </c>
      <c r="N41" s="68">
        <f t="shared" si="0"/>
        <v>2</v>
      </c>
      <c r="O41" s="68">
        <f t="shared" si="1"/>
        <v>3</v>
      </c>
      <c r="P41" s="68">
        <f t="shared" si="2"/>
        <v>4</v>
      </c>
      <c r="Q41" s="68">
        <f t="shared" si="3"/>
        <v>192</v>
      </c>
      <c r="R41" s="68">
        <f t="shared" si="4"/>
        <v>2</v>
      </c>
      <c r="S41" s="68">
        <f t="shared" si="5"/>
        <v>5</v>
      </c>
      <c r="T41" s="68">
        <f t="shared" si="6"/>
        <v>2</v>
      </c>
    </row>
    <row r="42" spans="1:20" ht="15" x14ac:dyDescent="0.2">
      <c r="A42" s="8">
        <v>30</v>
      </c>
      <c r="B42" s="9"/>
      <c r="C42" s="9"/>
      <c r="D42" s="9"/>
      <c r="E42" s="9"/>
      <c r="F42" s="9"/>
      <c r="G42" s="9"/>
      <c r="H42" s="9"/>
      <c r="I42" s="9"/>
      <c r="J42" s="9"/>
      <c r="K42" s="3"/>
      <c r="L42" s="9"/>
      <c r="M42" s="1"/>
      <c r="N42" s="1"/>
      <c r="O42" s="1"/>
      <c r="P42" s="1"/>
      <c r="Q42" s="1"/>
      <c r="R42" s="1"/>
      <c r="S42" s="1"/>
      <c r="T42" s="1"/>
    </row>
    <row r="43" spans="1:20" s="24" customFormat="1" ht="15" x14ac:dyDescent="0.2">
      <c r="A43" s="8">
        <v>31</v>
      </c>
      <c r="B43" s="69"/>
      <c r="C43" s="69"/>
      <c r="D43" s="69"/>
      <c r="E43" s="69"/>
      <c r="F43" s="69"/>
      <c r="G43" s="69"/>
      <c r="H43" s="69"/>
      <c r="I43" s="69"/>
      <c r="J43" s="69"/>
      <c r="K43" s="70"/>
      <c r="L43" s="69"/>
      <c r="M43" s="71"/>
      <c r="N43" s="71"/>
      <c r="O43" s="71"/>
      <c r="P43" s="71"/>
      <c r="Q43" s="71"/>
      <c r="R43" s="72"/>
      <c r="S43" s="72"/>
      <c r="T43" s="72"/>
    </row>
    <row r="44" spans="1:20" s="24" customFormat="1" ht="15" x14ac:dyDescent="0.2">
      <c r="A44" s="65">
        <v>32</v>
      </c>
      <c r="B44" s="73">
        <v>3</v>
      </c>
      <c r="C44" s="73">
        <v>1</v>
      </c>
      <c r="D44" s="73"/>
      <c r="E44" s="73">
        <v>1</v>
      </c>
      <c r="F44" s="73"/>
      <c r="G44" s="73">
        <v>4</v>
      </c>
      <c r="H44" s="73">
        <v>2</v>
      </c>
      <c r="I44" s="73"/>
      <c r="J44" s="73">
        <v>2</v>
      </c>
      <c r="K44" s="74"/>
      <c r="L44" s="73">
        <v>1</v>
      </c>
      <c r="M44" s="75">
        <v>1</v>
      </c>
      <c r="N44" s="75">
        <f t="shared" si="0"/>
        <v>2</v>
      </c>
      <c r="O44" s="75">
        <f t="shared" si="1"/>
        <v>3</v>
      </c>
      <c r="P44" s="75">
        <f t="shared" si="2"/>
        <v>4</v>
      </c>
      <c r="Q44" s="75">
        <f t="shared" si="3"/>
        <v>192</v>
      </c>
      <c r="R44" s="68">
        <f t="shared" si="4"/>
        <v>2</v>
      </c>
      <c r="S44" s="68">
        <f t="shared" si="5"/>
        <v>5</v>
      </c>
      <c r="T44" s="68">
        <f t="shared" si="6"/>
        <v>2</v>
      </c>
    </row>
    <row r="45" spans="1:20" ht="15" x14ac:dyDescent="0.2">
      <c r="A45" s="8">
        <v>33</v>
      </c>
      <c r="B45" s="9"/>
      <c r="C45" s="9"/>
      <c r="D45" s="9"/>
      <c r="E45" s="9"/>
      <c r="F45" s="9"/>
      <c r="G45" s="9"/>
      <c r="H45" s="9"/>
      <c r="I45" s="9"/>
      <c r="J45" s="9"/>
      <c r="K45" s="3"/>
      <c r="L45" s="9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2">
      <c r="A46" s="8">
        <v>34</v>
      </c>
      <c r="B46" s="9"/>
      <c r="C46" s="9"/>
      <c r="D46" s="9"/>
      <c r="E46" s="9"/>
      <c r="F46" s="9"/>
      <c r="G46" s="9"/>
      <c r="H46" s="9"/>
      <c r="I46" s="9"/>
      <c r="J46" s="9"/>
      <c r="K46" s="3"/>
      <c r="L46" s="9"/>
      <c r="M46" s="1"/>
      <c r="N46" s="1"/>
      <c r="O46" s="1"/>
      <c r="P46" s="1"/>
      <c r="Q46" s="1"/>
      <c r="R46" s="1"/>
      <c r="S46" s="1"/>
      <c r="T46" s="1"/>
    </row>
    <row r="47" spans="1:20" ht="15" x14ac:dyDescent="0.2">
      <c r="A47" s="65">
        <v>35</v>
      </c>
      <c r="B47" s="66">
        <v>3</v>
      </c>
      <c r="C47" s="66">
        <v>1</v>
      </c>
      <c r="D47" s="66"/>
      <c r="E47" s="66">
        <v>1</v>
      </c>
      <c r="F47" s="66"/>
      <c r="G47" s="66">
        <v>4</v>
      </c>
      <c r="H47" s="66">
        <v>2</v>
      </c>
      <c r="I47" s="66"/>
      <c r="J47" s="66">
        <v>2</v>
      </c>
      <c r="K47" s="67"/>
      <c r="L47" s="66">
        <v>1</v>
      </c>
      <c r="M47" s="68">
        <v>1</v>
      </c>
      <c r="N47" s="68">
        <f t="shared" si="0"/>
        <v>2</v>
      </c>
      <c r="O47" s="68">
        <f t="shared" si="1"/>
        <v>3</v>
      </c>
      <c r="P47" s="68">
        <f t="shared" si="2"/>
        <v>4</v>
      </c>
      <c r="Q47" s="68">
        <f t="shared" si="3"/>
        <v>192</v>
      </c>
      <c r="R47" s="68">
        <f t="shared" si="4"/>
        <v>2</v>
      </c>
      <c r="S47" s="68">
        <f t="shared" si="5"/>
        <v>5</v>
      </c>
      <c r="T47" s="68">
        <f t="shared" si="6"/>
        <v>2</v>
      </c>
    </row>
    <row r="48" spans="1:20" s="24" customFormat="1" ht="15" x14ac:dyDescent="0.2">
      <c r="A48" s="8">
        <v>36</v>
      </c>
      <c r="B48" s="69"/>
      <c r="C48" s="69"/>
      <c r="D48" s="69"/>
      <c r="E48" s="69"/>
      <c r="F48" s="69"/>
      <c r="G48" s="69"/>
      <c r="H48" s="69"/>
      <c r="I48" s="69"/>
      <c r="J48" s="69"/>
      <c r="K48" s="70"/>
      <c r="L48" s="69"/>
      <c r="M48" s="71"/>
      <c r="N48" s="71"/>
      <c r="O48" s="71"/>
      <c r="P48" s="71"/>
      <c r="Q48" s="71"/>
      <c r="R48" s="72"/>
      <c r="S48" s="72"/>
      <c r="T48" s="72"/>
    </row>
    <row r="49" spans="1:20" s="24" customFormat="1" ht="15" x14ac:dyDescent="0.2">
      <c r="A49" s="8">
        <v>37</v>
      </c>
      <c r="B49" s="69"/>
      <c r="C49" s="69"/>
      <c r="D49" s="69"/>
      <c r="E49" s="69"/>
      <c r="F49" s="69"/>
      <c r="G49" s="69"/>
      <c r="H49" s="69"/>
      <c r="I49" s="69"/>
      <c r="J49" s="69"/>
      <c r="K49" s="70"/>
      <c r="L49" s="69"/>
      <c r="M49" s="71"/>
      <c r="N49" s="71"/>
      <c r="O49" s="71"/>
      <c r="P49" s="71"/>
      <c r="Q49" s="71"/>
      <c r="R49" s="72"/>
      <c r="S49" s="72"/>
      <c r="T49" s="72"/>
    </row>
    <row r="50" spans="1:20" s="24" customFormat="1" ht="15" x14ac:dyDescent="0.2">
      <c r="A50" s="65">
        <v>38</v>
      </c>
      <c r="B50" s="73">
        <v>2</v>
      </c>
      <c r="C50" s="73">
        <v>1</v>
      </c>
      <c r="D50" s="73"/>
      <c r="E50" s="73">
        <v>1</v>
      </c>
      <c r="F50" s="73"/>
      <c r="G50" s="73">
        <v>3</v>
      </c>
      <c r="H50" s="73">
        <v>2</v>
      </c>
      <c r="I50" s="73"/>
      <c r="J50" s="73">
        <v>2</v>
      </c>
      <c r="K50" s="74"/>
      <c r="L50" s="73">
        <v>1</v>
      </c>
      <c r="M50" s="75">
        <v>1</v>
      </c>
      <c r="N50" s="75">
        <f t="shared" si="0"/>
        <v>2</v>
      </c>
      <c r="O50" s="75">
        <f t="shared" si="1"/>
        <v>2</v>
      </c>
      <c r="P50" s="75">
        <f t="shared" si="2"/>
        <v>4</v>
      </c>
      <c r="Q50" s="75">
        <f t="shared" si="3"/>
        <v>144</v>
      </c>
      <c r="R50" s="68">
        <f t="shared" si="4"/>
        <v>2</v>
      </c>
      <c r="S50" s="68">
        <f t="shared" si="5"/>
        <v>4</v>
      </c>
      <c r="T50" s="68">
        <f t="shared" si="6"/>
        <v>2</v>
      </c>
    </row>
    <row r="51" spans="1:20" ht="15" x14ac:dyDescent="0.2">
      <c r="A51" s="18" t="s">
        <v>59</v>
      </c>
      <c r="B51" s="7"/>
      <c r="C51" s="7"/>
      <c r="D51" s="7"/>
      <c r="E51" s="7"/>
      <c r="F51" s="7"/>
      <c r="G51" s="7"/>
      <c r="H51" s="7"/>
      <c r="I51" s="7"/>
      <c r="J51" s="7"/>
      <c r="K51" s="39"/>
      <c r="L51" s="7"/>
      <c r="M51" s="1"/>
      <c r="N51" s="1">
        <f t="shared" si="0"/>
        <v>0</v>
      </c>
      <c r="O51" s="1">
        <f t="shared" si="1"/>
        <v>0</v>
      </c>
      <c r="P51" s="1">
        <f t="shared" si="2"/>
        <v>0</v>
      </c>
      <c r="Q51" s="1">
        <f t="shared" si="3"/>
        <v>0</v>
      </c>
      <c r="R51" s="1">
        <f t="shared" si="4"/>
        <v>0</v>
      </c>
      <c r="S51" s="1">
        <f t="shared" si="5"/>
        <v>0</v>
      </c>
      <c r="T51" s="1">
        <f t="shared" si="6"/>
        <v>0</v>
      </c>
    </row>
    <row r="52" spans="1:20" s="11" customFormat="1" ht="15" x14ac:dyDescent="0.2">
      <c r="A52" s="4">
        <v>39</v>
      </c>
      <c r="B52" s="5">
        <v>1</v>
      </c>
      <c r="C52" s="5">
        <v>1</v>
      </c>
      <c r="D52" s="5">
        <v>1</v>
      </c>
      <c r="E52" s="5"/>
      <c r="F52" s="5"/>
      <c r="G52" s="5">
        <v>2</v>
      </c>
      <c r="H52" s="5">
        <v>2</v>
      </c>
      <c r="I52" s="5"/>
      <c r="J52" s="5">
        <v>2</v>
      </c>
      <c r="K52" s="38"/>
      <c r="L52" s="5">
        <v>1</v>
      </c>
      <c r="M52" s="54">
        <v>1</v>
      </c>
      <c r="N52" s="54">
        <f t="shared" si="0"/>
        <v>1</v>
      </c>
      <c r="O52" s="54">
        <f t="shared" si="1"/>
        <v>2</v>
      </c>
      <c r="P52" s="54">
        <f t="shared" si="2"/>
        <v>4</v>
      </c>
      <c r="Q52" s="54">
        <f t="shared" si="3"/>
        <v>120</v>
      </c>
      <c r="R52" s="1">
        <f t="shared" si="4"/>
        <v>2</v>
      </c>
      <c r="S52" s="1">
        <f t="shared" si="5"/>
        <v>3</v>
      </c>
      <c r="T52" s="1">
        <f t="shared" si="6"/>
        <v>2</v>
      </c>
    </row>
    <row r="53" spans="1:20" s="11" customFormat="1" ht="15" x14ac:dyDescent="0.2">
      <c r="A53" s="4" t="s">
        <v>21</v>
      </c>
      <c r="B53" s="5"/>
      <c r="C53" s="5"/>
      <c r="D53" s="5"/>
      <c r="E53" s="5"/>
      <c r="F53" s="5"/>
      <c r="G53" s="5"/>
      <c r="H53" s="5"/>
      <c r="I53" s="5"/>
      <c r="J53" s="5"/>
      <c r="K53" s="38"/>
      <c r="L53" s="5"/>
      <c r="M53" s="54"/>
      <c r="N53" s="54"/>
      <c r="O53" s="54"/>
      <c r="P53" s="54"/>
      <c r="Q53" s="54"/>
      <c r="R53" s="54"/>
      <c r="S53" s="54"/>
      <c r="T53" s="54"/>
    </row>
    <row r="54" spans="1:20" x14ac:dyDescent="0.2">
      <c r="A54" s="9" t="s">
        <v>60</v>
      </c>
      <c r="B54" s="9"/>
      <c r="C54" s="9"/>
      <c r="D54" s="9"/>
      <c r="E54" s="9"/>
      <c r="F54" s="9"/>
      <c r="G54" s="9"/>
      <c r="H54" s="9"/>
      <c r="I54" s="9"/>
      <c r="J54" s="9"/>
      <c r="K54" s="3"/>
      <c r="L54" s="9"/>
      <c r="M54" s="1"/>
      <c r="N54" s="1"/>
      <c r="O54" s="1"/>
      <c r="P54" s="1"/>
      <c r="Q54" s="1"/>
      <c r="R54" s="1"/>
      <c r="S54" s="1"/>
      <c r="T54" s="1"/>
    </row>
    <row r="55" spans="1:20" ht="15" x14ac:dyDescent="0.25">
      <c r="A55" s="46" t="s">
        <v>23</v>
      </c>
      <c r="B55" s="47">
        <f>SUM(B3:B54)</f>
        <v>48</v>
      </c>
      <c r="C55" s="47">
        <f>SUM(C3:C54)</f>
        <v>13</v>
      </c>
      <c r="D55" s="47">
        <f>SUM(D3:D54)</f>
        <v>5</v>
      </c>
      <c r="E55" s="47">
        <f>SUM(E3:E54)</f>
        <v>24</v>
      </c>
      <c r="F55" s="47"/>
      <c r="G55" s="47">
        <f t="shared" ref="G55:L55" si="7">SUM(G3:G54)</f>
        <v>59</v>
      </c>
      <c r="H55" s="47">
        <f t="shared" si="7"/>
        <v>50</v>
      </c>
      <c r="I55" s="47">
        <f t="shared" si="7"/>
        <v>7</v>
      </c>
      <c r="J55" s="47">
        <f t="shared" si="7"/>
        <v>50</v>
      </c>
      <c r="K55" s="43">
        <f t="shared" si="7"/>
        <v>0</v>
      </c>
      <c r="L55" s="47">
        <f t="shared" si="7"/>
        <v>24</v>
      </c>
      <c r="M55" s="1">
        <f t="shared" ref="M55:T55" si="8">SUM(M2:M54)</f>
        <v>24</v>
      </c>
      <c r="N55" s="1">
        <f t="shared" si="8"/>
        <v>37</v>
      </c>
      <c r="O55" s="1">
        <f t="shared" si="8"/>
        <v>53</v>
      </c>
      <c r="P55" s="1">
        <f t="shared" si="8"/>
        <v>100</v>
      </c>
      <c r="Q55" s="1">
        <f t="shared" si="8"/>
        <v>3432</v>
      </c>
      <c r="R55" s="1">
        <f t="shared" si="8"/>
        <v>48</v>
      </c>
      <c r="S55" s="1">
        <f t="shared" si="8"/>
        <v>90</v>
      </c>
      <c r="T55" s="1">
        <f t="shared" si="8"/>
        <v>48</v>
      </c>
    </row>
    <row r="56" spans="1:20" ht="15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R56" s="57" t="s">
        <v>70</v>
      </c>
      <c r="S56" s="57" t="s">
        <v>70</v>
      </c>
      <c r="T56" s="57" t="s">
        <v>70</v>
      </c>
    </row>
    <row r="57" spans="1:20" ht="15" x14ac:dyDescent="0.25">
      <c r="A57" s="43" t="s">
        <v>24</v>
      </c>
      <c r="B57" s="42">
        <f>SUM(B55+D55)</f>
        <v>53</v>
      </c>
      <c r="C57" s="44"/>
      <c r="D57" s="44"/>
      <c r="E57" s="44"/>
      <c r="F57" s="44"/>
      <c r="G57" s="44" t="s">
        <v>92</v>
      </c>
      <c r="H57" s="44">
        <f>G55+I55</f>
        <v>66</v>
      </c>
      <c r="I57" s="44"/>
      <c r="J57" s="44"/>
      <c r="K57" s="44"/>
      <c r="L57" s="44"/>
      <c r="R57" s="45">
        <v>16</v>
      </c>
      <c r="S57" s="45">
        <v>4</v>
      </c>
      <c r="T57" s="45">
        <v>12</v>
      </c>
    </row>
    <row r="58" spans="1:20" ht="15" x14ac:dyDescent="0.25">
      <c r="A58" s="43" t="s">
        <v>25</v>
      </c>
      <c r="B58" s="42">
        <f>SUM(C55+E55)</f>
        <v>37</v>
      </c>
      <c r="C58" s="44"/>
      <c r="D58" s="44"/>
      <c r="E58" s="44"/>
      <c r="F58" s="44"/>
      <c r="G58" s="59" t="s">
        <v>66</v>
      </c>
      <c r="H58" s="43">
        <f>H55*2</f>
        <v>100</v>
      </c>
      <c r="I58" s="43"/>
      <c r="J58" s="43">
        <f>J55*2</f>
        <v>100</v>
      </c>
      <c r="K58" s="44"/>
      <c r="L58" s="44"/>
      <c r="M58" s="45" t="s">
        <v>91</v>
      </c>
      <c r="O58" s="57" t="s">
        <v>65</v>
      </c>
      <c r="P58" s="45">
        <f>P55*2</f>
        <v>200</v>
      </c>
    </row>
    <row r="59" spans="1:20" x14ac:dyDescent="0.2">
      <c r="M59" s="45">
        <f>12*M55/48</f>
        <v>6</v>
      </c>
      <c r="O59" s="58" t="s">
        <v>67</v>
      </c>
      <c r="P59" s="45">
        <f>P58*2</f>
        <v>400</v>
      </c>
      <c r="R59" s="45">
        <f>R55+R57</f>
        <v>64</v>
      </c>
      <c r="S59" s="45">
        <f>S55+S57</f>
        <v>94</v>
      </c>
      <c r="T59" s="45">
        <f>T55+T57</f>
        <v>60</v>
      </c>
    </row>
  </sheetData>
  <mergeCells count="16">
    <mergeCell ref="K1:K2"/>
    <mergeCell ref="M1:M2"/>
    <mergeCell ref="N1:N2"/>
    <mergeCell ref="O1:O2"/>
    <mergeCell ref="P1:P2"/>
    <mergeCell ref="G1:H1"/>
    <mergeCell ref="I1:J1"/>
    <mergeCell ref="A1:A2"/>
    <mergeCell ref="B1:C1"/>
    <mergeCell ref="D1:E1"/>
    <mergeCell ref="F1:F2"/>
    <mergeCell ref="R1:R2"/>
    <mergeCell ref="S1:S2"/>
    <mergeCell ref="T1:T2"/>
    <mergeCell ref="Q1:Q2"/>
    <mergeCell ref="L1:L2"/>
  </mergeCells>
  <pageMargins left="0.7" right="0.7" top="0.75" bottom="0.75" header="0.51180555555555496" footer="0.51180555555555496"/>
  <pageSetup scale="45" firstPageNumber="0" orientation="portrait" horizontalDpi="300" verticalDpi="300" r:id="rId1"/>
  <ignoredErrors>
    <ignoredError sqref="S51:S52 S9:S34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zoomScale="90" zoomScaleNormal="90" workbookViewId="0">
      <pane ySplit="2" topLeftCell="A3" activePane="bottomLeft" state="frozen"/>
      <selection pane="bottomLeft" activeCell="G66" sqref="G66"/>
    </sheetView>
  </sheetViews>
  <sheetFormatPr defaultRowHeight="14.25" x14ac:dyDescent="0.2"/>
  <cols>
    <col min="1" max="1" width="10.875" style="1" customWidth="1"/>
    <col min="2" max="6" width="14.75" style="1" customWidth="1"/>
    <col min="7" max="7" width="36.375" customWidth="1"/>
    <col min="8" max="8" width="16.625" customWidth="1"/>
    <col min="9" max="9" width="11.625" customWidth="1"/>
    <col min="10" max="1025" width="8.625" customWidth="1"/>
  </cols>
  <sheetData>
    <row r="1" spans="1:7" x14ac:dyDescent="0.2">
      <c r="A1" s="88" t="s">
        <v>0</v>
      </c>
      <c r="B1" s="88" t="s">
        <v>26</v>
      </c>
      <c r="C1" s="88"/>
      <c r="D1" s="88" t="s">
        <v>3</v>
      </c>
      <c r="E1" s="88" t="s">
        <v>4</v>
      </c>
      <c r="F1" s="88" t="s">
        <v>5</v>
      </c>
      <c r="G1" s="3"/>
    </row>
    <row r="2" spans="1:7" x14ac:dyDescent="0.2">
      <c r="A2" s="88"/>
      <c r="B2" s="2">
        <v>48</v>
      </c>
      <c r="C2" s="2">
        <v>24</v>
      </c>
      <c r="D2" s="88"/>
      <c r="E2" s="88"/>
      <c r="F2" s="88"/>
      <c r="G2" s="3"/>
    </row>
    <row r="3" spans="1:7" ht="15" hidden="1" x14ac:dyDescent="0.2">
      <c r="A3" s="8" t="s">
        <v>10</v>
      </c>
      <c r="B3" s="9"/>
      <c r="C3" s="9"/>
      <c r="D3" s="9"/>
      <c r="E3" s="9"/>
      <c r="F3" s="9"/>
      <c r="G3" s="22"/>
    </row>
    <row r="4" spans="1:7" ht="15" hidden="1" x14ac:dyDescent="0.2">
      <c r="A4" s="8" t="s">
        <v>11</v>
      </c>
      <c r="B4" s="9"/>
      <c r="C4" s="9"/>
      <c r="D4" s="9"/>
      <c r="E4" s="9"/>
      <c r="F4" s="9"/>
      <c r="G4" s="22"/>
    </row>
    <row r="5" spans="1:7" ht="15" hidden="1" x14ac:dyDescent="0.2">
      <c r="A5" s="8" t="s">
        <v>12</v>
      </c>
      <c r="B5" s="9"/>
      <c r="C5" s="9"/>
      <c r="D5" s="9"/>
      <c r="E5" s="9"/>
      <c r="F5" s="9"/>
      <c r="G5" s="22"/>
    </row>
    <row r="6" spans="1:7" s="6" customFormat="1" ht="15" hidden="1" x14ac:dyDescent="0.2">
      <c r="A6" s="4" t="s">
        <v>13</v>
      </c>
      <c r="B6" s="5"/>
      <c r="C6" s="5"/>
      <c r="D6" s="5"/>
      <c r="E6" s="5"/>
      <c r="F6" s="5"/>
      <c r="G6" s="11"/>
    </row>
    <row r="7" spans="1:7" s="6" customFormat="1" ht="15" hidden="1" x14ac:dyDescent="0.2">
      <c r="A7" s="4" t="s">
        <v>14</v>
      </c>
      <c r="B7" s="5"/>
      <c r="C7" s="5"/>
      <c r="D7" s="5"/>
      <c r="E7" s="5"/>
      <c r="F7" s="5"/>
      <c r="G7" s="11"/>
    </row>
    <row r="8" spans="1:7" s="6" customFormat="1" ht="15" hidden="1" x14ac:dyDescent="0.2">
      <c r="A8" s="4" t="s">
        <v>15</v>
      </c>
      <c r="B8" s="7"/>
      <c r="C8" s="7"/>
      <c r="D8" s="7"/>
      <c r="E8" s="7"/>
      <c r="F8" s="7"/>
      <c r="G8" s="11"/>
    </row>
    <row r="9" spans="1:7" s="10" customFormat="1" ht="15" hidden="1" x14ac:dyDescent="0.2">
      <c r="A9" s="8">
        <v>1</v>
      </c>
      <c r="B9" s="9"/>
      <c r="C9" s="9"/>
      <c r="D9" s="9"/>
      <c r="E9" s="9"/>
      <c r="F9" s="9"/>
      <c r="G9" s="22"/>
    </row>
    <row r="10" spans="1:7" ht="15" x14ac:dyDescent="0.2">
      <c r="A10" s="8">
        <v>2</v>
      </c>
      <c r="B10" s="9">
        <v>1</v>
      </c>
      <c r="C10" s="9"/>
      <c r="D10" s="9">
        <v>2</v>
      </c>
      <c r="E10" s="9"/>
      <c r="F10" s="9"/>
      <c r="G10" s="22"/>
    </row>
    <row r="11" spans="1:7" ht="15" hidden="1" x14ac:dyDescent="0.2">
      <c r="A11" s="8">
        <v>3</v>
      </c>
      <c r="B11" s="9"/>
      <c r="C11" s="9"/>
      <c r="D11" s="9"/>
      <c r="E11" s="9"/>
      <c r="F11" s="9"/>
      <c r="G11" s="22"/>
    </row>
    <row r="12" spans="1:7" ht="15" hidden="1" x14ac:dyDescent="0.2">
      <c r="A12" s="8" t="s">
        <v>16</v>
      </c>
      <c r="B12" s="9"/>
      <c r="C12" s="9"/>
      <c r="D12" s="9"/>
      <c r="E12" s="9"/>
      <c r="F12" s="9"/>
      <c r="G12" s="22"/>
    </row>
    <row r="13" spans="1:7" ht="15" hidden="1" x14ac:dyDescent="0.2">
      <c r="A13" s="8">
        <v>4</v>
      </c>
      <c r="B13" s="9"/>
      <c r="C13" s="9"/>
      <c r="D13" s="9"/>
      <c r="E13" s="9"/>
      <c r="F13" s="9"/>
      <c r="G13" s="22"/>
    </row>
    <row r="14" spans="1:7" s="14" customFormat="1" ht="15" hidden="1" x14ac:dyDescent="0.2">
      <c r="A14" s="12" t="s">
        <v>17</v>
      </c>
      <c r="B14" s="13"/>
      <c r="C14" s="13"/>
      <c r="D14" s="13"/>
      <c r="E14" s="13"/>
      <c r="F14" s="13"/>
      <c r="G14" s="23"/>
    </row>
    <row r="15" spans="1:7" s="14" customFormat="1" ht="15" hidden="1" x14ac:dyDescent="0.2">
      <c r="A15" s="12" t="s">
        <v>18</v>
      </c>
      <c r="B15" s="13"/>
      <c r="C15" s="13"/>
      <c r="D15" s="13"/>
      <c r="E15" s="13"/>
      <c r="F15" s="13"/>
      <c r="G15" s="23"/>
    </row>
    <row r="16" spans="1:7" s="10" customFormat="1" ht="15" hidden="1" x14ac:dyDescent="0.2">
      <c r="A16" s="8">
        <v>5</v>
      </c>
      <c r="B16" s="9"/>
      <c r="C16" s="9"/>
      <c r="D16" s="9"/>
      <c r="E16" s="9"/>
      <c r="F16" s="9"/>
      <c r="G16" s="22"/>
    </row>
    <row r="17" spans="1:7" s="10" customFormat="1" ht="15" hidden="1" x14ac:dyDescent="0.2">
      <c r="A17" s="8">
        <v>6</v>
      </c>
      <c r="C17" s="9"/>
      <c r="D17" s="9"/>
      <c r="E17" s="9"/>
      <c r="F17" s="9"/>
      <c r="G17" s="22"/>
    </row>
    <row r="18" spans="1:7" s="17" customFormat="1" ht="15" hidden="1" x14ac:dyDescent="0.2">
      <c r="A18" s="15">
        <v>7</v>
      </c>
      <c r="B18" s="16"/>
      <c r="C18" s="16"/>
      <c r="D18" s="16"/>
      <c r="E18" s="16"/>
      <c r="F18" s="16"/>
      <c r="G18" s="24"/>
    </row>
    <row r="19" spans="1:7" s="17" customFormat="1" ht="15" hidden="1" x14ac:dyDescent="0.2">
      <c r="A19" s="15">
        <v>8</v>
      </c>
      <c r="B19" s="16"/>
      <c r="C19" s="16"/>
      <c r="D19" s="16"/>
      <c r="E19" s="16"/>
      <c r="F19" s="16"/>
      <c r="G19" s="24"/>
    </row>
    <row r="20" spans="1:7" s="10" customFormat="1" ht="15" hidden="1" x14ac:dyDescent="0.2">
      <c r="A20" s="8">
        <v>9</v>
      </c>
      <c r="B20" s="9"/>
      <c r="C20" s="9"/>
      <c r="D20" s="9"/>
      <c r="E20" s="9"/>
      <c r="F20" s="9"/>
      <c r="G20" s="22"/>
    </row>
    <row r="21" spans="1:7" s="10" customFormat="1" ht="15" hidden="1" x14ac:dyDescent="0.2">
      <c r="A21" s="8">
        <v>10</v>
      </c>
      <c r="B21" s="9"/>
      <c r="C21" s="9"/>
      <c r="D21" s="9"/>
      <c r="E21" s="9"/>
      <c r="F21" s="9"/>
      <c r="G21" s="22"/>
    </row>
    <row r="22" spans="1:7" s="17" customFormat="1" ht="15" hidden="1" x14ac:dyDescent="0.2">
      <c r="A22" s="15">
        <v>11</v>
      </c>
      <c r="B22" s="16"/>
      <c r="C22" s="16"/>
      <c r="D22" s="16"/>
      <c r="E22" s="16"/>
      <c r="F22" s="16"/>
      <c r="G22" s="24"/>
    </row>
    <row r="23" spans="1:7" s="17" customFormat="1" ht="15" hidden="1" x14ac:dyDescent="0.2">
      <c r="A23" s="15">
        <v>12</v>
      </c>
      <c r="B23" s="16"/>
      <c r="C23" s="16"/>
      <c r="D23" s="16"/>
      <c r="E23" s="16"/>
      <c r="F23" s="16"/>
      <c r="G23" s="24"/>
    </row>
    <row r="24" spans="1:7" s="10" customFormat="1" ht="15" hidden="1" x14ac:dyDescent="0.2">
      <c r="A24" s="8">
        <v>13</v>
      </c>
      <c r="B24" s="9"/>
      <c r="C24" s="9"/>
      <c r="D24" s="9"/>
      <c r="E24" s="9"/>
      <c r="F24" s="9"/>
      <c r="G24" s="22"/>
    </row>
    <row r="25" spans="1:7" s="10" customFormat="1" ht="15" hidden="1" x14ac:dyDescent="0.2">
      <c r="A25" s="8">
        <v>14</v>
      </c>
      <c r="B25" s="9"/>
      <c r="C25" s="9"/>
      <c r="D25" s="9"/>
      <c r="E25" s="9"/>
      <c r="F25" s="9"/>
      <c r="G25" s="22"/>
    </row>
    <row r="26" spans="1:7" s="17" customFormat="1" ht="15" hidden="1" x14ac:dyDescent="0.2">
      <c r="A26" s="15">
        <v>15</v>
      </c>
      <c r="B26" s="16"/>
      <c r="C26" s="16"/>
      <c r="D26" s="16"/>
      <c r="E26" s="16"/>
      <c r="F26" s="16"/>
      <c r="G26" s="24"/>
    </row>
    <row r="27" spans="1:7" s="17" customFormat="1" ht="15" hidden="1" x14ac:dyDescent="0.2">
      <c r="A27" s="15">
        <v>16</v>
      </c>
      <c r="B27" s="16"/>
      <c r="C27" s="16"/>
      <c r="D27" s="16"/>
      <c r="E27" s="16"/>
      <c r="F27" s="16"/>
      <c r="G27" s="24"/>
    </row>
    <row r="28" spans="1:7" s="10" customFormat="1" ht="15" hidden="1" x14ac:dyDescent="0.2">
      <c r="A28" s="8">
        <v>17</v>
      </c>
      <c r="B28" s="9"/>
      <c r="C28" s="9"/>
      <c r="D28" s="9"/>
      <c r="E28" s="9"/>
      <c r="F28" s="9"/>
      <c r="G28" s="22"/>
    </row>
    <row r="29" spans="1:7" s="10" customFormat="1" ht="14.25" hidden="1" customHeight="1" x14ac:dyDescent="0.2">
      <c r="A29" s="8">
        <v>18</v>
      </c>
      <c r="B29" s="9"/>
      <c r="C29" s="9"/>
      <c r="D29" s="9"/>
      <c r="E29" s="9"/>
      <c r="F29" s="9"/>
      <c r="G29" s="22"/>
    </row>
    <row r="30" spans="1:7" s="10" customFormat="1" ht="15" hidden="1" x14ac:dyDescent="0.2">
      <c r="A30" s="8">
        <v>19</v>
      </c>
      <c r="B30" s="9"/>
      <c r="C30" s="9"/>
      <c r="D30" s="9"/>
      <c r="E30" s="9"/>
      <c r="F30" s="9"/>
      <c r="G30" s="22"/>
    </row>
    <row r="31" spans="1:7" s="17" customFormat="1" ht="15" hidden="1" x14ac:dyDescent="0.2">
      <c r="A31" s="15">
        <v>20</v>
      </c>
      <c r="B31" s="16"/>
      <c r="C31" s="16"/>
      <c r="D31" s="16"/>
      <c r="E31" s="16"/>
      <c r="F31" s="16"/>
      <c r="G31" s="24"/>
    </row>
    <row r="32" spans="1:7" s="17" customFormat="1" ht="15" hidden="1" x14ac:dyDescent="0.2">
      <c r="A32" s="15">
        <v>21</v>
      </c>
      <c r="B32" s="16"/>
      <c r="C32" s="16"/>
      <c r="D32" s="16"/>
      <c r="E32" s="16"/>
      <c r="F32" s="16"/>
      <c r="G32" s="24"/>
    </row>
    <row r="33" spans="1:7" s="17" customFormat="1" ht="15" hidden="1" x14ac:dyDescent="0.2">
      <c r="A33" s="15">
        <v>22</v>
      </c>
      <c r="B33" s="16"/>
      <c r="C33" s="16"/>
      <c r="D33" s="16"/>
      <c r="E33" s="16"/>
      <c r="F33" s="16"/>
      <c r="G33" s="24"/>
    </row>
    <row r="34" spans="1:7" s="10" customFormat="1" ht="15" hidden="1" x14ac:dyDescent="0.2">
      <c r="A34" s="8">
        <v>23</v>
      </c>
      <c r="B34" s="9"/>
      <c r="C34" s="9"/>
      <c r="D34" s="9"/>
      <c r="E34" s="9"/>
      <c r="F34" s="9"/>
      <c r="G34" s="22"/>
    </row>
    <row r="35" spans="1:7" s="10" customFormat="1" ht="15" x14ac:dyDescent="0.2">
      <c r="A35" s="8">
        <v>24</v>
      </c>
      <c r="B35" s="9">
        <v>1</v>
      </c>
      <c r="C35" s="9"/>
      <c r="D35" s="9">
        <v>2</v>
      </c>
      <c r="E35" s="9"/>
      <c r="F35" s="9"/>
      <c r="G35" s="22"/>
    </row>
    <row r="36" spans="1:7" s="10" customFormat="1" ht="15" hidden="1" x14ac:dyDescent="0.2">
      <c r="A36" s="8" t="s">
        <v>19</v>
      </c>
      <c r="B36" s="9"/>
      <c r="C36" s="9"/>
      <c r="D36" s="9"/>
      <c r="E36" s="9"/>
      <c r="F36" s="9"/>
      <c r="G36" s="22"/>
    </row>
    <row r="37" spans="1:7" ht="15" x14ac:dyDescent="0.2">
      <c r="A37" s="18">
        <v>25</v>
      </c>
      <c r="B37" s="7"/>
      <c r="C37" s="7"/>
      <c r="D37" s="7">
        <v>2</v>
      </c>
      <c r="E37" s="7"/>
      <c r="F37" s="7"/>
      <c r="G37" s="25"/>
    </row>
    <row r="38" spans="1:7" ht="15" x14ac:dyDescent="0.2">
      <c r="A38" s="18">
        <v>26</v>
      </c>
      <c r="B38" s="7">
        <v>2</v>
      </c>
      <c r="C38" s="7">
        <v>1</v>
      </c>
      <c r="D38" s="7">
        <v>2</v>
      </c>
      <c r="E38" s="7"/>
      <c r="F38" s="7"/>
      <c r="G38" s="25"/>
    </row>
    <row r="39" spans="1:7" ht="15" x14ac:dyDescent="0.2">
      <c r="A39" s="18">
        <v>27</v>
      </c>
      <c r="B39" s="7"/>
      <c r="C39" s="7"/>
      <c r="D39" s="7">
        <v>2</v>
      </c>
      <c r="E39" s="7"/>
      <c r="F39" s="7"/>
      <c r="G39" s="25"/>
    </row>
    <row r="40" spans="1:7" ht="15" x14ac:dyDescent="0.2">
      <c r="A40" s="18">
        <v>28</v>
      </c>
      <c r="B40" s="7"/>
      <c r="C40" s="7"/>
      <c r="D40" s="7">
        <v>2</v>
      </c>
      <c r="E40" s="7"/>
      <c r="F40" s="7"/>
      <c r="G40" s="25"/>
    </row>
    <row r="41" spans="1:7" ht="15" x14ac:dyDescent="0.2">
      <c r="A41" s="18">
        <v>29</v>
      </c>
      <c r="B41" s="7">
        <v>2</v>
      </c>
      <c r="C41" s="7">
        <v>1</v>
      </c>
      <c r="D41" s="7">
        <v>2</v>
      </c>
      <c r="E41" s="7"/>
      <c r="F41" s="7"/>
      <c r="G41" s="25"/>
    </row>
    <row r="42" spans="1:7" ht="15" x14ac:dyDescent="0.2">
      <c r="A42" s="18">
        <v>30</v>
      </c>
      <c r="B42" s="7"/>
      <c r="C42" s="7"/>
      <c r="D42" s="7">
        <v>2</v>
      </c>
      <c r="E42" s="7"/>
      <c r="F42" s="7"/>
      <c r="G42" s="25"/>
    </row>
    <row r="43" spans="1:7" ht="15" x14ac:dyDescent="0.2">
      <c r="A43" s="18">
        <v>31</v>
      </c>
      <c r="B43" s="7"/>
      <c r="C43" s="7"/>
      <c r="D43" s="7">
        <v>2</v>
      </c>
      <c r="E43" s="7"/>
      <c r="F43" s="7"/>
      <c r="G43" s="25"/>
    </row>
    <row r="44" spans="1:7" ht="15" x14ac:dyDescent="0.2">
      <c r="A44" s="18">
        <v>32</v>
      </c>
      <c r="B44" s="7">
        <v>2</v>
      </c>
      <c r="C44" s="7">
        <v>1</v>
      </c>
      <c r="D44" s="7">
        <v>2</v>
      </c>
      <c r="E44" s="7"/>
      <c r="F44" s="7"/>
      <c r="G44" s="25"/>
    </row>
    <row r="45" spans="1:7" ht="15" x14ac:dyDescent="0.2">
      <c r="A45" s="18">
        <v>33</v>
      </c>
      <c r="B45" s="7"/>
      <c r="C45" s="7"/>
      <c r="D45" s="7">
        <v>2</v>
      </c>
      <c r="E45" s="7"/>
      <c r="F45" s="7"/>
      <c r="G45" s="25"/>
    </row>
    <row r="46" spans="1:7" ht="15" x14ac:dyDescent="0.2">
      <c r="A46" s="18">
        <v>34</v>
      </c>
      <c r="B46" s="7"/>
      <c r="C46" s="7"/>
      <c r="D46" s="7">
        <v>2</v>
      </c>
      <c r="E46" s="7"/>
      <c r="F46" s="7"/>
      <c r="G46" s="25"/>
    </row>
    <row r="47" spans="1:7" ht="15" x14ac:dyDescent="0.2">
      <c r="A47" s="18">
        <v>35</v>
      </c>
      <c r="B47" s="7">
        <v>2</v>
      </c>
      <c r="C47" s="7">
        <v>1</v>
      </c>
      <c r="D47" s="7">
        <v>2</v>
      </c>
      <c r="E47" s="7"/>
      <c r="F47" s="7"/>
      <c r="G47" s="25"/>
    </row>
    <row r="48" spans="1:7" ht="15" x14ac:dyDescent="0.2">
      <c r="A48" s="18">
        <v>36</v>
      </c>
      <c r="B48" s="7"/>
      <c r="C48" s="7"/>
      <c r="D48" s="7">
        <v>2</v>
      </c>
      <c r="E48" s="7"/>
      <c r="F48" s="7"/>
      <c r="G48" s="25"/>
    </row>
    <row r="49" spans="1:7" ht="15" x14ac:dyDescent="0.2">
      <c r="A49" s="18">
        <v>37</v>
      </c>
      <c r="B49" s="7">
        <v>1</v>
      </c>
      <c r="C49" s="7">
        <v>1</v>
      </c>
      <c r="D49" s="7">
        <v>2</v>
      </c>
      <c r="E49" s="7"/>
      <c r="F49" s="7"/>
      <c r="G49" s="25"/>
    </row>
    <row r="50" spans="1:7" ht="15" x14ac:dyDescent="0.2">
      <c r="A50" s="18">
        <v>38</v>
      </c>
      <c r="B50" s="7"/>
      <c r="C50" s="7"/>
      <c r="D50" s="7">
        <v>2</v>
      </c>
      <c r="E50" s="7"/>
      <c r="F50" s="7"/>
      <c r="G50" s="25"/>
    </row>
    <row r="51" spans="1:7" ht="15" hidden="1" x14ac:dyDescent="0.2">
      <c r="A51" s="18" t="s">
        <v>20</v>
      </c>
      <c r="B51" s="7"/>
      <c r="C51" s="7"/>
      <c r="D51" s="7"/>
      <c r="E51" s="7"/>
      <c r="F51" s="7"/>
      <c r="G51" s="25"/>
    </row>
    <row r="52" spans="1:7" s="6" customFormat="1" ht="15" hidden="1" x14ac:dyDescent="0.2">
      <c r="A52" s="4">
        <v>39</v>
      </c>
      <c r="B52" s="5"/>
      <c r="C52" s="5"/>
      <c r="D52" s="5"/>
      <c r="E52" s="5"/>
      <c r="F52" s="5"/>
      <c r="G52" s="11"/>
    </row>
    <row r="53" spans="1:7" s="6" customFormat="1" ht="15" hidden="1" x14ac:dyDescent="0.2">
      <c r="A53" s="4" t="s">
        <v>21</v>
      </c>
      <c r="B53" s="5"/>
      <c r="C53" s="5"/>
      <c r="D53" s="5"/>
      <c r="E53" s="5"/>
      <c r="F53" s="5"/>
      <c r="G53" s="11"/>
    </row>
    <row r="54" spans="1:7" x14ac:dyDescent="0.2">
      <c r="A54" s="9" t="s">
        <v>22</v>
      </c>
      <c r="B54" s="9"/>
      <c r="C54" s="9"/>
      <c r="D54" s="9"/>
      <c r="E54" s="9"/>
      <c r="F54" s="9"/>
      <c r="G54" s="22"/>
    </row>
    <row r="55" spans="1:7" ht="15" x14ac:dyDescent="0.25">
      <c r="A55" s="19" t="s">
        <v>23</v>
      </c>
      <c r="B55" s="20">
        <f>SUM(B3:B54)</f>
        <v>11</v>
      </c>
      <c r="C55" s="20">
        <f>SUM(C3:C54)</f>
        <v>5</v>
      </c>
      <c r="D55" s="20">
        <f>SUM(D3:D54)</f>
        <v>32</v>
      </c>
      <c r="E55" s="20">
        <f>SUM(E3:E54)</f>
        <v>0</v>
      </c>
      <c r="F55" s="20">
        <f>SUM(F3:F54)</f>
        <v>0</v>
      </c>
      <c r="G55" s="10"/>
    </row>
    <row r="56" spans="1:7" ht="15" x14ac:dyDescent="0.25">
      <c r="A56" s="21"/>
      <c r="B56" s="21"/>
      <c r="C56" s="21"/>
      <c r="D56" s="21"/>
      <c r="E56" s="21"/>
      <c r="F56" s="21"/>
      <c r="G56" s="10"/>
    </row>
    <row r="57" spans="1:7" ht="15" x14ac:dyDescent="0.25">
      <c r="A57" s="20"/>
      <c r="B57" s="19"/>
      <c r="C57" s="21"/>
      <c r="D57" s="21"/>
      <c r="E57" s="21"/>
      <c r="F57" s="21"/>
      <c r="G57" s="10"/>
    </row>
    <row r="58" spans="1:7" ht="15" x14ac:dyDescent="0.25">
      <c r="A58" s="20"/>
      <c r="B58" s="19"/>
      <c r="C58" s="21"/>
      <c r="D58" s="21"/>
      <c r="E58" s="21"/>
      <c r="F58" s="21"/>
      <c r="G58" s="10"/>
    </row>
    <row r="59" spans="1:7" x14ac:dyDescent="0.2">
      <c r="G59" s="10"/>
    </row>
    <row r="60" spans="1:7" x14ac:dyDescent="0.2">
      <c r="G60" s="10"/>
    </row>
    <row r="61" spans="1:7" x14ac:dyDescent="0.2">
      <c r="G61" s="10"/>
    </row>
    <row r="62" spans="1:7" x14ac:dyDescent="0.2">
      <c r="G62" s="10"/>
    </row>
    <row r="63" spans="1:7" x14ac:dyDescent="0.2">
      <c r="G63" s="10"/>
    </row>
    <row r="64" spans="1:7" x14ac:dyDescent="0.2">
      <c r="G64" s="10"/>
    </row>
  </sheetData>
  <mergeCells count="5">
    <mergeCell ref="A1:A2"/>
    <mergeCell ref="B1:C1"/>
    <mergeCell ref="D1:D2"/>
    <mergeCell ref="E1:E2"/>
    <mergeCell ref="F1:F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zoomScale="90" zoomScaleNormal="90" workbookViewId="0">
      <pane ySplit="1" topLeftCell="A32" activePane="bottomLeft" state="frozen"/>
      <selection pane="bottomLeft" activeCell="C55" sqref="C55"/>
    </sheetView>
  </sheetViews>
  <sheetFormatPr defaultRowHeight="14.25" x14ac:dyDescent="0.2"/>
  <cols>
    <col min="1" max="1" width="10.875" style="1" customWidth="1"/>
    <col min="2" max="7" width="14.75" style="1" customWidth="1"/>
    <col min="8" max="8" width="36.375" customWidth="1"/>
    <col min="9" max="9" width="16.625" customWidth="1"/>
    <col min="10" max="10" width="11.625" customWidth="1"/>
    <col min="11" max="1025" width="8.625" customWidth="1"/>
  </cols>
  <sheetData>
    <row r="1" spans="1:8" ht="28.5" x14ac:dyDescent="0.2">
      <c r="A1" s="26" t="s">
        <v>0</v>
      </c>
      <c r="B1" s="2" t="s">
        <v>27</v>
      </c>
      <c r="C1" s="2" t="s">
        <v>28</v>
      </c>
      <c r="D1" s="27" t="s">
        <v>29</v>
      </c>
      <c r="E1" s="26" t="s">
        <v>9</v>
      </c>
      <c r="F1" s="26" t="s">
        <v>30</v>
      </c>
      <c r="G1" s="26"/>
      <c r="H1" s="3"/>
    </row>
    <row r="2" spans="1:8" ht="15" hidden="1" x14ac:dyDescent="0.2">
      <c r="A2" s="8" t="s">
        <v>10</v>
      </c>
      <c r="B2" s="9"/>
      <c r="C2" s="9"/>
      <c r="D2" s="9"/>
      <c r="E2" s="9"/>
      <c r="F2" s="9"/>
      <c r="G2" s="9"/>
      <c r="H2" s="22"/>
    </row>
    <row r="3" spans="1:8" ht="15" hidden="1" x14ac:dyDescent="0.2">
      <c r="A3" s="8" t="s">
        <v>11</v>
      </c>
      <c r="B3" s="9"/>
      <c r="C3" s="9"/>
      <c r="D3" s="9"/>
      <c r="E3" s="9"/>
      <c r="F3" s="9"/>
      <c r="G3" s="9"/>
      <c r="H3" s="22"/>
    </row>
    <row r="4" spans="1:8" ht="15" hidden="1" x14ac:dyDescent="0.2">
      <c r="A4" s="8" t="s">
        <v>12</v>
      </c>
      <c r="B4" s="9"/>
      <c r="C4" s="9"/>
      <c r="D4" s="9"/>
      <c r="E4" s="9"/>
      <c r="F4" s="9"/>
      <c r="G4" s="9"/>
      <c r="H4" s="22"/>
    </row>
    <row r="5" spans="1:8" s="6" customFormat="1" ht="15" hidden="1" x14ac:dyDescent="0.2">
      <c r="A5" s="4" t="s">
        <v>13</v>
      </c>
      <c r="B5" s="5"/>
      <c r="C5" s="5"/>
      <c r="D5" s="5"/>
      <c r="E5" s="5"/>
      <c r="F5" s="5"/>
      <c r="G5" s="5"/>
      <c r="H5" s="11"/>
    </row>
    <row r="6" spans="1:8" s="6" customFormat="1" ht="15" hidden="1" x14ac:dyDescent="0.2">
      <c r="A6" s="4" t="s">
        <v>14</v>
      </c>
      <c r="B6" s="5"/>
      <c r="C6" s="5"/>
      <c r="D6" s="5"/>
      <c r="E6" s="5"/>
      <c r="F6" s="5"/>
      <c r="G6" s="5"/>
      <c r="H6" s="11"/>
    </row>
    <row r="7" spans="1:8" s="6" customFormat="1" ht="15" hidden="1" x14ac:dyDescent="0.2">
      <c r="A7" s="4" t="s">
        <v>15</v>
      </c>
      <c r="B7" s="7"/>
      <c r="C7" s="7"/>
      <c r="D7" s="7"/>
      <c r="E7" s="7"/>
      <c r="F7" s="7"/>
      <c r="G7" s="7"/>
      <c r="H7" s="11"/>
    </row>
    <row r="8" spans="1:8" s="10" customFormat="1" ht="15" hidden="1" x14ac:dyDescent="0.2">
      <c r="A8" s="8">
        <v>1</v>
      </c>
      <c r="B8" s="9"/>
      <c r="C8" s="9"/>
      <c r="D8" s="9"/>
      <c r="E8" s="9"/>
      <c r="F8" s="9"/>
      <c r="G8" s="9"/>
      <c r="H8" s="22"/>
    </row>
    <row r="9" spans="1:8" ht="15" hidden="1" x14ac:dyDescent="0.2">
      <c r="A9" s="8">
        <v>2</v>
      </c>
      <c r="B9" s="9"/>
      <c r="C9" s="9"/>
      <c r="D9" s="9"/>
      <c r="E9" s="9"/>
      <c r="F9" s="9"/>
      <c r="G9" s="9"/>
      <c r="H9" s="22"/>
    </row>
    <row r="10" spans="1:8" ht="15" hidden="1" x14ac:dyDescent="0.2">
      <c r="A10" s="8">
        <v>3</v>
      </c>
      <c r="B10" s="9"/>
      <c r="C10" s="9"/>
      <c r="D10" s="9"/>
      <c r="E10" s="9"/>
      <c r="F10" s="9"/>
      <c r="G10" s="9"/>
      <c r="H10" s="22"/>
    </row>
    <row r="11" spans="1:8" ht="15" hidden="1" x14ac:dyDescent="0.2">
      <c r="A11" s="8" t="s">
        <v>16</v>
      </c>
      <c r="B11" s="9"/>
      <c r="C11" s="9"/>
      <c r="D11" s="9"/>
      <c r="E11" s="9"/>
      <c r="F11" s="9"/>
      <c r="G11" s="9"/>
      <c r="H11" s="22"/>
    </row>
    <row r="12" spans="1:8" ht="15" hidden="1" x14ac:dyDescent="0.2">
      <c r="A12" s="8">
        <v>4</v>
      </c>
      <c r="B12" s="9"/>
      <c r="C12" s="9"/>
      <c r="D12" s="9"/>
      <c r="E12" s="9"/>
      <c r="F12" s="9"/>
      <c r="G12" s="9"/>
      <c r="H12" s="22"/>
    </row>
    <row r="13" spans="1:8" s="14" customFormat="1" ht="15" hidden="1" x14ac:dyDescent="0.2">
      <c r="A13" s="12" t="s">
        <v>17</v>
      </c>
      <c r="B13" s="13"/>
      <c r="C13" s="13"/>
      <c r="D13" s="13"/>
      <c r="E13" s="13"/>
      <c r="F13" s="13"/>
      <c r="G13" s="13"/>
      <c r="H13" s="23"/>
    </row>
    <row r="14" spans="1:8" s="14" customFormat="1" ht="15" hidden="1" x14ac:dyDescent="0.2">
      <c r="A14" s="12" t="s">
        <v>18</v>
      </c>
      <c r="B14" s="13"/>
      <c r="C14" s="13"/>
      <c r="D14" s="13"/>
      <c r="E14" s="13"/>
      <c r="F14" s="13"/>
      <c r="G14" s="13"/>
      <c r="H14" s="23"/>
    </row>
    <row r="15" spans="1:8" s="10" customFormat="1" ht="15" hidden="1" x14ac:dyDescent="0.2">
      <c r="A15" s="8">
        <v>5</v>
      </c>
      <c r="B15" s="9"/>
      <c r="C15" s="9"/>
      <c r="D15" s="9"/>
      <c r="E15" s="9"/>
      <c r="F15" s="9"/>
      <c r="G15" s="9"/>
      <c r="H15" s="22"/>
    </row>
    <row r="16" spans="1:8" s="10" customFormat="1" ht="15" hidden="1" x14ac:dyDescent="0.2">
      <c r="A16" s="8">
        <v>6</v>
      </c>
      <c r="D16" s="9"/>
      <c r="E16" s="9"/>
      <c r="F16" s="9"/>
      <c r="G16" s="9"/>
      <c r="H16" s="22"/>
    </row>
    <row r="17" spans="1:8" s="17" customFormat="1" ht="15" hidden="1" x14ac:dyDescent="0.2">
      <c r="A17" s="15">
        <v>7</v>
      </c>
      <c r="B17" s="16"/>
      <c r="C17" s="16"/>
      <c r="D17" s="16"/>
      <c r="E17" s="16"/>
      <c r="F17" s="16"/>
      <c r="G17" s="16"/>
      <c r="H17" s="24"/>
    </row>
    <row r="18" spans="1:8" s="17" customFormat="1" ht="15" hidden="1" x14ac:dyDescent="0.2">
      <c r="A18" s="15">
        <v>8</v>
      </c>
      <c r="B18" s="16"/>
      <c r="C18" s="16"/>
      <c r="D18" s="16"/>
      <c r="E18" s="16"/>
      <c r="F18" s="16"/>
      <c r="G18" s="16"/>
      <c r="H18" s="24"/>
    </row>
    <row r="19" spans="1:8" s="10" customFormat="1" ht="15" hidden="1" x14ac:dyDescent="0.2">
      <c r="A19" s="8">
        <v>9</v>
      </c>
      <c r="B19" s="9"/>
      <c r="C19" s="9"/>
      <c r="D19" s="9"/>
      <c r="E19" s="9"/>
      <c r="F19" s="9"/>
      <c r="G19" s="9"/>
      <c r="H19" s="22"/>
    </row>
    <row r="20" spans="1:8" s="10" customFormat="1" ht="15" hidden="1" x14ac:dyDescent="0.2">
      <c r="A20" s="8">
        <v>10</v>
      </c>
      <c r="B20" s="9"/>
      <c r="C20" s="9"/>
      <c r="D20" s="9"/>
      <c r="E20" s="9"/>
      <c r="F20" s="9"/>
      <c r="G20" s="9"/>
      <c r="H20" s="22"/>
    </row>
    <row r="21" spans="1:8" s="17" customFormat="1" ht="15" hidden="1" x14ac:dyDescent="0.2">
      <c r="A21" s="15">
        <v>11</v>
      </c>
      <c r="B21" s="16"/>
      <c r="C21" s="16"/>
      <c r="D21" s="16"/>
      <c r="E21" s="16"/>
      <c r="F21" s="16"/>
      <c r="G21" s="16"/>
      <c r="H21" s="24"/>
    </row>
    <row r="22" spans="1:8" s="17" customFormat="1" ht="15" hidden="1" x14ac:dyDescent="0.2">
      <c r="A22" s="15">
        <v>12</v>
      </c>
      <c r="B22" s="16"/>
      <c r="C22" s="16"/>
      <c r="D22" s="16"/>
      <c r="E22" s="16"/>
      <c r="F22" s="16"/>
      <c r="G22" s="16"/>
      <c r="H22" s="24"/>
    </row>
    <row r="23" spans="1:8" s="10" customFormat="1" ht="15" hidden="1" x14ac:dyDescent="0.2">
      <c r="A23" s="8">
        <v>13</v>
      </c>
      <c r="B23" s="9"/>
      <c r="C23" s="9"/>
      <c r="D23" s="9"/>
      <c r="E23" s="9"/>
      <c r="F23" s="9"/>
      <c r="G23" s="9"/>
      <c r="H23" s="22"/>
    </row>
    <row r="24" spans="1:8" s="10" customFormat="1" ht="15" hidden="1" x14ac:dyDescent="0.2">
      <c r="A24" s="8">
        <v>14</v>
      </c>
      <c r="B24" s="9"/>
      <c r="C24" s="9"/>
      <c r="D24" s="9"/>
      <c r="E24" s="9"/>
      <c r="F24" s="9"/>
      <c r="G24" s="9"/>
      <c r="H24" s="22"/>
    </row>
    <row r="25" spans="1:8" s="17" customFormat="1" ht="15" hidden="1" x14ac:dyDescent="0.2">
      <c r="A25" s="15">
        <v>15</v>
      </c>
      <c r="B25" s="16"/>
      <c r="C25" s="16"/>
      <c r="D25" s="16"/>
      <c r="E25" s="16"/>
      <c r="F25" s="16"/>
      <c r="G25" s="16"/>
      <c r="H25" s="24"/>
    </row>
    <row r="26" spans="1:8" s="17" customFormat="1" ht="15" hidden="1" x14ac:dyDescent="0.2">
      <c r="A26" s="15">
        <v>16</v>
      </c>
      <c r="B26" s="16"/>
      <c r="C26" s="16"/>
      <c r="D26" s="16"/>
      <c r="E26" s="16"/>
      <c r="F26" s="16"/>
      <c r="G26" s="16"/>
      <c r="H26" s="24"/>
    </row>
    <row r="27" spans="1:8" s="10" customFormat="1" ht="15" x14ac:dyDescent="0.2">
      <c r="A27" s="8">
        <v>17</v>
      </c>
      <c r="B27" s="9">
        <v>13</v>
      </c>
      <c r="C27" s="9"/>
      <c r="D27" s="9"/>
      <c r="E27" s="9"/>
      <c r="F27" s="9">
        <f t="shared" ref="F27:F49" si="0">B27*6</f>
        <v>78</v>
      </c>
      <c r="G27" s="9"/>
      <c r="H27" s="22"/>
    </row>
    <row r="28" spans="1:8" s="10" customFormat="1" ht="14.25" customHeight="1" x14ac:dyDescent="0.2">
      <c r="A28" s="8">
        <v>18</v>
      </c>
      <c r="B28" s="9">
        <v>13</v>
      </c>
      <c r="C28" s="9"/>
      <c r="D28" s="9">
        <v>1</v>
      </c>
      <c r="E28" s="9"/>
      <c r="F28" s="9">
        <f t="shared" si="0"/>
        <v>78</v>
      </c>
      <c r="G28" s="9"/>
      <c r="H28" s="22"/>
    </row>
    <row r="29" spans="1:8" s="10" customFormat="1" ht="15" x14ac:dyDescent="0.2">
      <c r="A29" s="8">
        <v>19</v>
      </c>
      <c r="B29" s="9">
        <v>13</v>
      </c>
      <c r="C29" s="9"/>
      <c r="D29" s="9"/>
      <c r="E29" s="9"/>
      <c r="F29" s="9">
        <f t="shared" si="0"/>
        <v>78</v>
      </c>
      <c r="G29" s="9"/>
      <c r="H29" s="22"/>
    </row>
    <row r="30" spans="1:8" s="17" customFormat="1" ht="15" x14ac:dyDescent="0.2">
      <c r="A30" s="15">
        <v>20</v>
      </c>
      <c r="B30" s="16">
        <v>13</v>
      </c>
      <c r="C30" s="16"/>
      <c r="D30" s="16"/>
      <c r="E30" s="16"/>
      <c r="F30" s="16">
        <f t="shared" si="0"/>
        <v>78</v>
      </c>
      <c r="G30" s="16"/>
      <c r="H30" s="24"/>
    </row>
    <row r="31" spans="1:8" s="17" customFormat="1" ht="15" x14ac:dyDescent="0.2">
      <c r="A31" s="15">
        <v>21</v>
      </c>
      <c r="B31" s="16">
        <v>13</v>
      </c>
      <c r="C31" s="16"/>
      <c r="D31" s="16">
        <v>1</v>
      </c>
      <c r="E31" s="16"/>
      <c r="F31" s="16">
        <f t="shared" si="0"/>
        <v>78</v>
      </c>
      <c r="G31" s="16"/>
      <c r="H31" s="24"/>
    </row>
    <row r="32" spans="1:8" s="17" customFormat="1" ht="15" x14ac:dyDescent="0.2">
      <c r="A32" s="15">
        <v>22</v>
      </c>
      <c r="B32" s="16">
        <v>13</v>
      </c>
      <c r="C32" s="16"/>
      <c r="D32" s="16"/>
      <c r="E32" s="16"/>
      <c r="F32" s="16">
        <f t="shared" si="0"/>
        <v>78</v>
      </c>
      <c r="G32" s="16"/>
      <c r="H32" s="24"/>
    </row>
    <row r="33" spans="1:8" s="10" customFormat="1" ht="15" x14ac:dyDescent="0.2">
      <c r="A33" s="15">
        <v>23</v>
      </c>
      <c r="B33" s="16">
        <v>13</v>
      </c>
      <c r="C33" s="16"/>
      <c r="D33" s="16"/>
      <c r="E33" s="16"/>
      <c r="F33" s="16">
        <f t="shared" si="0"/>
        <v>78</v>
      </c>
      <c r="G33" s="16"/>
      <c r="H33" s="22"/>
    </row>
    <row r="34" spans="1:8" s="10" customFormat="1" ht="15" hidden="1" x14ac:dyDescent="0.2">
      <c r="A34" s="8">
        <v>24</v>
      </c>
      <c r="B34" s="9"/>
      <c r="C34" s="9"/>
      <c r="D34" s="9"/>
      <c r="E34" s="9"/>
      <c r="F34" s="9">
        <f t="shared" si="0"/>
        <v>0</v>
      </c>
      <c r="G34" s="9"/>
      <c r="H34" s="22"/>
    </row>
    <row r="35" spans="1:8" s="10" customFormat="1" ht="15" hidden="1" x14ac:dyDescent="0.2">
      <c r="A35" s="8" t="s">
        <v>19</v>
      </c>
      <c r="B35" s="9"/>
      <c r="C35" s="9"/>
      <c r="D35" s="9"/>
      <c r="E35" s="9"/>
      <c r="F35" s="9">
        <f t="shared" si="0"/>
        <v>0</v>
      </c>
      <c r="G35" s="9"/>
      <c r="H35" s="22"/>
    </row>
    <row r="36" spans="1:8" ht="15" x14ac:dyDescent="0.2">
      <c r="A36" s="18">
        <v>25</v>
      </c>
      <c r="B36" s="7">
        <v>16</v>
      </c>
      <c r="C36" s="7"/>
      <c r="D36" s="7"/>
      <c r="E36" s="7"/>
      <c r="F36" s="7">
        <f t="shared" si="0"/>
        <v>96</v>
      </c>
      <c r="G36" s="7"/>
      <c r="H36" s="25"/>
    </row>
    <row r="37" spans="1:8" ht="15" x14ac:dyDescent="0.2">
      <c r="A37" s="18">
        <v>26</v>
      </c>
      <c r="B37" s="7">
        <v>16</v>
      </c>
      <c r="C37" s="7"/>
      <c r="D37" s="7">
        <v>1</v>
      </c>
      <c r="E37" s="7"/>
      <c r="F37" s="7">
        <f t="shared" si="0"/>
        <v>96</v>
      </c>
      <c r="G37" s="7"/>
      <c r="H37" s="25"/>
    </row>
    <row r="38" spans="1:8" ht="15" x14ac:dyDescent="0.2">
      <c r="A38" s="18">
        <v>27</v>
      </c>
      <c r="B38" s="7">
        <v>16</v>
      </c>
      <c r="C38" s="7"/>
      <c r="D38" s="7"/>
      <c r="E38" s="7"/>
      <c r="F38" s="7">
        <f t="shared" si="0"/>
        <v>96</v>
      </c>
      <c r="G38" s="7"/>
      <c r="H38" s="25"/>
    </row>
    <row r="39" spans="1:8" s="31" customFormat="1" ht="15" x14ac:dyDescent="0.2">
      <c r="A39" s="28">
        <v>28</v>
      </c>
      <c r="B39" s="29">
        <v>16</v>
      </c>
      <c r="C39" s="29"/>
      <c r="D39" s="29"/>
      <c r="E39" s="29"/>
      <c r="F39" s="29">
        <f t="shared" si="0"/>
        <v>96</v>
      </c>
      <c r="G39" s="29"/>
      <c r="H39" s="30"/>
    </row>
    <row r="40" spans="1:8" s="31" customFormat="1" ht="15" x14ac:dyDescent="0.2">
      <c r="A40" s="28">
        <v>29</v>
      </c>
      <c r="B40" s="29">
        <v>16</v>
      </c>
      <c r="C40" s="29"/>
      <c r="D40" s="29">
        <v>1</v>
      </c>
      <c r="E40" s="29"/>
      <c r="F40" s="29">
        <f t="shared" si="0"/>
        <v>96</v>
      </c>
      <c r="G40" s="29"/>
      <c r="H40" s="30"/>
    </row>
    <row r="41" spans="1:8" s="31" customFormat="1" ht="15" x14ac:dyDescent="0.2">
      <c r="A41" s="28">
        <v>30</v>
      </c>
      <c r="B41" s="29">
        <v>16</v>
      </c>
      <c r="C41" s="29"/>
      <c r="D41" s="29"/>
      <c r="E41" s="29"/>
      <c r="F41" s="29">
        <f t="shared" si="0"/>
        <v>96</v>
      </c>
      <c r="G41" s="29"/>
      <c r="H41" s="30"/>
    </row>
    <row r="42" spans="1:8" ht="15" x14ac:dyDescent="0.2">
      <c r="A42" s="18">
        <v>31</v>
      </c>
      <c r="B42" s="7">
        <v>16</v>
      </c>
      <c r="C42" s="7"/>
      <c r="D42" s="7"/>
      <c r="E42" s="7"/>
      <c r="F42" s="7">
        <f t="shared" si="0"/>
        <v>96</v>
      </c>
      <c r="G42" s="7"/>
      <c r="H42" s="25"/>
    </row>
    <row r="43" spans="1:8" ht="15" x14ac:dyDescent="0.2">
      <c r="A43" s="18">
        <v>32</v>
      </c>
      <c r="B43" s="7">
        <v>16</v>
      </c>
      <c r="C43" s="7"/>
      <c r="D43" s="7">
        <v>1</v>
      </c>
      <c r="E43" s="7"/>
      <c r="F43" s="7">
        <f t="shared" si="0"/>
        <v>96</v>
      </c>
      <c r="G43" s="7"/>
      <c r="H43" s="25"/>
    </row>
    <row r="44" spans="1:8" ht="15" x14ac:dyDescent="0.2">
      <c r="A44" s="18">
        <v>33</v>
      </c>
      <c r="B44" s="7">
        <v>16</v>
      </c>
      <c r="C44" s="7"/>
      <c r="D44" s="7"/>
      <c r="E44" s="7"/>
      <c r="F44" s="7">
        <f t="shared" si="0"/>
        <v>96</v>
      </c>
      <c r="G44" s="7"/>
      <c r="H44" s="25"/>
    </row>
    <row r="45" spans="1:8" s="31" customFormat="1" ht="15" x14ac:dyDescent="0.2">
      <c r="A45" s="28">
        <v>34</v>
      </c>
      <c r="B45" s="29">
        <v>16</v>
      </c>
      <c r="C45" s="29"/>
      <c r="D45" s="29"/>
      <c r="E45" s="29"/>
      <c r="F45" s="29">
        <f t="shared" si="0"/>
        <v>96</v>
      </c>
      <c r="G45" s="29"/>
      <c r="H45" s="30"/>
    </row>
    <row r="46" spans="1:8" s="31" customFormat="1" ht="15" x14ac:dyDescent="0.2">
      <c r="A46" s="28">
        <v>35</v>
      </c>
      <c r="B46" s="29">
        <v>16</v>
      </c>
      <c r="C46" s="29"/>
      <c r="D46" s="29">
        <v>1</v>
      </c>
      <c r="E46" s="29"/>
      <c r="F46" s="29">
        <f t="shared" si="0"/>
        <v>96</v>
      </c>
      <c r="G46" s="29"/>
      <c r="H46" s="30"/>
    </row>
    <row r="47" spans="1:8" s="31" customFormat="1" ht="15" x14ac:dyDescent="0.2">
      <c r="A47" s="28">
        <v>36</v>
      </c>
      <c r="B47" s="29">
        <v>16</v>
      </c>
      <c r="C47" s="29"/>
      <c r="D47" s="29"/>
      <c r="E47" s="29"/>
      <c r="F47" s="29">
        <f t="shared" si="0"/>
        <v>96</v>
      </c>
      <c r="G47" s="29"/>
      <c r="H47" s="30"/>
    </row>
    <row r="48" spans="1:8" ht="15" x14ac:dyDescent="0.2">
      <c r="A48" s="18">
        <v>37</v>
      </c>
      <c r="B48" s="7">
        <v>16</v>
      </c>
      <c r="C48" s="7"/>
      <c r="D48" s="7">
        <v>1</v>
      </c>
      <c r="E48" s="7"/>
      <c r="F48" s="7">
        <f t="shared" si="0"/>
        <v>96</v>
      </c>
      <c r="G48" s="7"/>
      <c r="H48" s="25"/>
    </row>
    <row r="49" spans="1:8" ht="15" x14ac:dyDescent="0.2">
      <c r="A49" s="18">
        <v>38</v>
      </c>
      <c r="B49" s="7">
        <v>16</v>
      </c>
      <c r="C49" s="7"/>
      <c r="D49" s="7"/>
      <c r="E49" s="7"/>
      <c r="F49" s="7">
        <f t="shared" si="0"/>
        <v>96</v>
      </c>
      <c r="G49" s="7"/>
      <c r="H49" s="25"/>
    </row>
    <row r="50" spans="1:8" ht="15" hidden="1" x14ac:dyDescent="0.2">
      <c r="A50" s="18" t="s">
        <v>20</v>
      </c>
      <c r="B50" s="7"/>
      <c r="C50" s="7"/>
      <c r="D50" s="7"/>
      <c r="E50" s="7"/>
      <c r="F50" s="7">
        <f>B50*4</f>
        <v>0</v>
      </c>
      <c r="G50" s="7"/>
      <c r="H50" s="25"/>
    </row>
    <row r="51" spans="1:8" s="6" customFormat="1" ht="15" hidden="1" x14ac:dyDescent="0.2">
      <c r="A51" s="4">
        <v>39</v>
      </c>
      <c r="B51" s="5"/>
      <c r="C51" s="5"/>
      <c r="D51" s="5"/>
      <c r="E51" s="5"/>
      <c r="F51" s="5">
        <f>B51*4</f>
        <v>0</v>
      </c>
      <c r="G51" s="5"/>
      <c r="H51" s="11"/>
    </row>
    <row r="52" spans="1:8" s="6" customFormat="1" ht="15" hidden="1" x14ac:dyDescent="0.2">
      <c r="A52" s="4" t="s">
        <v>21</v>
      </c>
      <c r="B52" s="5"/>
      <c r="C52" s="5"/>
      <c r="D52" s="5"/>
      <c r="E52" s="5"/>
      <c r="F52" s="5">
        <f>B52*4</f>
        <v>0</v>
      </c>
      <c r="G52" s="5"/>
      <c r="H52" s="11"/>
    </row>
    <row r="53" spans="1:8" x14ac:dyDescent="0.2">
      <c r="A53" s="9" t="s">
        <v>31</v>
      </c>
      <c r="B53" s="9"/>
      <c r="C53" s="9">
        <v>14</v>
      </c>
      <c r="D53" s="9"/>
      <c r="E53" s="9"/>
      <c r="F53" s="9"/>
      <c r="G53" s="9"/>
      <c r="H53" s="22"/>
    </row>
    <row r="54" spans="1:8" ht="15" x14ac:dyDescent="0.25">
      <c r="A54" s="19" t="s">
        <v>23</v>
      </c>
      <c r="B54" s="20">
        <f>SUM(B2:B53)</f>
        <v>315</v>
      </c>
      <c r="C54" s="20"/>
      <c r="D54" s="20">
        <f>SUM(D2:D53)</f>
        <v>7</v>
      </c>
      <c r="E54" s="20">
        <f>SUM(E2:E53)</f>
        <v>0</v>
      </c>
      <c r="F54" s="20">
        <f>SUM(F2:F53)</f>
        <v>1890</v>
      </c>
      <c r="G54" s="20">
        <f>SUM(G2:G53)</f>
        <v>0</v>
      </c>
      <c r="H54" s="10"/>
    </row>
    <row r="55" spans="1:8" ht="15" x14ac:dyDescent="0.25">
      <c r="A55" s="21"/>
      <c r="B55" s="21"/>
      <c r="C55" s="21"/>
      <c r="D55" s="21"/>
      <c r="E55" s="21"/>
      <c r="F55" s="21"/>
      <c r="G55" s="21"/>
      <c r="H55" s="10"/>
    </row>
    <row r="56" spans="1:8" ht="15" x14ac:dyDescent="0.25">
      <c r="A56" s="20"/>
      <c r="B56" s="19"/>
      <c r="C56" s="19"/>
      <c r="D56" s="21"/>
      <c r="E56" s="21"/>
      <c r="F56" s="21"/>
      <c r="G56" s="21"/>
      <c r="H56" s="10"/>
    </row>
    <row r="57" spans="1:8" ht="15" x14ac:dyDescent="0.25">
      <c r="A57" s="20"/>
      <c r="B57" s="19"/>
      <c r="C57" s="19"/>
      <c r="D57" s="21"/>
      <c r="E57" s="21"/>
      <c r="F57" s="21"/>
      <c r="G57" s="21"/>
      <c r="H57" s="10"/>
    </row>
    <row r="58" spans="1:8" x14ac:dyDescent="0.2">
      <c r="H58" s="10"/>
    </row>
    <row r="59" spans="1:8" x14ac:dyDescent="0.2">
      <c r="H59" s="10"/>
    </row>
    <row r="60" spans="1:8" x14ac:dyDescent="0.2">
      <c r="H60" s="10"/>
    </row>
    <row r="61" spans="1:8" x14ac:dyDescent="0.2">
      <c r="H61" s="10"/>
    </row>
    <row r="62" spans="1:8" x14ac:dyDescent="0.2">
      <c r="H62" s="10"/>
    </row>
    <row r="63" spans="1:8" x14ac:dyDescent="0.2">
      <c r="H63" s="10"/>
    </row>
    <row r="64" spans="1:8" x14ac:dyDescent="0.2">
      <c r="H64" s="10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5"/>
  <sheetViews>
    <sheetView zoomScale="90" zoomScaleNormal="90" workbookViewId="0"/>
  </sheetViews>
  <sheetFormatPr defaultRowHeight="14.25" x14ac:dyDescent="0.2"/>
  <cols>
    <col min="1" max="1025" width="8.625" customWidth="1"/>
  </cols>
  <sheetData>
    <row r="15" spans="5:5" x14ac:dyDescent="0.2">
      <c r="E15" s="10" t="s">
        <v>32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Networking BOQ</vt:lpstr>
      <vt:lpstr>Accessory</vt:lpstr>
      <vt:lpstr>Detail</vt:lpstr>
      <vt:lpstr>Apartment</vt:lpstr>
      <vt:lpstr>GPON</vt:lpstr>
      <vt:lpstr>Trang_tính1</vt:lpstr>
      <vt:lpstr>Accessory!Print_Area</vt:lpstr>
      <vt:lpstr>Detail!Print_Area</vt:lpstr>
      <vt:lpstr>'Networking BOQ'!Print_Area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Huynh Trong Hieu</dc:creator>
  <cp:keywords/>
  <dc:description/>
  <cp:lastModifiedBy>Windows User</cp:lastModifiedBy>
  <cp:revision>2</cp:revision>
  <dcterms:created xsi:type="dcterms:W3CDTF">2006-09-16T00:00:00Z</dcterms:created>
  <dcterms:modified xsi:type="dcterms:W3CDTF">2020-03-06T08:13:21Z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