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228"/>
  <workbookPr defaultThemeVersion="124226"/>
  <mc:AlternateContent xmlns:mc="http://schemas.openxmlformats.org/markup-compatibility/2006">
    <mc:Choice Requires="x15">
      <x15ac:absPath xmlns:x15ac="http://schemas.microsoft.com/office/spreadsheetml/2010/11/ac" url="D:\Alphanam\Server Dec2019\"/>
    </mc:Choice>
  </mc:AlternateContent>
  <xr:revisionPtr revIDLastSave="0" documentId="13_ncr:1_{D75FDB91-8D12-47FC-9A2A-AA282671603D}" xr6:coauthVersionLast="45" xr6:coauthVersionMax="45" xr10:uidLastSave="{00000000-0000-0000-0000-000000000000}"/>
  <bookViews>
    <workbookView xWindow="-108" yWindow="-108" windowWidth="23256" windowHeight="12576" xr2:uid="{00000000-000D-0000-FFFF-FFFF00000000}"/>
  </bookViews>
  <sheets>
    <sheet name="SUM" sheetId="10" r:id="rId1"/>
    <sheet name="Hotel Server" sheetId="11" r:id="rId2"/>
    <sheet name="BCT Operator Server" sheetId="12" r:id="rId3"/>
    <sheet name="BMS Server" sheetId="13" r:id="rId4"/>
  </sheets>
  <externalReferences>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s>
  <definedNames>
    <definedName name="_______key2" hidden="1">#REF!</definedName>
    <definedName name="______FAB4" hidden="1">'[1]F4-F7'!#REF!</definedName>
    <definedName name="_____key2" hidden="1">#REF!</definedName>
    <definedName name="____FAB4" hidden="1">'[1]F4-F7'!#REF!</definedName>
    <definedName name="___4__123Graph_Aｸﾞﾗﾌ_2" hidden="1">#REF!</definedName>
    <definedName name="___key2" hidden="1">#REF!</definedName>
    <definedName name="__1__123Graph_ACHART_1" hidden="1">[2]Cash2!$G$16:$G$31</definedName>
    <definedName name="__10__123Graph_DCHART_1" hidden="1">[2]Cash2!$K$16:$K$36</definedName>
    <definedName name="__11__123Graph_Xｸﾞﾗﾌ_1" hidden="1">#REF!</definedName>
    <definedName name="__12__123Graph_Xｸﾞﾗﾌ_2" hidden="1">#REF!</definedName>
    <definedName name="__13__123Graph_Xｸﾞﾗﾌ_3" hidden="1">#REF!</definedName>
    <definedName name="__14__123Graph_Xｸﾞﾗﾌ_4" hidden="1">#REF!</definedName>
    <definedName name="__15__123Graph_Xｸﾞﾗﾌ_5" hidden="1">#REF!</definedName>
    <definedName name="__2__123Graph_ACHART_2" hidden="1">[2]Z!$T$179:$AH$179</definedName>
    <definedName name="__3__123Graph_Aｸﾞﾗﾌ_1" hidden="1">#REF!</definedName>
    <definedName name="__4__123Graph_Aｸﾞﾗﾌ_2" hidden="1">#REF!</definedName>
    <definedName name="__5__123Graph_Aｸﾞﾗﾌ_3" hidden="1">#REF!</definedName>
    <definedName name="__6__123Graph_Aｸﾞﾗﾌ_4" hidden="1">#REF!</definedName>
    <definedName name="__7__123Graph_Aｸﾞﾗﾌ_5" hidden="1">#REF!</definedName>
    <definedName name="__8__123Graph_BCHART_2" hidden="1">[2]Z!$T$180:$AH$180</definedName>
    <definedName name="__9__123Graph_CCHART_1" hidden="1">[2]Cash2!$J$16:$J$36</definedName>
    <definedName name="__FAB4" hidden="1">'[1]F4-F7'!#REF!</definedName>
    <definedName name="__key2" hidden="1">#REF!</definedName>
    <definedName name="__MCC3" hidden="1">{#N/A,#N/A,FALSE,"CCTV"}</definedName>
    <definedName name="_1__123Graph_ACHART_1" hidden="1">[2]Cash2!$G$16:$G$31</definedName>
    <definedName name="_1__123Graph_Aｸﾞﾗﾌ_1" hidden="1">#REF!</definedName>
    <definedName name="_10__123Graph_Aｸﾞﾗﾌ_5" hidden="1">#REF!</definedName>
    <definedName name="_10__123Graph_DCHART_1" hidden="1">[2]Cash2!$K$16:$K$36</definedName>
    <definedName name="_10__123Graph_Xｸﾞﾗﾌ_5" hidden="1">#REF!</definedName>
    <definedName name="_11__123Graph_Xｸﾞﾗﾌ_1" hidden="1">#REF!</definedName>
    <definedName name="_12__123Graph_Xｸﾞﾗﾌ_1" hidden="1">#REF!</definedName>
    <definedName name="_12__123Graph_Xｸﾞﾗﾌ_2" hidden="1">#REF!</definedName>
    <definedName name="_13__123Graph_Xｸﾞﾗﾌ_3" hidden="1">#REF!</definedName>
    <definedName name="_14__123Graph_Xｸﾞﾗﾌ_2" hidden="1">#REF!</definedName>
    <definedName name="_14__123Graph_Xｸﾞﾗﾌ_4" hidden="1">#REF!</definedName>
    <definedName name="_15__123Graph_Xｸﾞﾗﾌ_5" hidden="1">#REF!</definedName>
    <definedName name="_16__123Graph_Xｸﾞﾗﾌ_3" hidden="1">#REF!</definedName>
    <definedName name="_18__123Graph_Xｸﾞﾗﾌ_4" hidden="1">#REF!</definedName>
    <definedName name="_2__123Graph_ACHART_2" hidden="1">[2]Z!$T$179:$AH$179</definedName>
    <definedName name="_2__123Graph_Aｸﾞﾗﾌ_1" hidden="1">#REF!</definedName>
    <definedName name="_2__123Graph_Aｸﾞﾗﾌ_2" hidden="1">#REF!</definedName>
    <definedName name="_2_0_F" hidden="1">[3]노임단가!#REF!</definedName>
    <definedName name="_20__123Graph_Xｸﾞﾗﾌ_5" hidden="1">#REF!</definedName>
    <definedName name="_3__123Graph_Aｸﾞﾗﾌ_1" hidden="1">#REF!</definedName>
    <definedName name="_3__123Graph_Aｸﾞﾗﾌ_3" hidden="1">#REF!</definedName>
    <definedName name="_4__123Graph_Aｸﾞﾗﾌ_2" hidden="1">#REF!</definedName>
    <definedName name="_4__123Graph_Aｸﾞﾗﾌ_4" hidden="1">#REF!</definedName>
    <definedName name="_4_0_0_F" hidden="1">[4]실행!#REF!</definedName>
    <definedName name="_5__123Graph_Aｸﾞﾗﾌ_3" hidden="1">#REF!</definedName>
    <definedName name="_5__123Graph_Aｸﾞﾗﾌ_5" hidden="1">#REF!</definedName>
    <definedName name="_6__123Graph_Aｸﾞﾗﾌ_3" hidden="1">#REF!</definedName>
    <definedName name="_6__123Graph_Aｸﾞﾗﾌ_4" hidden="1">#REF!</definedName>
    <definedName name="_6__123Graph_Xｸﾞﾗﾌ_1" hidden="1">#REF!</definedName>
    <definedName name="_6_2_0_Parse" hidden="1">[3]노임단가!#REF!</definedName>
    <definedName name="_7__123Graph_Aｸﾞﾗﾌ_5" hidden="1">#REF!</definedName>
    <definedName name="_7__123Graph_Xｸﾞﾗﾌ_2" hidden="1">#REF!</definedName>
    <definedName name="_8__123Graph_Aｸﾞﾗﾌ_4" hidden="1">#REF!</definedName>
    <definedName name="_8__123Graph_BCHART_2" hidden="1">[2]Z!$T$180:$AH$180</definedName>
    <definedName name="_8__123Graph_Xｸﾞﾗﾌ_3" hidden="1">#REF!</definedName>
    <definedName name="_9__123Graph_CCHART_1" hidden="1">[2]Cash2!$J$16:$J$36</definedName>
    <definedName name="_9__123Graph_Xｸﾞﾗﾌ_4" hidden="1">#REF!</definedName>
    <definedName name="_a1" hidden="1">{"'Sheet1'!$L$16"}</definedName>
    <definedName name="_FAB4" hidden="1">'[1]F4-F7'!#REF!</definedName>
    <definedName name="_Fill" hidden="1">#REF!</definedName>
    <definedName name="_Fill1" hidden="1">#REF!</definedName>
    <definedName name="_xlnm._FilterDatabase" hidden="1">#REF!</definedName>
    <definedName name="_Goi8" hidden="1">{"'Sheet1'!$L$16"}</definedName>
    <definedName name="_Key1" hidden="1">#REF!</definedName>
    <definedName name="_Key2" hidden="1">#REF!</definedName>
    <definedName name="_MCC3" hidden="1">{#N/A,#N/A,FALSE,"CCTV"}</definedName>
    <definedName name="_Order1" hidden="1">255</definedName>
    <definedName name="_Order2" hidden="1">255</definedName>
    <definedName name="_P3" hidden="1">{#N/A,#N/A,FALSE,"特殊室（ＢＱ表）"}</definedName>
    <definedName name="_PPP3" hidden="1">{#N/A,#N/A,FALSE,"特殊室（ＢＱ表）"}</definedName>
    <definedName name="_PPP33" hidden="1">{#N/A,#N/A,FALSE,"特殊室（ＢＱ表）"}</definedName>
    <definedName name="_ppp34" hidden="1">{#N/A,#N/A,FALSE,"特殊室（ＢＱ表）"}</definedName>
    <definedName name="_ppp3444" hidden="1">{#N/A,#N/A,FALSE,"特殊室（ＢＱ表）"}</definedName>
    <definedName name="_Regression_Int" hidden="1">1</definedName>
    <definedName name="_Sort" hidden="1">#REF!</definedName>
    <definedName name="_Table1_In1" hidden="1">#REF!</definedName>
    <definedName name="_Table1_Out" hidden="1">#REF!</definedName>
    <definedName name="_Table2_In1" hidden="1">#REF!</definedName>
    <definedName name="_Table2_Out" hidden="1">#REF!</definedName>
    <definedName name="A" hidden="1">#REF!</definedName>
    <definedName name="ABAB" hidden="1">{#N/A,#N/A,FALSE,"CCTV"}</definedName>
    <definedName name="abc" hidden="1">{"'Sheet1'!$L$16"}</definedName>
    <definedName name="AccessDatabase" hidden="1">"C:\WIN95\Desktop\Ramesh\AIC\Aic.mdb"</definedName>
    <definedName name="ACDDesktop">#REF!</definedName>
    <definedName name="ACDDesktopSW">#REF!</definedName>
    <definedName name="adc" hidden="1">{#N/A,#N/A,FALSE,"CCTV"}</definedName>
    <definedName name="addcost">#REF!</definedName>
    <definedName name="addcost1">#REF!</definedName>
    <definedName name="ADServer">#REF!</definedName>
    <definedName name="ADServerSW">#REF!</definedName>
    <definedName name="aesde" hidden="1">{#N/A,#N/A,FALSE,"CCTV"}</definedName>
    <definedName name="Aircon">#REF!</definedName>
    <definedName name="AltirisServer">#REF!</definedName>
    <definedName name="AltirisServerSW">#REF!</definedName>
    <definedName name="anscount" hidden="1">8</definedName>
    <definedName name="as" hidden="1">{#N/A,#N/A,FALSE,"CCTV"}</definedName>
    <definedName name="asd">#REF!</definedName>
    <definedName name="ASDF" hidden="1">{#N/A,#N/A,FALSE,"CCTV"}</definedName>
    <definedName name="asdfa" hidden="1">#REF!</definedName>
    <definedName name="AvayaAcdHW">#REF!</definedName>
    <definedName name="AvayaAcdSW">#REF!</definedName>
    <definedName name="BackupDevice1840">#REF!</definedName>
    <definedName name="BackupDevice800GB">#REF!</definedName>
    <definedName name="BackupDeviceLarge">#REF!</definedName>
    <definedName name="BackupDeviceMedium">#REF!</definedName>
    <definedName name="BackupDeviceSmall">#REF!</definedName>
    <definedName name="BackupSW">#REF!</definedName>
    <definedName name="BCiMacHardware">#REF!</definedName>
    <definedName name="BCiMACSoftware">#REF!</definedName>
    <definedName name="BCMacBookHardware">#REF!</definedName>
    <definedName name="BCMacBookSoftware">#REF!</definedName>
    <definedName name="BQ">#REF!</definedName>
    <definedName name="Bricks_cost">#REF!</definedName>
    <definedName name="Brickscost">#REF!</definedName>
    <definedName name="brickscostexport">#REF!</definedName>
    <definedName name="brickscostlocal">#REF!</definedName>
    <definedName name="BusinessCenterDesktopHW">#REF!</definedName>
    <definedName name="BusinessCenterLaptopHW">#REF!</definedName>
    <definedName name="BusinessCenterLaptopSW">#REF!</definedName>
    <definedName name="BusinessCenterLaptopT61PHW">#REF!</definedName>
    <definedName name="BusinessCenterLaptopT61PSW">#REF!</definedName>
    <definedName name="BusinessCenterLaptopXSeriesHW">#REF!</definedName>
    <definedName name="BusinessCenterLaptopXseriesSW">#REF!</definedName>
    <definedName name="BusinessCenterSW">#REF!</definedName>
    <definedName name="CAL4NONMARRImage">#REF!</definedName>
    <definedName name="cald" hidden="1">{#N/A,#N/A,FALSE,"CCTV"}</definedName>
    <definedName name="CARL" hidden="1">{#N/A,#N/A,FALSE,"CCTV"}</definedName>
    <definedName name="CARL1" hidden="1">{#N/A,#N/A,FALSE,"CCTV"}</definedName>
    <definedName name="CARL2" hidden="1">{#N/A,#N/A,FALSE,"CCTV"}</definedName>
    <definedName name="Code" hidden="1">#REF!</definedName>
    <definedName name="CodeE">#REF!</definedName>
    <definedName name="column" hidden="1">#REF!</definedName>
    <definedName name="CompanyName">#REF!</definedName>
    <definedName name="CostingBreakdown_DesktopHW">#REF!</definedName>
    <definedName name="CostingBreakdown_DesktopSW">#REF!</definedName>
    <definedName name="CostingBreakdown_ServerRackCommMisc">#REF!</definedName>
    <definedName name="CostingBreakdown_ServerSW">#REF!</definedName>
    <definedName name="CreditCardSW">#REF!</definedName>
    <definedName name="CreditCradDesktop">#REF!</definedName>
    <definedName name="d" hidden="1">#REF!</definedName>
    <definedName name="dase" hidden="1">{#N/A,#N/A,FALSE,"CCTV"}</definedName>
    <definedName name="dat" hidden="1">{#N/A,#N/A,FALSE,"Sheet1"}</definedName>
    <definedName name="data" hidden="1">#REF!</definedName>
    <definedName name="data1" hidden="1">#REF!</definedName>
    <definedName name="data2" hidden="1">#REF!</definedName>
    <definedName name="data3" hidden="1">#REF!</definedName>
    <definedName name="Date">#REF!</definedName>
    <definedName name="DekstopPulisherSW">#REF!</definedName>
    <definedName name="DesktopCommRoom">#REF!</definedName>
    <definedName name="DesktopCommRoomSW">#REF!</definedName>
    <definedName name="DesktopPublisherHW">#REF!</definedName>
    <definedName name="deviation" hidden="1">{#N/A,#N/A,FALSE,"CCTV"}</definedName>
    <definedName name="Discount" hidden="1">#REF!</definedName>
    <definedName name="display_area_2" hidden="1">#REF!</definedName>
    <definedName name="DoorLockHW">#REF!</definedName>
    <definedName name="DoorLockSW">#REF!</definedName>
    <definedName name="DUCT" hidden="1">{#N/A,#N/A,FALSE,"Sheet1"}</definedName>
    <definedName name="E" hidden="1">{#N/A,#N/A,FALSE,"CCTV"}</definedName>
    <definedName name="ED" hidden="1">{#N/A,#N/A,FALSE,"CCTV"}</definedName>
    <definedName name="ELLEN1" hidden="1">{#N/A,#N/A,FALSE,"CCTV"}</definedName>
    <definedName name="ELLEN10" hidden="1">{#N/A,#N/A,FALSE,"CCTV"}</definedName>
    <definedName name="ELLEN11" hidden="1">{#N/A,#N/A,FALSE,"CCTV"}</definedName>
    <definedName name="ELLEN12" hidden="1">{#N/A,#N/A,FALSE,"CCTV"}</definedName>
    <definedName name="ELLEN13" hidden="1">{#N/A,#N/A,FALSE,"CCTV"}</definedName>
    <definedName name="ELLEN14" hidden="1">{#N/A,#N/A,FALSE,"CCTV"}</definedName>
    <definedName name="ELLEN15" hidden="1">{#N/A,#N/A,FALSE,"CCTV"}</definedName>
    <definedName name="ELLEN16" hidden="1">{#N/A,#N/A,FALSE,"CCTV"}</definedName>
    <definedName name="ELLEN17" hidden="1">{#N/A,#N/A,FALSE,"CCTV"}</definedName>
    <definedName name="ELLEN18" hidden="1">{#N/A,#N/A,FALSE,"CCTV"}</definedName>
    <definedName name="ELLEN19" hidden="1">{#N/A,#N/A,FALSE,"CCTV"}</definedName>
    <definedName name="ELLEN2" hidden="1">{#N/A,#N/A,FALSE,"CCTV"}</definedName>
    <definedName name="ELLEN3" hidden="1">{#N/A,#N/A,FALSE,"CCTV"}</definedName>
    <definedName name="ELLEN4" hidden="1">{#N/A,#N/A,FALSE,"CCTV"}</definedName>
    <definedName name="ELLEN5" hidden="1">{#N/A,#N/A,FALSE,"CCTV"}</definedName>
    <definedName name="ELLEN6" hidden="1">{#N/A,#N/A,FALSE,"CCTV"}</definedName>
    <definedName name="ELLEN7" hidden="1">{#N/A,#N/A,FALSE,"CCTV"}</definedName>
    <definedName name="ELLEN8" hidden="1">{#N/A,#N/A,FALSE,"CCTV"}</definedName>
    <definedName name="ELLEN9" hidden="1">{#N/A,#N/A,FALSE,"CCTV"}</definedName>
    <definedName name="EquinoxSerial">#REF!</definedName>
    <definedName name="Equipment">#REF!</definedName>
    <definedName name="EU" comment="Tỉ giá VND/EU=27,544.77">27544.77</definedName>
    <definedName name="EXCHANGE_RATE">#REF!</definedName>
    <definedName name="ExchangeRate">#REF!</definedName>
    <definedName name="ExecClubDekstopSW">#REF!</definedName>
    <definedName name="ExecClubDesktopHW">#REF!</definedName>
    <definedName name="ExecClubLaptopHW">#REF!</definedName>
    <definedName name="ExecClubLaptopSW">#REF!</definedName>
    <definedName name="ExecClubLaptopXSeriesHW">#REF!</definedName>
    <definedName name="ExecClubLaptopXSeriesSW">#REF!</definedName>
    <definedName name="F5TF" hidden="1">[5]FAB별!#REF!</definedName>
    <definedName name="FCode" hidden="1">#REF!</definedName>
    <definedName name="FCSCallAccountingHW">#REF!</definedName>
    <definedName name="FCSCallAccountingSW">#REF!</definedName>
    <definedName name="FCSConnectServer">#REF!</definedName>
    <definedName name="FCSConnectSW">#REF!</definedName>
    <definedName name="FCSDekstop">#REF!</definedName>
    <definedName name="FCSDekstopSoftware">#REF!</definedName>
    <definedName name="FCSiServiceServer">#REF!</definedName>
    <definedName name="FCSiServiceSW">#REF!</definedName>
    <definedName name="ff" hidden="1">#REF!</definedName>
    <definedName name="FirefightingR1">#REF!</definedName>
    <definedName name="FOR" hidden="1">{#N/A,#N/A,FALSE,"CCTV"}</definedName>
    <definedName name="FORMAT" hidden="1">{#N/A,#N/A,FALSE,"CCTV"}</definedName>
    <definedName name="FPServer">#REF!</definedName>
    <definedName name="FPServerHW">#REF!</definedName>
    <definedName name="FPServerSW">#REF!</definedName>
    <definedName name="ft">#REF!</definedName>
    <definedName name="ftt">#REF!</definedName>
    <definedName name="FULL" hidden="1">[6]경비2내역!#REF!</definedName>
    <definedName name="GallopDesktopHW">#REF!</definedName>
    <definedName name="GallopDesktopSW">#REF!</definedName>
    <definedName name="general">#REF!</definedName>
    <definedName name="GeneralDesktop">#REF!</definedName>
    <definedName name="GeneralDesktopSW">#REF!</definedName>
    <definedName name="GeneralLaptopHW">#REF!</definedName>
    <definedName name="GeneralLaptopSW">#REF!</definedName>
    <definedName name="GeneralLaptopT61PHW">#REF!</definedName>
    <definedName name="GeneralLaptopT61PSW">#REF!</definedName>
    <definedName name="GeneralLaptopXSeriesSW">#REF!</definedName>
    <definedName name="GeneralSmall">#REF!</definedName>
    <definedName name="GeneralSmallSW">#REF!</definedName>
    <definedName name="generalsw">#REF!</definedName>
    <definedName name="GenericServerLarge">#REF!</definedName>
    <definedName name="GenericServerLargeSW">#REF!</definedName>
    <definedName name="GenericSmallServer">#REF!</definedName>
    <definedName name="GenericSmallServerSW">#REF!</definedName>
    <definedName name="GenReduceServerHW">#REF!</definedName>
    <definedName name="GenReduceServerSW">#REF!</definedName>
    <definedName name="GernalLaptopXSeriesHW">#REF!</definedName>
    <definedName name="GrandTotalCabling">#REF!</definedName>
    <definedName name="GrandTotalDesktop">#REF!</definedName>
    <definedName name="GrandTotalGeneralCondition">#REF!</definedName>
    <definedName name="GrandTotalHardwareMA">#REF!</definedName>
    <definedName name="GrandTotalHSIACost">#REF!</definedName>
    <definedName name="GrandTotalHSIACostLocalCurrency">#REF!</definedName>
    <definedName name="GrandTotalHSIACostUSD">#REF!</definedName>
    <definedName name="GrandTotalLaptop">#REF!</definedName>
    <definedName name="GrandTotalMac">#REF!</definedName>
    <definedName name="GrandTotalPrinter">#REF!</definedName>
    <definedName name="GrandTotalSwitch">#REF!</definedName>
    <definedName name="GrandTotalTelecommunications">#REF!</definedName>
    <definedName name="GrandTotalTraining">#REF!</definedName>
    <definedName name="GrandTotalWarranty">#REF!</definedName>
    <definedName name="GuestwareHW">#REF!</definedName>
    <definedName name="h" hidden="1">{"'Sheet1'!$L$16"}</definedName>
    <definedName name="HA" hidden="1">{"'Sheet1'!$L$16"}</definedName>
    <definedName name="han" hidden="1">#REF!</definedName>
    <definedName name="hao" hidden="1">[7]대비!#REF!</definedName>
    <definedName name="HiddenRows" hidden="1">#REF!</definedName>
    <definedName name="HIGH" hidden="1">[8]FAB별!#REF!</definedName>
    <definedName name="HotelName">#REF!</definedName>
    <definedName name="HPStorageHW">#REF!</definedName>
    <definedName name="HSIA_CostPerRoomJapan">#REF!</definedName>
    <definedName name="HSIA_CostPerRoomNonJapan">#REF!</definedName>
    <definedName name="HSIA_GrandTotalJapan">#REF!</definedName>
    <definedName name="HSIA_GrandTotalNonJapan">#REF!</definedName>
    <definedName name="HSIA_GrandTotalSWHWNonJapan">#REF!</definedName>
    <definedName name="HSIA_SubTotalHWJapan">#REF!</definedName>
    <definedName name="HSIA_SubTotalHWNonJapan">#REF!</definedName>
    <definedName name="HSIA_SubTotalInstallationJapan">#REF!</definedName>
    <definedName name="HSIA_SubTotalInstallationNonJapan">#REF!</definedName>
    <definedName name="HSIA_SubTotalSWHWJapan">#REF!</definedName>
    <definedName name="HSIA_SubTotalSWJapan">#REF!</definedName>
    <definedName name="HSIA_SubTotalSWNonJapan">#REF!</definedName>
    <definedName name="HTML_CodePage" hidden="1">950</definedName>
    <definedName name="HTML_Control" hidden="1">{"'Sheet1'!$L$16"}</definedName>
    <definedName name="HTML_Control1"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"C:\2689\Q\??\00q3961????PTA3??\MyHTML.htm"</definedName>
    <definedName name="HTML_Title" hidden="1">"00Q3961-SUM"</definedName>
    <definedName name="huy" hidden="1">{"'Sheet1'!$L$16"}</definedName>
    <definedName name="HyperTerminal">#REF!</definedName>
    <definedName name="HyperTermininalSW">#REF!</definedName>
    <definedName name="IndiaPassportScanningHW">#REF!</definedName>
    <definedName name="IndiaPassportScanningSW">#REF!</definedName>
    <definedName name="InRoomDesktop">#REF!</definedName>
    <definedName name="InRoomSW">#REF!</definedName>
    <definedName name="InterTouchZone">#REF!</definedName>
    <definedName name="IntHW">#REF!</definedName>
    <definedName name="IntSW">#REF!</definedName>
    <definedName name="KidClubDesktopSW">#REF!</definedName>
    <definedName name="KidClubDestkopHW">#REF!</definedName>
    <definedName name="klhkl" hidden="1">{#N/A,#N/A,FALSE,"CCTV"}</definedName>
    <definedName name="lan" hidden="1">{#N/A,#N/A,TRUE,"BT M200 da 10x20"}</definedName>
    <definedName name="LF">1.16</definedName>
    <definedName name="LMSLargeServer">#REF!</definedName>
    <definedName name="LMSLargeServerSW">#REF!</definedName>
    <definedName name="LMSSmallServer">#REF!</definedName>
    <definedName name="LMSSmallServerSW">#REF!</definedName>
    <definedName name="LocalCurrency">#REF!</definedName>
    <definedName name="mccb" hidden="1">{#N/A,#N/A,FALSE,"CCTV"}</definedName>
    <definedName name="MCCO" hidden="1">{#N/A,#N/A,FALSE,"CCTV"}</definedName>
    <definedName name="MCCO10" hidden="1">{#N/A,#N/A,FALSE,"CCTV"}</definedName>
    <definedName name="MCCO11" hidden="1">{#N/A,#N/A,FALSE,"CCTV"}</definedName>
    <definedName name="MCCO12" hidden="1">{#N/A,#N/A,FALSE,"CCTV"}</definedName>
    <definedName name="MCCO13" hidden="1">{#N/A,#N/A,FALSE,"CCTV"}</definedName>
    <definedName name="MCCO3" hidden="1">{#N/A,#N/A,FALSE,"CCTV"}</definedName>
    <definedName name="MCCO4" hidden="1">{#N/A,#N/A,FALSE,"CCTV"}</definedName>
    <definedName name="MCCO5" hidden="1">{#N/A,#N/A,FALSE,"CCTV"}</definedName>
    <definedName name="MCCO6" hidden="1">{#N/A,#N/A,FALSE,"CCTV"}</definedName>
    <definedName name="MCCO7" hidden="1">{#N/A,#N/A,FALSE,"CCTV"}</definedName>
    <definedName name="MCCO8" hidden="1">{#N/A,#N/A,FALSE,"CCTV"}</definedName>
    <definedName name="MCCO9" hidden="1">{#N/A,#N/A,FALSE,"CCTV"}</definedName>
    <definedName name="MCCOÙ" hidden="1">{#N/A,#N/A,FALSE,"CCTV"}</definedName>
    <definedName name="MCServer">#REF!</definedName>
    <definedName name="MCServerSW">#REF!</definedName>
    <definedName name="ME">1.1</definedName>
    <definedName name="MicrosHW">#REF!</definedName>
    <definedName name="MicrosPOSLarge">#REF!</definedName>
    <definedName name="MicrosPOSLargeSW">#REF!</definedName>
    <definedName name="MicrosPOSSmall">#REF!</definedName>
    <definedName name="MicrosPOSSmallSW">#REF!</definedName>
    <definedName name="MicrosSW">#REF!</definedName>
    <definedName name="MicsServerSW">#REF!</definedName>
    <definedName name="MiscCommRoom">#REF!</definedName>
    <definedName name="MISCServer">#REF!</definedName>
    <definedName name="MoE">1.17</definedName>
    <definedName name="moi" hidden="1">{"'Sheet1'!$L$16"}</definedName>
    <definedName name="Month">#REF!</definedName>
    <definedName name="MPGServer">#REF!</definedName>
    <definedName name="MPGServerSW">#REF!</definedName>
    <definedName name="MQ">#REF!</definedName>
    <definedName name="MusicStylingDesktop">#REF!</definedName>
    <definedName name="MusicStylingServerHW1">#REF!</definedName>
    <definedName name="MusicStylingSW">#REF!</definedName>
    <definedName name="MusicStylingSW1">#REF!</definedName>
    <definedName name="n" hidden="1">#REF!</definedName>
    <definedName name="NEWNAME" hidden="1">{#N/A,#N/A,FALSE,"CCTV"}</definedName>
    <definedName name="NTT_CiscoRouterPriceUnit">#REF!</definedName>
    <definedName name="NTT_CiscoTCLN1">#REF!</definedName>
    <definedName name="NTT_CiscoTCLN2">#REF!</definedName>
    <definedName name="NTT_CiscoTCLN3">#REF!</definedName>
    <definedName name="NTT_CiscoTCLN4">#REF!</definedName>
    <definedName name="NTT_CiscoTCLN5">#REF!</definedName>
    <definedName name="NTT_CiscoTCLN6">#REF!</definedName>
    <definedName name="NTT_ColubrisTCLN1">#REF!</definedName>
    <definedName name="NTT_ColubrisTCLN2">#REF!</definedName>
    <definedName name="NTT_CoreSwitchPriceUnit">#REF!</definedName>
    <definedName name="NTT_FirewallPriceUnit">#REF!</definedName>
    <definedName name="NTT_FloorSwitchPriceUnit">#REF!</definedName>
    <definedName name="NTT_HeadendServer">#REF!</definedName>
    <definedName name="NTT_HPTCLN1">#REF!</definedName>
    <definedName name="NTT_HPTCLN2">#REF!</definedName>
    <definedName name="NTT_HPTCLN3">#REF!</definedName>
    <definedName name="NTT_HPTCLN4">#REF!</definedName>
    <definedName name="NTT_HPTCLN5">#REF!</definedName>
    <definedName name="NTT_HPTCLN6">#REF!</definedName>
    <definedName name="NTT_NetworkSwitch">#REF!</definedName>
    <definedName name="NTT_NumberOfOutDoorAP">#REF!</definedName>
    <definedName name="NTT_PointsPerRoom">#REF!</definedName>
    <definedName name="NTT_Room_Count">#REF!</definedName>
    <definedName name="NTT_RoomsPerAP">#REF!</definedName>
    <definedName name="NTT_TCLN1">#REF!</definedName>
    <definedName name="NTT_TCLN2">#REF!</definedName>
    <definedName name="NTT_TCLN3">#REF!</definedName>
    <definedName name="NTT_TCLN4">#REF!</definedName>
    <definedName name="NTT_TCLN5">#REF!</definedName>
    <definedName name="NTT_TCLN6">#REF!</definedName>
    <definedName name="NTT_Total_HWMA">#REF!</definedName>
    <definedName name="NTT_TotalCost">#REF!</definedName>
    <definedName name="NTT_TotalCostPerRoom">#REF!</definedName>
    <definedName name="NTT_TotalDownLinkPorts">#REF!</definedName>
    <definedName name="NTT_TotalGeneralConditions">#REF!</definedName>
    <definedName name="NTT_TotalHardwareMA">#REF!</definedName>
    <definedName name="NTT_WirelessDevices">#REF!</definedName>
    <definedName name="NTTGrandTotalHWMA">#REF!</definedName>
    <definedName name="NTTGrandTotalServerMisc">#REF!</definedName>
    <definedName name="NTTGrandTotalSLA">#REF!</definedName>
    <definedName name="NTTGrandTotalSW">#REF!</definedName>
    <definedName name="NTTGrandTotalSwitch">#REF!</definedName>
    <definedName name="NumberOfRoom">#REF!</definedName>
    <definedName name="oa" hidden="1">#REF!</definedName>
    <definedName name="OpearClusterLargeSW">#REF!</definedName>
    <definedName name="OpearSecondApps">#REF!</definedName>
    <definedName name="OpearSecondAppsSW">#REF!</definedName>
    <definedName name="OperaClusterLarge">#REF!</definedName>
    <definedName name="OperaClusterSmall">#REF!</definedName>
    <definedName name="OperaClusterSmallSW">#REF!</definedName>
    <definedName name="OperaClusterStandard">#REF!</definedName>
    <definedName name="OperaClusterStandardSW">#REF!</definedName>
    <definedName name="OperaSmallServer">#REF!</definedName>
    <definedName name="OperaSmallSRVSW">#REF!</definedName>
    <definedName name="OprDGHW">#REF!</definedName>
    <definedName name="OprDGSW">#REF!</definedName>
    <definedName name="OprLargeHW">#REF!</definedName>
    <definedName name="OprLargeSW">#REF!</definedName>
    <definedName name="OprSmallMedHW">#REF!</definedName>
    <definedName name="OprSmallMedSW">#REF!</definedName>
    <definedName name="OrderTable" hidden="1">#REF!</definedName>
    <definedName name="OXIServer">#REF!</definedName>
    <definedName name="OXIServerSW">#REF!</definedName>
    <definedName name="PBXConsole">#REF!</definedName>
    <definedName name="PBXConsoleSW">#REF!</definedName>
    <definedName name="PHOTO" hidden="1">[9]FAB별!#REF!</definedName>
    <definedName name="PlumbingR1">#REF!</definedName>
    <definedName name="PoliceDesktop">#REF!</definedName>
    <definedName name="PoliceDesktopSW">#REF!</definedName>
    <definedName name="Port1" hidden="1">{#N/A,#N/A,FALSE,"特殊室（ＢＱ表）"}</definedName>
    <definedName name="port11" hidden="1">{#N/A,#N/A,FALSE,"特殊室（ＢＱ表）"}</definedName>
    <definedName name="POSRP5700SW">#REF!</definedName>
    <definedName name="POSRP7500">#REF!</definedName>
    <definedName name="pp" hidden="1">{#N/A,#N/A,FALSE,"OUTPUT SHEET "}</definedName>
    <definedName name="Print_Area_MI">#REF!</definedName>
    <definedName name="ProdForm" hidden="1">#REF!</definedName>
    <definedName name="Product" hidden="1">#REF!</definedName>
    <definedName name="Products">#REF!</definedName>
    <definedName name="PublicAreaLaptopOption">#REF!</definedName>
    <definedName name="PublicAreaSWOption">#REF!</definedName>
    <definedName name="RCArea" hidden="1">#REF!</definedName>
    <definedName name="RCDOELaptopHW">#REF!</definedName>
    <definedName name="RCDOELaptopSW">#REF!</definedName>
    <definedName name="_xlnm.Recorder">#REF!</definedName>
    <definedName name="RecordingSystems">#REF!</definedName>
    <definedName name="RecordingSystemsSW">#REF!</definedName>
    <definedName name="report1" hidden="1">{#N/A,#N/A,FALSE,"特殊室（ＢＱ表）"}</definedName>
    <definedName name="report2" hidden="1">{#N/A,#N/A,FALSE,"特殊室（ＢＱ表）"}</definedName>
    <definedName name="Revised">#REF!</definedName>
    <definedName name="rkd" hidden="1">{#N/A,#N/A,FALSE,"CCTV"}</definedName>
    <definedName name="row" hidden="1">#REF!</definedName>
    <definedName name="rp5700IFCHW">#REF!</definedName>
    <definedName name="rp5700IFCSW">#REF!</definedName>
    <definedName name="rtyrtyt" hidden="1">#REF!</definedName>
    <definedName name="rtytry" hidden="1">#REF!</definedName>
    <definedName name="S" hidden="1">{#N/A,#N/A,FALSE,"CCTV"}</definedName>
    <definedName name="SaleContact">#REF!</definedName>
    <definedName name="SAPBEXrevision" hidden="1">1</definedName>
    <definedName name="SAPBEXsysID" hidden="1">"TA2"</definedName>
    <definedName name="SAPBEXwbID" hidden="1">"E9Q3LCWW911VAJ39BASH84PBR"</definedName>
    <definedName name="SDF" hidden="1">{#N/A,#N/A,FALSE,"전력간선"}</definedName>
    <definedName name="sencount" hidden="1">1</definedName>
    <definedName name="ServerRack">#REF!</definedName>
    <definedName name="sheet1" hidden="1">{#N/A,#N/A,FALSE,"CCTV"}</definedName>
    <definedName name="Sheet2" hidden="1">{#N/A,#N/A,FALSE,"Sheet1"}</definedName>
    <definedName name="sheet3" hidden="1">{#N/A,#N/A,FALSE,"Sheet1"}</definedName>
    <definedName name="SiemensCaracas">#REF!</definedName>
    <definedName name="SiemensCaracasSoftware">#REF!</definedName>
    <definedName name="SIGMABOQ">#REF!</definedName>
    <definedName name="SM_Email">#REF!</definedName>
    <definedName name="SM_Name">#REF!</definedName>
    <definedName name="SM_PhoneFAX">#REF!</definedName>
    <definedName name="SM_Title">#REF!</definedName>
    <definedName name="SMEUNIT">#REF!</definedName>
    <definedName name="SMLaptopHW">#REF!</definedName>
    <definedName name="SMLatopHW">#REF!</definedName>
    <definedName name="SpecialPrice" hidden="1">#REF!</definedName>
    <definedName name="sss" hidden="1">{#N/A,#N/A,FALSE,"전력간선"}</definedName>
    <definedName name="SunHW">#REF!</definedName>
    <definedName name="SunServer">#REF!</definedName>
    <definedName name="SunServerSW">#REF!</definedName>
    <definedName name="svrmicros9700">#REF!</definedName>
    <definedName name="TBL_ActiveComponents">#REF!</definedName>
    <definedName name="TBL_BackupDevice800GB">#REF!</definedName>
    <definedName name="TBL_BackupDeviceLarge">#REF!</definedName>
    <definedName name="TBL_BackupDeviceMedium">#REF!</definedName>
    <definedName name="TBL_BackupDeviceSmall">#REF!</definedName>
    <definedName name="TBL_BackupSW">#REF!</definedName>
    <definedName name="TBL_Cabling">#REF!</definedName>
    <definedName name="TBL_FilterSelection">#REF!</definedName>
    <definedName name="TBL_FinalCostingBreakdownLocalCurrency">#REF!</definedName>
    <definedName name="TBL_FinalCostingBreakdownUSD">#REF!</definedName>
    <definedName name="TBL_GeneralCondition1">#REF!</definedName>
    <definedName name="TBL_GeneralCondition2">#REF!</definedName>
    <definedName name="TBL_GeneralCondition3">#REF!</definedName>
    <definedName name="TBL_HardwareMA">#REF!</definedName>
    <definedName name="TBL_HSIAInRoomJapan">#REF!</definedName>
    <definedName name="TBL_HSIAInRoomNonJapan">#REF!</definedName>
    <definedName name="TBL_HSIAInstallationJapan">#REF!</definedName>
    <definedName name="TBL_HSIAInstallationNonJapan">#REF!</definedName>
    <definedName name="TBL_HSIAMiscJapan">#REF!</definedName>
    <definedName name="TBL_HSIAMiscNonJapan">#REF!</definedName>
    <definedName name="TBL_HSIARiserJapan">#REF!</definedName>
    <definedName name="TBL_HSIARiserNonJapan">#REF!</definedName>
    <definedName name="TBL_HSIAServerJapan">#REF!</definedName>
    <definedName name="TBL_HSIAServerNonJapan">#REF!</definedName>
    <definedName name="TBL_HSIASoftwareJapan">#REF!</definedName>
    <definedName name="TBL_HSIASoftwareNonJapan">#REF!</definedName>
    <definedName name="TBL_HSIASwitchsJapan">#REF!</definedName>
    <definedName name="TBL_HSIASwitchsNonJapan">#REF!</definedName>
    <definedName name="TBL_MiscCommRoom">#REF!</definedName>
    <definedName name="TBL_NTT_AdditionalSLA">#REF!</definedName>
    <definedName name="TBL_NTT_GeneralCondition1">#REF!</definedName>
    <definedName name="TBL_NTT_GeneralCondition2">#REF!</definedName>
    <definedName name="TBL_NTT_GeneralCondition3">#REF!</definedName>
    <definedName name="TBL_NTT_HWMA">#REF!</definedName>
    <definedName name="TBL_NTT_TotalHeadendHWCost">#REF!</definedName>
    <definedName name="TBL_NTT_TotalMiscCost">#REF!</definedName>
    <definedName name="TBL_NTT_TotalPOESwitchCost">#REF!</definedName>
    <definedName name="TBL_NTT_TotalSWCost">#REF!</definedName>
    <definedName name="TBL_NTT_TotalSwitchCost">#REF!</definedName>
    <definedName name="TBL_NTT_TotalWirelessCost">#REF!</definedName>
    <definedName name="TBL_Printer">#REF!</definedName>
    <definedName name="tbl_ProdInfo" hidden="1">#REF!</definedName>
    <definedName name="TBL_ServerHW_Japan">#REF!</definedName>
    <definedName name="TBL_ServerRack">#REF!</definedName>
    <definedName name="TBL_Training">#REF!</definedName>
    <definedName name="TBL_Warranty">#REF!</definedName>
    <definedName name="tha" hidden="1">{"'Sheet1'!$L$16"}</definedName>
    <definedName name="ThirdPartyServer">#REF!</definedName>
    <definedName name="ThirdPartyServerSW">#REF!</definedName>
    <definedName name="Total_GallopDekstopHWSW">#REF!</definedName>
    <definedName name="Total_IndiaPassportScanPC">#REF!</definedName>
    <definedName name="Total_RP5700IFC">#REF!</definedName>
    <definedName name="TotalACD">#REF!</definedName>
    <definedName name="TotalADServer">#REF!</definedName>
    <definedName name="TotalAltirisServer">#REF!</definedName>
    <definedName name="TotalAppleMac">#REF!</definedName>
    <definedName name="TotalAVAYA_ACD">#REF!</definedName>
    <definedName name="TotalBusinessCenterApple">#REF!</definedName>
    <definedName name="TotalBusinessCenterDesktop">#REF!</definedName>
    <definedName name="TotalCCDesktop">#REF!</definedName>
    <definedName name="TotalCCGatewayServer">#REF!</definedName>
    <definedName name="TotalDesktopCommRoom">#REF!</definedName>
    <definedName name="TotalDesktopPulisher">#REF!</definedName>
    <definedName name="TotalDoorLockDestkop">#REF!</definedName>
    <definedName name="TotalExecClubDesktop">#REF!</definedName>
    <definedName name="TotalExecClubLaptop">#REF!</definedName>
    <definedName name="TotalExecClubLaptopXSeries">#REF!</definedName>
    <definedName name="TotalFCSCallAccounting">#REF!</definedName>
    <definedName name="TotalFCSConnect">#REF!</definedName>
    <definedName name="TotalFCSiService">#REF!</definedName>
    <definedName name="TotalFCSLarge">#REF!</definedName>
    <definedName name="TotalFCSSmall">#REF!</definedName>
    <definedName name="TotalFCSVoiceMail500Rooms">#REF!</definedName>
    <definedName name="TotalFCSVoiceMailless500Rooms">#REF!</definedName>
    <definedName name="TotalFPServer">#REF!</definedName>
    <definedName name="TotalGeneralDesktop">#REF!</definedName>
    <definedName name="TotalGeneralLaptop">#REF!</definedName>
    <definedName name="TotalGeneralLaptopXSeries">#REF!</definedName>
    <definedName name="TotalGeneralLatopT61P">#REF!</definedName>
    <definedName name="TotalGenericServer">#REF!</definedName>
    <definedName name="TotalGenericSmall">#REF!</definedName>
    <definedName name="TotalGWHW">#REF!</definedName>
    <definedName name="TotalGWServer">#REF!</definedName>
    <definedName name="TotalGWSW">#REF!</definedName>
    <definedName name="TotalHyperTerminal">#REF!</definedName>
    <definedName name="TotalIFCServer">#REF!</definedName>
    <definedName name="TotalInRoomMovieDesktop">#REF!</definedName>
    <definedName name="TotalIntServer">#REF!</definedName>
    <definedName name="TotalKidClubDesktop">#REF!</definedName>
    <definedName name="TotalLMSServerLarge">#REF!</definedName>
    <definedName name="TotalLMSSmallServer">#REF!</definedName>
    <definedName name="TotalMCServer">#REF!</definedName>
    <definedName name="TotalMicrosServer">#REF!</definedName>
    <definedName name="TotalMiscServer">#REF!</definedName>
    <definedName name="TotalMusicStyling">#REF!</definedName>
    <definedName name="TotalMusicStylingServerOption">#REF!</definedName>
    <definedName name="TotalOpeaMed1Server">#REF!</definedName>
    <definedName name="TotalOpeaMedServer1">#REF!</definedName>
    <definedName name="TotalOpeaMedServer2">#REF!</definedName>
    <definedName name="TotalOpeaMiniServer">#REF!</definedName>
    <definedName name="TotalOpeaSTDServer">#REF!</definedName>
    <definedName name="TotalOperaDG">#REF!</definedName>
    <definedName name="TotalOperaLargeServer">#REF!</definedName>
    <definedName name="TotalOperaMedServer1">#REF!</definedName>
    <definedName name="TotalOperaMedServer2">#REF!</definedName>
    <definedName name="TotalOperaSecondApps">#REF!</definedName>
    <definedName name="TotalOperaSmall">#REF!</definedName>
    <definedName name="TotalOperaSmallMedServer">#REF!</definedName>
    <definedName name="TotalOperaSmallServer">#REF!</definedName>
    <definedName name="TotalOprSmallMedServer">#REF!</definedName>
    <definedName name="TotalOxiServer">#REF!</definedName>
    <definedName name="TotalPBXConsole">#REF!</definedName>
    <definedName name="TotalPoliceDesktop">#REF!</definedName>
    <definedName name="TotalPOSLargeServer">#REF!</definedName>
    <definedName name="TotalPOSSmallServer">#REF!</definedName>
    <definedName name="TotalPublicAreaLaptopOption">#REF!</definedName>
    <definedName name="TotalRCDOELaptop">#REF!</definedName>
    <definedName name="TotalRecording">#REF!</definedName>
    <definedName name="TotalReduceServer">#REF!</definedName>
    <definedName name="TotalServerRakcCoomRoom">#REF!</definedName>
    <definedName name="TotalSiemensCaracas">#REF!</definedName>
    <definedName name="TotalSMLaptop">#REF!</definedName>
    <definedName name="TotalSUNServer">#REF!</definedName>
    <definedName name="TotalTelecomeRackHardware">#REF!</definedName>
    <definedName name="TotalTelecomPrinter">#REF!</definedName>
    <definedName name="TotalTelecomsDesktop">#REF!</definedName>
    <definedName name="TotalXSeriesLaptop">#REF!</definedName>
    <definedName name="TRUNGNGUYEN" hidden="1">{#N/A,#N/A,FALSE,"Chi tiÆt"}</definedName>
    <definedName name="TTLMiniOpera">#REF!</definedName>
    <definedName name="TTLOperaDGLarge">#REF!</definedName>
    <definedName name="TTLOperaDGMed">#REF!</definedName>
    <definedName name="TTLOperaDGMini">#REF!</definedName>
    <definedName name="TTLOperaMini">#REF!</definedName>
    <definedName name="tttt" hidden="1">{"'Sheet1'!$L$16"}</definedName>
    <definedName name="Type">#REF!</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tLocation">#REF!</definedName>
    <definedName name="unitp">#REF!</definedName>
    <definedName name="usd">#REF!</definedName>
    <definedName name="USD_RATE">#REF!</definedName>
    <definedName name="wjsr" hidden="1">#REF!</definedName>
    <definedName name="WRITE" hidden="1">{#N/A,#N/A,FALSE,"CCTV"}</definedName>
    <definedName name="WRN" hidden="1">{#N/A,#N/A,FALSE,"CCTV"}</definedName>
    <definedName name="wrn.97년._.사업계획._.및._.예산지침." hidden="1">{#N/A,#N/A,TRUE,"1";#N/A,#N/A,TRUE,"2";#N/A,#N/A,TRUE,"3";#N/A,#N/A,TRUE,"4";#N/A,#N/A,TRUE,"5";#N/A,#N/A,TRUE,"6";#N/A,#N/A,TRUE,"7"}</definedName>
    <definedName name="wrn.aaa." hidden="1">{#N/A,#N/A,FALSE,"Sheet1";#N/A,#N/A,FALSE,"Sheet1";#N/A,#N/A,FALSE,"Sheet1"}</definedName>
    <definedName name="wrn.BM." hidden="1">{#N/A,#N/A,FALSE,"CCTV"}</definedName>
    <definedName name="wrn.chi._.tiÆt." hidden="1">{#N/A,#N/A,FALSE,"Chi tiÆt"}</definedName>
    <definedName name="wrn.cong." hidden="1">{#N/A,#N/A,FALSE,"Sheet1"}</definedName>
    <definedName name="wrn.Print._.Output." hidden="1">{#N/A,#N/A,FALSE,"OUTPUT SHEET "}</definedName>
    <definedName name="wrn.report1." hidden="1">{#N/A,#N/A,FALSE,"特殊室（ＢＱ表）"}</definedName>
    <definedName name="wrn.vd." hidden="1">{#N/A,#N/A,TRUE,"BT M200 da 10x20"}</definedName>
    <definedName name="wrn.건설기계사업소._.상반기보고." hidden="1">{#N/A,#N/A,FALSE,"사업총괄";#N/A,#N/A,FALSE,"장비사업";#N/A,#N/A,FALSE,"철구사업";#N/A,#N/A,FALSE,"준설사업"}</definedName>
    <definedName name="wrn.교육청." hidden="1">{#N/A,#N/A,FALSE,"전력간선"}</definedName>
    <definedName name="wrn.교육청.1" hidden="1">{#N/A,#N/A,FALSE,"전력간선"}</definedName>
    <definedName name="wrn.구조2." hidden="1">{#N/A,#N/A,FALSE,"구조2"}</definedName>
    <definedName name="wrn.배수1." hidden="1">{#N/A,#N/A,FALSE,"배수1"}</definedName>
    <definedName name="wrn.배수2." hidden="1">{#N/A,#N/A,FALSE,"배수2"}</definedName>
    <definedName name="wrn.변경예산." hidden="1">{#N/A,#N/A,FALSE,"변경관리예산";#N/A,#N/A,FALSE,"변경장비예산";#N/A,#N/A,FALSE,"변경준설예산";#N/A,#N/A,FALSE,"변경철구예산"}</definedName>
    <definedName name="wrn.부대1." hidden="1">{#N/A,#N/A,FALSE,"부대1"}</definedName>
    <definedName name="wrn.부대2." hidden="1">{#N/A,#N/A,FALSE,"부대2"}</definedName>
    <definedName name="wrn.사업현황."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속도." hidden="1">{#N/A,#N/A,FALSE,"속도"}</definedName>
    <definedName name="wrn.예상손익." hidden="1">{#N/A,#N/A,FALSE,"예상손익";#N/A,#N/A,FALSE,"관리분석";#N/A,#N/A,FALSE,"장비분석";#N/A,#N/A,FALSE,"준설분석";#N/A,#N/A,FALSE,"철구분석"}</definedName>
    <definedName name="wrn.이정표." hidden="1">{#N/A,#N/A,FALSE,"이정표"}</definedName>
    <definedName name="wrn.철골집계표._.5칸." hidden="1">{#N/A,#N/A,FALSE,"Sheet1"}</definedName>
    <definedName name="wrn.토공1." hidden="1">{#N/A,#N/A,FALSE,"구조1"}</definedName>
    <definedName name="wrn.토공2." hidden="1">{#N/A,#N/A,FALSE,"토공2"}</definedName>
    <definedName name="wrn.포장1." hidden="1">{#N/A,#N/A,FALSE,"포장1";#N/A,#N/A,FALSE,"포장1"}</definedName>
    <definedName name="wrn.포장2." hidden="1">{#N/A,#N/A,FALSE,"포장2"}</definedName>
    <definedName name="wrn.표지." hidden="1">{#N/A,#N/A,FALSE,"표지"}</definedName>
    <definedName name="xSeriesHW">#REF!</definedName>
    <definedName name="xSeriesSW">#REF!</definedName>
    <definedName name="Year">#REF!</definedName>
    <definedName name="zx" hidden="1">[3]노임단가!#REF!</definedName>
    <definedName name="개요" hidden="1">[10]기안!#REF!</definedName>
    <definedName name="개요1" hidden="1">[10]기안!#REF!</definedName>
    <definedName name="개요2" hidden="1">[11]개산공사비!#REF!</definedName>
    <definedName name="건축원가" hidden="1">[12]전기!$B$4:$B$163</definedName>
    <definedName name="견적" hidden="1">{#N/A,#N/A,FALSE,"CCTV"}</definedName>
    <definedName name="견적2" hidden="1">{#N/A,#N/A,FALSE,"CCTV"}</definedName>
    <definedName name="견적SHEET" hidden="1">{#N/A,#N/A,FALSE,"CCTV"}</definedName>
    <definedName name="공" hidden="1">{#N/A,#N/A,FALSE,"Sheet1"}</definedName>
    <definedName name="공사비" hidden="1">{#N/A,#N/A,FALSE,"전력간선"}</definedName>
    <definedName name="기계주차" hidden="1">{#N/A,#N/A,FALSE,"CCTV"}</definedName>
    <definedName name="김" hidden="1">[7]대비!#REF!</definedName>
    <definedName name="ㄴㄷㄹ" hidden="1">{#N/A,#N/A,FALSE,"Sheet1"}</definedName>
    <definedName name="ㄷㄳ" hidden="1">{#N/A,#N/A,FALSE,"Sheet1"}</definedName>
    <definedName name="단ㄱ" hidden="1">{#N/A,#N/A,FALSE,"전력간선"}</definedName>
    <definedName name="래그" hidden="1">{#N/A,#N/A,FALSE,"CCTV"}</definedName>
    <definedName name="ㅁㄴㄹ" hidden="1">{#N/A,#N/A,FALSE,"전력간선"}</definedName>
    <definedName name="ㅁㄻ" hidden="1">{#N/A,#N/A,FALSE,"Sheet1"}</definedName>
    <definedName name="ㅁㅁㅁㅁㅁㅁ" hidden="1">#REF!</definedName>
    <definedName name="ㅁㅎㅁ" hidden="1">{#N/A,#N/A,FALSE,"Sheet1"}</definedName>
    <definedName name="ㅂㅂ" hidden="1">{#N/A,#N/A,FALSE,"표지"}</definedName>
    <definedName name="ㅂㅈ" hidden="1">{#N/A,#N/A,TRUE,"1";#N/A,#N/A,TRUE,"2";#N/A,#N/A,TRUE,"3";#N/A,#N/A,TRUE,"4";#N/A,#N/A,TRUE,"5";#N/A,#N/A,TRUE,"6";#N/A,#N/A,TRUE,"7"}</definedName>
    <definedName name="바붕" hidden="1">{#N/A,#N/A,FALSE,"전력간선"}</definedName>
    <definedName name="배기덕트공사" hidden="1">{#N/A,#N/A,FALSE,"CCTV"}</definedName>
    <definedName name="변경개요" hidden="1">[11]개산공사비!#REF!</definedName>
    <definedName name="변경개요2" hidden="1">[13]개산공사비!#REF!</definedName>
    <definedName name="변경후개요" hidden="1">[13]개산공사비!#REF!</definedName>
    <definedName name="부대원본" hidden="1">{#N/A,#N/A,FALSE,"토공2"}</definedName>
    <definedName name="샘풀카피" hidden="1">{#N/A,#N/A,FALSE,"CCTV"}</definedName>
    <definedName name="샘플카피2" hidden="1">{#N/A,#N/A,FALSE,"CCTV"}</definedName>
    <definedName name="샘플카피3" hidden="1">{#N/A,#N/A,FALSE,"CCTV"}</definedName>
    <definedName name="소ㅑ104" hidden="1">[14]FAB별!#REF!</definedName>
    <definedName name="ㅇㄴㄹ" hidden="1">{#N/A,#N/A,FALSE,"Sheet1"}</definedName>
    <definedName name="ㅇㄴㄿ" hidden="1">{#N/A,#N/A,FALSE,"CCTV"}</definedName>
    <definedName name="아싸" hidden="1">{#N/A,#N/A,FALSE,"CCTV"}</definedName>
    <definedName name="업체" hidden="1">#REF!</definedName>
    <definedName name="원남내역" hidden="1">[15]실행철강하도!$A$1:$A$4</definedName>
    <definedName name="이릉" hidden="1">#REF!</definedName>
    <definedName name="이종훈" hidden="1">[12]전기!$A$4:$A$163</definedName>
    <definedName name="자재단가근거" hidden="1">#REF!</definedName>
    <definedName name="전기산출" hidden="1">#REF!</definedName>
    <definedName name="전기산출내역" hidden="1">#REF!</definedName>
    <definedName name="조사가" hidden="1">[16]입찰안!#REF!</definedName>
    <definedName name="철근량" hidden="1">{#N/A,#N/A,FALSE,"전력간선"}</definedName>
    <definedName name="총공사비2" hidden="1">{#N/A,#N/A,FALSE,"전력간선"}</definedName>
    <definedName name="켐온건축" hidden="1">{#N/A,#N/A,FALSE,"CCTV"}</definedName>
    <definedName name="토목" hidden="1">{#N/A,#N/A,FALSE,"CCTV"}</definedName>
  </definedNames>
  <calcPr calcId="191029" iterateDelta="1E-4"/>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F27" i="13" l="1"/>
  <c r="F4" i="13" l="1"/>
  <c r="F53" i="13" s="1"/>
  <c r="E8" i="10" s="1"/>
  <c r="F8" i="10" s="1"/>
  <c r="F4" i="12"/>
  <c r="F12" i="12" s="1"/>
  <c r="E7" i="10" s="1"/>
  <c r="F7" i="10" s="1"/>
  <c r="F251" i="11" l="1"/>
  <c r="F85" i="11"/>
  <c r="F241" i="11"/>
  <c r="F259" i="11" l="1"/>
  <c r="F147" i="11"/>
  <c r="F118" i="11"/>
  <c r="F187" i="11"/>
  <c r="F210" i="11"/>
  <c r="F176" i="11"/>
  <c r="F4" i="11"/>
  <c r="F31" i="11"/>
  <c r="F58" i="11"/>
  <c r="F274" i="11" l="1"/>
  <c r="F264" i="11"/>
  <c r="F284" i="11" l="1"/>
  <c r="E6" i="10" s="1"/>
  <c r="F6" i="10" s="1"/>
  <c r="F10" i="10" s="1"/>
</calcChain>
</file>

<file path=xl/sharedStrings.xml><?xml version="1.0" encoding="utf-8"?>
<sst xmlns="http://schemas.openxmlformats.org/spreadsheetml/2006/main" count="707" uniqueCount="231">
  <si>
    <t>Đơn giá (VNĐ)</t>
  </si>
  <si>
    <t>Thành tiền (VNĐ)</t>
  </si>
  <si>
    <t>Opera APP Server</t>
  </si>
  <si>
    <t>Simphony Server</t>
  </si>
  <si>
    <t>File &amp; Print Server</t>
  </si>
  <si>
    <t>Sun Server</t>
  </si>
  <si>
    <t>HR Server</t>
  </si>
  <si>
    <t>Số lượng</t>
  </si>
  <si>
    <t>STT</t>
  </si>
  <si>
    <t>Mô tả</t>
  </si>
  <si>
    <t>872475-B21</t>
  </si>
  <si>
    <t>872475-B21  0D1</t>
  </si>
  <si>
    <t>726537-B21</t>
  </si>
  <si>
    <t>726537-B21  0D1</t>
  </si>
  <si>
    <t>733660-B21</t>
  </si>
  <si>
    <t>733660-B21  0D1</t>
  </si>
  <si>
    <t>BD505A</t>
  </si>
  <si>
    <t>BD505A      0D1</t>
  </si>
  <si>
    <t>872477-B21</t>
  </si>
  <si>
    <t>872479-B21</t>
  </si>
  <si>
    <t>C7975A</t>
  </si>
  <si>
    <t>HPE LTO-5 Ultrium 3TB RW Data Cartridge</t>
  </si>
  <si>
    <t>Factory Integrated</t>
  </si>
  <si>
    <t>868703-B21</t>
  </si>
  <si>
    <t>HPE ProLiant DL380 Gen10 8SFF Configure-to-order Server</t>
  </si>
  <si>
    <t>868703-B21  UUF</t>
  </si>
  <si>
    <t>HPE DL380 Gen10 8SFF CTO Server</t>
  </si>
  <si>
    <t>826708-B21</t>
  </si>
  <si>
    <t>HPE DL38X Gen10 Universal Media Bay Kit</t>
  </si>
  <si>
    <t>826708-B21  0D1</t>
  </si>
  <si>
    <t>HPE 300GB SAS 12G Enterprise 10K SFF (2.5in) SC 3yr Wty Digitally Signed Firmware HDD</t>
  </si>
  <si>
    <t>HPE 9.5mm SATA DVD-RW Optical Drive</t>
  </si>
  <si>
    <t>P01366-B21</t>
  </si>
  <si>
    <t>HPE 96W Smart Storage Battery (up to 20 Devices) with 145mm Cable Kit</t>
  </si>
  <si>
    <t>P01366-B21  0D1</t>
  </si>
  <si>
    <t>804331-B21</t>
  </si>
  <si>
    <t>HPE Smart Array P408i-a SR Gen10 (8 Internal Lanes/2GB Cache) 12G SAS Modular Controller</t>
  </si>
  <si>
    <t>804331-B21  0D1</t>
  </si>
  <si>
    <t>865408-B21</t>
  </si>
  <si>
    <t>HPE 500W Flex Slot Platinum Hot Plug Low Halogen Power Supply Kit</t>
  </si>
  <si>
    <t>865408-B21  0D1</t>
  </si>
  <si>
    <t>HPE iLO Advanced 1-server License with 3yr Support on iLO Licensed Features</t>
  </si>
  <si>
    <t>867809-B21</t>
  </si>
  <si>
    <t>HPE Gen10 2U Bezel Kit</t>
  </si>
  <si>
    <t>867809-B21  0D1</t>
  </si>
  <si>
    <t>HPE 2U Small Form Factor Easy Install Rail Kit</t>
  </si>
  <si>
    <t>HPE 600GB SAS 12G Enterprise 10K SFF (2.5in) SC 3yr Wty Digitally Signed Firmware HDD</t>
  </si>
  <si>
    <t>872477-B21  0D1</t>
  </si>
  <si>
    <t>HPE 1.2TB SAS 12G Enterprise 10K SFF (2.5in) SC 3yr Wty Digitally Signed Firmware HDD</t>
  </si>
  <si>
    <t>872479-B21  0D1</t>
  </si>
  <si>
    <t>867959-B21</t>
  </si>
  <si>
    <t>HPE ProLiant DL360 Gen10 8SFF Configure-to-order Server</t>
  </si>
  <si>
    <t>867959-B21  UUF</t>
  </si>
  <si>
    <t>HPE DL360 Gen10 8SFF CTO Server</t>
  </si>
  <si>
    <t>868000-B21</t>
  </si>
  <si>
    <t>HPE DL360 Gen10 8SFF Display Port/USB/Optical Drive Blank Kit</t>
  </si>
  <si>
    <t>868000-B21  0D1</t>
  </si>
  <si>
    <t>867998-B21</t>
  </si>
  <si>
    <t>HPE 1U Gen10 Bezel Kit</t>
  </si>
  <si>
    <t>867998-B21  0D1</t>
  </si>
  <si>
    <t>874543-B21</t>
  </si>
  <si>
    <t>HPE 1U Gen10 SFF Easy Install Rail Kit</t>
  </si>
  <si>
    <t>874543-B21  0D1</t>
  </si>
  <si>
    <t>Domain Controller</t>
  </si>
  <si>
    <t>SAN Storage</t>
  </si>
  <si>
    <t>Q2R18A</t>
  </si>
  <si>
    <t>HPE MSA 1050 8Gb Fibre Channel Dual Controller LFF Storage</t>
  </si>
  <si>
    <t>M0S90A</t>
  </si>
  <si>
    <t>HPE MSA 8TB 12G SAS 7.2K LFF (3.5in) 512e Midline 1yr Warranty Hard Drive</t>
  </si>
  <si>
    <t>M0S90A      0D1</t>
  </si>
  <si>
    <t>QK734A</t>
  </si>
  <si>
    <t>HPE Premier Flex LC/LC Multi-mode OM4 2 fiber 5m Cable</t>
  </si>
  <si>
    <t>AF652A</t>
  </si>
  <si>
    <t>HPE 0x2x16 G3 KVM Console Switch</t>
  </si>
  <si>
    <t>AF628A</t>
  </si>
  <si>
    <t>HPE KVM Console USB Interface Adapter</t>
  </si>
  <si>
    <t>AF644A</t>
  </si>
  <si>
    <t>HPE LCD8500 1U INTL Rackmount Console Kit</t>
  </si>
  <si>
    <t>HPE 0x2x16 G3 KVM Console Switch &amp; HPE LCD8500 1U INTL Rackmount Console</t>
  </si>
  <si>
    <t>832514-B21</t>
  </si>
  <si>
    <t>HPE 1TB SAS 12G Midline 7.2K SFF (2.5in) SC 1yr Wty Digitally Signed Firmware HDD</t>
  </si>
  <si>
    <t>832514-B21  0D1</t>
  </si>
  <si>
    <t>716189-B21</t>
  </si>
  <si>
    <t>AE470A</t>
  </si>
  <si>
    <t>P02492-L21</t>
  </si>
  <si>
    <t>HPE DL380 Gen10 Intel Xeon-Silver 4210 (2.2GHz/10-core/85W) FIO Processor Kit</t>
  </si>
  <si>
    <t>P00920-B21</t>
  </si>
  <si>
    <t>HPE 16GB (1x16GB) Single Rank x4 DDR4-2933 CAS-21-21-21 Registered Smart Memory Kit</t>
  </si>
  <si>
    <t>P00920-B21  0D1</t>
  </si>
  <si>
    <t>P11060-B21</t>
  </si>
  <si>
    <t>Microsoft Windows Server 2019 (16-Core) Standard FIO Not Pre-installed English SW</t>
  </si>
  <si>
    <t>H7J32A3</t>
  </si>
  <si>
    <t>HPE 3Y Foundation Care NBD SVC</t>
  </si>
  <si>
    <t>H7J32A3     WAH</t>
  </si>
  <si>
    <t>HPE DL38x Gen10 Support</t>
  </si>
  <si>
    <t>HP ProLiant DL380 Gen10</t>
  </si>
  <si>
    <t>Opera Dataguard Server</t>
  </si>
  <si>
    <t>P02493-L21</t>
  </si>
  <si>
    <t>HPE DL380 Gen10 Intel Xeon-Silver 4214 (2.2GHz/12-core/85W) FIO Processor Kit</t>
  </si>
  <si>
    <t>733664-B21</t>
  </si>
  <si>
    <t>HPE 2U Cable Management Arm for Easy Install Rail Kit</t>
  </si>
  <si>
    <t>733664-B21  0D1</t>
  </si>
  <si>
    <t>864279-B21</t>
  </si>
  <si>
    <t>HPE Trusted Platform Module 2.0 Gen10 Option</t>
  </si>
  <si>
    <t>864279-B21  0D1</t>
  </si>
  <si>
    <t>HP ProLiant DL360 Gen10</t>
  </si>
  <si>
    <t>P02565-L21</t>
  </si>
  <si>
    <t>HPE DL360 Gen10 Intel Xeon-Bronze 3204 (1.9GHz/6-core/85W) FIO Processor Kit</t>
  </si>
  <si>
    <t>P00918-B21</t>
  </si>
  <si>
    <t>HPE 8GB (1x8GB) Single Rank x8 DDR4-2933 CAS-21-21-21 Registered Smart Memory Kit</t>
  </si>
  <si>
    <t>P00918-B21  0D1</t>
  </si>
  <si>
    <t>734811-B21</t>
  </si>
  <si>
    <t>HPE 1U Cable Management Arm for Rail Kit</t>
  </si>
  <si>
    <t>734811-B21  0D1</t>
  </si>
  <si>
    <t>H7J32A3     WAG</t>
  </si>
  <si>
    <t>HPE DL360 Gen10 Support</t>
  </si>
  <si>
    <t>Interface, Vingcard, GuestWare Server</t>
  </si>
  <si>
    <t>P19560-B21</t>
  </si>
  <si>
    <t>HPE ProLiant DL160 Gen10 4208 2.1GHz 8-core 1P 16GB-R 8SFF 500W PS Server</t>
  </si>
  <si>
    <t>726536-B21</t>
  </si>
  <si>
    <t>HPE 9.5mm SATA DVD-ROM Optical Drive</t>
  </si>
  <si>
    <t>869079-B21</t>
  </si>
  <si>
    <t>HPE Smart Array E208i-a SR Gen10 (8 Internal Lanes/No Cache) 12G SAS Modular LH Controller</t>
  </si>
  <si>
    <t>H7J32A3     X1R</t>
  </si>
  <si>
    <t>HPE DL160 Gen10 Support</t>
  </si>
  <si>
    <t>HP ProLiant DL160 Gen10</t>
  </si>
  <si>
    <t>872307-B21</t>
  </si>
  <si>
    <t>HPE ProLiant ML110 Gen10 4LFF Configure-to-order Server</t>
  </si>
  <si>
    <t>872307-B21  ARR</t>
  </si>
  <si>
    <t>HPE ML110 Gen10 4LFF CTO Server</t>
  </si>
  <si>
    <t>P10978-L21</t>
  </si>
  <si>
    <t>HPE ML110 Gen10 Intel Xeon-Silver 4210 (2.2GHz/10-core/85W) FIO Processor Kit</t>
  </si>
  <si>
    <t>861686-B21</t>
  </si>
  <si>
    <t>HPE 1TB SATA 6G Midline 7.2K LFF (3.5in) LP 1yr Wty Digitally Signed Firmware HDD</t>
  </si>
  <si>
    <t>861686-B21  0D1</t>
  </si>
  <si>
    <t>726536-B21  0D1</t>
  </si>
  <si>
    <t>804394-B21</t>
  </si>
  <si>
    <t>HPE Smart Array E208i-p SR Gen10 (8 Internal Lanes/No Cache) 12G SAS PCIe Plug-in Controller</t>
  </si>
  <si>
    <t>804394-B21  0D1</t>
  </si>
  <si>
    <t>652497-B21</t>
  </si>
  <si>
    <t>HPE Ethernet 1Gb 2-port 361T Adapter</t>
  </si>
  <si>
    <t>652497-B21  0D1</t>
  </si>
  <si>
    <t>874009-B21</t>
  </si>
  <si>
    <t>HPE ML110 Gen10 550W ATX Power Supply Kit</t>
  </si>
  <si>
    <t>874009-B21  0D1</t>
  </si>
  <si>
    <t>H7J32A3     X1P</t>
  </si>
  <si>
    <t>HPE ML110 Gen10 Support</t>
  </si>
  <si>
    <t>HP ProLiant ML110 Gen10</t>
  </si>
  <si>
    <t>TigerTMS / FCS CALL Accounting &amp; Voicemail Server</t>
  </si>
  <si>
    <t>Backup Drive</t>
  </si>
  <si>
    <t>HPE SAS Min-Min 1x-2M Cable Assembly Kit</t>
  </si>
  <si>
    <t>HPE 1.0m External Mini SAS High Density to Mini SAS Cable</t>
  </si>
  <si>
    <t>726911-B21</t>
  </si>
  <si>
    <t>HPE H241 12Gb 2-ports Ext Smart Host Bus Adapter</t>
  </si>
  <si>
    <t>EH958B</t>
  </si>
  <si>
    <t>HPE StoreEver LTO-5 Ultrium 3000 SAS External Tape Drive</t>
  </si>
  <si>
    <t>EH958B      ARR</t>
  </si>
  <si>
    <t>HPE StoreEver LTO-5 Ultrium 3000 SAS External Asia Pacific Euro Cord/English Local Tape Drive</t>
  </si>
  <si>
    <t>C7978A</t>
  </si>
  <si>
    <t>HPE Ultrium Universal Cleaning Cartridge</t>
  </si>
  <si>
    <t>H7J32A3     450</t>
  </si>
  <si>
    <t>HPE DLT/LTO Tape Drives Support</t>
  </si>
  <si>
    <t>AJ763B</t>
  </si>
  <si>
    <t>HPE 82E 8Gb 2-port PCIe Fibre Channel Host Bus Adapter</t>
  </si>
  <si>
    <t>H7J34A3</t>
  </si>
  <si>
    <t>HPE 3Y Foundation Care 24x7 SVC</t>
  </si>
  <si>
    <t>H7J34A3     RCA</t>
  </si>
  <si>
    <t>HPE MSA 1050 Storage Support</t>
  </si>
  <si>
    <t>263474-B22</t>
  </si>
  <si>
    <t>HPE 6ft Qty 8 KVM CAT5 Cable</t>
  </si>
  <si>
    <t>KVM Switch, Keyboard &amp; LED for KVM</t>
  </si>
  <si>
    <t>Apartment App Server</t>
  </si>
  <si>
    <t>P19561-B21</t>
  </si>
  <si>
    <t>HPE ProLiant DL160 Gen10 4208 2.1GHz 8-core 1P 16GB-R 4LFF 500W PS Server</t>
  </si>
  <si>
    <t>P19559-B21</t>
  </si>
  <si>
    <t>HPE ProLiant DL160 Gen10 3204 1.9GHz 6-core 1P 16GB-R 4LFF 500W PS Server</t>
  </si>
  <si>
    <t>P11058-B21</t>
  </si>
  <si>
    <t>Microsoft Windows Server 2019 (16-Core) Standard Reseller Option Kit English SW</t>
  </si>
  <si>
    <t>Apartment App Server #2</t>
  </si>
  <si>
    <t>BCT Operator Server</t>
  </si>
  <si>
    <t>P19564-B21</t>
  </si>
  <si>
    <t>HPE ProLiant DL180 Gen10 4208 2.1GHz 8-core 1P 16GB-R S100i 8SFF 500W RPS Server</t>
  </si>
  <si>
    <t>870753-B21</t>
  </si>
  <si>
    <t>HPE 300GB SAS 12G Enterprise 15K SFF (2.5in) SC 3yr Wty Digitally Signed Firmware HDD</t>
  </si>
  <si>
    <t>H7J32A3     X1S</t>
  </si>
  <si>
    <t>HPE DL180 Gen10 Support</t>
  </si>
  <si>
    <t>BCT OPERATOR SERVER</t>
  </si>
  <si>
    <t>TOTAL (BCT OPERATOR SERVER)</t>
  </si>
  <si>
    <t>HOTEL SERVER</t>
  </si>
  <si>
    <t>TOTAL (HOTEL SERVER)</t>
  </si>
  <si>
    <t>BMS Tower Server</t>
  </si>
  <si>
    <t>877626-B21</t>
  </si>
  <si>
    <t>HPE ProLiant ML350 Gen10 Hot Plug SFF with RPS Enablement Kit Configure-to-order Server</t>
  </si>
  <si>
    <t>877626-B21  ARR</t>
  </si>
  <si>
    <t>HPE ML350 Gen10 SFF CTO Server</t>
  </si>
  <si>
    <t>P10939-L21</t>
  </si>
  <si>
    <t>HPE ML350 Gen10 Intel Xeon-Silver 4210 (2.2GHz/10-core/85W) FIO Processor Kit</t>
  </si>
  <si>
    <t>P01367-B21</t>
  </si>
  <si>
    <t>HPE 96W Smart Storage Battery (up to 20 Devices) with 260mm Cable Kit</t>
  </si>
  <si>
    <t>P01367-B21  0D1</t>
  </si>
  <si>
    <t>R2U55C</t>
  </si>
  <si>
    <t>HPE NVIDIA Quadro P2200 GPU Module</t>
  </si>
  <si>
    <t>R2U55C      0D1</t>
  </si>
  <si>
    <t>877575-B21</t>
  </si>
  <si>
    <t>HPE ML350 Gen10 AROC Mini-SAS Cable Kit for SFF Configuration</t>
  </si>
  <si>
    <t>877575-B21  0D1</t>
  </si>
  <si>
    <t>874572-B21</t>
  </si>
  <si>
    <t>HPE ML350 Gen10 Redundant Fan Cage Kit with 4 Fan Modules</t>
  </si>
  <si>
    <t>874572-B21  0D1</t>
  </si>
  <si>
    <t>H7J32A3     ZBN</t>
  </si>
  <si>
    <t>HPE ProLiant ML350 Gen10 Support</t>
  </si>
  <si>
    <t>BMS Rack Server</t>
  </si>
  <si>
    <t>867810-B21</t>
  </si>
  <si>
    <t>HPE DL38X Gen10 High Performance Temperature Fan Kit</t>
  </si>
  <si>
    <t>867810-B21  0D1</t>
  </si>
  <si>
    <t>826706-B21</t>
  </si>
  <si>
    <t>HPE DL380 Gen10 High Performance Heat Sink Kit</t>
  </si>
  <si>
    <t>826706-B21  0D1</t>
  </si>
  <si>
    <t>672097-373</t>
  </si>
  <si>
    <t>HPE USB AP/INTL Keyboard/Mouse Kit</t>
  </si>
  <si>
    <t>BMS SERVER</t>
  </si>
  <si>
    <t>TOTAL (BMS SERVER)</t>
  </si>
  <si>
    <t xml:space="preserve">The following price quote is merely an estimate and does not constitute the distributor’s actual price to you as an HPE reseller or the final end user customer price.  This price quote is solely a data point for your consideration to be used for planning.
</t>
  </si>
  <si>
    <t>Item#</t>
  </si>
  <si>
    <t>Product number</t>
  </si>
  <si>
    <t>Description</t>
  </si>
  <si>
    <t>Qty</t>
  </si>
  <si>
    <t>Unit price 
USD</t>
  </si>
  <si>
    <t>Total Price
USD</t>
  </si>
  <si>
    <t xml:space="preserve">Total Amount: </t>
  </si>
  <si>
    <r>
      <rPr>
        <b/>
        <sz val="10"/>
        <color theme="1" tint="4.9989318521683403E-2"/>
        <rFont val="Futura Bk"/>
      </rPr>
      <t>Note:</t>
    </r>
    <r>
      <rPr>
        <sz val="10"/>
        <color theme="1" tint="4.9989318521683403E-2"/>
        <rFont val="Futura Bk"/>
      </rPr>
      <t xml:space="preserve"> Budgetary Quotes are not legally binding, for final purchase price, please reach out to HPE authorized Partners or HPE Country Representative.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</si>
</sst>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00\ _₫_-;\-* #,##0.00\ _₫_-;_-* &quot;-&quot;??\ _₫_-;_-@_-"/>
    <numFmt numFmtId="165" formatCode="_-* #,##0\ _₫_-;\-* #,##0\ _₫_-;_-* &quot;-&quot;??\ _₫_-;_-@_-"/>
    <numFmt numFmtId="166" formatCode="_(* #,##0_);_(* \(#,##0\);_(* &quot;-&quot;??_);_(@_)"/>
    <numFmt numFmtId="167" formatCode="_(* #,##0.00_);_(* \(#,##0.00\);_(* &quot;-&quot;&quot;?&quot;&quot;?&quot;_);_(@_)"/>
    <numFmt numFmtId="168" formatCode="_-* #,##0.00_-;\-* #,##0.00_-;_-* &quot;-&quot;??_-;_-@_-"/>
    <numFmt numFmtId="169" formatCode="_(* #,##0.0_);_(* \(#,##0.0\);_(* &quot;-&quot;??_);_(@_)"/>
    <numFmt numFmtId="170" formatCode="_-* #,##0.00\ _?_-;\-* #,##0.00\ _?_-;_-* &quot;-&quot;??\ _?_-;_-@_-"/>
    <numFmt numFmtId="171" formatCode="_([$VND]\ * #,##0.00_);_([$VND]\ * \(#,##0.00\);_([$VND]\ * &quot;-&quot;??_);_(@_)"/>
    <numFmt numFmtId="172" formatCode="_-[$€-2]* #,##0.00_-;\-[$€-2]* #,##0.00_-;_-[$€-2]* &quot;-&quot;&quot;?&quot;&quot;?&quot;_-"/>
    <numFmt numFmtId="173" formatCode="_-#,##0.0000;* \-#,##0.00;* _-&quot;&quot;;@"/>
    <numFmt numFmtId="174" formatCode="&quot;Yes&quot;;&quot;Yes&quot;;&quot;No&quot;"/>
    <numFmt numFmtId="175" formatCode="&quot;$&quot;#,##0.00"/>
    <numFmt numFmtId="176" formatCode="General_)"/>
  </numFmts>
  <fonts count="73">
    <font>
      <sz val="11"/>
      <color theme="1"/>
      <name val="Calibri"/>
      <family val="2"/>
      <charset val="163"/>
      <scheme val="minor"/>
    </font>
    <font>
      <sz val="11"/>
      <color theme="1"/>
      <name val="Calibri"/>
      <family val="2"/>
      <scheme val="minor"/>
    </font>
    <font>
      <sz val="11"/>
      <color theme="1"/>
      <name val="Calibri"/>
      <family val="2"/>
      <scheme val="minor"/>
    </font>
    <font>
      <sz val="11"/>
      <color indexed="8"/>
      <name val="Arial"/>
      <family val="2"/>
      <charset val="163"/>
    </font>
    <font>
      <sz val="11"/>
      <color theme="1"/>
      <name val="Calibri"/>
      <family val="2"/>
      <charset val="163"/>
      <scheme val="minor"/>
    </font>
    <font>
      <sz val="11"/>
      <color theme="1"/>
      <name val="Calibri"/>
      <family val="2"/>
      <scheme val="minor"/>
    </font>
    <font>
      <sz val="11"/>
      <name val="Arial"/>
      <family val="2"/>
    </font>
    <font>
      <sz val="10"/>
      <name val="Arial"/>
      <family val="2"/>
    </font>
    <font>
      <sz val="9"/>
      <name val="Arial"/>
      <family val="2"/>
    </font>
    <font>
      <sz val="11"/>
      <color indexed="8"/>
      <name val="Arial"/>
      <family val="2"/>
    </font>
    <font>
      <sz val="11"/>
      <color indexed="8"/>
      <name val="Calibri"/>
      <family val="2"/>
    </font>
    <font>
      <sz val="10"/>
      <color indexed="8"/>
      <name val="Arial"/>
      <family val="2"/>
    </font>
    <font>
      <sz val="10"/>
      <name val="Arial"/>
      <family val="2"/>
      <charset val="163"/>
    </font>
    <font>
      <sz val="11"/>
      <color theme="1"/>
      <name val="Arial"/>
      <family val="2"/>
    </font>
    <font>
      <u/>
      <sz val="11"/>
      <color theme="10"/>
      <name val="Calibri"/>
      <family val="2"/>
    </font>
    <font>
      <sz val="10"/>
      <name val="VNI-Times"/>
    </font>
    <font>
      <sz val="12"/>
      <name val="VNI-Times"/>
    </font>
    <font>
      <sz val="11"/>
      <name val="明朝"/>
      <family val="1"/>
      <charset val="128"/>
    </font>
    <font>
      <sz val="8.25"/>
      <name val="CD Tahoma"/>
      <family val="2"/>
    </font>
    <font>
      <sz val="10"/>
      <name val="Times New Roman"/>
      <family val="1"/>
    </font>
    <font>
      <sz val="11"/>
      <color theme="1"/>
      <name val="Calibri"/>
      <family val="3"/>
      <charset val="134"/>
      <scheme val="minor"/>
    </font>
    <font>
      <sz val="10"/>
      <name val="Helv"/>
      <family val="2"/>
    </font>
    <font>
      <sz val="11"/>
      <name val="돋움"/>
      <family val="3"/>
      <charset val="129"/>
    </font>
    <font>
      <sz val="11"/>
      <color theme="1"/>
      <name val="Calibri"/>
      <family val="3"/>
      <charset val="129"/>
      <scheme val="minor"/>
    </font>
    <font>
      <sz val="12"/>
      <name val="Arial"/>
      <family val="2"/>
      <charset val="163"/>
    </font>
    <font>
      <sz val="12"/>
      <name val="Arial"/>
      <family val="2"/>
    </font>
    <font>
      <sz val="10"/>
      <name val="Helv"/>
    </font>
    <font>
      <sz val="11"/>
      <color indexed="9"/>
      <name val="Calibri"/>
      <family val="2"/>
    </font>
    <font>
      <sz val="11"/>
      <color theme="0"/>
      <name val="Calibri"/>
      <family val="2"/>
      <scheme val="minor"/>
    </font>
    <font>
      <sz val="11"/>
      <color theme="0"/>
      <name val="Calibri"/>
      <family val="3"/>
      <charset val="134"/>
      <scheme val="minor"/>
    </font>
    <font>
      <sz val="11"/>
      <color indexed="20"/>
      <name val="Calibri"/>
      <family val="2"/>
    </font>
    <font>
      <b/>
      <sz val="11"/>
      <color indexed="52"/>
      <name val="Calibri"/>
      <family val="2"/>
    </font>
    <font>
      <b/>
      <sz val="11"/>
      <color indexed="9"/>
      <name val="Calibri"/>
      <family val="2"/>
    </font>
    <font>
      <b/>
      <sz val="11"/>
      <color theme="1"/>
      <name val="Calibri"/>
      <family val="2"/>
      <scheme val="minor"/>
    </font>
    <font>
      <b/>
      <sz val="11"/>
      <color theme="1"/>
      <name val="Calibri"/>
      <family val="3"/>
      <charset val="134"/>
      <scheme val="minor"/>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sz val="11"/>
      <color indexed="62"/>
      <name val="Calibri"/>
      <family val="2"/>
    </font>
    <font>
      <sz val="11"/>
      <color indexed="52"/>
      <name val="Calibri"/>
      <family val="2"/>
    </font>
    <font>
      <sz val="11"/>
      <color indexed="60"/>
      <name val="Calibri"/>
      <family val="2"/>
    </font>
    <font>
      <sz val="11"/>
      <color theme="1"/>
      <name val="Calibri"/>
      <family val="2"/>
      <charset val="129"/>
      <scheme val="minor"/>
    </font>
    <font>
      <sz val="11"/>
      <color rgb="FF000000"/>
      <name val="Calibri"/>
      <family val="2"/>
      <scheme val="minor"/>
    </font>
    <font>
      <sz val="8"/>
      <name val="Tahoma"/>
      <family val="2"/>
    </font>
    <font>
      <b/>
      <sz val="11"/>
      <color indexed="63"/>
      <name val="Calibri"/>
      <family val="2"/>
    </font>
    <font>
      <sz val="10"/>
      <name val="Times"/>
      <family val="1"/>
    </font>
    <font>
      <b/>
      <sz val="18"/>
      <color theme="3"/>
      <name val="Cambria"/>
      <family val="2"/>
      <scheme val="major"/>
    </font>
    <font>
      <b/>
      <sz val="18"/>
      <color theme="3"/>
      <name val="Cambria"/>
      <family val="3"/>
      <charset val="134"/>
      <scheme val="major"/>
    </font>
    <font>
      <b/>
      <sz val="11"/>
      <name val="Times"/>
      <family val="1"/>
    </font>
    <font>
      <sz val="10"/>
      <color indexed="8"/>
      <name val="MS Sans Serif"/>
      <family val="2"/>
    </font>
    <font>
      <b/>
      <sz val="18"/>
      <color indexed="56"/>
      <name val="Cambria"/>
      <family val="2"/>
    </font>
    <font>
      <b/>
      <sz val="11"/>
      <color indexed="8"/>
      <name val="Calibri"/>
      <family val="2"/>
    </font>
    <font>
      <sz val="11"/>
      <color indexed="10"/>
      <name val="Calibri"/>
      <family val="2"/>
    </font>
    <font>
      <b/>
      <sz val="11"/>
      <name val="Calibri"/>
      <family val="2"/>
      <scheme val="minor"/>
    </font>
    <font>
      <sz val="11"/>
      <name val="Calibri"/>
      <family val="2"/>
      <scheme val="minor"/>
    </font>
    <font>
      <sz val="10"/>
      <name val="Arial"/>
      <family val="2"/>
    </font>
    <font>
      <b/>
      <sz val="15"/>
      <name val="Calibri"/>
      <family val="2"/>
      <scheme val="minor"/>
    </font>
    <font>
      <b/>
      <sz val="14"/>
      <name val="Calibri"/>
      <family val="2"/>
      <scheme val="minor"/>
    </font>
    <font>
      <sz val="10"/>
      <name val="Futura Bk"/>
      <family val="2"/>
    </font>
    <font>
      <b/>
      <sz val="10"/>
      <name val="Futura Bk"/>
      <family val="2"/>
    </font>
    <font>
      <i/>
      <sz val="10"/>
      <name val="Futura Bk"/>
    </font>
    <font>
      <sz val="10"/>
      <color theme="1"/>
      <name val="Futura Bk"/>
      <family val="2"/>
    </font>
    <font>
      <b/>
      <sz val="10"/>
      <color indexed="9"/>
      <name val="Futura Bk"/>
    </font>
    <font>
      <sz val="9"/>
      <color rgb="FFFF0000"/>
      <name val="Futura Bk"/>
      <family val="2"/>
    </font>
    <font>
      <sz val="10"/>
      <color indexed="9"/>
      <name val="Futura Bk"/>
      <family val="2"/>
    </font>
    <font>
      <b/>
      <sz val="10"/>
      <color indexed="9"/>
      <name val="Futura Bk"/>
      <family val="2"/>
    </font>
    <font>
      <sz val="10"/>
      <color theme="1" tint="4.9989318521683403E-2"/>
      <name val="Futura Bk"/>
    </font>
    <font>
      <b/>
      <sz val="10"/>
      <color theme="1" tint="4.9989318521683403E-2"/>
      <name val="Futura Bk"/>
    </font>
    <font>
      <i/>
      <sz val="10"/>
      <name val="Futura Bk"/>
      <family val="2"/>
    </font>
    <font>
      <sz val="36"/>
      <color theme="0" tint="-4.9989318521683403E-2"/>
      <name val="Futura Bk"/>
      <family val="2"/>
    </font>
  </fonts>
  <fills count="50">
    <fill>
      <patternFill patternType="none"/>
    </fill>
    <fill>
      <patternFill patternType="gray125"/>
    </fill>
    <fill>
      <patternFill patternType="solid">
        <fgColor theme="0"/>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theme="4" tint="0.79998168889431442"/>
        <bgColor theme="4" tint="0.79998168889431442"/>
      </patternFill>
    </fill>
    <fill>
      <patternFill patternType="solid">
        <fgColor theme="4" tint="0.59999389629810485"/>
        <bgColor theme="4" tint="0.59999389629810485"/>
      </patternFill>
    </fill>
    <fill>
      <patternFill patternType="solid">
        <fgColor theme="4" tint="0.39997558519241921"/>
        <bgColor theme="4" tint="0.39997558519241921"/>
      </patternFill>
    </fill>
    <fill>
      <patternFill patternType="solid">
        <fgColor indexed="62"/>
      </patternFill>
    </fill>
    <fill>
      <patternFill patternType="solid">
        <fgColor theme="5" tint="0.79998168889431442"/>
        <bgColor theme="5" tint="0.79998168889431442"/>
      </patternFill>
    </fill>
    <fill>
      <patternFill patternType="solid">
        <fgColor theme="5" tint="0.59999389629810485"/>
        <bgColor theme="5" tint="0.59999389629810485"/>
      </patternFill>
    </fill>
    <fill>
      <patternFill patternType="solid">
        <fgColor theme="5" tint="0.39997558519241921"/>
        <bgColor theme="5" tint="0.39997558519241921"/>
      </patternFill>
    </fill>
    <fill>
      <patternFill patternType="solid">
        <fgColor indexed="10"/>
      </patternFill>
    </fill>
    <fill>
      <patternFill patternType="solid">
        <fgColor theme="6" tint="0.79998168889431442"/>
        <bgColor theme="6" tint="0.79998168889431442"/>
      </patternFill>
    </fill>
    <fill>
      <patternFill patternType="solid">
        <fgColor theme="6" tint="0.59999389629810485"/>
        <bgColor theme="6" tint="0.59999389629810485"/>
      </patternFill>
    </fill>
    <fill>
      <patternFill patternType="solid">
        <fgColor theme="6" tint="0.39997558519241921"/>
        <bgColor theme="6" tint="0.39997558519241921"/>
      </patternFill>
    </fill>
    <fill>
      <patternFill patternType="solid">
        <fgColor indexed="57"/>
      </patternFill>
    </fill>
    <fill>
      <patternFill patternType="solid">
        <fgColor theme="7" tint="0.79998168889431442"/>
        <bgColor theme="7" tint="0.79998168889431442"/>
      </patternFill>
    </fill>
    <fill>
      <patternFill patternType="solid">
        <fgColor theme="7" tint="0.59999389629810485"/>
        <bgColor theme="7" tint="0.59999389629810485"/>
      </patternFill>
    </fill>
    <fill>
      <patternFill patternType="solid">
        <fgColor theme="7" tint="0.39997558519241921"/>
        <bgColor theme="7" tint="0.39997558519241921"/>
      </patternFill>
    </fill>
    <fill>
      <patternFill patternType="solid">
        <fgColor theme="8" tint="0.79998168889431442"/>
        <bgColor theme="8" tint="0.79998168889431442"/>
      </patternFill>
    </fill>
    <fill>
      <patternFill patternType="solid">
        <fgColor theme="8" tint="0.59999389629810485"/>
        <bgColor theme="8" tint="0.59999389629810485"/>
      </patternFill>
    </fill>
    <fill>
      <patternFill patternType="solid">
        <fgColor theme="8" tint="0.39997558519241921"/>
        <bgColor theme="8" tint="0.39997558519241921"/>
      </patternFill>
    </fill>
    <fill>
      <patternFill patternType="solid">
        <fgColor theme="9" tint="0.79998168889431442"/>
        <bgColor theme="9" tint="0.79998168889431442"/>
      </patternFill>
    </fill>
    <fill>
      <patternFill patternType="solid">
        <fgColor theme="9" tint="0.59999389629810485"/>
        <bgColor theme="9" tint="0.59999389629810485"/>
      </patternFill>
    </fill>
    <fill>
      <patternFill patternType="solid">
        <fgColor theme="9" tint="0.39997558519241921"/>
        <bgColor theme="9" tint="0.39997558519241921"/>
      </patternFill>
    </fill>
    <fill>
      <patternFill patternType="solid">
        <fgColor indexed="53"/>
      </patternFill>
    </fill>
    <fill>
      <patternFill patternType="solid">
        <fgColor indexed="22"/>
      </patternFill>
    </fill>
    <fill>
      <patternFill patternType="solid">
        <fgColor indexed="55"/>
      </patternFill>
    </fill>
    <fill>
      <patternFill patternType="lightUp">
        <fgColor theme="0"/>
        <bgColor theme="4" tint="0.19998779259620961"/>
      </patternFill>
    </fill>
    <fill>
      <patternFill patternType="lightUp">
        <fgColor theme="0"/>
        <bgColor theme="5" tint="0.19998779259620961"/>
      </patternFill>
    </fill>
    <fill>
      <patternFill patternType="lightUp">
        <fgColor theme="0"/>
        <bgColor theme="6" tint="0.19998779259620961"/>
      </patternFill>
    </fill>
    <fill>
      <patternFill patternType="solid">
        <fgColor indexed="43"/>
      </patternFill>
    </fill>
    <fill>
      <patternFill patternType="solid">
        <fgColor indexed="26"/>
      </patternFill>
    </fill>
    <fill>
      <patternFill patternType="solid">
        <fgColor rgb="FF92D050"/>
        <bgColor indexed="64"/>
      </patternFill>
    </fill>
    <fill>
      <patternFill patternType="solid">
        <fgColor theme="6" tint="0.79998168889431442"/>
        <bgColor indexed="64"/>
      </patternFill>
    </fill>
    <fill>
      <patternFill patternType="solid">
        <fgColor rgb="FF00B0F0"/>
        <bgColor indexed="64"/>
      </patternFill>
    </fill>
    <fill>
      <patternFill patternType="solid">
        <fgColor rgb="FF00B388"/>
        <bgColor indexed="64"/>
      </patternFill>
    </fill>
  </fills>
  <borders count="20">
    <border>
      <left/>
      <right/>
      <top/>
      <bottom/>
      <diagonal/>
    </border>
    <border>
      <left style="medium">
        <color indexed="64"/>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auto="1"/>
      </left>
      <right style="hair">
        <color auto="1"/>
      </right>
      <top style="medium">
        <color auto="1"/>
      </top>
      <bottom style="hair">
        <color auto="1"/>
      </bottom>
      <diagonal/>
    </border>
    <border>
      <left style="hair">
        <color auto="1"/>
      </left>
      <right style="hair">
        <color auto="1"/>
      </right>
      <top style="medium">
        <color auto="1"/>
      </top>
      <bottom style="hair">
        <color auto="1"/>
      </bottom>
      <diagonal/>
    </border>
    <border>
      <left style="hair">
        <color auto="1"/>
      </left>
      <right style="medium">
        <color auto="1"/>
      </right>
      <top style="medium">
        <color auto="1"/>
      </top>
      <bottom style="hair">
        <color auto="1"/>
      </bottom>
      <diagonal/>
    </border>
    <border>
      <left style="medium">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medium">
        <color auto="1"/>
      </right>
      <top style="hair">
        <color auto="1"/>
      </top>
      <bottom style="hair">
        <color auto="1"/>
      </bottom>
      <diagonal/>
    </border>
    <border>
      <left style="medium">
        <color auto="1"/>
      </left>
      <right style="hair">
        <color auto="1"/>
      </right>
      <top style="hair">
        <color auto="1"/>
      </top>
      <bottom style="medium">
        <color auto="1"/>
      </bottom>
      <diagonal/>
    </border>
    <border>
      <left style="hair">
        <color auto="1"/>
      </left>
      <right style="hair">
        <color auto="1"/>
      </right>
      <top style="hair">
        <color auto="1"/>
      </top>
      <bottom style="medium">
        <color auto="1"/>
      </bottom>
      <diagonal/>
    </border>
    <border>
      <left style="hair">
        <color auto="1"/>
      </left>
      <right style="medium">
        <color auto="1"/>
      </right>
      <top style="hair">
        <color auto="1"/>
      </top>
      <bottom style="medium">
        <color auto="1"/>
      </bottom>
      <diagonal/>
    </border>
  </borders>
  <cellStyleXfs count="305">
    <xf numFmtId="0" fontId="0" fillId="0" borderId="0"/>
    <xf numFmtId="0" fontId="3" fillId="0" borderId="0"/>
    <xf numFmtId="164" fontId="4" fillId="0" borderId="0" applyFont="0" applyFill="0" applyBorder="0" applyAlignment="0" applyProtection="0"/>
    <xf numFmtId="0" fontId="5" fillId="0" borderId="0"/>
    <xf numFmtId="164" fontId="5" fillId="0" borderId="0" applyFont="0" applyFill="0" applyBorder="0" applyAlignment="0" applyProtection="0"/>
    <xf numFmtId="0" fontId="6" fillId="0" borderId="0"/>
    <xf numFmtId="0" fontId="7" fillId="0" borderId="0"/>
    <xf numFmtId="0" fontId="8" fillId="0" borderId="1" applyNumberFormat="0" applyFill="0" applyBorder="0" applyProtection="0">
      <alignment vertical="center"/>
    </xf>
    <xf numFmtId="167" fontId="9"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68" fontId="9" fillId="0" borderId="0" applyFont="0" applyFill="0" applyBorder="0" applyAlignment="0" applyProtection="0"/>
    <xf numFmtId="43" fontId="7" fillId="0" borderId="0" applyFont="0" applyFill="0" applyBorder="0" applyAlignment="0" applyProtection="0"/>
    <xf numFmtId="169" fontId="5" fillId="0" borderId="0" applyFont="0" applyFill="0" applyBorder="0" applyAlignment="0" applyProtection="0"/>
    <xf numFmtId="0" fontId="1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67" fontId="9" fillId="0" borderId="0" applyFont="0" applyFill="0" applyBorder="0" applyAlignment="0" applyProtection="0"/>
    <xf numFmtId="167" fontId="7"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7" fillId="0" borderId="0" applyFont="0" applyFill="0" applyBorder="0" applyAlignment="0" applyProtection="0"/>
    <xf numFmtId="167" fontId="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70" fontId="13" fillId="0" borderId="0" applyFont="0" applyFill="0" applyBorder="0" applyAlignment="0" applyProtection="0"/>
    <xf numFmtId="166" fontId="13" fillId="0" borderId="0" applyFont="0" applyFill="0" applyBorder="0" applyAlignment="0" applyProtection="0"/>
    <xf numFmtId="0" fontId="7" fillId="0" borderId="1" applyNumberFormat="0" applyFill="0" applyBorder="0" applyProtection="0"/>
    <xf numFmtId="0" fontId="14" fillId="0" borderId="0" applyNumberFormat="0" applyFill="0" applyBorder="0" applyAlignment="0" applyProtection="0">
      <alignment vertical="top"/>
      <protection locked="0"/>
    </xf>
    <xf numFmtId="0" fontId="15" fillId="0" borderId="0"/>
    <xf numFmtId="0" fontId="7" fillId="0" borderId="0"/>
    <xf numFmtId="171" fontId="7" fillId="0" borderId="0"/>
    <xf numFmtId="0" fontId="7" fillId="0" borderId="0"/>
    <xf numFmtId="0" fontId="7" fillId="0" borderId="0"/>
    <xf numFmtId="0" fontId="7" fillId="0" borderId="0"/>
    <xf numFmtId="0" fontId="16" fillId="0" borderId="0"/>
    <xf numFmtId="0" fontId="7" fillId="0" borderId="0"/>
    <xf numFmtId="0" fontId="5" fillId="0" borderId="0"/>
    <xf numFmtId="0" fontId="7" fillId="0" borderId="0"/>
    <xf numFmtId="0" fontId="5" fillId="0" borderId="0"/>
    <xf numFmtId="0" fontId="7" fillId="0" borderId="0"/>
    <xf numFmtId="0" fontId="17" fillId="0" borderId="0"/>
    <xf numFmtId="0" fontId="5" fillId="0" borderId="0"/>
    <xf numFmtId="172" fontId="17" fillId="0" borderId="0"/>
    <xf numFmtId="173" fontId="7" fillId="0" borderId="0"/>
    <xf numFmtId="0" fontId="5" fillId="0" borderId="0"/>
    <xf numFmtId="0" fontId="10" fillId="0" borderId="0"/>
    <xf numFmtId="171" fontId="10" fillId="0" borderId="0"/>
    <xf numFmtId="0" fontId="9" fillId="0" borderId="0"/>
    <xf numFmtId="0" fontId="13" fillId="0" borderId="0"/>
    <xf numFmtId="171" fontId="9" fillId="0" borderId="0"/>
    <xf numFmtId="0" fontId="7" fillId="0" borderId="0"/>
    <xf numFmtId="0" fontId="7" fillId="0" borderId="0"/>
    <xf numFmtId="0" fontId="7" fillId="0" borderId="0"/>
    <xf numFmtId="171" fontId="3" fillId="0" borderId="0"/>
    <xf numFmtId="0" fontId="18" fillId="0" borderId="0">
      <protection locked="0"/>
    </xf>
    <xf numFmtId="0" fontId="19" fillId="0" borderId="0" applyNumberFormat="0" applyFill="0" applyBorder="0" applyProtection="0">
      <alignment vertical="top" wrapText="1"/>
    </xf>
    <xf numFmtId="171" fontId="19" fillId="0" borderId="0" applyNumberFormat="0" applyFill="0" applyBorder="0" applyProtection="0">
      <alignment vertical="top" wrapText="1"/>
    </xf>
    <xf numFmtId="0" fontId="7" fillId="0" borderId="0"/>
    <xf numFmtId="4" fontId="7" fillId="0" borderId="0">
      <alignment vertical="center"/>
    </xf>
    <xf numFmtId="0" fontId="12" fillId="0" borderId="0"/>
    <xf numFmtId="0" fontId="7" fillId="0" borderId="0"/>
    <xf numFmtId="0" fontId="20" fillId="0" borderId="0"/>
    <xf numFmtId="171" fontId="5" fillId="0" borderId="0"/>
    <xf numFmtId="0" fontId="5" fillId="0" borderId="0"/>
    <xf numFmtId="0" fontId="13" fillId="0" borderId="0"/>
    <xf numFmtId="0" fontId="5" fillId="0" borderId="0"/>
    <xf numFmtId="1" fontId="7" fillId="0" borderId="0" applyFill="0" applyBorder="0" applyProtection="0"/>
    <xf numFmtId="0" fontId="7" fillId="0" borderId="1" applyFill="0" applyBorder="0" applyProtection="0"/>
    <xf numFmtId="9" fontId="7" fillId="0" borderId="0" applyFont="0" applyFill="0" applyBorder="0" applyAlignment="0" applyProtection="0"/>
    <xf numFmtId="9" fontId="7" fillId="0" borderId="0" applyFont="0" applyFill="0" applyBorder="0" applyAlignment="0" applyProtection="0"/>
    <xf numFmtId="0" fontId="21" fillId="0" borderId="0"/>
    <xf numFmtId="42" fontId="15" fillId="0" borderId="0" applyFont="0" applyFill="0" applyBorder="0" applyAlignment="0" applyProtection="0"/>
    <xf numFmtId="174" fontId="22" fillId="0" borderId="0" applyFont="0" applyFill="0" applyBorder="0" applyAlignment="0" applyProtection="0">
      <alignment vertical="center"/>
    </xf>
    <xf numFmtId="0" fontId="23" fillId="0" borderId="0">
      <alignment vertical="center"/>
    </xf>
    <xf numFmtId="0" fontId="24" fillId="0" borderId="0"/>
    <xf numFmtId="0" fontId="7" fillId="0" borderId="0"/>
    <xf numFmtId="0" fontId="5" fillId="0" borderId="0"/>
    <xf numFmtId="0" fontId="25" fillId="0" borderId="0"/>
    <xf numFmtId="0" fontId="7" fillId="0" borderId="0"/>
    <xf numFmtId="0" fontId="7" fillId="0" borderId="0"/>
    <xf numFmtId="0" fontId="7" fillId="0" borderId="0"/>
    <xf numFmtId="0" fontId="26" fillId="0" borderId="0"/>
    <xf numFmtId="0" fontId="26" fillId="0" borderId="0"/>
    <xf numFmtId="0" fontId="21" fillId="0" borderId="0"/>
    <xf numFmtId="0" fontId="21" fillId="0" borderId="0"/>
    <xf numFmtId="0" fontId="26" fillId="0" borderId="0"/>
    <xf numFmtId="0" fontId="26" fillId="0" borderId="0"/>
    <xf numFmtId="0" fontId="21" fillId="0" borderId="0"/>
    <xf numFmtId="0" fontId="21" fillId="0" borderId="0"/>
    <xf numFmtId="0" fontId="26" fillId="0" borderId="0"/>
    <xf numFmtId="0" fontId="21" fillId="0" borderId="0"/>
    <xf numFmtId="0" fontId="10" fillId="3" borderId="0" applyNumberFormat="0" applyBorder="0" applyAlignment="0" applyProtection="0"/>
    <xf numFmtId="0" fontId="10" fillId="4" borderId="0" applyNumberFormat="0" applyBorder="0" applyAlignment="0" applyProtection="0"/>
    <xf numFmtId="0" fontId="10" fillId="5" borderId="0" applyNumberFormat="0" applyBorder="0" applyAlignment="0" applyProtection="0"/>
    <xf numFmtId="0" fontId="10" fillId="6" borderId="0" applyNumberFormat="0" applyBorder="0" applyAlignment="0" applyProtection="0"/>
    <xf numFmtId="0" fontId="10" fillId="7" borderId="0" applyNumberFormat="0" applyBorder="0" applyAlignment="0" applyProtection="0"/>
    <xf numFmtId="0" fontId="10" fillId="8" borderId="0" applyNumberFormat="0" applyBorder="0" applyAlignment="0" applyProtection="0"/>
    <xf numFmtId="0" fontId="10" fillId="9" borderId="0" applyNumberFormat="0" applyBorder="0" applyAlignment="0" applyProtection="0"/>
    <xf numFmtId="0" fontId="10" fillId="10" borderId="0" applyNumberFormat="0" applyBorder="0" applyAlignment="0" applyProtection="0"/>
    <xf numFmtId="0" fontId="10" fillId="11" borderId="0" applyNumberFormat="0" applyBorder="0" applyAlignment="0" applyProtection="0"/>
    <xf numFmtId="0" fontId="10" fillId="6" borderId="0" applyNumberFormat="0" applyBorder="0" applyAlignment="0" applyProtection="0"/>
    <xf numFmtId="0" fontId="10" fillId="9" borderId="0" applyNumberFormat="0" applyBorder="0" applyAlignment="0" applyProtection="0"/>
    <xf numFmtId="0" fontId="10" fillId="12" borderId="0" applyNumberFormat="0" applyBorder="0" applyAlignment="0" applyProtection="0"/>
    <xf numFmtId="0" fontId="27" fillId="13" borderId="0" applyNumberFormat="0" applyBorder="0" applyAlignment="0" applyProtection="0"/>
    <xf numFmtId="0" fontId="27" fillId="10" borderId="0" applyNumberFormat="0" applyBorder="0" applyAlignment="0" applyProtection="0"/>
    <xf numFmtId="0" fontId="27" fillId="11" borderId="0" applyNumberFormat="0" applyBorder="0" applyAlignment="0" applyProtection="0"/>
    <xf numFmtId="0" fontId="27" fillId="14" borderId="0" applyNumberFormat="0" applyBorder="0" applyAlignment="0" applyProtection="0"/>
    <xf numFmtId="0" fontId="27" fillId="15" borderId="0" applyNumberFormat="0" applyBorder="0" applyAlignment="0" applyProtection="0"/>
    <xf numFmtId="0" fontId="27" fillId="16"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20" fillId="17" borderId="0" applyNumberFormat="0" applyBorder="0" applyAlignment="0" applyProtection="0"/>
    <xf numFmtId="0" fontId="5" fillId="17" borderId="0" applyNumberFormat="0" applyBorder="0" applyAlignment="0" applyProtection="0"/>
    <xf numFmtId="0" fontId="20" fillId="17" borderId="0" applyNumberFormat="0" applyBorder="0" applyAlignment="0" applyProtection="0"/>
    <xf numFmtId="0" fontId="20" fillId="17"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20" fillId="18" borderId="0" applyNumberFormat="0" applyBorder="0" applyAlignment="0" applyProtection="0"/>
    <xf numFmtId="0" fontId="5" fillId="18" borderId="0" applyNumberFormat="0" applyBorder="0" applyAlignment="0" applyProtection="0"/>
    <xf numFmtId="0" fontId="20" fillId="18" borderId="0" applyNumberFormat="0" applyBorder="0" applyAlignment="0" applyProtection="0"/>
    <xf numFmtId="0" fontId="20" fillId="18" borderId="0" applyNumberFormat="0" applyBorder="0" applyAlignment="0" applyProtection="0"/>
    <xf numFmtId="0" fontId="28" fillId="19" borderId="0" applyNumberFormat="0" applyBorder="0" applyAlignment="0" applyProtection="0"/>
    <xf numFmtId="0" fontId="29" fillId="19" borderId="0" applyNumberFormat="0" applyBorder="0" applyAlignment="0" applyProtection="0"/>
    <xf numFmtId="0" fontId="27" fillId="20"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20" fillId="21" borderId="0" applyNumberFormat="0" applyBorder="0" applyAlignment="0" applyProtection="0"/>
    <xf numFmtId="0" fontId="5"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20" fillId="22" borderId="0" applyNumberFormat="0" applyBorder="0" applyAlignment="0" applyProtection="0"/>
    <xf numFmtId="0" fontId="5" fillId="22" borderId="0" applyNumberFormat="0" applyBorder="0" applyAlignment="0" applyProtection="0"/>
    <xf numFmtId="0" fontId="20" fillId="22" borderId="0" applyNumberFormat="0" applyBorder="0" applyAlignment="0" applyProtection="0"/>
    <xf numFmtId="0" fontId="20" fillId="22" borderId="0" applyNumberFormat="0" applyBorder="0" applyAlignment="0" applyProtection="0"/>
    <xf numFmtId="0" fontId="28" fillId="23" borderId="0" applyNumberFormat="0" applyBorder="0" applyAlignment="0" applyProtection="0"/>
    <xf numFmtId="0" fontId="29" fillId="23" borderId="0" applyNumberFormat="0" applyBorder="0" applyAlignment="0" applyProtection="0"/>
    <xf numFmtId="0" fontId="27" fillId="24" borderId="0" applyNumberFormat="0" applyBorder="0" applyAlignment="0" applyProtection="0"/>
    <xf numFmtId="0" fontId="5" fillId="25" borderId="0" applyNumberFormat="0" applyBorder="0" applyAlignment="0" applyProtection="0"/>
    <xf numFmtId="0" fontId="5" fillId="25" borderId="0" applyNumberFormat="0" applyBorder="0" applyAlignment="0" applyProtection="0"/>
    <xf numFmtId="0" fontId="20" fillId="25" borderId="0" applyNumberFormat="0" applyBorder="0" applyAlignment="0" applyProtection="0"/>
    <xf numFmtId="0" fontId="5" fillId="25" borderId="0" applyNumberFormat="0" applyBorder="0" applyAlignment="0" applyProtection="0"/>
    <xf numFmtId="0" fontId="20" fillId="25" borderId="0" applyNumberFormat="0" applyBorder="0" applyAlignment="0" applyProtection="0"/>
    <xf numFmtId="0" fontId="20" fillId="25"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20" fillId="26" borderId="0" applyNumberFormat="0" applyBorder="0" applyAlignment="0" applyProtection="0"/>
    <xf numFmtId="0" fontId="5" fillId="26" borderId="0" applyNumberFormat="0" applyBorder="0" applyAlignment="0" applyProtection="0"/>
    <xf numFmtId="0" fontId="20" fillId="26" borderId="0" applyNumberFormat="0" applyBorder="0" applyAlignment="0" applyProtection="0"/>
    <xf numFmtId="0" fontId="20" fillId="26" borderId="0" applyNumberFormat="0" applyBorder="0" applyAlignment="0" applyProtection="0"/>
    <xf numFmtId="0" fontId="28" fillId="27" borderId="0" applyNumberFormat="0" applyBorder="0" applyAlignment="0" applyProtection="0"/>
    <xf numFmtId="0" fontId="29" fillId="27" borderId="0" applyNumberFormat="0" applyBorder="0" applyAlignment="0" applyProtection="0"/>
    <xf numFmtId="0" fontId="27" fillId="28" borderId="0" applyNumberFormat="0" applyBorder="0" applyAlignment="0" applyProtection="0"/>
    <xf numFmtId="0" fontId="5" fillId="29" borderId="0" applyNumberFormat="0" applyBorder="0" applyAlignment="0" applyProtection="0"/>
    <xf numFmtId="0" fontId="5" fillId="29" borderId="0" applyNumberFormat="0" applyBorder="0" applyAlignment="0" applyProtection="0"/>
    <xf numFmtId="0" fontId="20" fillId="29" borderId="0" applyNumberFormat="0" applyBorder="0" applyAlignment="0" applyProtection="0"/>
    <xf numFmtId="0" fontId="5" fillId="29" borderId="0" applyNumberFormat="0" applyBorder="0" applyAlignment="0" applyProtection="0"/>
    <xf numFmtId="0" fontId="20" fillId="29" borderId="0" applyNumberFormat="0" applyBorder="0" applyAlignment="0" applyProtection="0"/>
    <xf numFmtId="0" fontId="20" fillId="29" borderId="0" applyNumberFormat="0" applyBorder="0" applyAlignment="0" applyProtection="0"/>
    <xf numFmtId="0" fontId="5" fillId="30" borderId="0" applyNumberFormat="0" applyBorder="0" applyAlignment="0" applyProtection="0"/>
    <xf numFmtId="0" fontId="5" fillId="30" borderId="0" applyNumberFormat="0" applyBorder="0" applyAlignment="0" applyProtection="0"/>
    <xf numFmtId="0" fontId="20" fillId="30" borderId="0" applyNumberFormat="0" applyBorder="0" applyAlignment="0" applyProtection="0"/>
    <xf numFmtId="0" fontId="5" fillId="30" borderId="0" applyNumberFormat="0" applyBorder="0" applyAlignment="0" applyProtection="0"/>
    <xf numFmtId="0" fontId="20" fillId="30" borderId="0" applyNumberFormat="0" applyBorder="0" applyAlignment="0" applyProtection="0"/>
    <xf numFmtId="0" fontId="20" fillId="30" borderId="0" applyNumberFormat="0" applyBorder="0" applyAlignment="0" applyProtection="0"/>
    <xf numFmtId="0" fontId="28" fillId="31" borderId="0" applyNumberFormat="0" applyBorder="0" applyAlignment="0" applyProtection="0"/>
    <xf numFmtId="0" fontId="29" fillId="31" borderId="0" applyNumberFormat="0" applyBorder="0" applyAlignment="0" applyProtection="0"/>
    <xf numFmtId="0" fontId="27" fillId="14" borderId="0" applyNumberFormat="0" applyBorder="0" applyAlignment="0" applyProtection="0"/>
    <xf numFmtId="0" fontId="5" fillId="32" borderId="0" applyNumberFormat="0" applyBorder="0" applyAlignment="0" applyProtection="0"/>
    <xf numFmtId="0" fontId="5" fillId="32" borderId="0" applyNumberFormat="0" applyBorder="0" applyAlignment="0" applyProtection="0"/>
    <xf numFmtId="0" fontId="20" fillId="32" borderId="0" applyNumberFormat="0" applyBorder="0" applyAlignment="0" applyProtection="0"/>
    <xf numFmtId="0" fontId="5" fillId="32" borderId="0" applyNumberFormat="0" applyBorder="0" applyAlignment="0" applyProtection="0"/>
    <xf numFmtId="0" fontId="20" fillId="32" borderId="0" applyNumberFormat="0" applyBorder="0" applyAlignment="0" applyProtection="0"/>
    <xf numFmtId="0" fontId="20" fillId="32" borderId="0" applyNumberFormat="0" applyBorder="0" applyAlignment="0" applyProtection="0"/>
    <xf numFmtId="0" fontId="5" fillId="33" borderId="0" applyNumberFormat="0" applyBorder="0" applyAlignment="0" applyProtection="0"/>
    <xf numFmtId="0" fontId="5" fillId="33" borderId="0" applyNumberFormat="0" applyBorder="0" applyAlignment="0" applyProtection="0"/>
    <xf numFmtId="0" fontId="20" fillId="33" borderId="0" applyNumberFormat="0" applyBorder="0" applyAlignment="0" applyProtection="0"/>
    <xf numFmtId="0" fontId="5" fillId="33" borderId="0" applyNumberFormat="0" applyBorder="0" applyAlignment="0" applyProtection="0"/>
    <xf numFmtId="0" fontId="20" fillId="33" borderId="0" applyNumberFormat="0" applyBorder="0" applyAlignment="0" applyProtection="0"/>
    <xf numFmtId="0" fontId="20" fillId="33" borderId="0" applyNumberFormat="0" applyBorder="0" applyAlignment="0" applyProtection="0"/>
    <xf numFmtId="0" fontId="28" fillId="34" borderId="0" applyNumberFormat="0" applyBorder="0" applyAlignment="0" applyProtection="0"/>
    <xf numFmtId="0" fontId="29" fillId="34" borderId="0" applyNumberFormat="0" applyBorder="0" applyAlignment="0" applyProtection="0"/>
    <xf numFmtId="0" fontId="27" fillId="15" borderId="0" applyNumberFormat="0" applyBorder="0" applyAlignment="0" applyProtection="0"/>
    <xf numFmtId="0" fontId="5" fillId="35" borderId="0" applyNumberFormat="0" applyBorder="0" applyAlignment="0" applyProtection="0"/>
    <xf numFmtId="0" fontId="5" fillId="35" borderId="0" applyNumberFormat="0" applyBorder="0" applyAlignment="0" applyProtection="0"/>
    <xf numFmtId="0" fontId="20" fillId="35" borderId="0" applyNumberFormat="0" applyBorder="0" applyAlignment="0" applyProtection="0"/>
    <xf numFmtId="0" fontId="5" fillId="35" borderId="0" applyNumberFormat="0" applyBorder="0" applyAlignment="0" applyProtection="0"/>
    <xf numFmtId="0" fontId="20" fillId="35" borderId="0" applyNumberFormat="0" applyBorder="0" applyAlignment="0" applyProtection="0"/>
    <xf numFmtId="0" fontId="20" fillId="35"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20" fillId="36" borderId="0" applyNumberFormat="0" applyBorder="0" applyAlignment="0" applyProtection="0"/>
    <xf numFmtId="0" fontId="5" fillId="36" borderId="0" applyNumberFormat="0" applyBorder="0" applyAlignment="0" applyProtection="0"/>
    <xf numFmtId="0" fontId="20" fillId="36" borderId="0" applyNumberFormat="0" applyBorder="0" applyAlignment="0" applyProtection="0"/>
    <xf numFmtId="0" fontId="20" fillId="36" borderId="0" applyNumberFormat="0" applyBorder="0" applyAlignment="0" applyProtection="0"/>
    <xf numFmtId="0" fontId="28" fillId="37" borderId="0" applyNumberFormat="0" applyBorder="0" applyAlignment="0" applyProtection="0"/>
    <xf numFmtId="0" fontId="29" fillId="37" borderId="0" applyNumberFormat="0" applyBorder="0" applyAlignment="0" applyProtection="0"/>
    <xf numFmtId="0" fontId="27" fillId="38" borderId="0" applyNumberFormat="0" applyBorder="0" applyAlignment="0" applyProtection="0"/>
    <xf numFmtId="0" fontId="30" fillId="4" borderId="0" applyNumberFormat="0" applyBorder="0" applyAlignment="0" applyProtection="0"/>
    <xf numFmtId="0" fontId="31" fillId="39" borderId="2" applyNumberFormat="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10" fillId="0" borderId="0" applyFont="0" applyFill="0" applyBorder="0" applyAlignment="0" applyProtection="0"/>
    <xf numFmtId="175" fontId="7" fillId="0" borderId="0" applyFont="0" applyFill="0" applyBorder="0" applyAlignment="0" applyProtection="0"/>
    <xf numFmtId="175" fontId="7" fillId="0" borderId="0" applyFont="0" applyFill="0" applyBorder="0" applyAlignment="0" applyProtection="0"/>
    <xf numFmtId="0" fontId="32" fillId="40" borderId="3" applyNumberFormat="0" applyAlignment="0" applyProtection="0"/>
    <xf numFmtId="0" fontId="33" fillId="41" borderId="0" applyNumberFormat="0" applyBorder="0" applyAlignment="0" applyProtection="0"/>
    <xf numFmtId="0" fontId="34" fillId="41" borderId="0" applyNumberFormat="0" applyBorder="0" applyAlignment="0" applyProtection="0"/>
    <xf numFmtId="0" fontId="33" fillId="42" borderId="0" applyNumberFormat="0" applyBorder="0" applyAlignment="0" applyProtection="0"/>
    <xf numFmtId="0" fontId="34" fillId="42" borderId="0" applyNumberFormat="0" applyBorder="0" applyAlignment="0" applyProtection="0"/>
    <xf numFmtId="0" fontId="33" fillId="43" borderId="0" applyNumberFormat="0" applyBorder="0" applyAlignment="0" applyProtection="0"/>
    <xf numFmtId="0" fontId="34" fillId="43" borderId="0" applyNumberFormat="0" applyBorder="0" applyAlignment="0" applyProtection="0"/>
    <xf numFmtId="0" fontId="35" fillId="0" borderId="0" applyNumberFormat="0" applyFill="0" applyBorder="0" applyAlignment="0" applyProtection="0"/>
    <xf numFmtId="0" fontId="36" fillId="5" borderId="0" applyNumberFormat="0" applyBorder="0" applyAlignment="0" applyProtection="0"/>
    <xf numFmtId="0" fontId="37" fillId="0" borderId="4" applyNumberFormat="0" applyFill="0" applyAlignment="0" applyProtection="0"/>
    <xf numFmtId="0" fontId="38" fillId="0" borderId="5" applyNumberFormat="0" applyFill="0" applyAlignment="0" applyProtection="0"/>
    <xf numFmtId="0" fontId="39" fillId="0" borderId="6" applyNumberFormat="0" applyFill="0" applyAlignment="0" applyProtection="0"/>
    <xf numFmtId="0" fontId="39" fillId="0" borderId="0" applyNumberFormat="0" applyFill="0" applyBorder="0" applyAlignment="0" applyProtection="0"/>
    <xf numFmtId="0" fontId="40" fillId="0" borderId="0" applyNumberFormat="0" applyFill="0" applyBorder="0" applyAlignment="0" applyProtection="0">
      <alignment vertical="top"/>
      <protection locked="0"/>
    </xf>
    <xf numFmtId="0" fontId="40" fillId="0" borderId="0" applyNumberFormat="0" applyFill="0" applyBorder="0" applyAlignment="0" applyProtection="0">
      <alignment vertical="top"/>
      <protection locked="0"/>
    </xf>
    <xf numFmtId="0" fontId="40" fillId="0" borderId="0" applyNumberFormat="0" applyFill="0" applyBorder="0" applyAlignment="0" applyProtection="0">
      <alignment vertical="top"/>
      <protection locked="0"/>
    </xf>
    <xf numFmtId="0" fontId="41" fillId="8" borderId="2" applyNumberFormat="0" applyAlignment="0" applyProtection="0"/>
    <xf numFmtId="0" fontId="42" fillId="0" borderId="7" applyNumberFormat="0" applyFill="0" applyAlignment="0" applyProtection="0"/>
    <xf numFmtId="0" fontId="43" fillId="44"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44" fillId="0" borderId="0">
      <alignment vertical="center"/>
    </xf>
    <xf numFmtId="0" fontId="45" fillId="0" borderId="0"/>
    <xf numFmtId="0" fontId="7" fillId="0" borderId="0"/>
    <xf numFmtId="0" fontId="7" fillId="0" borderId="0"/>
    <xf numFmtId="0" fontId="7" fillId="0" borderId="0"/>
    <xf numFmtId="0" fontId="7" fillId="0" borderId="0"/>
    <xf numFmtId="0" fontId="25" fillId="0" borderId="0"/>
    <xf numFmtId="0" fontId="7" fillId="0" borderId="0"/>
    <xf numFmtId="0" fontId="7" fillId="0" borderId="0"/>
    <xf numFmtId="0" fontId="20" fillId="0" borderId="0"/>
    <xf numFmtId="0" fontId="20" fillId="0" borderId="0"/>
    <xf numFmtId="0" fontId="5" fillId="0" borderId="0"/>
    <xf numFmtId="0" fontId="20" fillId="0" borderId="0"/>
    <xf numFmtId="0" fontId="5" fillId="0" borderId="0"/>
    <xf numFmtId="0" fontId="20" fillId="0" borderId="0"/>
    <xf numFmtId="0" fontId="5" fillId="0" borderId="0"/>
    <xf numFmtId="0" fontId="20" fillId="0" borderId="0"/>
    <xf numFmtId="0" fontId="5" fillId="0" borderId="0"/>
    <xf numFmtId="0" fontId="20" fillId="0" borderId="0"/>
    <xf numFmtId="0" fontId="5" fillId="0" borderId="0"/>
    <xf numFmtId="0" fontId="20" fillId="0" borderId="0"/>
    <xf numFmtId="0" fontId="5" fillId="0" borderId="0"/>
    <xf numFmtId="0" fontId="20" fillId="0" borderId="0"/>
    <xf numFmtId="0" fontId="5" fillId="0" borderId="0"/>
    <xf numFmtId="0" fontId="20" fillId="0" borderId="0"/>
    <xf numFmtId="0" fontId="5" fillId="0" borderId="0"/>
    <xf numFmtId="0" fontId="20" fillId="0" borderId="0"/>
    <xf numFmtId="0" fontId="5" fillId="0" borderId="0"/>
    <xf numFmtId="0" fontId="20" fillId="0" borderId="0"/>
    <xf numFmtId="0" fontId="5" fillId="0" borderId="0"/>
    <xf numFmtId="0" fontId="20" fillId="0" borderId="0"/>
    <xf numFmtId="0" fontId="20" fillId="0" borderId="0"/>
    <xf numFmtId="0" fontId="20" fillId="0" borderId="0"/>
    <xf numFmtId="0" fontId="5" fillId="0" borderId="0"/>
    <xf numFmtId="0" fontId="20" fillId="0" borderId="0"/>
    <xf numFmtId="0" fontId="7" fillId="0" borderId="0"/>
    <xf numFmtId="0" fontId="25" fillId="45" borderId="8" applyNumberFormat="0" applyFont="0" applyAlignment="0" applyProtection="0"/>
    <xf numFmtId="0" fontId="10" fillId="45" borderId="8" applyNumberFormat="0" applyFont="0" applyAlignment="0" applyProtection="0"/>
    <xf numFmtId="0" fontId="25" fillId="45" borderId="8" applyNumberFormat="0" applyFont="0" applyAlignment="0" applyProtection="0"/>
    <xf numFmtId="0" fontId="46" fillId="0" borderId="0"/>
    <xf numFmtId="0" fontId="47" fillId="39" borderId="9" applyNumberFormat="0" applyAlignment="0" applyProtection="0"/>
    <xf numFmtId="176" fontId="48" fillId="0" borderId="0">
      <alignment horizontal="left"/>
    </xf>
    <xf numFmtId="0" fontId="48" fillId="0" borderId="0">
      <alignment horizontal="left"/>
    </xf>
    <xf numFmtId="176" fontId="48" fillId="0" borderId="0">
      <alignment horizontal="left"/>
    </xf>
    <xf numFmtId="0" fontId="49" fillId="0" borderId="0" applyNumberFormat="0" applyFill="0" applyBorder="0" applyAlignment="0" applyProtection="0"/>
    <xf numFmtId="0" fontId="50" fillId="0" borderId="0" applyNumberFormat="0" applyFill="0" applyBorder="0" applyAlignment="0" applyProtection="0"/>
    <xf numFmtId="176" fontId="51" fillId="0" borderId="0" applyAlignment="0"/>
    <xf numFmtId="0" fontId="52" fillId="0" borderId="0">
      <alignment vertical="top" wrapText="1"/>
    </xf>
    <xf numFmtId="0" fontId="52" fillId="0" borderId="0">
      <alignment vertical="top" wrapText="1"/>
    </xf>
    <xf numFmtId="0" fontId="53" fillId="0" borderId="0" applyNumberFormat="0" applyFill="0" applyBorder="0" applyAlignment="0" applyProtection="0"/>
    <xf numFmtId="0" fontId="54" fillId="0" borderId="10" applyNumberFormat="0" applyFill="0" applyAlignment="0" applyProtection="0"/>
    <xf numFmtId="0" fontId="55" fillId="0" borderId="0" applyNumberFormat="0" applyFill="0" applyBorder="0" applyAlignment="0" applyProtection="0"/>
    <xf numFmtId="44" fontId="4" fillId="0" borderId="0" applyFont="0" applyFill="0" applyBorder="0" applyAlignment="0" applyProtection="0"/>
    <xf numFmtId="9" fontId="4" fillId="0" borderId="0" applyFont="0" applyFill="0" applyBorder="0" applyAlignment="0" applyProtection="0"/>
    <xf numFmtId="0" fontId="58" fillId="0" borderId="0"/>
    <xf numFmtId="0" fontId="7" fillId="0" borderId="0"/>
    <xf numFmtId="0" fontId="1" fillId="0" borderId="0"/>
  </cellStyleXfs>
  <cellXfs count="71">
    <xf numFmtId="0" fontId="0" fillId="0" borderId="0" xfId="0"/>
    <xf numFmtId="0" fontId="33" fillId="0" borderId="0" xfId="0" applyFont="1" applyFill="1" applyAlignment="1">
      <alignment vertical="center"/>
    </xf>
    <xf numFmtId="0" fontId="2" fillId="0" borderId="0" xfId="0" applyFont="1" applyFill="1" applyAlignment="1">
      <alignment vertical="center"/>
    </xf>
    <xf numFmtId="0" fontId="56" fillId="47" borderId="15" xfId="0" applyFont="1" applyFill="1" applyBorder="1" applyAlignment="1">
      <alignment horizontal="left" vertical="center" wrapText="1"/>
    </xf>
    <xf numFmtId="0" fontId="59" fillId="0" borderId="0" xfId="0" applyFont="1" applyFill="1" applyBorder="1" applyAlignment="1">
      <alignment vertical="center"/>
    </xf>
    <xf numFmtId="0" fontId="56" fillId="46" borderId="12" xfId="0" applyFont="1" applyFill="1" applyBorder="1" applyAlignment="1">
      <alignment horizontal="center" vertical="center"/>
    </xf>
    <xf numFmtId="0" fontId="57" fillId="0" borderId="15" xfId="0" applyFont="1" applyFill="1" applyBorder="1" applyAlignment="1">
      <alignment horizontal="left" vertical="center" wrapText="1"/>
    </xf>
    <xf numFmtId="0" fontId="60" fillId="48" borderId="18" xfId="0" applyFont="1" applyFill="1" applyBorder="1" applyAlignment="1">
      <alignment horizontal="left" vertical="center"/>
    </xf>
    <xf numFmtId="0" fontId="57" fillId="0" borderId="0" xfId="0" applyFont="1" applyFill="1" applyAlignment="1">
      <alignment horizontal="left" vertical="center"/>
    </xf>
    <xf numFmtId="0" fontId="57" fillId="0" borderId="0" xfId="0" applyFont="1" applyFill="1" applyBorder="1" applyAlignment="1">
      <alignment vertical="center"/>
    </xf>
    <xf numFmtId="0" fontId="56" fillId="46" borderId="11" xfId="0" applyFont="1" applyFill="1" applyBorder="1" applyAlignment="1">
      <alignment horizontal="center" vertical="center"/>
    </xf>
    <xf numFmtId="0" fontId="56" fillId="46" borderId="13" xfId="0" applyFont="1" applyFill="1" applyBorder="1" applyAlignment="1">
      <alignment horizontal="center" vertical="center"/>
    </xf>
    <xf numFmtId="0" fontId="57" fillId="0" borderId="0" xfId="0" applyFont="1" applyFill="1" applyAlignment="1">
      <alignment vertical="center"/>
    </xf>
    <xf numFmtId="0" fontId="56" fillId="47" borderId="14" xfId="0" applyFont="1" applyFill="1" applyBorder="1" applyAlignment="1">
      <alignment horizontal="center" vertical="center"/>
    </xf>
    <xf numFmtId="0" fontId="56" fillId="47" borderId="15" xfId="0" applyFont="1" applyFill="1" applyBorder="1" applyAlignment="1">
      <alignment horizontal="center" vertical="center"/>
    </xf>
    <xf numFmtId="166" fontId="56" fillId="47" borderId="15" xfId="0" applyNumberFormat="1" applyFont="1" applyFill="1" applyBorder="1" applyAlignment="1">
      <alignment horizontal="right" vertical="center"/>
    </xf>
    <xf numFmtId="0" fontId="57" fillId="0" borderId="14" xfId="0" applyFont="1" applyFill="1" applyBorder="1" applyAlignment="1">
      <alignment horizontal="center" vertical="center"/>
    </xf>
    <xf numFmtId="0" fontId="57" fillId="0" borderId="15" xfId="0" applyFont="1" applyFill="1" applyBorder="1" applyAlignment="1">
      <alignment horizontal="center" vertical="center"/>
    </xf>
    <xf numFmtId="165" fontId="57" fillId="0" borderId="15" xfId="0" applyNumberFormat="1" applyFont="1" applyFill="1" applyBorder="1" applyAlignment="1">
      <alignment horizontal="right" vertical="center"/>
    </xf>
    <xf numFmtId="0" fontId="56" fillId="0" borderId="0" xfId="0" applyFont="1" applyFill="1" applyAlignment="1">
      <alignment vertical="center"/>
    </xf>
    <xf numFmtId="0" fontId="60" fillId="48" borderId="17" xfId="0" applyFont="1" applyFill="1" applyBorder="1" applyAlignment="1">
      <alignment vertical="center"/>
    </xf>
    <xf numFmtId="0" fontId="60" fillId="48" borderId="18" xfId="0" applyFont="1" applyFill="1" applyBorder="1" applyAlignment="1">
      <alignment vertical="center"/>
    </xf>
    <xf numFmtId="165" fontId="60" fillId="48" borderId="18" xfId="0" applyNumberFormat="1" applyFont="1" applyFill="1" applyBorder="1" applyAlignment="1">
      <alignment horizontal="right" vertical="center"/>
    </xf>
    <xf numFmtId="0" fontId="56" fillId="0" borderId="0" xfId="0" applyFont="1" applyFill="1" applyAlignment="1">
      <alignment horizontal="center" vertical="center"/>
    </xf>
    <xf numFmtId="9" fontId="57" fillId="0" borderId="0" xfId="301" applyFont="1" applyFill="1" applyAlignment="1">
      <alignment horizontal="center" vertical="center"/>
    </xf>
    <xf numFmtId="0" fontId="60" fillId="0" borderId="0" xfId="0" applyFont="1" applyFill="1" applyAlignment="1">
      <alignment vertical="center"/>
    </xf>
    <xf numFmtId="0" fontId="57" fillId="0" borderId="0" xfId="0" applyFont="1" applyFill="1" applyBorder="1" applyAlignment="1">
      <alignment horizontal="right" vertical="center"/>
    </xf>
    <xf numFmtId="0" fontId="57" fillId="0" borderId="0" xfId="0" applyFont="1" applyFill="1" applyAlignment="1">
      <alignment horizontal="right" vertical="center"/>
    </xf>
    <xf numFmtId="0" fontId="61" fillId="2" borderId="0" xfId="3" applyFont="1" applyFill="1" applyAlignment="1">
      <alignment vertical="top"/>
    </xf>
    <xf numFmtId="0" fontId="62" fillId="2" borderId="0" xfId="73" applyFont="1" applyFill="1" applyAlignment="1">
      <alignment horizontal="right" vertical="top"/>
    </xf>
    <xf numFmtId="164" fontId="61" fillId="2" borderId="0" xfId="2" applyFont="1" applyFill="1" applyAlignment="1">
      <alignment vertical="top"/>
    </xf>
    <xf numFmtId="0" fontId="61" fillId="2" borderId="0" xfId="3" applyFont="1" applyFill="1" applyAlignment="1">
      <alignment horizontal="right" vertical="top"/>
    </xf>
    <xf numFmtId="0" fontId="61" fillId="2" borderId="0" xfId="73" applyFont="1" applyFill="1" applyAlignment="1">
      <alignment horizontal="right" vertical="top"/>
    </xf>
    <xf numFmtId="0" fontId="63" fillId="2" borderId="0" xfId="3" applyFont="1" applyFill="1" applyAlignment="1">
      <alignment horizontal="left" vertical="justify" wrapText="1"/>
    </xf>
    <xf numFmtId="0" fontId="63" fillId="2" borderId="0" xfId="3" applyFont="1" applyFill="1" applyAlignment="1">
      <alignment horizontal="left" vertical="justify"/>
    </xf>
    <xf numFmtId="164" fontId="64" fillId="2" borderId="0" xfId="2" applyFont="1" applyFill="1" applyAlignment="1">
      <alignment horizontal="right" vertical="top"/>
    </xf>
    <xf numFmtId="164" fontId="64" fillId="2" borderId="0" xfId="2" applyFont="1" applyFill="1" applyAlignment="1">
      <alignment vertical="top"/>
    </xf>
    <xf numFmtId="0" fontId="64" fillId="2" borderId="0" xfId="3" applyFont="1" applyFill="1" applyAlignment="1">
      <alignment vertical="top"/>
    </xf>
    <xf numFmtId="0" fontId="65" fillId="49" borderId="0" xfId="3" quotePrefix="1" applyFont="1" applyFill="1" applyAlignment="1">
      <alignment horizontal="center" vertical="center"/>
    </xf>
    <xf numFmtId="0" fontId="65" fillId="49" borderId="0" xfId="3" quotePrefix="1" applyFont="1" applyFill="1" applyAlignment="1">
      <alignment horizontal="center" vertical="center" wrapText="1"/>
    </xf>
    <xf numFmtId="0" fontId="66" fillId="2" borderId="0" xfId="0" applyFont="1" applyFill="1" applyAlignment="1">
      <alignment vertical="center"/>
    </xf>
    <xf numFmtId="164" fontId="61" fillId="2" borderId="0" xfId="2" applyFont="1" applyFill="1" applyAlignment="1">
      <alignment vertical="top" wrapText="1"/>
    </xf>
    <xf numFmtId="0" fontId="61" fillId="2" borderId="0" xfId="3" applyFont="1" applyFill="1" applyAlignment="1">
      <alignment vertical="top" wrapText="1"/>
    </xf>
    <xf numFmtId="0" fontId="61" fillId="0" borderId="0" xfId="3" applyFont="1" applyAlignment="1">
      <alignment horizontal="center" vertical="center"/>
    </xf>
    <xf numFmtId="0" fontId="61" fillId="0" borderId="0" xfId="3" applyFont="1" applyAlignment="1">
      <alignment vertical="center" wrapText="1"/>
    </xf>
    <xf numFmtId="4" fontId="0" fillId="2" borderId="0" xfId="0" applyNumberFormat="1" applyFill="1" applyAlignment="1">
      <alignment vertical="top"/>
    </xf>
    <xf numFmtId="164" fontId="61" fillId="2" borderId="0" xfId="2" applyFont="1" applyFill="1" applyAlignment="1">
      <alignment vertical="center"/>
    </xf>
    <xf numFmtId="0" fontId="61" fillId="2" borderId="0" xfId="3" applyFont="1" applyFill="1" applyAlignment="1">
      <alignment vertical="center"/>
    </xf>
    <xf numFmtId="0" fontId="67" fillId="49" borderId="0" xfId="3" quotePrefix="1" applyFont="1" applyFill="1" applyAlignment="1">
      <alignment vertical="center"/>
    </xf>
    <xf numFmtId="0" fontId="67" fillId="49" borderId="0" xfId="3" quotePrefix="1" applyFont="1" applyFill="1" applyAlignment="1">
      <alignment horizontal="center" vertical="center"/>
    </xf>
    <xf numFmtId="0" fontId="67" fillId="49" borderId="0" xfId="3" applyFont="1" applyFill="1" applyAlignment="1">
      <alignment vertical="center"/>
    </xf>
    <xf numFmtId="39" fontId="68" fillId="49" borderId="0" xfId="3" applyNumberFormat="1" applyFont="1" applyFill="1" applyAlignment="1">
      <alignment horizontal="center" vertical="center"/>
    </xf>
    <xf numFmtId="3" fontId="68" fillId="49" borderId="0" xfId="3" applyNumberFormat="1" applyFont="1" applyFill="1" applyAlignment="1">
      <alignment vertical="center"/>
    </xf>
    <xf numFmtId="164" fontId="62" fillId="2" borderId="0" xfId="2" applyFont="1" applyFill="1" applyAlignment="1">
      <alignment vertical="center"/>
    </xf>
    <xf numFmtId="43" fontId="61" fillId="2" borderId="0" xfId="3" applyNumberFormat="1" applyFont="1" applyFill="1" applyAlignment="1">
      <alignment vertical="center"/>
    </xf>
    <xf numFmtId="0" fontId="69" fillId="2" borderId="0" xfId="3" quotePrefix="1" applyFont="1" applyFill="1" applyAlignment="1">
      <alignment vertical="center"/>
    </xf>
    <xf numFmtId="0" fontId="67" fillId="2" borderId="0" xfId="3" quotePrefix="1" applyFont="1" applyFill="1" applyAlignment="1">
      <alignment horizontal="center" vertical="center"/>
    </xf>
    <xf numFmtId="0" fontId="67" fillId="2" borderId="0" xfId="3" applyFont="1" applyFill="1" applyAlignment="1">
      <alignment vertical="center"/>
    </xf>
    <xf numFmtId="39" fontId="68" fillId="2" borderId="0" xfId="3" applyNumberFormat="1" applyFont="1" applyFill="1" applyAlignment="1">
      <alignment horizontal="center" vertical="center"/>
    </xf>
    <xf numFmtId="3" fontId="68" fillId="2" borderId="0" xfId="3" applyNumberFormat="1" applyFont="1" applyFill="1" applyAlignment="1">
      <alignment vertical="center"/>
    </xf>
    <xf numFmtId="0" fontId="71" fillId="2" borderId="0" xfId="73" applyFont="1" applyFill="1" applyAlignment="1">
      <alignment horizontal="left" vertical="top"/>
    </xf>
    <xf numFmtId="0" fontId="61" fillId="2" borderId="0" xfId="3" applyFont="1" applyFill="1" applyAlignment="1">
      <alignment horizontal="left" vertical="top"/>
    </xf>
    <xf numFmtId="0" fontId="71" fillId="2" borderId="0" xfId="3" applyFont="1" applyFill="1" applyAlignment="1">
      <alignment vertical="top"/>
    </xf>
    <xf numFmtId="0" fontId="61" fillId="2" borderId="0" xfId="3" applyFont="1" applyFill="1" applyAlignment="1">
      <alignment horizontal="center" vertical="top" wrapText="1"/>
    </xf>
    <xf numFmtId="0" fontId="72" fillId="2" borderId="0" xfId="3" applyFont="1" applyFill="1" applyAlignment="1">
      <alignment horizontal="center" vertical="top"/>
    </xf>
    <xf numFmtId="0" fontId="62" fillId="2" borderId="0" xfId="73" applyFont="1" applyFill="1" applyAlignment="1" applyProtection="1">
      <alignment vertical="top"/>
      <protection locked="0"/>
    </xf>
    <xf numFmtId="41" fontId="61" fillId="0" borderId="0" xfId="300" applyNumberFormat="1" applyFont="1" applyFill="1" applyAlignment="1">
      <alignment vertical="center"/>
    </xf>
    <xf numFmtId="41" fontId="68" fillId="49" borderId="0" xfId="300" applyNumberFormat="1" applyFont="1" applyFill="1" applyAlignment="1">
      <alignment vertical="center"/>
    </xf>
    <xf numFmtId="166" fontId="56" fillId="47" borderId="16" xfId="0" applyNumberFormat="1" applyFont="1" applyFill="1" applyBorder="1" applyAlignment="1">
      <alignment horizontal="right" vertical="center"/>
    </xf>
    <xf numFmtId="165" fontId="57" fillId="0" borderId="16" xfId="0" applyNumberFormat="1" applyFont="1" applyFill="1" applyBorder="1" applyAlignment="1">
      <alignment horizontal="right" vertical="center"/>
    </xf>
    <xf numFmtId="165" fontId="60" fillId="48" borderId="19" xfId="0" applyNumberFormat="1" applyFont="1" applyFill="1" applyBorder="1" applyAlignment="1">
      <alignment horizontal="right" vertical="center"/>
    </xf>
  </cellXfs>
  <cellStyles count="305">
    <cellStyle name="_x0007__x000b_" xfId="82" xr:uid="{00000000-0005-0000-0000-000000000000}"/>
    <cellStyle name="_x0007__x000b_ 2" xfId="83" xr:uid="{00000000-0005-0000-0000-000001000000}"/>
    <cellStyle name="_x000d__x000a_JournalTemplate=C:\COMFO\CTALK\JOURSTD.TPL_x000d__x000a_LbStateAddress=3 3 0 251 1 89 2 311_x000d__x000a_LbStateJou" xfId="5" xr:uid="{00000000-0005-0000-0000-000002000000}"/>
    <cellStyle name="_200709 EPR Reference Tool v20" xfId="84" xr:uid="{00000000-0005-0000-0000-000003000000}"/>
    <cellStyle name="_200709 EPR Reference Tool v20 2" xfId="85" xr:uid="{00000000-0005-0000-0000-000004000000}"/>
    <cellStyle name="_200709 EPR Reference Tool v20 2 2" xfId="86" xr:uid="{00000000-0005-0000-0000-000005000000}"/>
    <cellStyle name="_200709 EPR Reference Tool v20 3" xfId="87" xr:uid="{00000000-0005-0000-0000-000006000000}"/>
    <cellStyle name="_Catalog Sheet" xfId="88" xr:uid="{00000000-0005-0000-0000-000007000000}"/>
    <cellStyle name="_Catalog Sheet 2" xfId="89" xr:uid="{00000000-0005-0000-0000-000008000000}"/>
    <cellStyle name="_Catalog Sheet 2 2" xfId="90" xr:uid="{00000000-0005-0000-0000-000009000000}"/>
    <cellStyle name="_Catalog Sheet 3" xfId="91" xr:uid="{00000000-0005-0000-0000-00000A000000}"/>
    <cellStyle name="_Custom Descriptions" xfId="92" xr:uid="{00000000-0005-0000-0000-00000B000000}"/>
    <cellStyle name="_Custom Descriptions 2" xfId="93" xr:uid="{00000000-0005-0000-0000-00000C000000}"/>
    <cellStyle name="20% - Accent1 2" xfId="94" xr:uid="{00000000-0005-0000-0000-00000D000000}"/>
    <cellStyle name="20% - Accent2 2" xfId="95" xr:uid="{00000000-0005-0000-0000-00000E000000}"/>
    <cellStyle name="20% - Accent3 2" xfId="96" xr:uid="{00000000-0005-0000-0000-00000F000000}"/>
    <cellStyle name="20% - Accent4 2" xfId="97" xr:uid="{00000000-0005-0000-0000-000010000000}"/>
    <cellStyle name="20% - Accent5 2" xfId="98" xr:uid="{00000000-0005-0000-0000-000011000000}"/>
    <cellStyle name="20% - Accent6 2" xfId="99" xr:uid="{00000000-0005-0000-0000-000012000000}"/>
    <cellStyle name="40% - Accent1 2" xfId="100" xr:uid="{00000000-0005-0000-0000-000013000000}"/>
    <cellStyle name="40% - Accent2 2" xfId="101" xr:uid="{00000000-0005-0000-0000-000014000000}"/>
    <cellStyle name="40% - Accent3 2" xfId="102" xr:uid="{00000000-0005-0000-0000-000015000000}"/>
    <cellStyle name="40% - Accent4 2" xfId="103" xr:uid="{00000000-0005-0000-0000-000016000000}"/>
    <cellStyle name="40% - Accent5 2" xfId="104" xr:uid="{00000000-0005-0000-0000-000017000000}"/>
    <cellStyle name="40% - Accent6 2" xfId="105" xr:uid="{00000000-0005-0000-0000-000018000000}"/>
    <cellStyle name="60% - Accent1 2" xfId="106" xr:uid="{00000000-0005-0000-0000-000019000000}"/>
    <cellStyle name="60% - Accent2 2" xfId="107" xr:uid="{00000000-0005-0000-0000-00001A000000}"/>
    <cellStyle name="60% - Accent3 2" xfId="108" xr:uid="{00000000-0005-0000-0000-00001B000000}"/>
    <cellStyle name="60% - Accent4 2" xfId="109" xr:uid="{00000000-0005-0000-0000-00001C000000}"/>
    <cellStyle name="60% - Accent5 2" xfId="110" xr:uid="{00000000-0005-0000-0000-00001D000000}"/>
    <cellStyle name="60% - Accent6 2" xfId="111" xr:uid="{00000000-0005-0000-0000-00001E000000}"/>
    <cellStyle name="A4 Small 210 x 297 mm" xfId="6" xr:uid="{00000000-0005-0000-0000-00001F000000}"/>
    <cellStyle name="Accent1 - 20%" xfId="112" xr:uid="{00000000-0005-0000-0000-000020000000}"/>
    <cellStyle name="Accent1 - 20% 2" xfId="113" xr:uid="{00000000-0005-0000-0000-000021000000}"/>
    <cellStyle name="Accent1 - 20% 2 2" xfId="114" xr:uid="{00000000-0005-0000-0000-000022000000}"/>
    <cellStyle name="Accent1 - 20% 3" xfId="115" xr:uid="{00000000-0005-0000-0000-000023000000}"/>
    <cellStyle name="Accent1 - 20% 3 2" xfId="116" xr:uid="{00000000-0005-0000-0000-000024000000}"/>
    <cellStyle name="Accent1 - 20% 4" xfId="117" xr:uid="{00000000-0005-0000-0000-000025000000}"/>
    <cellStyle name="Accent1 - 40%" xfId="118" xr:uid="{00000000-0005-0000-0000-000026000000}"/>
    <cellStyle name="Accent1 - 40% 2" xfId="119" xr:uid="{00000000-0005-0000-0000-000027000000}"/>
    <cellStyle name="Accent1 - 40% 2 2" xfId="120" xr:uid="{00000000-0005-0000-0000-000028000000}"/>
    <cellStyle name="Accent1 - 40% 3" xfId="121" xr:uid="{00000000-0005-0000-0000-000029000000}"/>
    <cellStyle name="Accent1 - 40% 3 2" xfId="122" xr:uid="{00000000-0005-0000-0000-00002A000000}"/>
    <cellStyle name="Accent1 - 40% 4" xfId="123" xr:uid="{00000000-0005-0000-0000-00002B000000}"/>
    <cellStyle name="Accent1 - 60%" xfId="124" xr:uid="{00000000-0005-0000-0000-00002C000000}"/>
    <cellStyle name="Accent1 - 60% 2" xfId="125" xr:uid="{00000000-0005-0000-0000-00002D000000}"/>
    <cellStyle name="Accent1 2" xfId="126" xr:uid="{00000000-0005-0000-0000-00002E000000}"/>
    <cellStyle name="Accent2 - 20%" xfId="127" xr:uid="{00000000-0005-0000-0000-00002F000000}"/>
    <cellStyle name="Accent2 - 20% 2" xfId="128" xr:uid="{00000000-0005-0000-0000-000030000000}"/>
    <cellStyle name="Accent2 - 20% 2 2" xfId="129" xr:uid="{00000000-0005-0000-0000-000031000000}"/>
    <cellStyle name="Accent2 - 20% 3" xfId="130" xr:uid="{00000000-0005-0000-0000-000032000000}"/>
    <cellStyle name="Accent2 - 20% 3 2" xfId="131" xr:uid="{00000000-0005-0000-0000-000033000000}"/>
    <cellStyle name="Accent2 - 20% 4" xfId="132" xr:uid="{00000000-0005-0000-0000-000034000000}"/>
    <cellStyle name="Accent2 - 40%" xfId="133" xr:uid="{00000000-0005-0000-0000-000035000000}"/>
    <cellStyle name="Accent2 - 40% 2" xfId="134" xr:uid="{00000000-0005-0000-0000-000036000000}"/>
    <cellStyle name="Accent2 - 40% 2 2" xfId="135" xr:uid="{00000000-0005-0000-0000-000037000000}"/>
    <cellStyle name="Accent2 - 40% 3" xfId="136" xr:uid="{00000000-0005-0000-0000-000038000000}"/>
    <cellStyle name="Accent2 - 40% 3 2" xfId="137" xr:uid="{00000000-0005-0000-0000-000039000000}"/>
    <cellStyle name="Accent2 - 40% 4" xfId="138" xr:uid="{00000000-0005-0000-0000-00003A000000}"/>
    <cellStyle name="Accent2 - 60%" xfId="139" xr:uid="{00000000-0005-0000-0000-00003B000000}"/>
    <cellStyle name="Accent2 - 60% 2" xfId="140" xr:uid="{00000000-0005-0000-0000-00003C000000}"/>
    <cellStyle name="Accent2 2" xfId="141" xr:uid="{00000000-0005-0000-0000-00003D000000}"/>
    <cellStyle name="Accent3 - 20%" xfId="142" xr:uid="{00000000-0005-0000-0000-00003E000000}"/>
    <cellStyle name="Accent3 - 20% 2" xfId="143" xr:uid="{00000000-0005-0000-0000-00003F000000}"/>
    <cellStyle name="Accent3 - 20% 2 2" xfId="144" xr:uid="{00000000-0005-0000-0000-000040000000}"/>
    <cellStyle name="Accent3 - 20% 3" xfId="145" xr:uid="{00000000-0005-0000-0000-000041000000}"/>
    <cellStyle name="Accent3 - 20% 3 2" xfId="146" xr:uid="{00000000-0005-0000-0000-000042000000}"/>
    <cellStyle name="Accent3 - 20% 4" xfId="147" xr:uid="{00000000-0005-0000-0000-000043000000}"/>
    <cellStyle name="Accent3 - 40%" xfId="148" xr:uid="{00000000-0005-0000-0000-000044000000}"/>
    <cellStyle name="Accent3 - 40% 2" xfId="149" xr:uid="{00000000-0005-0000-0000-000045000000}"/>
    <cellStyle name="Accent3 - 40% 2 2" xfId="150" xr:uid="{00000000-0005-0000-0000-000046000000}"/>
    <cellStyle name="Accent3 - 40% 3" xfId="151" xr:uid="{00000000-0005-0000-0000-000047000000}"/>
    <cellStyle name="Accent3 - 40% 3 2" xfId="152" xr:uid="{00000000-0005-0000-0000-000048000000}"/>
    <cellStyle name="Accent3 - 40% 4" xfId="153" xr:uid="{00000000-0005-0000-0000-000049000000}"/>
    <cellStyle name="Accent3 - 60%" xfId="154" xr:uid="{00000000-0005-0000-0000-00004A000000}"/>
    <cellStyle name="Accent3 - 60% 2" xfId="155" xr:uid="{00000000-0005-0000-0000-00004B000000}"/>
    <cellStyle name="Accent3 2" xfId="156" xr:uid="{00000000-0005-0000-0000-00004C000000}"/>
    <cellStyle name="Accent4 - 20%" xfId="157" xr:uid="{00000000-0005-0000-0000-00004D000000}"/>
    <cellStyle name="Accent4 - 20% 2" xfId="158" xr:uid="{00000000-0005-0000-0000-00004E000000}"/>
    <cellStyle name="Accent4 - 20% 2 2" xfId="159" xr:uid="{00000000-0005-0000-0000-00004F000000}"/>
    <cellStyle name="Accent4 - 20% 3" xfId="160" xr:uid="{00000000-0005-0000-0000-000050000000}"/>
    <cellStyle name="Accent4 - 20% 3 2" xfId="161" xr:uid="{00000000-0005-0000-0000-000051000000}"/>
    <cellStyle name="Accent4 - 20% 4" xfId="162" xr:uid="{00000000-0005-0000-0000-000052000000}"/>
    <cellStyle name="Accent4 - 40%" xfId="163" xr:uid="{00000000-0005-0000-0000-000053000000}"/>
    <cellStyle name="Accent4 - 40% 2" xfId="164" xr:uid="{00000000-0005-0000-0000-000054000000}"/>
    <cellStyle name="Accent4 - 40% 2 2" xfId="165" xr:uid="{00000000-0005-0000-0000-000055000000}"/>
    <cellStyle name="Accent4 - 40% 3" xfId="166" xr:uid="{00000000-0005-0000-0000-000056000000}"/>
    <cellStyle name="Accent4 - 40% 3 2" xfId="167" xr:uid="{00000000-0005-0000-0000-000057000000}"/>
    <cellStyle name="Accent4 - 40% 4" xfId="168" xr:uid="{00000000-0005-0000-0000-000058000000}"/>
    <cellStyle name="Accent4 - 60%" xfId="169" xr:uid="{00000000-0005-0000-0000-000059000000}"/>
    <cellStyle name="Accent4 - 60% 2" xfId="170" xr:uid="{00000000-0005-0000-0000-00005A000000}"/>
    <cellStyle name="Accent4 2" xfId="171" xr:uid="{00000000-0005-0000-0000-00005B000000}"/>
    <cellStyle name="Accent5 - 20%" xfId="172" xr:uid="{00000000-0005-0000-0000-00005C000000}"/>
    <cellStyle name="Accent5 - 20% 2" xfId="173" xr:uid="{00000000-0005-0000-0000-00005D000000}"/>
    <cellStyle name="Accent5 - 20% 2 2" xfId="174" xr:uid="{00000000-0005-0000-0000-00005E000000}"/>
    <cellStyle name="Accent5 - 20% 3" xfId="175" xr:uid="{00000000-0005-0000-0000-00005F000000}"/>
    <cellStyle name="Accent5 - 20% 3 2" xfId="176" xr:uid="{00000000-0005-0000-0000-000060000000}"/>
    <cellStyle name="Accent5 - 20% 4" xfId="177" xr:uid="{00000000-0005-0000-0000-000061000000}"/>
    <cellStyle name="Accent5 - 40%" xfId="178" xr:uid="{00000000-0005-0000-0000-000062000000}"/>
    <cellStyle name="Accent5 - 40% 2" xfId="179" xr:uid="{00000000-0005-0000-0000-000063000000}"/>
    <cellStyle name="Accent5 - 40% 2 2" xfId="180" xr:uid="{00000000-0005-0000-0000-000064000000}"/>
    <cellStyle name="Accent5 - 40% 3" xfId="181" xr:uid="{00000000-0005-0000-0000-000065000000}"/>
    <cellStyle name="Accent5 - 40% 3 2" xfId="182" xr:uid="{00000000-0005-0000-0000-000066000000}"/>
    <cellStyle name="Accent5 - 40% 4" xfId="183" xr:uid="{00000000-0005-0000-0000-000067000000}"/>
    <cellStyle name="Accent5 - 60%" xfId="184" xr:uid="{00000000-0005-0000-0000-000068000000}"/>
    <cellStyle name="Accent5 - 60% 2" xfId="185" xr:uid="{00000000-0005-0000-0000-000069000000}"/>
    <cellStyle name="Accent5 2" xfId="186" xr:uid="{00000000-0005-0000-0000-00006A000000}"/>
    <cellStyle name="Accent6 - 20%" xfId="187" xr:uid="{00000000-0005-0000-0000-00006B000000}"/>
    <cellStyle name="Accent6 - 20% 2" xfId="188" xr:uid="{00000000-0005-0000-0000-00006C000000}"/>
    <cellStyle name="Accent6 - 20% 2 2" xfId="189" xr:uid="{00000000-0005-0000-0000-00006D000000}"/>
    <cellStyle name="Accent6 - 20% 3" xfId="190" xr:uid="{00000000-0005-0000-0000-00006E000000}"/>
    <cellStyle name="Accent6 - 20% 3 2" xfId="191" xr:uid="{00000000-0005-0000-0000-00006F000000}"/>
    <cellStyle name="Accent6 - 20% 4" xfId="192" xr:uid="{00000000-0005-0000-0000-000070000000}"/>
    <cellStyle name="Accent6 - 40%" xfId="193" xr:uid="{00000000-0005-0000-0000-000071000000}"/>
    <cellStyle name="Accent6 - 40% 2" xfId="194" xr:uid="{00000000-0005-0000-0000-000072000000}"/>
    <cellStyle name="Accent6 - 40% 2 2" xfId="195" xr:uid="{00000000-0005-0000-0000-000073000000}"/>
    <cellStyle name="Accent6 - 40% 3" xfId="196" xr:uid="{00000000-0005-0000-0000-000074000000}"/>
    <cellStyle name="Accent6 - 40% 3 2" xfId="197" xr:uid="{00000000-0005-0000-0000-000075000000}"/>
    <cellStyle name="Accent6 - 40% 4" xfId="198" xr:uid="{00000000-0005-0000-0000-000076000000}"/>
    <cellStyle name="Accent6 - 60%" xfId="199" xr:uid="{00000000-0005-0000-0000-000077000000}"/>
    <cellStyle name="Accent6 - 60% 2" xfId="200" xr:uid="{00000000-0005-0000-0000-000078000000}"/>
    <cellStyle name="Accent6 2" xfId="201" xr:uid="{00000000-0005-0000-0000-000079000000}"/>
    <cellStyle name="arbres" xfId="7" xr:uid="{00000000-0005-0000-0000-00007A000000}"/>
    <cellStyle name="Bad 2" xfId="202" xr:uid="{00000000-0005-0000-0000-00007B000000}"/>
    <cellStyle name="Calculation 2" xfId="203" xr:uid="{00000000-0005-0000-0000-00007C000000}"/>
    <cellStyle name="Check Cell 2" xfId="219" xr:uid="{00000000-0005-0000-0000-00007D000000}"/>
    <cellStyle name="Comma" xfId="2" builtinId="3"/>
    <cellStyle name="Comma 10" xfId="8" xr:uid="{00000000-0005-0000-0000-00007F000000}"/>
    <cellStyle name="Comma 10 10" xfId="9" xr:uid="{00000000-0005-0000-0000-000080000000}"/>
    <cellStyle name="Comma 10 2" xfId="10" xr:uid="{00000000-0005-0000-0000-000081000000}"/>
    <cellStyle name="Comma 10 3" xfId="11" xr:uid="{00000000-0005-0000-0000-000082000000}"/>
    <cellStyle name="Comma 11" xfId="12" xr:uid="{00000000-0005-0000-0000-000083000000}"/>
    <cellStyle name="Comma 13 4" xfId="13" xr:uid="{00000000-0005-0000-0000-000084000000}"/>
    <cellStyle name="Comma 2" xfId="4" xr:uid="{00000000-0005-0000-0000-000085000000}"/>
    <cellStyle name="Comma 2 10" xfId="204" xr:uid="{00000000-0005-0000-0000-000086000000}"/>
    <cellStyle name="Comma 2 11" xfId="205" xr:uid="{00000000-0005-0000-0000-000087000000}"/>
    <cellStyle name="Comma 2 2" xfId="14" xr:uid="{00000000-0005-0000-0000-000088000000}"/>
    <cellStyle name="Comma 2 2 2" xfId="15" xr:uid="{00000000-0005-0000-0000-000089000000}"/>
    <cellStyle name="Comma 2 2 2 2" xfId="16" xr:uid="{00000000-0005-0000-0000-00008A000000}"/>
    <cellStyle name="Comma 2 3" xfId="17" xr:uid="{00000000-0005-0000-0000-00008B000000}"/>
    <cellStyle name="Comma 2 3 11" xfId="18" xr:uid="{00000000-0005-0000-0000-00008C000000}"/>
    <cellStyle name="Comma 2 4" xfId="206" xr:uid="{00000000-0005-0000-0000-00008D000000}"/>
    <cellStyle name="Comma 2 4 2" xfId="19" xr:uid="{00000000-0005-0000-0000-00008E000000}"/>
    <cellStyle name="Comma 2 5" xfId="207" xr:uid="{00000000-0005-0000-0000-00008F000000}"/>
    <cellStyle name="Comma 2 5 3" xfId="20" xr:uid="{00000000-0005-0000-0000-000090000000}"/>
    <cellStyle name="Comma 2 6" xfId="208" xr:uid="{00000000-0005-0000-0000-000091000000}"/>
    <cellStyle name="Comma 2 7" xfId="209" xr:uid="{00000000-0005-0000-0000-000092000000}"/>
    <cellStyle name="Comma 2 8" xfId="21" xr:uid="{00000000-0005-0000-0000-000093000000}"/>
    <cellStyle name="Comma 2 9" xfId="210" xr:uid="{00000000-0005-0000-0000-000094000000}"/>
    <cellStyle name="Comma 3" xfId="22" xr:uid="{00000000-0005-0000-0000-000095000000}"/>
    <cellStyle name="Comma 3 2" xfId="23" xr:uid="{00000000-0005-0000-0000-000096000000}"/>
    <cellStyle name="Comma 3 3" xfId="211" xr:uid="{00000000-0005-0000-0000-000097000000}"/>
    <cellStyle name="Comma 3 8" xfId="24" xr:uid="{00000000-0005-0000-0000-000098000000}"/>
    <cellStyle name="Comma 4" xfId="25" xr:uid="{00000000-0005-0000-0000-000099000000}"/>
    <cellStyle name="Comma 4 2" xfId="212" xr:uid="{00000000-0005-0000-0000-00009A000000}"/>
    <cellStyle name="Comma 5" xfId="213" xr:uid="{00000000-0005-0000-0000-00009B000000}"/>
    <cellStyle name="Comma 5 2" xfId="26" xr:uid="{00000000-0005-0000-0000-00009C000000}"/>
    <cellStyle name="Comma 8" xfId="27" xr:uid="{00000000-0005-0000-0000-00009D000000}"/>
    <cellStyle name="Comma 8 2" xfId="28" xr:uid="{00000000-0005-0000-0000-00009E000000}"/>
    <cellStyle name="Currency" xfId="300" builtinId="4"/>
    <cellStyle name="Currency 2" xfId="214" xr:uid="{00000000-0005-0000-0000-0000A0000000}"/>
    <cellStyle name="Currency 2 2" xfId="215" xr:uid="{00000000-0005-0000-0000-0000A1000000}"/>
    <cellStyle name="Currency 3" xfId="216" xr:uid="{00000000-0005-0000-0000-0000A2000000}"/>
    <cellStyle name="Currency 4" xfId="217" xr:uid="{00000000-0005-0000-0000-0000A3000000}"/>
    <cellStyle name="Currency 5" xfId="218" xr:uid="{00000000-0005-0000-0000-0000A4000000}"/>
    <cellStyle name="Emphasis 1" xfId="220" xr:uid="{00000000-0005-0000-0000-0000A5000000}"/>
    <cellStyle name="Emphasis 1 2" xfId="221" xr:uid="{00000000-0005-0000-0000-0000A6000000}"/>
    <cellStyle name="Emphasis 2" xfId="222" xr:uid="{00000000-0005-0000-0000-0000A7000000}"/>
    <cellStyle name="Emphasis 2 2" xfId="223" xr:uid="{00000000-0005-0000-0000-0000A8000000}"/>
    <cellStyle name="Emphasis 3" xfId="224" xr:uid="{00000000-0005-0000-0000-0000A9000000}"/>
    <cellStyle name="Emphasis 3 2" xfId="225" xr:uid="{00000000-0005-0000-0000-0000AA000000}"/>
    <cellStyle name="Explanatory Text 2" xfId="226" xr:uid="{00000000-0005-0000-0000-0000AB000000}"/>
    <cellStyle name="fonctions clients" xfId="29" xr:uid="{00000000-0005-0000-0000-0000AC000000}"/>
    <cellStyle name="Good 2" xfId="227" xr:uid="{00000000-0005-0000-0000-0000AD000000}"/>
    <cellStyle name="Heading 1 2" xfId="228" xr:uid="{00000000-0005-0000-0000-0000AE000000}"/>
    <cellStyle name="Heading 2 2" xfId="229" xr:uid="{00000000-0005-0000-0000-0000AF000000}"/>
    <cellStyle name="Heading 3 2" xfId="230" xr:uid="{00000000-0005-0000-0000-0000B0000000}"/>
    <cellStyle name="Heading 4 2" xfId="231" xr:uid="{00000000-0005-0000-0000-0000B1000000}"/>
    <cellStyle name="Hyperlink 2" xfId="30" xr:uid="{00000000-0005-0000-0000-0000B2000000}"/>
    <cellStyle name="Hyperlink 2 2" xfId="232" xr:uid="{00000000-0005-0000-0000-0000B3000000}"/>
    <cellStyle name="Hyperlink 2 3" xfId="233" xr:uid="{00000000-0005-0000-0000-0000B4000000}"/>
    <cellStyle name="Hyperlink 2 4" xfId="234" xr:uid="{00000000-0005-0000-0000-0000B5000000}"/>
    <cellStyle name="Input 2" xfId="235" xr:uid="{00000000-0005-0000-0000-0000B6000000}"/>
    <cellStyle name="Ledger 17 x 11 in" xfId="31" xr:uid="{00000000-0005-0000-0000-0000B7000000}"/>
    <cellStyle name="Ledger 17 x 11 in 2" xfId="32" xr:uid="{00000000-0005-0000-0000-0000B8000000}"/>
    <cellStyle name="Ledger 17 x 11 in 2 2" xfId="33" xr:uid="{00000000-0005-0000-0000-0000B9000000}"/>
    <cellStyle name="Linked Cell 2" xfId="236" xr:uid="{00000000-0005-0000-0000-0000BA000000}"/>
    <cellStyle name="Neutral 2" xfId="237" xr:uid="{00000000-0005-0000-0000-0000BB000000}"/>
    <cellStyle name="Normal" xfId="0" builtinId="0"/>
    <cellStyle name="Normal - Style1" xfId="34" xr:uid="{00000000-0005-0000-0000-0000BD000000}"/>
    <cellStyle name="Normal - Style1 2" xfId="35" xr:uid="{00000000-0005-0000-0000-0000BE000000}"/>
    <cellStyle name="Normal - Style1 2 3" xfId="36" xr:uid="{00000000-0005-0000-0000-0000BF000000}"/>
    <cellStyle name="Normal 10" xfId="37" xr:uid="{00000000-0005-0000-0000-0000C0000000}"/>
    <cellStyle name="Normal 10 2" xfId="38" xr:uid="{00000000-0005-0000-0000-0000C1000000}"/>
    <cellStyle name="Normal 11" xfId="77" xr:uid="{00000000-0005-0000-0000-0000C2000000}"/>
    <cellStyle name="Normal 12" xfId="302" xr:uid="{00000000-0005-0000-0000-0000C3000000}"/>
    <cellStyle name="Normal 12 2" xfId="238" xr:uid="{00000000-0005-0000-0000-0000C4000000}"/>
    <cellStyle name="Normal 13" xfId="39" xr:uid="{00000000-0005-0000-0000-0000C5000000}"/>
    <cellStyle name="Normal 13 2" xfId="239" xr:uid="{00000000-0005-0000-0000-0000C6000000}"/>
    <cellStyle name="Normal 14" xfId="303" xr:uid="{00000000-0005-0000-0000-0000C7000000}"/>
    <cellStyle name="Normal 14 2" xfId="240" xr:uid="{00000000-0005-0000-0000-0000C8000000}"/>
    <cellStyle name="Normal 15" xfId="304" xr:uid="{00000000-0005-0000-0000-0000C9000000}"/>
    <cellStyle name="Normal 15 2" xfId="241" xr:uid="{00000000-0005-0000-0000-0000CA000000}"/>
    <cellStyle name="Normal 16 2" xfId="40" xr:uid="{00000000-0005-0000-0000-0000CB000000}"/>
    <cellStyle name="Normal 17 2" xfId="242" xr:uid="{00000000-0005-0000-0000-0000CC000000}"/>
    <cellStyle name="Normal 18" xfId="41" xr:uid="{00000000-0005-0000-0000-0000CD000000}"/>
    <cellStyle name="Normal 18 2" xfId="81" xr:uid="{00000000-0005-0000-0000-0000CE000000}"/>
    <cellStyle name="Normal 2" xfId="3" xr:uid="{00000000-0005-0000-0000-0000CF000000}"/>
    <cellStyle name="Normal 2 10" xfId="78" xr:uid="{00000000-0005-0000-0000-0000D0000000}"/>
    <cellStyle name="Normal 2 11" xfId="243" xr:uid="{00000000-0005-0000-0000-0000D1000000}"/>
    <cellStyle name="Normal 2 2" xfId="42" xr:uid="{00000000-0005-0000-0000-0000D2000000}"/>
    <cellStyle name="Normal 2 2 2" xfId="43" xr:uid="{00000000-0005-0000-0000-0000D3000000}"/>
    <cellStyle name="Normal 2 2 24 2 3" xfId="44" xr:uid="{00000000-0005-0000-0000-0000D4000000}"/>
    <cellStyle name="Normal 2 2 3" xfId="45" xr:uid="{00000000-0005-0000-0000-0000D5000000}"/>
    <cellStyle name="Normal 2 2_BP05 15 Sept 08  BQ (Formatted by DLSVN) _ JBM" xfId="46" xr:uid="{00000000-0005-0000-0000-0000D6000000}"/>
    <cellStyle name="Normal 2 3" xfId="244" xr:uid="{00000000-0005-0000-0000-0000D7000000}"/>
    <cellStyle name="Normal 2 4" xfId="245" xr:uid="{00000000-0005-0000-0000-0000D8000000}"/>
    <cellStyle name="Normal 2 5" xfId="246" xr:uid="{00000000-0005-0000-0000-0000D9000000}"/>
    <cellStyle name="Normal 2 5 2 3 2 2 3 2 3" xfId="47" xr:uid="{00000000-0005-0000-0000-0000DA000000}"/>
    <cellStyle name="Normal 2 5 3" xfId="48" xr:uid="{00000000-0005-0000-0000-0000DB000000}"/>
    <cellStyle name="Normal 2 5 3 2" xfId="49" xr:uid="{00000000-0005-0000-0000-0000DC000000}"/>
    <cellStyle name="Normal 2 6" xfId="50" xr:uid="{00000000-0005-0000-0000-0000DD000000}"/>
    <cellStyle name="Normal 2 6 2" xfId="51" xr:uid="{00000000-0005-0000-0000-0000DE000000}"/>
    <cellStyle name="Normal 2 6 3" xfId="52" xr:uid="{00000000-0005-0000-0000-0000DF000000}"/>
    <cellStyle name="Normal 2 7" xfId="53" xr:uid="{00000000-0005-0000-0000-0000E0000000}"/>
    <cellStyle name="Normal 2 8" xfId="247" xr:uid="{00000000-0005-0000-0000-0000E1000000}"/>
    <cellStyle name="Normal 2 9" xfId="54" xr:uid="{00000000-0005-0000-0000-0000E2000000}"/>
    <cellStyle name="Normal 2_VingCard Visionline Calculation - DO NOT SEND" xfId="55" xr:uid="{00000000-0005-0000-0000-0000E3000000}"/>
    <cellStyle name="Normal 20" xfId="248" xr:uid="{00000000-0005-0000-0000-0000E4000000}"/>
    <cellStyle name="Normal 20 2" xfId="1" xr:uid="{00000000-0005-0000-0000-0000E5000000}"/>
    <cellStyle name="Normal 20 2 2" xfId="56" xr:uid="{00000000-0005-0000-0000-0000E6000000}"/>
    <cellStyle name="Normal 21" xfId="249" xr:uid="{00000000-0005-0000-0000-0000E7000000}"/>
    <cellStyle name="Normal 230" xfId="250" xr:uid="{00000000-0005-0000-0000-0000E8000000}"/>
    <cellStyle name="Normal 3" xfId="57" xr:uid="{00000000-0005-0000-0000-0000E9000000}"/>
    <cellStyle name="Normal 3 2" xfId="251" xr:uid="{00000000-0005-0000-0000-0000EA000000}"/>
    <cellStyle name="Normal 3 3" xfId="252" xr:uid="{00000000-0005-0000-0000-0000EB000000}"/>
    <cellStyle name="Normal 3 3 2" xfId="58" xr:uid="{00000000-0005-0000-0000-0000EC000000}"/>
    <cellStyle name="Normal 3 3 2 2" xfId="59" xr:uid="{00000000-0005-0000-0000-0000ED000000}"/>
    <cellStyle name="Normal 3 4" xfId="253" xr:uid="{00000000-0005-0000-0000-0000EE000000}"/>
    <cellStyle name="Normal 3 5" xfId="254" xr:uid="{00000000-0005-0000-0000-0000EF000000}"/>
    <cellStyle name="Normal 4" xfId="60" xr:uid="{00000000-0005-0000-0000-0000F0000000}"/>
    <cellStyle name="Normal 4 2" xfId="61" xr:uid="{00000000-0005-0000-0000-0000F1000000}"/>
    <cellStyle name="Normal 4 3" xfId="255" xr:uid="{00000000-0005-0000-0000-0000F2000000}"/>
    <cellStyle name="Normal 4 4" xfId="256" xr:uid="{00000000-0005-0000-0000-0000F3000000}"/>
    <cellStyle name="Normal 5" xfId="62" xr:uid="{00000000-0005-0000-0000-0000F4000000}"/>
    <cellStyle name="Normal 5 2" xfId="63" xr:uid="{00000000-0005-0000-0000-0000F5000000}"/>
    <cellStyle name="Normal 5 2 2" xfId="257" xr:uid="{00000000-0005-0000-0000-0000F6000000}"/>
    <cellStyle name="Normal 5 3" xfId="79" xr:uid="{00000000-0005-0000-0000-0000F7000000}"/>
    <cellStyle name="Normal 5 3 2" xfId="258" xr:uid="{00000000-0005-0000-0000-0000F8000000}"/>
    <cellStyle name="Normal 5 4" xfId="259" xr:uid="{00000000-0005-0000-0000-0000F9000000}"/>
    <cellStyle name="Normal 5 4 2" xfId="260" xr:uid="{00000000-0005-0000-0000-0000FA000000}"/>
    <cellStyle name="Normal 5 5" xfId="261" xr:uid="{00000000-0005-0000-0000-0000FB000000}"/>
    <cellStyle name="Normal 5 5 2" xfId="262" xr:uid="{00000000-0005-0000-0000-0000FC000000}"/>
    <cellStyle name="Normal 5 6" xfId="263" xr:uid="{00000000-0005-0000-0000-0000FD000000}"/>
    <cellStyle name="Normal 5 6 2" xfId="264" xr:uid="{00000000-0005-0000-0000-0000FE000000}"/>
    <cellStyle name="Normal 6" xfId="64" xr:uid="{00000000-0005-0000-0000-0000FF000000}"/>
    <cellStyle name="Normal 6 2" xfId="265" xr:uid="{00000000-0005-0000-0000-000000010000}"/>
    <cellStyle name="Normal 6 2 2" xfId="266" xr:uid="{00000000-0005-0000-0000-000001010000}"/>
    <cellStyle name="Normal 6 3" xfId="267" xr:uid="{00000000-0005-0000-0000-000002010000}"/>
    <cellStyle name="Normal 6 3 2" xfId="268" xr:uid="{00000000-0005-0000-0000-000003010000}"/>
    <cellStyle name="Normal 6 4" xfId="269" xr:uid="{00000000-0005-0000-0000-000004010000}"/>
    <cellStyle name="Normal 6 4 2" xfId="270" xr:uid="{00000000-0005-0000-0000-000005010000}"/>
    <cellStyle name="Normal 6 5" xfId="271" xr:uid="{00000000-0005-0000-0000-000006010000}"/>
    <cellStyle name="Normal 6 5 2" xfId="272" xr:uid="{00000000-0005-0000-0000-000007010000}"/>
    <cellStyle name="Normal 7" xfId="65" xr:uid="{00000000-0005-0000-0000-000008010000}"/>
    <cellStyle name="Normal 7 2" xfId="273" xr:uid="{00000000-0005-0000-0000-000009010000}"/>
    <cellStyle name="Normal 7 2 2" xfId="274" xr:uid="{00000000-0005-0000-0000-00000A010000}"/>
    <cellStyle name="Normal 7 3" xfId="275" xr:uid="{00000000-0005-0000-0000-00000B010000}"/>
    <cellStyle name="Normal 7 3 2" xfId="276" xr:uid="{00000000-0005-0000-0000-00000C010000}"/>
    <cellStyle name="Normal 7 4" xfId="277" xr:uid="{00000000-0005-0000-0000-00000D010000}"/>
    <cellStyle name="Normal 7 4 2" xfId="278" xr:uid="{00000000-0005-0000-0000-00000E010000}"/>
    <cellStyle name="Normal 8" xfId="66" xr:uid="{00000000-0005-0000-0000-00000F010000}"/>
    <cellStyle name="Normal 8 2" xfId="80" xr:uid="{00000000-0005-0000-0000-000010010000}"/>
    <cellStyle name="Normal 8 2 2" xfId="279" xr:uid="{00000000-0005-0000-0000-000011010000}"/>
    <cellStyle name="Normal 8 3" xfId="67" xr:uid="{00000000-0005-0000-0000-000012010000}"/>
    <cellStyle name="Normal 8 3 2" xfId="280" xr:uid="{00000000-0005-0000-0000-000013010000}"/>
    <cellStyle name="Normal 8 4" xfId="281" xr:uid="{00000000-0005-0000-0000-000014010000}"/>
    <cellStyle name="Normal 8 4 2" xfId="282" xr:uid="{00000000-0005-0000-0000-000015010000}"/>
    <cellStyle name="Normal 9" xfId="68" xr:uid="{00000000-0005-0000-0000-000016010000}"/>
    <cellStyle name="normální_List1" xfId="283" xr:uid="{00000000-0005-0000-0000-000017010000}"/>
    <cellStyle name="Note 2" xfId="284" xr:uid="{00000000-0005-0000-0000-000018010000}"/>
    <cellStyle name="Note 3" xfId="285" xr:uid="{00000000-0005-0000-0000-000019010000}"/>
    <cellStyle name="Note 4" xfId="286" xr:uid="{00000000-0005-0000-0000-00001A010000}"/>
    <cellStyle name="Numero Fiches" xfId="69" xr:uid="{00000000-0005-0000-0000-00001B010000}"/>
    <cellStyle name="Numero UG" xfId="70" xr:uid="{00000000-0005-0000-0000-00001C010000}"/>
    <cellStyle name="Option" xfId="287" xr:uid="{00000000-0005-0000-0000-00001D010000}"/>
    <cellStyle name="Output 2" xfId="288" xr:uid="{00000000-0005-0000-0000-00001E010000}"/>
    <cellStyle name="Percent" xfId="301" builtinId="5"/>
    <cellStyle name="Percent 2" xfId="71" xr:uid="{00000000-0005-0000-0000-000020010000}"/>
    <cellStyle name="Percent 2 2" xfId="72" xr:uid="{00000000-0005-0000-0000-000021010000}"/>
    <cellStyle name="Regular Type" xfId="289" xr:uid="{00000000-0005-0000-0000-000022010000}"/>
    <cellStyle name="Regular Type 2" xfId="290" xr:uid="{00000000-0005-0000-0000-000023010000}"/>
    <cellStyle name="Regular Type 3" xfId="291" xr:uid="{00000000-0005-0000-0000-000024010000}"/>
    <cellStyle name="Sheet Title" xfId="292" xr:uid="{00000000-0005-0000-0000-000025010000}"/>
    <cellStyle name="Sheet Title 2" xfId="293" xr:uid="{00000000-0005-0000-0000-000026010000}"/>
    <cellStyle name="Small Heading" xfId="294" xr:uid="{00000000-0005-0000-0000-000027010000}"/>
    <cellStyle name="Style 1" xfId="73" xr:uid="{00000000-0005-0000-0000-000028010000}"/>
    <cellStyle name="Style 1 2" xfId="295" xr:uid="{00000000-0005-0000-0000-000029010000}"/>
    <cellStyle name="Style 1 31" xfId="74" xr:uid="{00000000-0005-0000-0000-00002A010000}"/>
    <cellStyle name="Style 1_Copy of NA Image creation utilityV7" xfId="296" xr:uid="{00000000-0005-0000-0000-00002B010000}"/>
    <cellStyle name="Title 2" xfId="297" xr:uid="{00000000-0005-0000-0000-00002C010000}"/>
    <cellStyle name="Total 2" xfId="298" xr:uid="{00000000-0005-0000-0000-00002D010000}"/>
    <cellStyle name="Warning Text 2" xfId="299" xr:uid="{00000000-0005-0000-0000-00002E010000}"/>
    <cellStyle name="쉼표 [0] 2" xfId="75" xr:uid="{00000000-0005-0000-0000-00002F010000}"/>
    <cellStyle name="표준 2" xfId="76" xr:uid="{00000000-0005-0000-0000-000030010000}"/>
  </cellStyles>
  <dxfs count="0"/>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13" Type="http://schemas.openxmlformats.org/officeDocument/2006/relationships/externalLink" Target="externalLinks/externalLink9.xml"/><Relationship Id="rId18" Type="http://schemas.openxmlformats.org/officeDocument/2006/relationships/externalLink" Target="externalLinks/externalLink14.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externalLink" Target="externalLinks/externalLink3.xml"/><Relationship Id="rId12" Type="http://schemas.openxmlformats.org/officeDocument/2006/relationships/externalLink" Target="externalLinks/externalLink8.xml"/><Relationship Id="rId17" Type="http://schemas.openxmlformats.org/officeDocument/2006/relationships/externalLink" Target="externalLinks/externalLink13.xml"/><Relationship Id="rId2" Type="http://schemas.openxmlformats.org/officeDocument/2006/relationships/worksheet" Target="worksheets/sheet2.xml"/><Relationship Id="rId16" Type="http://schemas.openxmlformats.org/officeDocument/2006/relationships/externalLink" Target="externalLinks/externalLink12.xml"/><Relationship Id="rId20" Type="http://schemas.openxmlformats.org/officeDocument/2006/relationships/externalLink" Target="externalLinks/externalLink16.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externalLink" Target="externalLinks/externalLink7.xml"/><Relationship Id="rId24" Type="http://schemas.openxmlformats.org/officeDocument/2006/relationships/calcChain" Target="calcChain.xml"/><Relationship Id="rId5" Type="http://schemas.openxmlformats.org/officeDocument/2006/relationships/externalLink" Target="externalLinks/externalLink1.xml"/><Relationship Id="rId15" Type="http://schemas.openxmlformats.org/officeDocument/2006/relationships/externalLink" Target="externalLinks/externalLink11.xml"/><Relationship Id="rId23" Type="http://schemas.openxmlformats.org/officeDocument/2006/relationships/sharedStrings" Target="sharedStrings.xml"/><Relationship Id="rId10" Type="http://schemas.openxmlformats.org/officeDocument/2006/relationships/externalLink" Target="externalLinks/externalLink6.xml"/><Relationship Id="rId19" Type="http://schemas.openxmlformats.org/officeDocument/2006/relationships/externalLink" Target="externalLinks/externalLink15.xml"/><Relationship Id="rId4" Type="http://schemas.openxmlformats.org/officeDocument/2006/relationships/worksheet" Target="worksheets/sheet4.xml"/><Relationship Id="rId9" Type="http://schemas.openxmlformats.org/officeDocument/2006/relationships/externalLink" Target="externalLinks/externalLink5.xml"/><Relationship Id="rId14" Type="http://schemas.openxmlformats.org/officeDocument/2006/relationships/externalLink" Target="externalLinks/externalLink10.xml"/><Relationship Id="rId22"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9525</xdr:colOff>
      <xdr:row>0</xdr:row>
      <xdr:rowOff>152399</xdr:rowOff>
    </xdr:from>
    <xdr:to>
      <xdr:col>2</xdr:col>
      <xdr:colOff>3300704</xdr:colOff>
      <xdr:row>2</xdr:row>
      <xdr:rowOff>390524</xdr:rowOff>
    </xdr:to>
    <xdr:sp macro="" textlink="">
      <xdr:nvSpPr>
        <xdr:cNvPr id="2" name="Text Box 1">
          <a:extLst>
            <a:ext uri="{FF2B5EF4-FFF2-40B4-BE49-F238E27FC236}">
              <a16:creationId xmlns:a16="http://schemas.microsoft.com/office/drawing/2014/main" id="{4F51013B-D640-4811-B3CD-A137AC88D608}"/>
            </a:ext>
          </a:extLst>
        </xdr:cNvPr>
        <xdr:cNvSpPr txBox="1">
          <a:spLocks noChangeArrowheads="1"/>
        </xdr:cNvSpPr>
      </xdr:nvSpPr>
      <xdr:spPr bwMode="auto">
        <a:xfrm>
          <a:off x="9525" y="152399"/>
          <a:ext cx="5782919" cy="520065"/>
        </a:xfrm>
        <a:prstGeom prst="rect">
          <a:avLst/>
        </a:prstGeom>
        <a:gradFill rotWithShape="1">
          <a:gsLst>
            <a:gs pos="0">
              <a:srgbClr val="00B388"/>
            </a:gs>
            <a:gs pos="100000">
              <a:srgbClr val="FFFFFF">
                <a:alpha val="47000"/>
              </a:srgbClr>
            </a:gs>
          </a:gsLst>
          <a:lin ang="0" scaled="1"/>
        </a:gradFill>
        <a:ln w="9525">
          <a:noFill/>
          <a:miter lim="800000"/>
          <a:headEnd/>
          <a:tailEnd/>
        </a:ln>
      </xdr:spPr>
      <xdr:txBody>
        <a:bodyPr vertOverflow="clip" wrap="square" lIns="45720" tIns="50292" rIns="0" bIns="50292" anchor="ctr" upright="1"/>
        <a:lstStyle/>
        <a:p>
          <a:pPr algn="l" rtl="0">
            <a:defRPr sz="1000"/>
          </a:pPr>
          <a:r>
            <a:rPr lang="en-US" sz="1800" b="0" i="0" u="none" strike="noStrike" baseline="0">
              <a:solidFill>
                <a:sysClr val="windowText" lastClr="000000"/>
              </a:solidFill>
              <a:latin typeface="Futura Hv"/>
            </a:rPr>
            <a:t>  </a:t>
          </a:r>
          <a:r>
            <a:rPr lang="en-US" sz="1800" b="1" i="0" u="none" strike="noStrike" baseline="0">
              <a:solidFill>
                <a:schemeClr val="bg1"/>
              </a:solidFill>
              <a:latin typeface="Futura Hv"/>
            </a:rPr>
            <a:t>BUDGETARY QUOTE</a:t>
          </a:r>
        </a:p>
      </xdr:txBody>
    </xdr:sp>
    <xdr:clientData/>
  </xdr:twoCellAnchor>
  <xdr:twoCellAnchor editAs="oneCell">
    <xdr:from>
      <xdr:col>4</xdr:col>
      <xdr:colOff>672465</xdr:colOff>
      <xdr:row>0</xdr:row>
      <xdr:rowOff>0</xdr:rowOff>
    </xdr:from>
    <xdr:to>
      <xdr:col>5</xdr:col>
      <xdr:colOff>1186815</xdr:colOff>
      <xdr:row>3</xdr:row>
      <xdr:rowOff>139362</xdr:rowOff>
    </xdr:to>
    <xdr:pic>
      <xdr:nvPicPr>
        <xdr:cNvPr id="3" name="Picture 2">
          <a:extLst>
            <a:ext uri="{FF2B5EF4-FFF2-40B4-BE49-F238E27FC236}">
              <a16:creationId xmlns:a16="http://schemas.microsoft.com/office/drawing/2014/main" id="{BC8A6011-E369-4A9F-9F87-2123F78027B8}"/>
            </a:ext>
          </a:extLst>
        </xdr:cNvPr>
        <xdr:cNvPicPr>
          <a:picLocks noChangeAspect="1"/>
        </xdr:cNvPicPr>
      </xdr:nvPicPr>
      <xdr:blipFill>
        <a:blip xmlns:r="http://schemas.openxmlformats.org/officeDocument/2006/relationships" r:embed="rId1"/>
        <a:stretch>
          <a:fillRect/>
        </a:stretch>
      </xdr:blipFill>
      <xdr:spPr>
        <a:xfrm>
          <a:off x="7012305" y="0"/>
          <a:ext cx="1550670" cy="65752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44608;&#54217;&#54840;\C\'&#52572;&#50980;&#50689;\&#51060;&#49244;&#50980;&#50689;\&#50696;&#49328;&#44288;&#47532;\98FAB&#44228;&#54925;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Nt-idbcd-wg1\USER\SETSUBI\ME-2&#31309;&#31639;\01&#31309;&#31639;&#12503;&#12525;&#12472;&#12455;&#12463;&#12488;\&#20013;&#22269;\(2004.12)ACW%20PJ(&#12381;&#12398;2&#65289;\pulau%20final\WINDOWS\Desktop\New%20Folder\Qo-1585.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MSOffice\Excel\work\&#45236;&#5066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A:\&#44033;&#54788;&#51109;\&#54788;&#51109;\&#44277;&#51452;&#45824;&#54617;&#44368;\&#49328;&#50629;&#44284;&#54617;&#44288;\&#44148;&#52629;.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44608;&#48124;&#49440;\SPUTTER%20&#54217;&#54840;\NYJ\JMN\PLAN\97PLAN\0924\&#51228;&#54408;&#48324;.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ownloads\070\My%20Documents\&#45909;&#54413;&#44048;&#48513;&#46020;&#47196;\&#45909;&#54413;&#44048;&#48513;&#44221;&#48708;.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52380;&#52285;&#54840;\&#44032;&#49892;&#54665;\&#50641;&#49472;data\&#45800;&#51648;\&#44257;&#48152;&#51221;&#51648;&#44396;.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44608;&#54217;&#54840;\&#44284;%20&#52712;&#54633;\NYJ\JMN\PLAN\97PLAN\0924\&#51228;&#54408;&#48324;.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44608;&#54217;&#54840;\C\SPUTTER\&#44284;%20&#52712;&#54633;\&#44032;&#46041;&#47456;\&#50900;%20&#44032;&#46041;&#47456;\99&#24180;8&#26376;\NYJ\JMN\PLAN\97PLAN\0924\&#51228;&#54408;&#4832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A:\&#44033;&#54788;&#51109;\&#54788;&#51109;\&#44277;&#51452;&#45824;&#54617;&#44368;\&#52404;&#50977;&#44288;\&#44592;&#50504;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A:\EXCEL\SHJ1\&#49464;&#51333;&#51077;&#52272;\980218\EXCEL\&#44608;&#49457;&#51456;\&#48512;&#52380;&#44277;&#51109;\CHUJ.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Y12272\&#49892;&#49884;&#49444;&#44228;\pjt-2002\&#54217;&#54868;&#51032;&#45840;\&#50696;&#49328;&#49436;(&#51068;&#50948;&#45824;&#44032;,&#45840;)\&#49444;&#44228;&#48320;&#44221;(&#44397;&#51088;)\&#44397;&#51088;&#48320;&#44221;&#53685;&#49888;\13&#52264;.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A:\EXCEL\SHJ1\&#49464;&#51333;&#51077;&#52272;\980218\PROPOSAL\ELEC\345KV\EULJOO\EUL.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44608;&#48124;&#49440;\C\NYJ\JMN\PLAN\97PLAN\0924\&#51228;&#54408;&#48324;.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52380;&#52285;&#54840;\&#44032;&#49892;&#54665;\My%20Documents\&#53664;&#47785;&#44204;&#51201;2000\2000&#53664;&#47785;&#44204;&#51201;\20000525%20%20&#54868;&#54633;&#45824;&#44368;(&#51204;&#45224;)\My%20Documents\KHDATA\&#44288;&#47532;&#52397;\&#50896;&#45224;-&#50872;&#51652;\&#50896;&#45224;&#50872;&#51652;&#45209;&#52272;&#45236;&#50669;(99.4.13%20&#48512;&#49328;&#52397;).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B:\&#51077;&#52272;&#50504;.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1-F3"/>
      <sheetName val="F4-F7"/>
      <sheetName val="DivA1 - He thong nuoc cap"/>
      <sheetName val="FAB별"/>
      <sheetName val="wall"/>
    </sheetNames>
    <sheetDataSet>
      <sheetData sheetId="0" refreshError="1"/>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
      <sheetName val="B"/>
      <sheetName val="C"/>
      <sheetName val="D"/>
      <sheetName val="E"/>
      <sheetName val="G"/>
      <sheetName val="H"/>
      <sheetName val="I"/>
      <sheetName val="J"/>
      <sheetName val="K"/>
      <sheetName val="L"/>
      <sheetName val="M"/>
      <sheetName val="N"/>
      <sheetName val="O"/>
      <sheetName val="P"/>
      <sheetName val="Q"/>
      <sheetName val="R"/>
      <sheetName val="S"/>
      <sheetName val="T"/>
      <sheetName val="U"/>
      <sheetName val="V"/>
      <sheetName val="W"/>
      <sheetName val="X"/>
      <sheetName val="Y"/>
      <sheetName val="Z"/>
      <sheetName val="AA"/>
      <sheetName val="Cash1"/>
      <sheetName val="Cash2"/>
      <sheetName val="Cash_Sum"/>
      <sheetName val="Scope"/>
      <sheetName val="M Budget"/>
      <sheetName val="Material of Quantities"/>
      <sheetName val="unit price list"/>
      <sheetName val="Project Data"/>
      <sheetName val="Cover"/>
      <sheetName val="Ｎｏ.13"/>
      <sheetName val="운반"/>
      <sheetName val="아파트 "/>
      <sheetName val="6MONTHS"/>
      <sheetName val="Qo-1585"/>
      <sheetName val="Raw 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row r="179">
          <cell r="T179">
            <v>205</v>
          </cell>
          <cell r="U179">
            <v>218</v>
          </cell>
          <cell r="V179">
            <v>302</v>
          </cell>
          <cell r="W179">
            <v>419</v>
          </cell>
          <cell r="X179">
            <v>433</v>
          </cell>
          <cell r="Y179">
            <v>430</v>
          </cell>
          <cell r="Z179">
            <v>494</v>
          </cell>
          <cell r="AA179">
            <v>520</v>
          </cell>
          <cell r="AB179">
            <v>522</v>
          </cell>
          <cell r="AC179">
            <v>508</v>
          </cell>
          <cell r="AD179">
            <v>581</v>
          </cell>
          <cell r="AE179">
            <v>524</v>
          </cell>
          <cell r="AF179">
            <v>526</v>
          </cell>
          <cell r="AG179">
            <v>502</v>
          </cell>
          <cell r="AH179">
            <v>248</v>
          </cell>
        </row>
        <row r="180">
          <cell r="T180">
            <v>205</v>
          </cell>
          <cell r="U180">
            <v>423</v>
          </cell>
          <cell r="V180">
            <v>725</v>
          </cell>
          <cell r="W180">
            <v>1144</v>
          </cell>
          <cell r="X180">
            <v>1577</v>
          </cell>
          <cell r="Y180">
            <v>2007</v>
          </cell>
          <cell r="Z180">
            <v>2501</v>
          </cell>
          <cell r="AA180">
            <v>3021</v>
          </cell>
          <cell r="AB180">
            <v>3543</v>
          </cell>
          <cell r="AC180">
            <v>4051</v>
          </cell>
          <cell r="AD180">
            <v>4632</v>
          </cell>
          <cell r="AE180">
            <v>5156</v>
          </cell>
          <cell r="AF180">
            <v>5682</v>
          </cell>
          <cell r="AG180">
            <v>6184</v>
          </cell>
          <cell r="AH180">
            <v>6432</v>
          </cell>
        </row>
      </sheetData>
      <sheetData sheetId="25" refreshError="1"/>
      <sheetData sheetId="26" refreshError="1"/>
      <sheetData sheetId="27" refreshError="1">
        <row r="16">
          <cell r="G16">
            <v>3100889.7360623879</v>
          </cell>
          <cell r="J16">
            <v>-3100889.7360623879</v>
          </cell>
          <cell r="K16">
            <v>-3100889.7360623879</v>
          </cell>
        </row>
        <row r="17">
          <cell r="G17">
            <v>934385.75607295427</v>
          </cell>
          <cell r="J17">
            <v>3270260.8906708667</v>
          </cell>
          <cell r="K17">
            <v>169371.15460847877</v>
          </cell>
        </row>
        <row r="18">
          <cell r="G18">
            <v>944284.9960087979</v>
          </cell>
          <cell r="J18">
            <v>-441747.35457777925</v>
          </cell>
          <cell r="K18">
            <v>-272376.19996930048</v>
          </cell>
        </row>
        <row r="19">
          <cell r="G19">
            <v>1100235.2378667907</v>
          </cell>
          <cell r="J19">
            <v>-565829.35575965873</v>
          </cell>
          <cell r="K19">
            <v>-838205.55572895915</v>
          </cell>
        </row>
        <row r="20">
          <cell r="G20">
            <v>1079751.2161132174</v>
          </cell>
          <cell r="J20">
            <v>-339427.47117581428</v>
          </cell>
          <cell r="K20">
            <v>-1177633.0269047734</v>
          </cell>
        </row>
        <row r="21">
          <cell r="G21">
            <v>1123783.6778401346</v>
          </cell>
          <cell r="J21">
            <v>-96645.766817710944</v>
          </cell>
          <cell r="K21">
            <v>-1274278.7937224843</v>
          </cell>
        </row>
        <row r="22">
          <cell r="G22">
            <v>1105143.8836787788</v>
          </cell>
          <cell r="J22">
            <v>-43686.328851310071</v>
          </cell>
          <cell r="K22">
            <v>-1317965.1225737943</v>
          </cell>
        </row>
        <row r="23">
          <cell r="G23">
            <v>1211873.7212221269</v>
          </cell>
          <cell r="J23">
            <v>-157770.37578145368</v>
          </cell>
          <cell r="K23">
            <v>-1475735.498355248</v>
          </cell>
        </row>
        <row r="24">
          <cell r="G24">
            <v>1242897.4469518734</v>
          </cell>
          <cell r="J24">
            <v>-31904.301259564934</v>
          </cell>
          <cell r="K24">
            <v>-1507639.7996148129</v>
          </cell>
        </row>
        <row r="25">
          <cell r="G25">
            <v>1242388.6634660121</v>
          </cell>
          <cell r="J25">
            <v>32340.963578523137</v>
          </cell>
          <cell r="K25">
            <v>-1475298.8360362898</v>
          </cell>
        </row>
        <row r="26">
          <cell r="G26">
            <v>1173097.4003922935</v>
          </cell>
          <cell r="J26">
            <v>106535.03291010531</v>
          </cell>
          <cell r="K26">
            <v>-1368763.8031261845</v>
          </cell>
        </row>
        <row r="27">
          <cell r="G27">
            <v>1246958.3770815907</v>
          </cell>
          <cell r="J27">
            <v>-1645.5875842371024</v>
          </cell>
          <cell r="K27">
            <v>-1370409.3907104216</v>
          </cell>
        </row>
        <row r="28">
          <cell r="G28">
            <v>1129849.8697283007</v>
          </cell>
          <cell r="J28">
            <v>294415.34818107402</v>
          </cell>
          <cell r="K28">
            <v>-1075994.0425293476</v>
          </cell>
        </row>
        <row r="29">
          <cell r="G29">
            <v>1362669.9593027527</v>
          </cell>
          <cell r="J29">
            <v>-78134.719742490212</v>
          </cell>
          <cell r="K29">
            <v>-1154128.7622718378</v>
          </cell>
        </row>
        <row r="30">
          <cell r="G30">
            <v>1257111.2537174637</v>
          </cell>
          <cell r="J30">
            <v>32326.792100662133</v>
          </cell>
          <cell r="K30">
            <v>-1121801.9701711757</v>
          </cell>
        </row>
        <row r="31">
          <cell r="G31">
            <v>766806.14375081041</v>
          </cell>
          <cell r="J31">
            <v>463798.22697295237</v>
          </cell>
          <cell r="K31">
            <v>-658003.7431982233</v>
          </cell>
        </row>
        <row r="32">
          <cell r="J32">
            <v>607947.97597508598</v>
          </cell>
          <cell r="K32">
            <v>-50055.767223137314</v>
          </cell>
        </row>
        <row r="33">
          <cell r="J33">
            <v>0</v>
          </cell>
          <cell r="K33">
            <v>-50055.767223137314</v>
          </cell>
        </row>
        <row r="34">
          <cell r="J34">
            <v>0</v>
          </cell>
          <cell r="K34">
            <v>-50055.767223137314</v>
          </cell>
        </row>
        <row r="35">
          <cell r="J35">
            <v>1051161.6616859552</v>
          </cell>
          <cell r="K35">
            <v>1001105.8944628179</v>
          </cell>
        </row>
        <row r="36">
          <cell r="J36">
            <v>0</v>
          </cell>
          <cell r="K36">
            <v>1001105.8944628179</v>
          </cell>
        </row>
      </sheetData>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총괄"/>
      <sheetName val="갑,을"/>
      <sheetName val="노임단가"/>
      <sheetName val="표지"/>
      <sheetName val="개요"/>
      <sheetName val="사통"/>
      <sheetName val="단가검토"/>
      <sheetName val="설치중량 "/>
      <sheetName val="철거중량"/>
      <sheetName val="수문일위 "/>
      <sheetName val="자재단가"/>
      <sheetName val="Summary"/>
    </sheetNames>
    <sheetDataSet>
      <sheetData sheetId="0"/>
      <sheetData sheetId="1"/>
      <sheetData sheetId="2"/>
      <sheetData sheetId="3"/>
      <sheetData sheetId="4"/>
      <sheetData sheetId="5"/>
      <sheetData sheetId="6"/>
      <sheetData sheetId="7"/>
      <sheetData sheetId="8"/>
      <sheetData sheetId="9"/>
      <sheetData sheetId="10"/>
      <sheetData sheetId="1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실행"/>
      <sheetName val="동별집계"/>
      <sheetName val="공종집계"/>
      <sheetName val="현장안"/>
      <sheetName val="전기"/>
    </sheetNames>
    <sheetDataSet>
      <sheetData sheetId="0"/>
      <sheetData sheetId="1"/>
      <sheetData sheetId="2"/>
      <sheetData sheetId="3"/>
      <sheetData sheetId="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AB별"/>
      <sheetName val="Input"/>
      <sheetName val="Quantity"/>
      <sheetName val="wall"/>
      <sheetName val="전기일위대가"/>
      <sheetName val="내역서"/>
      <sheetName val="집계표(OPTION)"/>
      <sheetName val="Sheet2"/>
      <sheetName val="Sheet1"/>
      <sheetName val="DATE"/>
      <sheetName val="breakdown"/>
      <sheetName val="F4-F7"/>
      <sheetName val="정부노임단가"/>
      <sheetName val="공사비내역서"/>
      <sheetName val="원형맨홀수량"/>
      <sheetName val="공사비 내역 (가)"/>
      <sheetName val="노임"/>
      <sheetName val="제품별"/>
      <sheetName val="산근"/>
      <sheetName val="기둥(원형)"/>
      <sheetName val="개산공사비"/>
      <sheetName val="노무비단가"/>
      <sheetName val="일위대가목차"/>
      <sheetName val="단가표"/>
      <sheetName val="H.P견적(참조)"/>
      <sheetName val="BID"/>
      <sheetName val="일위대가표"/>
      <sheetName val="Sheet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가설공통공사"/>
      <sheetName val="기구조직"/>
      <sheetName val="기본입력"/>
      <sheetName val="경비2내역"/>
      <sheetName val="기준단가"/>
      <sheetName val="접대비"/>
      <sheetName val="선급금"/>
      <sheetName val="하자수수료"/>
      <sheetName val="BANG TONG HOP (2)"/>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대비"/>
      <sheetName val="토공"/>
      <sheetName val="Input"/>
      <sheetName val="전기"/>
    </sheetNames>
    <sheetDataSet>
      <sheetData sheetId="0"/>
      <sheetData sheetId="1"/>
      <sheetData sheetId="2" refreshError="1"/>
      <sheetData sheetId="3"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AB별"/>
      <sheetName val="breakdown"/>
      <sheetName val="F4-F7"/>
      <sheetName val="정부노임단가"/>
      <sheetName val="공사비내역서"/>
      <sheetName val="원형맨홀수량"/>
      <sheetName val="공사비 내역 (가)"/>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AB별"/>
      <sheetName val="노임"/>
      <sheetName val="제품별"/>
      <sheetName val="산근"/>
      <sheetName val="기둥(원형)"/>
    </sheetNames>
    <sheetDataSet>
      <sheetData sheetId="0" refreshError="1"/>
      <sheetData sheetId="1" refreshError="1"/>
      <sheetData sheetId="2" refreshError="1"/>
      <sheetData sheetId="3" refreshError="1"/>
      <sheetData sheetId="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기안"/>
      <sheetName val="평"/>
      <sheetName val="공사개요"/>
      <sheetName val="Sheet1"/>
      <sheetName val="XL4Poppy"/>
    </sheetNames>
    <sheetDataSet>
      <sheetData sheetId="0"/>
      <sheetData sheetId="1" refreshError="1"/>
      <sheetData sheetId="2" refreshError="1"/>
      <sheetData sheetId="3" refreshError="1"/>
      <sheetData sheetId="4"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공사개요"/>
      <sheetName val="개산공사비"/>
      <sheetName val="증가분"/>
      <sheetName val="증가수정"/>
      <sheetName val="문의사항"/>
      <sheetName val="산근"/>
      <sheetName val="Sheet1"/>
      <sheetName val="개"/>
      <sheetName val="대비표"/>
      <sheetName val="평3"/>
      <sheetName val="평"/>
      <sheetName val="예총"/>
      <sheetName val="기안"/>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총괄"/>
      <sheetName val="본댐"/>
      <sheetName val="도수"/>
      <sheetName val="ssb"/>
      <sheetName val="증감"/>
      <sheetName val="토목"/>
      <sheetName val="국고"/>
      <sheetName val="발전"/>
      <sheetName val="건축"/>
      <sheetName val="건축내역"/>
      <sheetName val="기계"/>
      <sheetName val="전기"/>
      <sheetName val="통신"/>
      <sheetName val="집계"/>
      <sheetName val="챠트"/>
      <sheetName val="물가"/>
      <sheetName val="Sheet9"/>
      <sheetName val="Sheet10"/>
      <sheetName val="Sheet11"/>
      <sheetName val="Sheet12"/>
      <sheetName val="Sheet13"/>
      <sheetName val="Sheet14"/>
      <sheetName val="Sheet15"/>
      <sheetName val="Sheet16"/>
      <sheetName val="Module1"/>
      <sheetName val="Earthwork"/>
      <sheetName val="XL4Poppy"/>
      <sheetName val="개산공사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공사개요"/>
      <sheetName val="개산공사비"/>
      <sheetName val="증가분"/>
      <sheetName val="증가수정"/>
      <sheetName val="문의사항"/>
      <sheetName val="갑지"/>
      <sheetName val="경비2내역"/>
      <sheetName val="대비"/>
    </sheetNames>
    <sheetDataSet>
      <sheetData sheetId="0"/>
      <sheetData sheetId="1"/>
      <sheetData sheetId="2"/>
      <sheetData sheetId="3"/>
      <sheetData sheetId="4"/>
      <sheetData sheetId="5"/>
      <sheetData sheetId="6" refreshError="1"/>
      <sheetData sheetId="7"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AB별"/>
      <sheetName val="Input"/>
      <sheetName val="개산공사비"/>
      <sheetName val="노무비단가"/>
      <sheetName val="일위대가목차"/>
      <sheetName val="단가표"/>
      <sheetName val="H.P견적(참조)"/>
      <sheetName val="BID"/>
      <sheetName val="일위대가표"/>
      <sheetName val="Sheet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VXXXXX"/>
      <sheetName val="원남"/>
      <sheetName val="원가계산(조,투,실)"/>
      <sheetName val="관리비"/>
      <sheetName val="조사가추정"/>
      <sheetName val="업체"/>
      <sheetName val="대비집계장(견적)"/>
      <sheetName val="원가계산"/>
      <sheetName val="설계집계장"/>
      <sheetName val="실행집계장"/>
      <sheetName val="투찰집계장"/>
      <sheetName val="♣총괄내역서♣"/>
      <sheetName val="실행내역서"/>
      <sheetName val="확약서"/>
      <sheetName val="실행하도사항"/>
      <sheetName val="실행별지"/>
      <sheetName val="실행하도잡비"/>
      <sheetName val="실행토공하도"/>
      <sheetName val="실행철콘하도"/>
      <sheetName val="실행철강하도"/>
      <sheetName val="실행토공견갑"/>
      <sheetName val="실행토공견적"/>
      <sheetName val="실행철콘견갑"/>
      <sheetName val="실행철콘견적"/>
      <sheetName val="실행철강견갑"/>
      <sheetName val="실행철강견적"/>
      <sheetName val="단산"/>
      <sheetName val="전기"/>
      <sheetName val="FAB별"/>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row r="1">
          <cell r="A1">
            <v>1</v>
          </cell>
        </row>
        <row r="2">
          <cell r="A2">
            <v>2</v>
          </cell>
        </row>
        <row r="3">
          <cell r="A3">
            <v>3</v>
          </cell>
        </row>
        <row r="4">
          <cell r="A4">
            <v>4</v>
          </cell>
        </row>
      </sheetData>
      <sheetData sheetId="21"/>
      <sheetData sheetId="22"/>
      <sheetData sheetId="23"/>
      <sheetData sheetId="24"/>
      <sheetData sheetId="25"/>
      <sheetData sheetId="26"/>
      <sheetData sheetId="27"/>
      <sheetData sheetId="28" refreshError="1"/>
      <sheetData sheetId="29"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입찰안"/>
      <sheetName val="적격"/>
      <sheetName val="평가"/>
      <sheetName val="적정"/>
      <sheetName val="관리"/>
      <sheetName val="표지"/>
      <sheetName val="총괄"/>
      <sheetName val="내역"/>
      <sheetName val="하도"/>
      <sheetName val="별지"/>
      <sheetName val="견적"/>
      <sheetName val="조사"/>
      <sheetName val="합의서"/>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조명율표"/>
      <sheetName val="투찰내역"/>
      <sheetName val="2000년1차"/>
      <sheetName val="2000전체분"/>
      <sheetName val="교통대책내역"/>
      <sheetName val="집계표"/>
      <sheetName val="조경일람"/>
      <sheetName val="내역서"/>
      <sheetName val="부대공사비"/>
      <sheetName val="단가일람"/>
      <sheetName val="조명일위"/>
      <sheetName val="BID"/>
      <sheetName val="차액보증"/>
      <sheetName val="SLAB데이터"/>
      <sheetName val="#REF"/>
      <sheetName val="간접1"/>
      <sheetName val="접지수량"/>
      <sheetName val="노임"/>
      <sheetName val="실행철강하도"/>
      <sheetName val="99총공사내역서"/>
      <sheetName val="퍼스트"/>
      <sheetName val="금액내역서"/>
      <sheetName val="정부노임단가"/>
      <sheetName val="지질조사"/>
      <sheetName val="CALCULATION"/>
      <sheetName val="RE9604"/>
      <sheetName val="약품공급2"/>
      <sheetName val="Total 단위경유량집계"/>
      <sheetName val="MOTOR"/>
      <sheetName val="실행내역"/>
      <sheetName val="sheet1"/>
      <sheetName val="조명시설"/>
      <sheetName val="원가계산서"/>
      <sheetName val="DANGA"/>
      <sheetName val="일위대가"/>
      <sheetName val="설계조건"/>
      <sheetName val="C1ㅇ"/>
      <sheetName val="1,2공구원가계산서"/>
      <sheetName val="2공구산출내역"/>
      <sheetName val="1공구산출내역서"/>
      <sheetName val="전체제잡비"/>
      <sheetName val="마산월령동골조물량변경"/>
      <sheetName val="산근"/>
      <sheetName val="DB"/>
      <sheetName val="단가"/>
      <sheetName val="기계경비(시간당)"/>
      <sheetName val="건축내역"/>
      <sheetName val="기본단가표"/>
      <sheetName val="재료집계표"/>
      <sheetName val="내역서(전기)"/>
      <sheetName val="내역(원안-대안)"/>
      <sheetName val="준검 내역서"/>
      <sheetName val="교각1"/>
      <sheetName val="배수공"/>
      <sheetName val="산출근거"/>
      <sheetName val="제경비"/>
      <sheetName val="SIL98"/>
      <sheetName val="구조물공"/>
      <sheetName val="부대공"/>
      <sheetName val="토공"/>
      <sheetName val="포장공"/>
      <sheetName val="토공유동표(전체.당초)"/>
      <sheetName val="품셈TABLE"/>
      <sheetName val="노임단가"/>
      <sheetName val="단위단가"/>
      <sheetName val="수량산출서"/>
      <sheetName val="총공사내역서"/>
      <sheetName val="항목(1)"/>
      <sheetName val="총괄표"/>
      <sheetName val="잡철물"/>
      <sheetName val="관급"/>
      <sheetName val="1.수인터널"/>
      <sheetName val="적점"/>
      <sheetName val="기계경비일람"/>
      <sheetName val="자재일람"/>
      <sheetName val="하남내역"/>
      <sheetName val="일위목록"/>
      <sheetName val="요율"/>
      <sheetName val="4.전기"/>
      <sheetName val="hvac(제어동)"/>
      <sheetName val="BH-1 (2)"/>
      <sheetName val="5회토적"/>
      <sheetName val="1001"/>
      <sheetName val="당진1,2호기전선관설치및접지4차공사내역서-을지"/>
      <sheetName val="기계내역서"/>
      <sheetName val="대포2교접속"/>
      <sheetName val="천방교접속"/>
      <sheetName val="N賃率-職"/>
      <sheetName val="공사개요"/>
      <sheetName val="매입세율"/>
      <sheetName val="일반공사"/>
      <sheetName val="NYS"/>
      <sheetName val="설비2차"/>
      <sheetName val="직노"/>
      <sheetName val="ABUT수량-A1"/>
      <sheetName val="제안서"/>
      <sheetName val="행정표준(1)"/>
      <sheetName val="행정표준(2)"/>
      <sheetName val="표  지"/>
      <sheetName val="현장지지물물량"/>
      <sheetName val="총괄내역서"/>
      <sheetName val="직공비"/>
      <sheetName val="일위대가표"/>
      <sheetName val="관리비비계상"/>
      <sheetName val="견적조건"/>
      <sheetName val="조경"/>
      <sheetName val="터파기및재료"/>
      <sheetName val="초기화면"/>
      <sheetName val="폐기물"/>
      <sheetName val="인원계획"/>
      <sheetName val="내역(중앙)"/>
      <sheetName val="예산서"/>
      <sheetName val="DATA"/>
      <sheetName val="공사비예산서(토목분)"/>
      <sheetName val="현장설명"/>
      <sheetName val="도급"/>
      <sheetName val="문학간접"/>
      <sheetName val="1.설계조건"/>
      <sheetName val="조도계산서 (도서)"/>
      <sheetName val="예가내역서"/>
      <sheetName val="참조-(1)"/>
      <sheetName val="원가계산서구조조정"/>
      <sheetName val="I.설계조건"/>
      <sheetName val="경비2내역"/>
      <sheetName val="세부내역"/>
      <sheetName val="운반"/>
      <sheetName val="타공종이기"/>
      <sheetName val="공문"/>
      <sheetName val="일반부표"/>
      <sheetName val="대비"/>
      <sheetName val="자료"/>
      <sheetName val="이형관"/>
      <sheetName val="을-ATYPE"/>
      <sheetName val="제1호단위수량"/>
      <sheetName val="설계서(7)"/>
      <sheetName val="예산서(6)"/>
      <sheetName val="실행(1)"/>
      <sheetName val="횡배위치"/>
      <sheetName val="기초일위"/>
      <sheetName val="시설일위"/>
      <sheetName val="산출내역서"/>
      <sheetName val="데이타"/>
      <sheetName val="11.우각부 보강"/>
      <sheetName val="제출내역 (2)"/>
      <sheetName val="결재갑지"/>
      <sheetName val="ITEM"/>
      <sheetName val="운반비"/>
      <sheetName val="2000양배"/>
      <sheetName val="신림자금"/>
      <sheetName val="작성방법"/>
      <sheetName val="우수관매설및 우수받이"/>
      <sheetName val="증감내역서"/>
      <sheetName val="11.산출(전열)"/>
      <sheetName val="6.산출(동력)"/>
      <sheetName val="7.산출(TRAY)"/>
      <sheetName val="부재예실1월"/>
      <sheetName val="노원열병합  건축공사기성내역서"/>
      <sheetName val="Sheet3"/>
      <sheetName val="앉음벽 (2)"/>
      <sheetName val="6호기"/>
      <sheetName val="98지급계획"/>
      <sheetName val="간접(90)"/>
      <sheetName val="참조"/>
      <sheetName val="금융비용"/>
      <sheetName val="접지1종"/>
      <sheetName val="오저간내역서"/>
      <sheetName val="전기"/>
      <sheetName val="001"/>
      <sheetName val="대전21토목내역서"/>
      <sheetName val="말뚝지지력산정"/>
      <sheetName val="INPUT"/>
      <sheetName val="을"/>
      <sheetName val="단가대비표"/>
      <sheetName val="현장관리비"/>
      <sheetName val="상-교대(A1-A2)"/>
      <sheetName val="자재단가비교표"/>
      <sheetName val="내역(창신)"/>
      <sheetName val="소야공정계획표"/>
      <sheetName val="사업전망"/>
      <sheetName val="현장업무"/>
      <sheetName val="PIPING"/>
      <sheetName val="MSS 2"/>
      <sheetName val="전주2本1"/>
      <sheetName val="적용표"/>
      <sheetName val="도급-집계"/>
      <sheetName val="신호등일위대가"/>
      <sheetName val="여수토토적"/>
      <sheetName val="구조물수량집계표"/>
      <sheetName val="보증수수료산출"/>
      <sheetName val="코드표"/>
      <sheetName val="프로젝트"/>
      <sheetName val="2.1  노무비 평균단가산출"/>
      <sheetName val="경비"/>
      <sheetName val="ancillary"/>
      <sheetName val="명세서"/>
      <sheetName val="A-4"/>
      <sheetName val="인부노임"/>
      <sheetName val="전체"/>
      <sheetName val="I一般比"/>
      <sheetName val="예산변경원인분석"/>
      <sheetName val="내역_ver1.0"/>
      <sheetName val="단가산출"/>
      <sheetName val="품셈"/>
      <sheetName val="간접비계산"/>
      <sheetName val="plan&amp;section of foundation"/>
      <sheetName val="pile bearing capa &amp; arrenge"/>
      <sheetName val="working load at the btm ft."/>
      <sheetName val="stability check"/>
      <sheetName val="design criteria"/>
      <sheetName val="적용단가"/>
      <sheetName val="분뇨"/>
      <sheetName val="보고서 기기리스트"/>
      <sheetName val="설계내역서"/>
      <sheetName val="Resource2"/>
      <sheetName val="일위대가(1)"/>
      <sheetName val="마산방향"/>
      <sheetName val="진주방향"/>
      <sheetName val="토목내역"/>
      <sheetName val="사급자재"/>
      <sheetName val="기계공사"/>
      <sheetName val="7. 현장관리비 "/>
      <sheetName val="6. 안전관리비"/>
      <sheetName val="봉양~조차장간고하개명(신설)"/>
      <sheetName val="구조물견적서"/>
      <sheetName val="3련 BOX"/>
      <sheetName val="역T형옹벽단위수량"/>
      <sheetName val="COVER"/>
      <sheetName val="여과지동"/>
      <sheetName val="기초자료"/>
      <sheetName val="원계약고시공및준비구분"/>
      <sheetName val="할증"/>
      <sheetName val="자재단가표"/>
      <sheetName val="토공A"/>
      <sheetName val="날개벽수량표"/>
      <sheetName val="일용노임단가"/>
      <sheetName val="99월별경비계획"/>
      <sheetName val="소포내역 (2)"/>
      <sheetName val="산출내역서집계표"/>
      <sheetName val="측구터파기공수량집계"/>
      <sheetName val="배수공 시멘트 및 골재량 산출"/>
      <sheetName val="전기내역서(총계)"/>
      <sheetName val="입력데이타"/>
      <sheetName val="Macro1"/>
      <sheetName val="_HIT__HMC 견적_3900_"/>
      <sheetName val="금호"/>
      <sheetName val="원가"/>
      <sheetName val="설계예산서"/>
      <sheetName val="ilch"/>
      <sheetName val="분전반"/>
      <sheetName val="간이영수증"/>
      <sheetName val="EBSDATA"/>
      <sheetName val="기초수량집"/>
      <sheetName val="type-F"/>
      <sheetName val="일위대가(가설)"/>
      <sheetName val="용소리교"/>
      <sheetName val="토목"/>
      <sheetName val="재료비"/>
      <sheetName val="토목주소"/>
      <sheetName val="배수내역"/>
      <sheetName val="배수내역 (2)"/>
      <sheetName val="Macro(차단기)"/>
      <sheetName val="5호광장_(만점)"/>
      <sheetName val="인천국제_(만점)_(2)"/>
      <sheetName val="Total_단위경유량집계"/>
      <sheetName val="준검_내역서"/>
      <sheetName val="토공유동표(전체_당초)"/>
      <sheetName val="spc 배관견적"/>
      <sheetName val="단중표"/>
      <sheetName val="7"/>
      <sheetName val="投标材料清单 "/>
      <sheetName val="기본일위"/>
      <sheetName val="모델명"/>
      <sheetName val="Total"/>
      <sheetName val="노임단가표"/>
      <sheetName val="5.산출(전력)"/>
      <sheetName val="수량산출서(전력간선_지하1)"/>
      <sheetName val="수량산출서(전력간선_지하발전)"/>
      <sheetName val="수량산출서(전력간선_지하D.C)"/>
      <sheetName val="수량산출서(전력간선_동관)"/>
      <sheetName val="수량산출서(전력간선_서관)"/>
      <sheetName val="수량산출서(전력간선_TRAY)"/>
      <sheetName val="수량산출서(특고압케이블)"/>
      <sheetName val="수량산출서(전열)"/>
      <sheetName val="단가조사표"/>
      <sheetName val="갑지"/>
      <sheetName val="내   역"/>
      <sheetName val="플랜트 설치"/>
      <sheetName val="8설7발"/>
      <sheetName val="lee"/>
      <sheetName val="집계표소트"/>
      <sheetName val="중기일위대가"/>
      <sheetName val="설계"/>
      <sheetName val="bearing"/>
      <sheetName val="가격조사서"/>
      <sheetName val="검암내역"/>
      <sheetName val="일위대가목록"/>
      <sheetName val="소비자가"/>
      <sheetName val="자재단가"/>
      <sheetName val="01AC"/>
      <sheetName val="정화조내역"/>
      <sheetName val="연결임시"/>
      <sheetName val="13LPMCC"/>
      <sheetName val="물량표S"/>
      <sheetName val="원가+내역"/>
      <sheetName val="JUCKEYK"/>
      <sheetName val="A 견적"/>
      <sheetName val="전기일위목록"/>
      <sheetName val="입력"/>
      <sheetName val="시멘트"/>
      <sheetName val="단가조사-2"/>
      <sheetName val="교량"/>
      <sheetName val="광산내역"/>
      <sheetName val="내역원본"/>
      <sheetName val="결과조달"/>
      <sheetName val="예산총괄"/>
      <sheetName val="공사원가계산서"/>
      <sheetName val="제품원재"/>
      <sheetName val="소방사항"/>
      <sheetName val="단가집"/>
      <sheetName val="70%"/>
      <sheetName val="unit 4"/>
      <sheetName val="견적서"/>
      <sheetName val="비교1"/>
      <sheetName val="99-0002"/>
      <sheetName val="EUPDAT2"/>
      <sheetName val="1_수인터널"/>
      <sheetName val="건설성적"/>
      <sheetName val="WORK"/>
      <sheetName val="asd"/>
      <sheetName val="추가예산"/>
      <sheetName val="일위집계(기존)"/>
      <sheetName val="전기실-1"/>
      <sheetName val="설계서(본관)"/>
      <sheetName val="백암비스타내역"/>
      <sheetName val="조건표"/>
      <sheetName val="기성내역"/>
      <sheetName val="단가조건(02년)"/>
      <sheetName val="전라자금"/>
      <sheetName val="기기리스트"/>
      <sheetName val="전기일위대가"/>
      <sheetName val=" HIT-&gt;HMC 견적(3900)"/>
      <sheetName val="투찰추정"/>
      <sheetName val="검토"/>
      <sheetName val="INPUT-DATA"/>
      <sheetName val="총괄-1"/>
      <sheetName val="내역(가지)"/>
      <sheetName val="시설물일위"/>
      <sheetName val="TYPE-A"/>
      <sheetName val="Y-WORK"/>
      <sheetName val="기초코드"/>
      <sheetName val="인사자료총집계"/>
      <sheetName val="수정2"/>
      <sheetName val="POL6차-PIPING"/>
      <sheetName val="퇴직금(울산천상)"/>
      <sheetName val="CORE#2"/>
      <sheetName val="전 기"/>
      <sheetName val="공통가설"/>
      <sheetName val="WING3"/>
      <sheetName val="전입"/>
      <sheetName val="200"/>
      <sheetName val="SLAB"/>
      <sheetName val="정산내역"/>
      <sheetName val="d118"/>
      <sheetName val="현금흐름"/>
      <sheetName val="부대내역"/>
      <sheetName val="부속동"/>
      <sheetName val="APT"/>
      <sheetName val="SHEET PILE단가"/>
      <sheetName val="갑지(추정)"/>
      <sheetName val="b_balju"/>
      <sheetName val="일위"/>
      <sheetName val="장비단가표"/>
      <sheetName val="Customer Databas"/>
      <sheetName val="내역서1"/>
      <sheetName val="내역표지"/>
      <sheetName val="재집"/>
      <sheetName val="총"/>
      <sheetName val="물량표"/>
      <sheetName val="오산갈곳"/>
      <sheetName val="PAINT"/>
      <sheetName val="목차 "/>
      <sheetName val="현장관리비참조"/>
      <sheetName val="화재 탐지 설비"/>
      <sheetName val="관급자재"/>
      <sheetName val="6PILE  (돌출)"/>
      <sheetName val="FM"/>
      <sheetName val="세골재  T2 변경 현황"/>
      <sheetName val="구간별관경"/>
      <sheetName val="건축공사"/>
      <sheetName val="접속도로1"/>
      <sheetName val="공사비총괄"/>
      <sheetName val="BH_1 _2_"/>
      <sheetName val="Sheet5"/>
      <sheetName val="입찰"/>
      <sheetName val="현경"/>
      <sheetName val="환율change"/>
      <sheetName val="실행(ALT1)"/>
      <sheetName val="당초"/>
      <sheetName val="단가표"/>
      <sheetName val="시화점실행"/>
      <sheetName val="자재co"/>
      <sheetName val="개인별 순위표"/>
      <sheetName val="프랜트면허"/>
      <sheetName val="INDEX"/>
      <sheetName val="냉천부속동"/>
      <sheetName val="네고율"/>
      <sheetName val="#2_일위대가목록"/>
      <sheetName val="C97상"/>
      <sheetName val="동방설계서"/>
      <sheetName val="1.취수장"/>
      <sheetName val="데리네이타현황"/>
      <sheetName val="별첨1-임식"/>
      <sheetName val="기본자료"/>
      <sheetName val="중기비"/>
      <sheetName val="신천3호용수로"/>
      <sheetName val="Cash Flow-1"/>
      <sheetName val="3.1공사현황 공정표"/>
      <sheetName val="덕전리"/>
      <sheetName val="투입내역"/>
      <sheetName val="계약전체내역서"/>
      <sheetName val="예정공정(2차분)"/>
      <sheetName val="총괄간지"/>
      <sheetName val="발주간지"/>
      <sheetName val="1차전체변경"/>
      <sheetName val="2차전체변경예정"/>
      <sheetName val="2차전체변경예정 (2)"/>
      <sheetName val="전체변경p"/>
      <sheetName val="04계약"/>
      <sheetName val="사용계획서"/>
      <sheetName val="04착공계약내역서"/>
      <sheetName val="04변경-상하p"/>
      <sheetName val="전체증감"/>
      <sheetName val="1차분증감"/>
      <sheetName val="잔여분증감"/>
      <sheetName val="1차사용계획서"/>
      <sheetName val="1차간지"/>
      <sheetName val="1차분계약내역서"/>
      <sheetName val="이정표토공"/>
      <sheetName val="1"/>
      <sheetName val="ELEC"/>
      <sheetName val="지불내역(자재외)"/>
      <sheetName val="입찰보고"/>
      <sheetName val="단가(적용)"/>
      <sheetName val="파일구성"/>
      <sheetName val="시운전연료비"/>
      <sheetName val="골조시행"/>
      <sheetName val="시운전연료"/>
      <sheetName val="조경수목"/>
      <sheetName val="퇴직공제부금"/>
      <sheetName val="평균노임"/>
      <sheetName val="유입량"/>
      <sheetName val="분석"/>
      <sheetName val="SG"/>
      <sheetName val="자료입력"/>
      <sheetName val="적용단위길이"/>
      <sheetName val="전기혼잡제경비(45)"/>
      <sheetName val="편입토지조서"/>
      <sheetName val="배수통관(좌)"/>
      <sheetName val="중기"/>
      <sheetName val="재료비단가"/>
      <sheetName val="전체_1설계"/>
      <sheetName val="노임 단가"/>
      <sheetName val="공정증감대ㅈ표"/>
      <sheetName val="시설물기초"/>
      <sheetName val="예가표"/>
      <sheetName val="중사"/>
      <sheetName val="1유리"/>
      <sheetName val="코드"/>
      <sheetName val="공사비집계"/>
      <sheetName val="내역서 "/>
      <sheetName val="일위대가목차"/>
      <sheetName val="8.현장관리비"/>
      <sheetName val="7.안전관리비"/>
      <sheetName val="계수시트"/>
      <sheetName val="직재"/>
      <sheetName val="전동기"/>
      <sheetName val="일위대가(집계)"/>
      <sheetName val="원가총괄"/>
      <sheetName val="귀래 설계 공내역서"/>
      <sheetName val="TCDB"/>
      <sheetName val="기별(종합)"/>
      <sheetName val="인건비"/>
      <sheetName val="수량산출"/>
      <sheetName val="101동"/>
      <sheetName val="인천제철"/>
      <sheetName val="DATE"/>
      <sheetName val="BH-1_(2)"/>
      <sheetName val="표__지"/>
      <sheetName val="4_전기"/>
      <sheetName val="I_설계조건"/>
      <sheetName val="앉음벽_(2)"/>
      <sheetName val="1_설계조건"/>
      <sheetName val="조도계산서_(도서)"/>
      <sheetName val="노원열병합__건축공사기성내역서"/>
      <sheetName val="내역_ver1_0"/>
      <sheetName val="11_우각부_보강"/>
      <sheetName val="제출내역_(2)"/>
      <sheetName val="우수관매설및_우수받이"/>
      <sheetName val="11_산출(전열)"/>
      <sheetName val="6_산출(동력)"/>
      <sheetName val="7_산출(TRAY)"/>
      <sheetName val="plan&amp;section_of_foundation"/>
      <sheetName val="pile_bearing_capa_&amp;_arrenge"/>
      <sheetName val="working_load_at_the_btm_ft_"/>
      <sheetName val="stability_check"/>
      <sheetName val="design_criteria"/>
      <sheetName val="7__현장관리비_"/>
      <sheetName val="6__안전관리비"/>
      <sheetName val="_HIT__HMC_견적_3900_"/>
      <sheetName val="소포내역_(2)"/>
      <sheetName val="3련_BOX"/>
      <sheetName val="노임이"/>
      <sheetName val="주관사업"/>
      <sheetName val="공통단가"/>
      <sheetName val="바닥판"/>
      <sheetName val="입력DATA"/>
      <sheetName val="PAY"/>
      <sheetName val="설 계"/>
      <sheetName val="정렬"/>
      <sheetName val="안정계산"/>
      <sheetName val="단면검토"/>
      <sheetName val="2000년하반기"/>
      <sheetName val="수지예산"/>
      <sheetName val="수량산출서집계(1-4차)"/>
      <sheetName val="6공구(당초)"/>
      <sheetName val="1월"/>
      <sheetName val="재료"/>
      <sheetName val="저장소"/>
      <sheetName val="내역집계"/>
      <sheetName val="직접경비호표"/>
      <sheetName val="1안"/>
      <sheetName val="BQ"/>
      <sheetName val="집계및폼"/>
      <sheetName val="04_10_11"/>
      <sheetName val="1.설계기준"/>
      <sheetName val="설치"/>
      <sheetName val="SUMMARY(S)"/>
      <sheetName val="집계장(대목_실행)"/>
      <sheetName val="대공종"/>
      <sheetName val="집 계 표"/>
      <sheetName val="정리계획CF평가"/>
      <sheetName val="증감분석"/>
      <sheetName val="EQT-ESTN"/>
      <sheetName val="장비"/>
      <sheetName val="노무"/>
      <sheetName val="공기압축기실"/>
      <sheetName val="원도급"/>
      <sheetName val="하도급"/>
      <sheetName val="한전일위"/>
      <sheetName val="유림골조"/>
      <sheetName val="중기사용료산출근거"/>
      <sheetName val="단가산출1"/>
      <sheetName val="별표 "/>
      <sheetName val="협력업체"/>
      <sheetName val="코드1"/>
      <sheetName val="코드2"/>
      <sheetName val="원가서"/>
      <sheetName val="건축내역서"/>
      <sheetName val="단가조사서"/>
      <sheetName val="준공정산"/>
      <sheetName val="상수도토공집계표"/>
      <sheetName val="단가산출서"/>
      <sheetName val="평3"/>
      <sheetName val="부서코드표"/>
      <sheetName val="F4-F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8"/>
  <sheetViews>
    <sheetView tabSelected="1" workbookViewId="0">
      <selection activeCell="E17" sqref="E17"/>
    </sheetView>
  </sheetViews>
  <sheetFormatPr defaultColWidth="9.109375" defaultRowHeight="13.2"/>
  <cols>
    <col min="1" max="1" width="17.44140625" style="28" customWidth="1"/>
    <col min="2" max="2" width="18.88671875" style="28" customWidth="1"/>
    <col min="3" max="3" width="49.5546875" style="28" customWidth="1"/>
    <col min="4" max="4" width="6.5546875" style="28" customWidth="1"/>
    <col min="5" max="5" width="15.109375" style="28" customWidth="1"/>
    <col min="6" max="6" width="17.88671875" style="28" customWidth="1"/>
    <col min="7" max="7" width="12.109375" style="30" bestFit="1" customWidth="1"/>
    <col min="8" max="8" width="15.5546875" style="30" customWidth="1"/>
    <col min="9" max="9" width="9.109375" style="28"/>
    <col min="10" max="10" width="13.44140625" style="28" customWidth="1"/>
    <col min="11" max="11" width="37.5546875" style="28" bestFit="1" customWidth="1"/>
    <col min="12" max="16384" width="9.109375" style="28"/>
  </cols>
  <sheetData>
    <row r="1" spans="1:10" s="30" customFormat="1">
      <c r="A1" s="28"/>
      <c r="B1" s="28"/>
      <c r="C1" s="28"/>
      <c r="D1" s="28"/>
      <c r="E1" s="28"/>
      <c r="F1" s="29"/>
    </row>
    <row r="2" spans="1:10" s="30" customFormat="1">
      <c r="A2" s="28"/>
      <c r="B2" s="28"/>
      <c r="C2" s="28"/>
      <c r="D2" s="28"/>
      <c r="E2" s="28"/>
      <c r="F2" s="31"/>
    </row>
    <row r="3" spans="1:10" s="30" customFormat="1">
      <c r="A3" s="28"/>
      <c r="B3" s="28"/>
      <c r="C3" s="28"/>
      <c r="D3" s="28"/>
      <c r="E3" s="28"/>
      <c r="F3" s="32"/>
    </row>
    <row r="4" spans="1:10" s="37" customFormat="1">
      <c r="A4" s="33" t="s">
        <v>222</v>
      </c>
      <c r="B4" s="34"/>
      <c r="C4" s="34"/>
      <c r="D4" s="34"/>
      <c r="E4" s="34"/>
      <c r="F4" s="34"/>
      <c r="G4" s="35"/>
      <c r="H4" s="36"/>
    </row>
    <row r="5" spans="1:10" s="42" customFormat="1" ht="26.4">
      <c r="A5" s="38" t="s">
        <v>223</v>
      </c>
      <c r="B5" s="38" t="s">
        <v>224</v>
      </c>
      <c r="C5" s="38" t="s">
        <v>225</v>
      </c>
      <c r="D5" s="38" t="s">
        <v>226</v>
      </c>
      <c r="E5" s="39" t="s">
        <v>227</v>
      </c>
      <c r="F5" s="39" t="s">
        <v>228</v>
      </c>
      <c r="G5" s="40"/>
      <c r="H5" s="41"/>
    </row>
    <row r="6" spans="1:10" s="47" customFormat="1" ht="14.4">
      <c r="A6" s="43">
        <v>1</v>
      </c>
      <c r="B6" s="43"/>
      <c r="C6" s="44" t="s">
        <v>188</v>
      </c>
      <c r="D6" s="43">
        <v>1</v>
      </c>
      <c r="E6" s="66">
        <f>'Hotel Server'!F284</f>
        <v>1834659000</v>
      </c>
      <c r="F6" s="66">
        <f t="shared" ref="F6:F8" si="0">D6*E6</f>
        <v>1834659000</v>
      </c>
      <c r="G6" s="45"/>
      <c r="H6" s="46"/>
    </row>
    <row r="7" spans="1:10" s="47" customFormat="1" ht="14.4">
      <c r="A7" s="43">
        <v>2</v>
      </c>
      <c r="B7" s="43"/>
      <c r="C7" s="44" t="s">
        <v>186</v>
      </c>
      <c r="D7" s="43">
        <v>1</v>
      </c>
      <c r="E7" s="66">
        <f>'BCT Operator Server'!F12</f>
        <v>84228000</v>
      </c>
      <c r="F7" s="66">
        <f t="shared" si="0"/>
        <v>84228000</v>
      </c>
      <c r="G7" s="45"/>
      <c r="H7" s="46"/>
    </row>
    <row r="8" spans="1:10" s="47" customFormat="1" ht="14.4">
      <c r="A8" s="43">
        <v>3</v>
      </c>
      <c r="B8" s="43"/>
      <c r="C8" s="44" t="s">
        <v>220</v>
      </c>
      <c r="D8" s="43">
        <v>1</v>
      </c>
      <c r="E8" s="66">
        <f>'BMS Server'!F53</f>
        <v>266175000</v>
      </c>
      <c r="F8" s="66">
        <f t="shared" si="0"/>
        <v>266175000</v>
      </c>
      <c r="G8" s="45"/>
      <c r="H8" s="46"/>
    </row>
    <row r="9" spans="1:10" s="47" customFormat="1" ht="14.4">
      <c r="A9" s="43"/>
      <c r="B9" s="43"/>
      <c r="C9" s="44"/>
      <c r="D9" s="43"/>
      <c r="E9" s="66"/>
      <c r="F9" s="66"/>
      <c r="G9" s="45"/>
      <c r="H9" s="46"/>
    </row>
    <row r="10" spans="1:10" s="47" customFormat="1">
      <c r="A10" s="48"/>
      <c r="B10" s="49"/>
      <c r="C10" s="50"/>
      <c r="D10" s="51"/>
      <c r="E10" s="52" t="s">
        <v>229</v>
      </c>
      <c r="F10" s="67">
        <f>SUBTOTAL(109,F6:F8)</f>
        <v>2185062000</v>
      </c>
      <c r="G10" s="46"/>
      <c r="H10" s="53"/>
      <c r="J10" s="54"/>
    </row>
    <row r="11" spans="1:10" s="47" customFormat="1">
      <c r="A11" s="55" t="s">
        <v>230</v>
      </c>
      <c r="B11" s="56"/>
      <c r="C11" s="57"/>
      <c r="D11" s="58"/>
      <c r="E11" s="59"/>
      <c r="F11" s="59"/>
      <c r="G11" s="46"/>
      <c r="H11" s="53"/>
      <c r="J11" s="54"/>
    </row>
    <row r="12" spans="1:10" s="30" customFormat="1">
      <c r="A12" s="60"/>
      <c r="B12" s="60"/>
      <c r="C12" s="60"/>
      <c r="D12" s="60"/>
      <c r="E12" s="60"/>
      <c r="F12" s="60"/>
    </row>
    <row r="13" spans="1:10" s="30" customFormat="1">
      <c r="A13" s="60"/>
      <c r="B13" s="60"/>
      <c r="C13" s="60"/>
      <c r="D13" s="60"/>
      <c r="E13" s="60"/>
      <c r="F13" s="60"/>
    </row>
    <row r="14" spans="1:10" s="30" customFormat="1">
      <c r="A14" s="60"/>
      <c r="B14" s="60"/>
      <c r="C14" s="60"/>
      <c r="D14" s="60"/>
      <c r="E14" s="60"/>
      <c r="F14" s="60"/>
    </row>
    <row r="15" spans="1:10" s="30" customFormat="1">
      <c r="A15" s="60"/>
      <c r="B15" s="60"/>
      <c r="C15" s="60"/>
      <c r="D15" s="60"/>
      <c r="E15" s="60"/>
      <c r="F15" s="60"/>
    </row>
    <row r="16" spans="1:10" s="30" customFormat="1">
      <c r="A16" s="60"/>
      <c r="B16" s="60"/>
      <c r="C16" s="60"/>
      <c r="D16" s="60"/>
      <c r="E16" s="60"/>
      <c r="F16" s="60"/>
    </row>
    <row r="17" spans="1:6" s="30" customFormat="1">
      <c r="A17" s="61"/>
      <c r="B17" s="62"/>
      <c r="C17" s="28"/>
      <c r="D17" s="28"/>
      <c r="E17" s="28"/>
      <c r="F17" s="28"/>
    </row>
    <row r="18" spans="1:6" s="30" customFormat="1">
      <c r="A18" s="63"/>
      <c r="B18" s="28"/>
      <c r="C18" s="28"/>
      <c r="D18" s="28"/>
      <c r="E18" s="28"/>
      <c r="F18" s="28"/>
    </row>
    <row r="19" spans="1:6" s="30" customFormat="1">
      <c r="A19" s="61"/>
      <c r="B19" s="28"/>
      <c r="C19" s="28"/>
      <c r="D19" s="28"/>
      <c r="E19" s="28"/>
      <c r="F19" s="28"/>
    </row>
    <row r="20" spans="1:6" s="30" customFormat="1">
      <c r="A20" s="61"/>
      <c r="B20" s="28"/>
      <c r="C20" s="28"/>
      <c r="D20" s="28"/>
      <c r="E20" s="28"/>
      <c r="F20" s="28"/>
    </row>
    <row r="21" spans="1:6" s="30" customFormat="1">
      <c r="A21" s="61"/>
      <c r="B21" s="28"/>
      <c r="C21" s="28"/>
      <c r="D21" s="28"/>
      <c r="E21" s="28"/>
      <c r="F21" s="28"/>
    </row>
    <row r="22" spans="1:6" s="30" customFormat="1">
      <c r="A22" s="61"/>
      <c r="B22" s="28"/>
      <c r="C22" s="28"/>
      <c r="D22" s="28"/>
      <c r="E22" s="28"/>
      <c r="F22" s="28"/>
    </row>
    <row r="23" spans="1:6">
      <c r="A23" s="61"/>
    </row>
    <row r="24" spans="1:6">
      <c r="A24" s="61"/>
      <c r="D24" s="64"/>
      <c r="E24" s="64"/>
    </row>
    <row r="25" spans="1:6">
      <c r="A25" s="61"/>
      <c r="D25" s="64"/>
      <c r="E25" s="64"/>
    </row>
    <row r="26" spans="1:6">
      <c r="A26" s="61"/>
      <c r="C26" s="29"/>
      <c r="D26" s="64"/>
      <c r="E26" s="64"/>
    </row>
    <row r="27" spans="1:6">
      <c r="A27" s="61"/>
      <c r="D27" s="64"/>
      <c r="E27" s="64"/>
    </row>
    <row r="28" spans="1:6">
      <c r="C28" s="29"/>
      <c r="D28" s="65"/>
    </row>
  </sheetData>
  <mergeCells count="2">
    <mergeCell ref="A4:F4"/>
    <mergeCell ref="D24:E27"/>
  </mergeCells>
  <pageMargins left="0.25" right="0.25"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85"/>
  <sheetViews>
    <sheetView topLeftCell="A275" workbookViewId="0">
      <selection activeCell="B279" sqref="B279"/>
    </sheetView>
  </sheetViews>
  <sheetFormatPr defaultColWidth="9" defaultRowHeight="14.4" outlineLevelRow="1"/>
  <cols>
    <col min="1" max="1" width="5.5546875" style="12" bestFit="1" customWidth="1"/>
    <col min="2" max="2" width="33.109375" style="8" customWidth="1"/>
    <col min="3" max="3" width="54.33203125" style="8" customWidth="1"/>
    <col min="4" max="4" width="9.44140625" style="12" bestFit="1" customWidth="1"/>
    <col min="5" max="5" width="18" style="27" customWidth="1"/>
    <col min="6" max="6" width="26.33203125" style="27" bestFit="1" customWidth="1"/>
    <col min="7" max="16384" width="9" style="12"/>
  </cols>
  <sheetData>
    <row r="1" spans="1:6" s="23" customFormat="1"/>
    <row r="2" spans="1:6" ht="20.399999999999999" thickBot="1">
      <c r="B2" s="4" t="s">
        <v>188</v>
      </c>
      <c r="C2" s="4"/>
      <c r="D2" s="4"/>
      <c r="E2" s="24"/>
      <c r="F2" s="24"/>
    </row>
    <row r="3" spans="1:6" s="9" customFormat="1" ht="31.5" customHeight="1">
      <c r="A3" s="10" t="s">
        <v>8</v>
      </c>
      <c r="B3" s="5" t="s">
        <v>9</v>
      </c>
      <c r="C3" s="5"/>
      <c r="D3" s="5" t="s">
        <v>7</v>
      </c>
      <c r="E3" s="5" t="s">
        <v>0</v>
      </c>
      <c r="F3" s="11" t="s">
        <v>1</v>
      </c>
    </row>
    <row r="4" spans="1:6" s="19" customFormat="1">
      <c r="A4" s="13">
        <v>1</v>
      </c>
      <c r="B4" s="3" t="s">
        <v>2</v>
      </c>
      <c r="C4" s="3" t="s">
        <v>95</v>
      </c>
      <c r="D4" s="14">
        <v>1</v>
      </c>
      <c r="E4" s="15">
        <v>148692000</v>
      </c>
      <c r="F4" s="68">
        <f>D4*E4</f>
        <v>148692000</v>
      </c>
    </row>
    <row r="5" spans="1:6" outlineLevel="1">
      <c r="A5" s="16"/>
      <c r="B5" s="6" t="s">
        <v>23</v>
      </c>
      <c r="C5" s="6" t="s">
        <v>24</v>
      </c>
      <c r="D5" s="17">
        <v>1</v>
      </c>
      <c r="E5" s="18"/>
      <c r="F5" s="69"/>
    </row>
    <row r="6" spans="1:6" outlineLevel="1">
      <c r="A6" s="16"/>
      <c r="B6" s="6" t="s">
        <v>25</v>
      </c>
      <c r="C6" s="6" t="s">
        <v>26</v>
      </c>
      <c r="D6" s="17">
        <v>1</v>
      </c>
      <c r="E6" s="18"/>
      <c r="F6" s="69"/>
    </row>
    <row r="7" spans="1:6" ht="28.8" outlineLevel="1">
      <c r="A7" s="16"/>
      <c r="B7" s="6" t="s">
        <v>84</v>
      </c>
      <c r="C7" s="6" t="s">
        <v>85</v>
      </c>
      <c r="D7" s="17">
        <v>1</v>
      </c>
      <c r="E7" s="18"/>
      <c r="F7" s="69"/>
    </row>
    <row r="8" spans="1:6" ht="28.8" outlineLevel="1">
      <c r="A8" s="16"/>
      <c r="B8" s="6" t="s">
        <v>86</v>
      </c>
      <c r="C8" s="6" t="s">
        <v>87</v>
      </c>
      <c r="D8" s="17">
        <v>1</v>
      </c>
      <c r="E8" s="18"/>
      <c r="F8" s="69"/>
    </row>
    <row r="9" spans="1:6" outlineLevel="1">
      <c r="A9" s="16"/>
      <c r="B9" s="6" t="s">
        <v>88</v>
      </c>
      <c r="C9" s="6" t="s">
        <v>22</v>
      </c>
      <c r="D9" s="17">
        <v>1</v>
      </c>
      <c r="E9" s="18"/>
      <c r="F9" s="69"/>
    </row>
    <row r="10" spans="1:6" outlineLevel="1">
      <c r="A10" s="16"/>
      <c r="B10" s="6" t="s">
        <v>27</v>
      </c>
      <c r="C10" s="6" t="s">
        <v>28</v>
      </c>
      <c r="D10" s="17">
        <v>1</v>
      </c>
      <c r="E10" s="18"/>
      <c r="F10" s="69"/>
    </row>
    <row r="11" spans="1:6" outlineLevel="1">
      <c r="A11" s="16"/>
      <c r="B11" s="6" t="s">
        <v>29</v>
      </c>
      <c r="C11" s="6" t="s">
        <v>22</v>
      </c>
      <c r="D11" s="17">
        <v>1</v>
      </c>
      <c r="E11" s="18"/>
      <c r="F11" s="69"/>
    </row>
    <row r="12" spans="1:6" ht="28.8" outlineLevel="1">
      <c r="A12" s="16"/>
      <c r="B12" s="6" t="s">
        <v>10</v>
      </c>
      <c r="C12" s="6" t="s">
        <v>30</v>
      </c>
      <c r="D12" s="17">
        <v>8</v>
      </c>
      <c r="E12" s="18"/>
      <c r="F12" s="69"/>
    </row>
    <row r="13" spans="1:6" outlineLevel="1">
      <c r="A13" s="16"/>
      <c r="B13" s="6" t="s">
        <v>11</v>
      </c>
      <c r="C13" s="6" t="s">
        <v>22</v>
      </c>
      <c r="D13" s="17">
        <v>8</v>
      </c>
      <c r="E13" s="18"/>
      <c r="F13" s="69"/>
    </row>
    <row r="14" spans="1:6" outlineLevel="1">
      <c r="A14" s="16"/>
      <c r="B14" s="6" t="s">
        <v>12</v>
      </c>
      <c r="C14" s="6" t="s">
        <v>31</v>
      </c>
      <c r="D14" s="17">
        <v>1</v>
      </c>
      <c r="E14" s="18"/>
      <c r="F14" s="69"/>
    </row>
    <row r="15" spans="1:6" outlineLevel="1">
      <c r="A15" s="16"/>
      <c r="B15" s="6" t="s">
        <v>13</v>
      </c>
      <c r="C15" s="6" t="s">
        <v>22</v>
      </c>
      <c r="D15" s="17">
        <v>1</v>
      </c>
      <c r="E15" s="18"/>
      <c r="F15" s="69"/>
    </row>
    <row r="16" spans="1:6" ht="28.8" outlineLevel="1">
      <c r="A16" s="16"/>
      <c r="B16" s="6" t="s">
        <v>32</v>
      </c>
      <c r="C16" s="6" t="s">
        <v>33</v>
      </c>
      <c r="D16" s="17">
        <v>1</v>
      </c>
      <c r="E16" s="18"/>
      <c r="F16" s="69"/>
    </row>
    <row r="17" spans="1:6" outlineLevel="1">
      <c r="A17" s="16"/>
      <c r="B17" s="6" t="s">
        <v>34</v>
      </c>
      <c r="C17" s="6" t="s">
        <v>22</v>
      </c>
      <c r="D17" s="17">
        <v>1</v>
      </c>
      <c r="E17" s="18"/>
      <c r="F17" s="69"/>
    </row>
    <row r="18" spans="1:6" ht="28.8" outlineLevel="1">
      <c r="A18" s="16"/>
      <c r="B18" s="6" t="s">
        <v>35</v>
      </c>
      <c r="C18" s="6" t="s">
        <v>36</v>
      </c>
      <c r="D18" s="17">
        <v>1</v>
      </c>
      <c r="E18" s="18"/>
      <c r="F18" s="69"/>
    </row>
    <row r="19" spans="1:6" outlineLevel="1">
      <c r="A19" s="16"/>
      <c r="B19" s="6" t="s">
        <v>37</v>
      </c>
      <c r="C19" s="6" t="s">
        <v>22</v>
      </c>
      <c r="D19" s="17">
        <v>1</v>
      </c>
      <c r="E19" s="18"/>
      <c r="F19" s="69"/>
    </row>
    <row r="20" spans="1:6" ht="28.8" outlineLevel="1">
      <c r="A20" s="16"/>
      <c r="B20" s="6" t="s">
        <v>38</v>
      </c>
      <c r="C20" s="6" t="s">
        <v>39</v>
      </c>
      <c r="D20" s="17">
        <v>2</v>
      </c>
      <c r="E20" s="18"/>
      <c r="F20" s="69"/>
    </row>
    <row r="21" spans="1:6" outlineLevel="1">
      <c r="A21" s="16"/>
      <c r="B21" s="6" t="s">
        <v>40</v>
      </c>
      <c r="C21" s="6" t="s">
        <v>22</v>
      </c>
      <c r="D21" s="17">
        <v>2</v>
      </c>
      <c r="E21" s="18"/>
      <c r="F21" s="69"/>
    </row>
    <row r="22" spans="1:6" ht="28.8" outlineLevel="1">
      <c r="A22" s="16"/>
      <c r="B22" s="6" t="s">
        <v>16</v>
      </c>
      <c r="C22" s="6" t="s">
        <v>41</v>
      </c>
      <c r="D22" s="17">
        <v>1</v>
      </c>
      <c r="E22" s="18"/>
      <c r="F22" s="69"/>
    </row>
    <row r="23" spans="1:6" outlineLevel="1">
      <c r="A23" s="16"/>
      <c r="B23" s="6" t="s">
        <v>17</v>
      </c>
      <c r="C23" s="6" t="s">
        <v>22</v>
      </c>
      <c r="D23" s="17">
        <v>1</v>
      </c>
      <c r="E23" s="18"/>
      <c r="F23" s="69"/>
    </row>
    <row r="24" spans="1:6" ht="28.8" outlineLevel="1">
      <c r="A24" s="16"/>
      <c r="B24" s="6" t="s">
        <v>89</v>
      </c>
      <c r="C24" s="6" t="s">
        <v>90</v>
      </c>
      <c r="D24" s="17">
        <v>1</v>
      </c>
      <c r="E24" s="18"/>
      <c r="F24" s="69"/>
    </row>
    <row r="25" spans="1:6" outlineLevel="1">
      <c r="A25" s="16"/>
      <c r="B25" s="6" t="s">
        <v>42</v>
      </c>
      <c r="C25" s="6" t="s">
        <v>43</v>
      </c>
      <c r="D25" s="17">
        <v>1</v>
      </c>
      <c r="E25" s="18"/>
      <c r="F25" s="69"/>
    </row>
    <row r="26" spans="1:6" outlineLevel="1">
      <c r="A26" s="16"/>
      <c r="B26" s="6" t="s">
        <v>44</v>
      </c>
      <c r="C26" s="6" t="s">
        <v>22</v>
      </c>
      <c r="D26" s="17">
        <v>1</v>
      </c>
      <c r="E26" s="18"/>
      <c r="F26" s="69"/>
    </row>
    <row r="27" spans="1:6" outlineLevel="1">
      <c r="A27" s="16"/>
      <c r="B27" s="6" t="s">
        <v>14</v>
      </c>
      <c r="C27" s="6" t="s">
        <v>45</v>
      </c>
      <c r="D27" s="17">
        <v>1</v>
      </c>
      <c r="E27" s="18"/>
      <c r="F27" s="69"/>
    </row>
    <row r="28" spans="1:6" outlineLevel="1">
      <c r="A28" s="16"/>
      <c r="B28" s="6" t="s">
        <v>15</v>
      </c>
      <c r="C28" s="6" t="s">
        <v>22</v>
      </c>
      <c r="D28" s="17">
        <v>1</v>
      </c>
      <c r="E28" s="18"/>
      <c r="F28" s="69"/>
    </row>
    <row r="29" spans="1:6" outlineLevel="1">
      <c r="A29" s="16"/>
      <c r="B29" s="6" t="s">
        <v>91</v>
      </c>
      <c r="C29" s="6" t="s">
        <v>92</v>
      </c>
      <c r="D29" s="17">
        <v>1</v>
      </c>
      <c r="E29" s="18"/>
      <c r="F29" s="69"/>
    </row>
    <row r="30" spans="1:6" outlineLevel="1">
      <c r="A30" s="16"/>
      <c r="B30" s="6" t="s">
        <v>93</v>
      </c>
      <c r="C30" s="6" t="s">
        <v>94</v>
      </c>
      <c r="D30" s="17">
        <v>1</v>
      </c>
      <c r="E30" s="18"/>
      <c r="F30" s="69"/>
    </row>
    <row r="31" spans="1:6" s="19" customFormat="1">
      <c r="A31" s="13">
        <v>2</v>
      </c>
      <c r="B31" s="3" t="s">
        <v>96</v>
      </c>
      <c r="C31" s="3" t="s">
        <v>95</v>
      </c>
      <c r="D31" s="14">
        <v>1</v>
      </c>
      <c r="E31" s="15">
        <v>148692000</v>
      </c>
      <c r="F31" s="68">
        <f>D31*E31</f>
        <v>148692000</v>
      </c>
    </row>
    <row r="32" spans="1:6" outlineLevel="1">
      <c r="A32" s="16"/>
      <c r="B32" s="6" t="s">
        <v>23</v>
      </c>
      <c r="C32" s="6" t="s">
        <v>24</v>
      </c>
      <c r="D32" s="17">
        <v>1</v>
      </c>
      <c r="E32" s="18"/>
      <c r="F32" s="69"/>
    </row>
    <row r="33" spans="1:6" outlineLevel="1">
      <c r="A33" s="16"/>
      <c r="B33" s="6" t="s">
        <v>25</v>
      </c>
      <c r="C33" s="6" t="s">
        <v>26</v>
      </c>
      <c r="D33" s="17">
        <v>1</v>
      </c>
      <c r="E33" s="18"/>
      <c r="F33" s="69"/>
    </row>
    <row r="34" spans="1:6" ht="28.8" outlineLevel="1">
      <c r="A34" s="16"/>
      <c r="B34" s="6" t="s">
        <v>84</v>
      </c>
      <c r="C34" s="6" t="s">
        <v>85</v>
      </c>
      <c r="D34" s="17">
        <v>1</v>
      </c>
      <c r="E34" s="18"/>
      <c r="F34" s="69"/>
    </row>
    <row r="35" spans="1:6" ht="28.8" outlineLevel="1">
      <c r="A35" s="16"/>
      <c r="B35" s="6" t="s">
        <v>86</v>
      </c>
      <c r="C35" s="6" t="s">
        <v>87</v>
      </c>
      <c r="D35" s="17">
        <v>1</v>
      </c>
      <c r="E35" s="18"/>
      <c r="F35" s="69"/>
    </row>
    <row r="36" spans="1:6" outlineLevel="1">
      <c r="A36" s="16"/>
      <c r="B36" s="6" t="s">
        <v>88</v>
      </c>
      <c r="C36" s="6" t="s">
        <v>22</v>
      </c>
      <c r="D36" s="17">
        <v>1</v>
      </c>
      <c r="E36" s="18"/>
      <c r="F36" s="69"/>
    </row>
    <row r="37" spans="1:6" outlineLevel="1">
      <c r="A37" s="16"/>
      <c r="B37" s="6" t="s">
        <v>27</v>
      </c>
      <c r="C37" s="6" t="s">
        <v>28</v>
      </c>
      <c r="D37" s="17">
        <v>1</v>
      </c>
      <c r="E37" s="18"/>
      <c r="F37" s="69"/>
    </row>
    <row r="38" spans="1:6" outlineLevel="1">
      <c r="A38" s="16"/>
      <c r="B38" s="6" t="s">
        <v>29</v>
      </c>
      <c r="C38" s="6" t="s">
        <v>22</v>
      </c>
      <c r="D38" s="17">
        <v>1</v>
      </c>
      <c r="E38" s="18"/>
      <c r="F38" s="69"/>
    </row>
    <row r="39" spans="1:6" ht="28.8" outlineLevel="1">
      <c r="A39" s="16"/>
      <c r="B39" s="6" t="s">
        <v>10</v>
      </c>
      <c r="C39" s="6" t="s">
        <v>30</v>
      </c>
      <c r="D39" s="17">
        <v>8</v>
      </c>
      <c r="E39" s="18"/>
      <c r="F39" s="69"/>
    </row>
    <row r="40" spans="1:6" outlineLevel="1">
      <c r="A40" s="16"/>
      <c r="B40" s="6" t="s">
        <v>11</v>
      </c>
      <c r="C40" s="6" t="s">
        <v>22</v>
      </c>
      <c r="D40" s="17">
        <v>8</v>
      </c>
      <c r="E40" s="18"/>
      <c r="F40" s="69"/>
    </row>
    <row r="41" spans="1:6" outlineLevel="1">
      <c r="A41" s="16"/>
      <c r="B41" s="6" t="s">
        <v>12</v>
      </c>
      <c r="C41" s="6" t="s">
        <v>31</v>
      </c>
      <c r="D41" s="17">
        <v>1</v>
      </c>
      <c r="E41" s="18"/>
      <c r="F41" s="69"/>
    </row>
    <row r="42" spans="1:6" outlineLevel="1">
      <c r="A42" s="16"/>
      <c r="B42" s="6" t="s">
        <v>13</v>
      </c>
      <c r="C42" s="6" t="s">
        <v>22</v>
      </c>
      <c r="D42" s="17">
        <v>1</v>
      </c>
      <c r="E42" s="18"/>
      <c r="F42" s="69"/>
    </row>
    <row r="43" spans="1:6" ht="28.8" outlineLevel="1">
      <c r="A43" s="16"/>
      <c r="B43" s="6" t="s">
        <v>32</v>
      </c>
      <c r="C43" s="6" t="s">
        <v>33</v>
      </c>
      <c r="D43" s="17">
        <v>1</v>
      </c>
      <c r="E43" s="18"/>
      <c r="F43" s="69"/>
    </row>
    <row r="44" spans="1:6" outlineLevel="1">
      <c r="A44" s="16"/>
      <c r="B44" s="6" t="s">
        <v>34</v>
      </c>
      <c r="C44" s="6" t="s">
        <v>22</v>
      </c>
      <c r="D44" s="17">
        <v>1</v>
      </c>
      <c r="E44" s="18"/>
      <c r="F44" s="69"/>
    </row>
    <row r="45" spans="1:6" ht="28.8" outlineLevel="1">
      <c r="A45" s="16"/>
      <c r="B45" s="6" t="s">
        <v>35</v>
      </c>
      <c r="C45" s="6" t="s">
        <v>36</v>
      </c>
      <c r="D45" s="17">
        <v>1</v>
      </c>
      <c r="E45" s="18"/>
      <c r="F45" s="69"/>
    </row>
    <row r="46" spans="1:6" outlineLevel="1">
      <c r="A46" s="16"/>
      <c r="B46" s="6" t="s">
        <v>37</v>
      </c>
      <c r="C46" s="6" t="s">
        <v>22</v>
      </c>
      <c r="D46" s="17">
        <v>1</v>
      </c>
      <c r="E46" s="18"/>
      <c r="F46" s="69"/>
    </row>
    <row r="47" spans="1:6" ht="28.8" outlineLevel="1">
      <c r="A47" s="16"/>
      <c r="B47" s="6" t="s">
        <v>38</v>
      </c>
      <c r="C47" s="6" t="s">
        <v>39</v>
      </c>
      <c r="D47" s="17">
        <v>2</v>
      </c>
      <c r="E47" s="18"/>
      <c r="F47" s="69"/>
    </row>
    <row r="48" spans="1:6" outlineLevel="1">
      <c r="A48" s="16"/>
      <c r="B48" s="6" t="s">
        <v>40</v>
      </c>
      <c r="C48" s="6" t="s">
        <v>22</v>
      </c>
      <c r="D48" s="17">
        <v>2</v>
      </c>
      <c r="E48" s="18"/>
      <c r="F48" s="69"/>
    </row>
    <row r="49" spans="1:6" ht="28.8" outlineLevel="1">
      <c r="A49" s="16"/>
      <c r="B49" s="6" t="s">
        <v>16</v>
      </c>
      <c r="C49" s="6" t="s">
        <v>41</v>
      </c>
      <c r="D49" s="17">
        <v>1</v>
      </c>
      <c r="E49" s="18"/>
      <c r="F49" s="69"/>
    </row>
    <row r="50" spans="1:6" outlineLevel="1">
      <c r="A50" s="16"/>
      <c r="B50" s="6" t="s">
        <v>17</v>
      </c>
      <c r="C50" s="6" t="s">
        <v>22</v>
      </c>
      <c r="D50" s="17">
        <v>1</v>
      </c>
      <c r="E50" s="18"/>
      <c r="F50" s="69"/>
    </row>
    <row r="51" spans="1:6" ht="28.8" outlineLevel="1">
      <c r="A51" s="16"/>
      <c r="B51" s="6" t="s">
        <v>89</v>
      </c>
      <c r="C51" s="6" t="s">
        <v>90</v>
      </c>
      <c r="D51" s="17">
        <v>1</v>
      </c>
      <c r="E51" s="18"/>
      <c r="F51" s="69"/>
    </row>
    <row r="52" spans="1:6" outlineLevel="1">
      <c r="A52" s="16"/>
      <c r="B52" s="6" t="s">
        <v>42</v>
      </c>
      <c r="C52" s="6" t="s">
        <v>43</v>
      </c>
      <c r="D52" s="17">
        <v>1</v>
      </c>
      <c r="E52" s="18"/>
      <c r="F52" s="69"/>
    </row>
    <row r="53" spans="1:6" outlineLevel="1">
      <c r="A53" s="16"/>
      <c r="B53" s="6" t="s">
        <v>44</v>
      </c>
      <c r="C53" s="6" t="s">
        <v>22</v>
      </c>
      <c r="D53" s="17">
        <v>1</v>
      </c>
      <c r="E53" s="18"/>
      <c r="F53" s="69"/>
    </row>
    <row r="54" spans="1:6" outlineLevel="1">
      <c r="A54" s="16"/>
      <c r="B54" s="6" t="s">
        <v>14</v>
      </c>
      <c r="C54" s="6" t="s">
        <v>45</v>
      </c>
      <c r="D54" s="17">
        <v>1</v>
      </c>
      <c r="E54" s="18"/>
      <c r="F54" s="69"/>
    </row>
    <row r="55" spans="1:6" outlineLevel="1">
      <c r="A55" s="16"/>
      <c r="B55" s="6" t="s">
        <v>15</v>
      </c>
      <c r="C55" s="6" t="s">
        <v>22</v>
      </c>
      <c r="D55" s="17">
        <v>1</v>
      </c>
      <c r="E55" s="18"/>
      <c r="F55" s="69"/>
    </row>
    <row r="56" spans="1:6" outlineLevel="1">
      <c r="A56" s="16"/>
      <c r="B56" s="6" t="s">
        <v>91</v>
      </c>
      <c r="C56" s="6" t="s">
        <v>92</v>
      </c>
      <c r="D56" s="17">
        <v>1</v>
      </c>
      <c r="E56" s="18"/>
      <c r="F56" s="69"/>
    </row>
    <row r="57" spans="1:6" outlineLevel="1">
      <c r="A57" s="16"/>
      <c r="B57" s="6" t="s">
        <v>93</v>
      </c>
      <c r="C57" s="6" t="s">
        <v>94</v>
      </c>
      <c r="D57" s="17">
        <v>1</v>
      </c>
      <c r="E57" s="18"/>
      <c r="F57" s="69"/>
    </row>
    <row r="58" spans="1:6" s="19" customFormat="1">
      <c r="A58" s="13">
        <v>3</v>
      </c>
      <c r="B58" s="3" t="s">
        <v>3</v>
      </c>
      <c r="C58" s="3" t="s">
        <v>95</v>
      </c>
      <c r="D58" s="14">
        <v>1</v>
      </c>
      <c r="E58" s="15">
        <v>137761000</v>
      </c>
      <c r="F58" s="68">
        <f>D58*E58</f>
        <v>137761000</v>
      </c>
    </row>
    <row r="59" spans="1:6" outlineLevel="1">
      <c r="A59" s="16"/>
      <c r="B59" s="6" t="s">
        <v>23</v>
      </c>
      <c r="C59" s="6" t="s">
        <v>24</v>
      </c>
      <c r="D59" s="17">
        <v>1</v>
      </c>
      <c r="E59" s="18"/>
      <c r="F59" s="69"/>
    </row>
    <row r="60" spans="1:6" outlineLevel="1">
      <c r="A60" s="16"/>
      <c r="B60" s="6" t="s">
        <v>25</v>
      </c>
      <c r="C60" s="6" t="s">
        <v>26</v>
      </c>
      <c r="D60" s="17">
        <v>1</v>
      </c>
      <c r="E60" s="18"/>
      <c r="F60" s="69"/>
    </row>
    <row r="61" spans="1:6" ht="28.8" outlineLevel="1">
      <c r="A61" s="16"/>
      <c r="B61" s="6" t="s">
        <v>84</v>
      </c>
      <c r="C61" s="6" t="s">
        <v>85</v>
      </c>
      <c r="D61" s="17">
        <v>1</v>
      </c>
      <c r="E61" s="18"/>
      <c r="F61" s="69"/>
    </row>
    <row r="62" spans="1:6" ht="28.8" outlineLevel="1">
      <c r="A62" s="16"/>
      <c r="B62" s="6" t="s">
        <v>86</v>
      </c>
      <c r="C62" s="6" t="s">
        <v>87</v>
      </c>
      <c r="D62" s="17">
        <v>2</v>
      </c>
      <c r="E62" s="18"/>
      <c r="F62" s="69"/>
    </row>
    <row r="63" spans="1:6" outlineLevel="1">
      <c r="A63" s="16"/>
      <c r="B63" s="6" t="s">
        <v>88</v>
      </c>
      <c r="C63" s="6" t="s">
        <v>22</v>
      </c>
      <c r="D63" s="17">
        <v>2</v>
      </c>
      <c r="E63" s="18"/>
      <c r="F63" s="69"/>
    </row>
    <row r="64" spans="1:6" outlineLevel="1">
      <c r="A64" s="16"/>
      <c r="B64" s="6" t="s">
        <v>27</v>
      </c>
      <c r="C64" s="6" t="s">
        <v>28</v>
      </c>
      <c r="D64" s="17">
        <v>1</v>
      </c>
      <c r="E64" s="18"/>
      <c r="F64" s="69"/>
    </row>
    <row r="65" spans="1:6" outlineLevel="1">
      <c r="A65" s="16"/>
      <c r="B65" s="6" t="s">
        <v>29</v>
      </c>
      <c r="C65" s="6" t="s">
        <v>22</v>
      </c>
      <c r="D65" s="17">
        <v>1</v>
      </c>
      <c r="E65" s="18"/>
      <c r="F65" s="69"/>
    </row>
    <row r="66" spans="1:6" ht="28.8" outlineLevel="1">
      <c r="A66" s="16"/>
      <c r="B66" s="6" t="s">
        <v>10</v>
      </c>
      <c r="C66" s="6" t="s">
        <v>30</v>
      </c>
      <c r="D66" s="17">
        <v>4</v>
      </c>
      <c r="E66" s="18"/>
      <c r="F66" s="69"/>
    </row>
    <row r="67" spans="1:6" outlineLevel="1">
      <c r="A67" s="16"/>
      <c r="B67" s="6" t="s">
        <v>11</v>
      </c>
      <c r="C67" s="6" t="s">
        <v>22</v>
      </c>
      <c r="D67" s="17">
        <v>4</v>
      </c>
      <c r="E67" s="18"/>
      <c r="F67" s="69"/>
    </row>
    <row r="68" spans="1:6" outlineLevel="1">
      <c r="A68" s="16"/>
      <c r="B68" s="6" t="s">
        <v>12</v>
      </c>
      <c r="C68" s="6" t="s">
        <v>31</v>
      </c>
      <c r="D68" s="17">
        <v>1</v>
      </c>
      <c r="E68" s="18"/>
      <c r="F68" s="69"/>
    </row>
    <row r="69" spans="1:6" outlineLevel="1">
      <c r="A69" s="16"/>
      <c r="B69" s="6" t="s">
        <v>13</v>
      </c>
      <c r="C69" s="6" t="s">
        <v>22</v>
      </c>
      <c r="D69" s="17">
        <v>1</v>
      </c>
      <c r="E69" s="18"/>
      <c r="F69" s="69"/>
    </row>
    <row r="70" spans="1:6" ht="28.8" outlineLevel="1">
      <c r="A70" s="16"/>
      <c r="B70" s="6" t="s">
        <v>32</v>
      </c>
      <c r="C70" s="6" t="s">
        <v>33</v>
      </c>
      <c r="D70" s="17">
        <v>1</v>
      </c>
      <c r="E70" s="18"/>
      <c r="F70" s="69"/>
    </row>
    <row r="71" spans="1:6" outlineLevel="1">
      <c r="A71" s="16"/>
      <c r="B71" s="6" t="s">
        <v>34</v>
      </c>
      <c r="C71" s="6" t="s">
        <v>22</v>
      </c>
      <c r="D71" s="17">
        <v>1</v>
      </c>
      <c r="E71" s="18"/>
      <c r="F71" s="69"/>
    </row>
    <row r="72" spans="1:6" ht="28.8" outlineLevel="1">
      <c r="A72" s="16"/>
      <c r="B72" s="6" t="s">
        <v>35</v>
      </c>
      <c r="C72" s="6" t="s">
        <v>36</v>
      </c>
      <c r="D72" s="17">
        <v>1</v>
      </c>
      <c r="E72" s="18"/>
      <c r="F72" s="69"/>
    </row>
    <row r="73" spans="1:6" outlineLevel="1">
      <c r="A73" s="16"/>
      <c r="B73" s="6" t="s">
        <v>37</v>
      </c>
      <c r="C73" s="6" t="s">
        <v>22</v>
      </c>
      <c r="D73" s="17">
        <v>1</v>
      </c>
      <c r="E73" s="18"/>
      <c r="F73" s="69"/>
    </row>
    <row r="74" spans="1:6" ht="28.8" outlineLevel="1">
      <c r="A74" s="16"/>
      <c r="B74" s="6" t="s">
        <v>38</v>
      </c>
      <c r="C74" s="6" t="s">
        <v>39</v>
      </c>
      <c r="D74" s="17">
        <v>2</v>
      </c>
      <c r="E74" s="18"/>
      <c r="F74" s="69"/>
    </row>
    <row r="75" spans="1:6" outlineLevel="1">
      <c r="A75" s="16"/>
      <c r="B75" s="6" t="s">
        <v>40</v>
      </c>
      <c r="C75" s="6" t="s">
        <v>22</v>
      </c>
      <c r="D75" s="17">
        <v>2</v>
      </c>
      <c r="E75" s="18"/>
      <c r="F75" s="69"/>
    </row>
    <row r="76" spans="1:6" ht="28.8" outlineLevel="1">
      <c r="A76" s="16"/>
      <c r="B76" s="6" t="s">
        <v>16</v>
      </c>
      <c r="C76" s="6" t="s">
        <v>41</v>
      </c>
      <c r="D76" s="17">
        <v>1</v>
      </c>
      <c r="E76" s="18"/>
      <c r="F76" s="69"/>
    </row>
    <row r="77" spans="1:6" outlineLevel="1">
      <c r="A77" s="16"/>
      <c r="B77" s="6" t="s">
        <v>17</v>
      </c>
      <c r="C77" s="6" t="s">
        <v>22</v>
      </c>
      <c r="D77" s="17">
        <v>1</v>
      </c>
      <c r="E77" s="18"/>
      <c r="F77" s="69"/>
    </row>
    <row r="78" spans="1:6" ht="28.8" outlineLevel="1">
      <c r="A78" s="16"/>
      <c r="B78" s="6" t="s">
        <v>89</v>
      </c>
      <c r="C78" s="6" t="s">
        <v>90</v>
      </c>
      <c r="D78" s="17">
        <v>1</v>
      </c>
      <c r="E78" s="18"/>
      <c r="F78" s="69"/>
    </row>
    <row r="79" spans="1:6" outlineLevel="1">
      <c r="A79" s="16"/>
      <c r="B79" s="6" t="s">
        <v>42</v>
      </c>
      <c r="C79" s="6" t="s">
        <v>43</v>
      </c>
      <c r="D79" s="17">
        <v>1</v>
      </c>
      <c r="E79" s="18"/>
      <c r="F79" s="69"/>
    </row>
    <row r="80" spans="1:6" outlineLevel="1">
      <c r="A80" s="16"/>
      <c r="B80" s="6" t="s">
        <v>44</v>
      </c>
      <c r="C80" s="6" t="s">
        <v>22</v>
      </c>
      <c r="D80" s="17">
        <v>1</v>
      </c>
      <c r="E80" s="18"/>
      <c r="F80" s="69"/>
    </row>
    <row r="81" spans="1:6" outlineLevel="1">
      <c r="A81" s="16"/>
      <c r="B81" s="6" t="s">
        <v>14</v>
      </c>
      <c r="C81" s="6" t="s">
        <v>45</v>
      </c>
      <c r="D81" s="17">
        <v>1</v>
      </c>
      <c r="E81" s="18"/>
      <c r="F81" s="69"/>
    </row>
    <row r="82" spans="1:6" outlineLevel="1">
      <c r="A82" s="16"/>
      <c r="B82" s="6" t="s">
        <v>15</v>
      </c>
      <c r="C82" s="6" t="s">
        <v>22</v>
      </c>
      <c r="D82" s="17">
        <v>1</v>
      </c>
      <c r="E82" s="18"/>
      <c r="F82" s="69"/>
    </row>
    <row r="83" spans="1:6" outlineLevel="1">
      <c r="A83" s="16"/>
      <c r="B83" s="6" t="s">
        <v>91</v>
      </c>
      <c r="C83" s="6" t="s">
        <v>92</v>
      </c>
      <c r="D83" s="17">
        <v>1</v>
      </c>
      <c r="E83" s="18"/>
      <c r="F83" s="69"/>
    </row>
    <row r="84" spans="1:6" outlineLevel="1">
      <c r="A84" s="16"/>
      <c r="B84" s="6" t="s">
        <v>93</v>
      </c>
      <c r="C84" s="6" t="s">
        <v>94</v>
      </c>
      <c r="D84" s="17">
        <v>1</v>
      </c>
      <c r="E84" s="18"/>
      <c r="F84" s="69"/>
    </row>
    <row r="85" spans="1:6" s="19" customFormat="1">
      <c r="A85" s="13">
        <v>4</v>
      </c>
      <c r="B85" s="3" t="s">
        <v>4</v>
      </c>
      <c r="C85" s="3" t="s">
        <v>95</v>
      </c>
      <c r="D85" s="14">
        <v>1</v>
      </c>
      <c r="E85" s="15">
        <v>180183000</v>
      </c>
      <c r="F85" s="68">
        <f>D85*E85</f>
        <v>180183000</v>
      </c>
    </row>
    <row r="86" spans="1:6" outlineLevel="1">
      <c r="A86" s="16"/>
      <c r="B86" s="6" t="s">
        <v>23</v>
      </c>
      <c r="C86" s="6" t="s">
        <v>24</v>
      </c>
      <c r="D86" s="17">
        <v>1</v>
      </c>
      <c r="E86" s="18"/>
      <c r="F86" s="69"/>
    </row>
    <row r="87" spans="1:6" outlineLevel="1">
      <c r="A87" s="16"/>
      <c r="B87" s="6" t="s">
        <v>25</v>
      </c>
      <c r="C87" s="6" t="s">
        <v>26</v>
      </c>
      <c r="D87" s="17">
        <v>1</v>
      </c>
      <c r="E87" s="18"/>
      <c r="F87" s="69"/>
    </row>
    <row r="88" spans="1:6" ht="28.8" outlineLevel="1">
      <c r="A88" s="16"/>
      <c r="B88" s="6" t="s">
        <v>97</v>
      </c>
      <c r="C88" s="6" t="s">
        <v>98</v>
      </c>
      <c r="D88" s="17">
        <v>1</v>
      </c>
      <c r="E88" s="18"/>
      <c r="F88" s="69"/>
    </row>
    <row r="89" spans="1:6" ht="28.8" outlineLevel="1">
      <c r="A89" s="16"/>
      <c r="B89" s="6" t="s">
        <v>86</v>
      </c>
      <c r="C89" s="6" t="s">
        <v>87</v>
      </c>
      <c r="D89" s="17">
        <v>1</v>
      </c>
      <c r="E89" s="18"/>
      <c r="F89" s="69"/>
    </row>
    <row r="90" spans="1:6" outlineLevel="1">
      <c r="A90" s="16"/>
      <c r="B90" s="6" t="s">
        <v>88</v>
      </c>
      <c r="C90" s="6" t="s">
        <v>22</v>
      </c>
      <c r="D90" s="17">
        <v>1</v>
      </c>
      <c r="E90" s="18"/>
      <c r="F90" s="69"/>
    </row>
    <row r="91" spans="1:6" outlineLevel="1">
      <c r="A91" s="16"/>
      <c r="B91" s="6" t="s">
        <v>27</v>
      </c>
      <c r="C91" s="6" t="s">
        <v>28</v>
      </c>
      <c r="D91" s="17">
        <v>1</v>
      </c>
      <c r="E91" s="18"/>
      <c r="F91" s="69"/>
    </row>
    <row r="92" spans="1:6" outlineLevel="1">
      <c r="A92" s="16"/>
      <c r="B92" s="6" t="s">
        <v>29</v>
      </c>
      <c r="C92" s="6" t="s">
        <v>22</v>
      </c>
      <c r="D92" s="17">
        <v>1</v>
      </c>
      <c r="E92" s="18"/>
      <c r="F92" s="69"/>
    </row>
    <row r="93" spans="1:6" ht="28.8" outlineLevel="1">
      <c r="A93" s="16"/>
      <c r="B93" s="6" t="s">
        <v>18</v>
      </c>
      <c r="C93" s="6" t="s">
        <v>46</v>
      </c>
      <c r="D93" s="17">
        <v>5</v>
      </c>
      <c r="E93" s="18"/>
      <c r="F93" s="69"/>
    </row>
    <row r="94" spans="1:6" outlineLevel="1">
      <c r="A94" s="16"/>
      <c r="B94" s="6" t="s">
        <v>47</v>
      </c>
      <c r="C94" s="6" t="s">
        <v>22</v>
      </c>
      <c r="D94" s="17">
        <v>5</v>
      </c>
      <c r="E94" s="18"/>
      <c r="F94" s="69"/>
    </row>
    <row r="95" spans="1:6" ht="28.8" outlineLevel="1">
      <c r="A95" s="16"/>
      <c r="B95" s="6" t="s">
        <v>19</v>
      </c>
      <c r="C95" s="6" t="s">
        <v>48</v>
      </c>
      <c r="D95" s="17">
        <v>2</v>
      </c>
      <c r="E95" s="18"/>
      <c r="F95" s="69"/>
    </row>
    <row r="96" spans="1:6" outlineLevel="1">
      <c r="A96" s="16"/>
      <c r="B96" s="6" t="s">
        <v>49</v>
      </c>
      <c r="C96" s="6" t="s">
        <v>22</v>
      </c>
      <c r="D96" s="17">
        <v>2</v>
      </c>
      <c r="E96" s="18"/>
      <c r="F96" s="69"/>
    </row>
    <row r="97" spans="1:6" outlineLevel="1">
      <c r="A97" s="16"/>
      <c r="B97" s="6" t="s">
        <v>12</v>
      </c>
      <c r="C97" s="6" t="s">
        <v>31</v>
      </c>
      <c r="D97" s="17">
        <v>1</v>
      </c>
      <c r="E97" s="18"/>
      <c r="F97" s="69"/>
    </row>
    <row r="98" spans="1:6" outlineLevel="1">
      <c r="A98" s="16"/>
      <c r="B98" s="6" t="s">
        <v>13</v>
      </c>
      <c r="C98" s="6" t="s">
        <v>22</v>
      </c>
      <c r="D98" s="17">
        <v>1</v>
      </c>
      <c r="E98" s="18"/>
      <c r="F98" s="69"/>
    </row>
    <row r="99" spans="1:6" ht="28.8" outlineLevel="1">
      <c r="A99" s="16"/>
      <c r="B99" s="6" t="s">
        <v>32</v>
      </c>
      <c r="C99" s="6" t="s">
        <v>33</v>
      </c>
      <c r="D99" s="17">
        <v>1</v>
      </c>
      <c r="E99" s="18"/>
      <c r="F99" s="69"/>
    </row>
    <row r="100" spans="1:6" outlineLevel="1">
      <c r="A100" s="16"/>
      <c r="B100" s="6" t="s">
        <v>34</v>
      </c>
      <c r="C100" s="6" t="s">
        <v>22</v>
      </c>
      <c r="D100" s="17">
        <v>1</v>
      </c>
      <c r="E100" s="18"/>
      <c r="F100" s="69"/>
    </row>
    <row r="101" spans="1:6" ht="28.8" outlineLevel="1">
      <c r="A101" s="16"/>
      <c r="B101" s="6" t="s">
        <v>35</v>
      </c>
      <c r="C101" s="6" t="s">
        <v>36</v>
      </c>
      <c r="D101" s="17">
        <v>1</v>
      </c>
      <c r="E101" s="18"/>
      <c r="F101" s="69"/>
    </row>
    <row r="102" spans="1:6" outlineLevel="1">
      <c r="A102" s="16"/>
      <c r="B102" s="6" t="s">
        <v>37</v>
      </c>
      <c r="C102" s="6" t="s">
        <v>22</v>
      </c>
      <c r="D102" s="17">
        <v>1</v>
      </c>
      <c r="E102" s="18"/>
      <c r="F102" s="69"/>
    </row>
    <row r="103" spans="1:6" ht="28.8" outlineLevel="1">
      <c r="A103" s="16"/>
      <c r="B103" s="6" t="s">
        <v>38</v>
      </c>
      <c r="C103" s="6" t="s">
        <v>39</v>
      </c>
      <c r="D103" s="17">
        <v>2</v>
      </c>
      <c r="E103" s="18"/>
      <c r="F103" s="69"/>
    </row>
    <row r="104" spans="1:6" outlineLevel="1">
      <c r="A104" s="16"/>
      <c r="B104" s="6" t="s">
        <v>40</v>
      </c>
      <c r="C104" s="6" t="s">
        <v>22</v>
      </c>
      <c r="D104" s="17">
        <v>2</v>
      </c>
      <c r="E104" s="18"/>
      <c r="F104" s="69"/>
    </row>
    <row r="105" spans="1:6" ht="28.8" outlineLevel="1">
      <c r="A105" s="16"/>
      <c r="B105" s="6" t="s">
        <v>16</v>
      </c>
      <c r="C105" s="6" t="s">
        <v>41</v>
      </c>
      <c r="D105" s="17">
        <v>1</v>
      </c>
      <c r="E105" s="18"/>
      <c r="F105" s="69"/>
    </row>
    <row r="106" spans="1:6" outlineLevel="1">
      <c r="A106" s="16"/>
      <c r="B106" s="6" t="s">
        <v>17</v>
      </c>
      <c r="C106" s="6" t="s">
        <v>22</v>
      </c>
      <c r="D106" s="17">
        <v>1</v>
      </c>
      <c r="E106" s="18"/>
      <c r="F106" s="69"/>
    </row>
    <row r="107" spans="1:6" ht="28.8" outlineLevel="1">
      <c r="A107" s="16"/>
      <c r="B107" s="6" t="s">
        <v>89</v>
      </c>
      <c r="C107" s="6" t="s">
        <v>90</v>
      </c>
      <c r="D107" s="17">
        <v>1</v>
      </c>
      <c r="E107" s="18"/>
      <c r="F107" s="69"/>
    </row>
    <row r="108" spans="1:6" outlineLevel="1">
      <c r="A108" s="16"/>
      <c r="B108" s="6" t="s">
        <v>99</v>
      </c>
      <c r="C108" s="6" t="s">
        <v>100</v>
      </c>
      <c r="D108" s="17">
        <v>1</v>
      </c>
      <c r="E108" s="18"/>
      <c r="F108" s="69"/>
    </row>
    <row r="109" spans="1:6" outlineLevel="1">
      <c r="A109" s="16"/>
      <c r="B109" s="6" t="s">
        <v>101</v>
      </c>
      <c r="C109" s="6" t="s">
        <v>22</v>
      </c>
      <c r="D109" s="17">
        <v>1</v>
      </c>
      <c r="E109" s="18"/>
      <c r="F109" s="69"/>
    </row>
    <row r="110" spans="1:6" outlineLevel="1">
      <c r="A110" s="16"/>
      <c r="B110" s="6" t="s">
        <v>102</v>
      </c>
      <c r="C110" s="6" t="s">
        <v>103</v>
      </c>
      <c r="D110" s="17">
        <v>1</v>
      </c>
      <c r="E110" s="18"/>
      <c r="F110" s="69"/>
    </row>
    <row r="111" spans="1:6" outlineLevel="1">
      <c r="A111" s="16"/>
      <c r="B111" s="6" t="s">
        <v>104</v>
      </c>
      <c r="C111" s="6" t="s">
        <v>22</v>
      </c>
      <c r="D111" s="17">
        <v>1</v>
      </c>
      <c r="E111" s="18"/>
      <c r="F111" s="69"/>
    </row>
    <row r="112" spans="1:6" outlineLevel="1">
      <c r="A112" s="16"/>
      <c r="B112" s="6" t="s">
        <v>42</v>
      </c>
      <c r="C112" s="6" t="s">
        <v>43</v>
      </c>
      <c r="D112" s="17">
        <v>1</v>
      </c>
      <c r="E112" s="18"/>
      <c r="F112" s="69"/>
    </row>
    <row r="113" spans="1:6" outlineLevel="1">
      <c r="A113" s="16"/>
      <c r="B113" s="6" t="s">
        <v>44</v>
      </c>
      <c r="C113" s="6" t="s">
        <v>22</v>
      </c>
      <c r="D113" s="17">
        <v>1</v>
      </c>
      <c r="E113" s="18"/>
      <c r="F113" s="69"/>
    </row>
    <row r="114" spans="1:6" outlineLevel="1">
      <c r="A114" s="16"/>
      <c r="B114" s="6" t="s">
        <v>14</v>
      </c>
      <c r="C114" s="6" t="s">
        <v>45</v>
      </c>
      <c r="D114" s="17">
        <v>1</v>
      </c>
      <c r="E114" s="18"/>
      <c r="F114" s="69"/>
    </row>
    <row r="115" spans="1:6" outlineLevel="1">
      <c r="A115" s="16"/>
      <c r="B115" s="6" t="s">
        <v>15</v>
      </c>
      <c r="C115" s="6" t="s">
        <v>22</v>
      </c>
      <c r="D115" s="17">
        <v>1</v>
      </c>
      <c r="E115" s="18"/>
      <c r="F115" s="69"/>
    </row>
    <row r="116" spans="1:6" outlineLevel="1">
      <c r="A116" s="16"/>
      <c r="B116" s="6" t="s">
        <v>91</v>
      </c>
      <c r="C116" s="6" t="s">
        <v>92</v>
      </c>
      <c r="D116" s="17">
        <v>1</v>
      </c>
      <c r="E116" s="18"/>
      <c r="F116" s="69"/>
    </row>
    <row r="117" spans="1:6" outlineLevel="1">
      <c r="A117" s="16"/>
      <c r="B117" s="6" t="s">
        <v>93</v>
      </c>
      <c r="C117" s="6" t="s">
        <v>94</v>
      </c>
      <c r="D117" s="17">
        <v>1</v>
      </c>
      <c r="E117" s="18"/>
      <c r="F117" s="69"/>
    </row>
    <row r="118" spans="1:6" s="19" customFormat="1">
      <c r="A118" s="13">
        <v>5</v>
      </c>
      <c r="B118" s="3" t="s">
        <v>5</v>
      </c>
      <c r="C118" s="3" t="s">
        <v>105</v>
      </c>
      <c r="D118" s="14">
        <v>1</v>
      </c>
      <c r="E118" s="15">
        <v>112169000</v>
      </c>
      <c r="F118" s="68">
        <f>D118*E118</f>
        <v>112169000</v>
      </c>
    </row>
    <row r="119" spans="1:6" outlineLevel="1">
      <c r="A119" s="16"/>
      <c r="B119" s="6" t="s">
        <v>50</v>
      </c>
      <c r="C119" s="6" t="s">
        <v>51</v>
      </c>
      <c r="D119" s="17">
        <v>1</v>
      </c>
      <c r="E119" s="18"/>
      <c r="F119" s="69"/>
    </row>
    <row r="120" spans="1:6" outlineLevel="1">
      <c r="A120" s="16"/>
      <c r="B120" s="6" t="s">
        <v>52</v>
      </c>
      <c r="C120" s="6" t="s">
        <v>53</v>
      </c>
      <c r="D120" s="17">
        <v>1</v>
      </c>
      <c r="E120" s="18"/>
      <c r="F120" s="69"/>
    </row>
    <row r="121" spans="1:6" ht="28.8" outlineLevel="1">
      <c r="A121" s="16"/>
      <c r="B121" s="6" t="s">
        <v>106</v>
      </c>
      <c r="C121" s="6" t="s">
        <v>107</v>
      </c>
      <c r="D121" s="17">
        <v>1</v>
      </c>
      <c r="E121" s="18"/>
      <c r="F121" s="69"/>
    </row>
    <row r="122" spans="1:6" ht="28.8" outlineLevel="1">
      <c r="A122" s="16"/>
      <c r="B122" s="6" t="s">
        <v>108</v>
      </c>
      <c r="C122" s="6" t="s">
        <v>109</v>
      </c>
      <c r="D122" s="17">
        <v>1</v>
      </c>
      <c r="E122" s="18"/>
      <c r="F122" s="69"/>
    </row>
    <row r="123" spans="1:6" outlineLevel="1">
      <c r="A123" s="16"/>
      <c r="B123" s="6" t="s">
        <v>110</v>
      </c>
      <c r="C123" s="6" t="s">
        <v>22</v>
      </c>
      <c r="D123" s="17">
        <v>1</v>
      </c>
      <c r="E123" s="18"/>
      <c r="F123" s="69"/>
    </row>
    <row r="124" spans="1:6" outlineLevel="1">
      <c r="A124" s="16"/>
      <c r="B124" s="6" t="s">
        <v>54</v>
      </c>
      <c r="C124" s="6" t="s">
        <v>55</v>
      </c>
      <c r="D124" s="17">
        <v>1</v>
      </c>
      <c r="E124" s="18"/>
      <c r="F124" s="69"/>
    </row>
    <row r="125" spans="1:6" outlineLevel="1">
      <c r="A125" s="16"/>
      <c r="B125" s="6" t="s">
        <v>56</v>
      </c>
      <c r="C125" s="6" t="s">
        <v>22</v>
      </c>
      <c r="D125" s="17">
        <v>1</v>
      </c>
      <c r="E125" s="18"/>
      <c r="F125" s="69"/>
    </row>
    <row r="126" spans="1:6" ht="28.8" outlineLevel="1">
      <c r="A126" s="16"/>
      <c r="B126" s="6" t="s">
        <v>10</v>
      </c>
      <c r="C126" s="6" t="s">
        <v>30</v>
      </c>
      <c r="D126" s="17">
        <v>4</v>
      </c>
      <c r="E126" s="18"/>
      <c r="F126" s="69"/>
    </row>
    <row r="127" spans="1:6" outlineLevel="1">
      <c r="A127" s="16"/>
      <c r="B127" s="6" t="s">
        <v>11</v>
      </c>
      <c r="C127" s="6" t="s">
        <v>22</v>
      </c>
      <c r="D127" s="17">
        <v>4</v>
      </c>
      <c r="E127" s="18"/>
      <c r="F127" s="69"/>
    </row>
    <row r="128" spans="1:6" outlineLevel="1">
      <c r="A128" s="16"/>
      <c r="B128" s="6" t="s">
        <v>12</v>
      </c>
      <c r="C128" s="6" t="s">
        <v>31</v>
      </c>
      <c r="D128" s="17">
        <v>1</v>
      </c>
      <c r="E128" s="18"/>
      <c r="F128" s="69"/>
    </row>
    <row r="129" spans="1:6" outlineLevel="1">
      <c r="A129" s="16"/>
      <c r="B129" s="6" t="s">
        <v>13</v>
      </c>
      <c r="C129" s="6" t="s">
        <v>22</v>
      </c>
      <c r="D129" s="17">
        <v>1</v>
      </c>
      <c r="E129" s="18"/>
      <c r="F129" s="69"/>
    </row>
    <row r="130" spans="1:6" ht="28.8" outlineLevel="1">
      <c r="A130" s="16"/>
      <c r="B130" s="6" t="s">
        <v>32</v>
      </c>
      <c r="C130" s="6" t="s">
        <v>33</v>
      </c>
      <c r="D130" s="17">
        <v>1</v>
      </c>
      <c r="E130" s="18"/>
      <c r="F130" s="69"/>
    </row>
    <row r="131" spans="1:6" outlineLevel="1">
      <c r="A131" s="16"/>
      <c r="B131" s="6" t="s">
        <v>34</v>
      </c>
      <c r="C131" s="6" t="s">
        <v>22</v>
      </c>
      <c r="D131" s="17">
        <v>1</v>
      </c>
      <c r="E131" s="18"/>
      <c r="F131" s="69"/>
    </row>
    <row r="132" spans="1:6" ht="28.8" outlineLevel="1">
      <c r="A132" s="16"/>
      <c r="B132" s="6" t="s">
        <v>35</v>
      </c>
      <c r="C132" s="6" t="s">
        <v>36</v>
      </c>
      <c r="D132" s="17">
        <v>1</v>
      </c>
      <c r="E132" s="18"/>
      <c r="F132" s="69"/>
    </row>
    <row r="133" spans="1:6" outlineLevel="1">
      <c r="A133" s="16"/>
      <c r="B133" s="6" t="s">
        <v>37</v>
      </c>
      <c r="C133" s="6" t="s">
        <v>22</v>
      </c>
      <c r="D133" s="17">
        <v>1</v>
      </c>
      <c r="E133" s="18"/>
      <c r="F133" s="69"/>
    </row>
    <row r="134" spans="1:6" ht="28.8" outlineLevel="1">
      <c r="A134" s="16"/>
      <c r="B134" s="6" t="s">
        <v>38</v>
      </c>
      <c r="C134" s="6" t="s">
        <v>39</v>
      </c>
      <c r="D134" s="17">
        <v>2</v>
      </c>
      <c r="E134" s="18"/>
      <c r="F134" s="69"/>
    </row>
    <row r="135" spans="1:6" outlineLevel="1">
      <c r="A135" s="16"/>
      <c r="B135" s="6" t="s">
        <v>40</v>
      </c>
      <c r="C135" s="6" t="s">
        <v>22</v>
      </c>
      <c r="D135" s="17">
        <v>2</v>
      </c>
      <c r="E135" s="18"/>
      <c r="F135" s="69"/>
    </row>
    <row r="136" spans="1:6" ht="28.8" outlineLevel="1">
      <c r="A136" s="16"/>
      <c r="B136" s="6" t="s">
        <v>16</v>
      </c>
      <c r="C136" s="6" t="s">
        <v>41</v>
      </c>
      <c r="D136" s="17">
        <v>1</v>
      </c>
      <c r="E136" s="18"/>
      <c r="F136" s="69"/>
    </row>
    <row r="137" spans="1:6" outlineLevel="1">
      <c r="A137" s="16"/>
      <c r="B137" s="6" t="s">
        <v>17</v>
      </c>
      <c r="C137" s="6" t="s">
        <v>22</v>
      </c>
      <c r="D137" s="17">
        <v>1</v>
      </c>
      <c r="E137" s="18"/>
      <c r="F137" s="69"/>
    </row>
    <row r="138" spans="1:6" ht="28.8" outlineLevel="1">
      <c r="A138" s="16"/>
      <c r="B138" s="6" t="s">
        <v>89</v>
      </c>
      <c r="C138" s="6" t="s">
        <v>90</v>
      </c>
      <c r="D138" s="17">
        <v>1</v>
      </c>
      <c r="E138" s="18"/>
      <c r="F138" s="69"/>
    </row>
    <row r="139" spans="1:6" outlineLevel="1">
      <c r="A139" s="16"/>
      <c r="B139" s="6" t="s">
        <v>111</v>
      </c>
      <c r="C139" s="6" t="s">
        <v>112</v>
      </c>
      <c r="D139" s="17">
        <v>1</v>
      </c>
      <c r="E139" s="18"/>
      <c r="F139" s="69"/>
    </row>
    <row r="140" spans="1:6" outlineLevel="1">
      <c r="A140" s="16"/>
      <c r="B140" s="6" t="s">
        <v>113</v>
      </c>
      <c r="C140" s="6" t="s">
        <v>22</v>
      </c>
      <c r="D140" s="17">
        <v>1</v>
      </c>
      <c r="E140" s="18"/>
      <c r="F140" s="69"/>
    </row>
    <row r="141" spans="1:6" outlineLevel="1">
      <c r="A141" s="16"/>
      <c r="B141" s="6" t="s">
        <v>57</v>
      </c>
      <c r="C141" s="6" t="s">
        <v>58</v>
      </c>
      <c r="D141" s="17">
        <v>1</v>
      </c>
      <c r="E141" s="18"/>
      <c r="F141" s="69"/>
    </row>
    <row r="142" spans="1:6" outlineLevel="1">
      <c r="A142" s="16"/>
      <c r="B142" s="6" t="s">
        <v>59</v>
      </c>
      <c r="C142" s="6" t="s">
        <v>22</v>
      </c>
      <c r="D142" s="17">
        <v>1</v>
      </c>
      <c r="E142" s="18"/>
      <c r="F142" s="69"/>
    </row>
    <row r="143" spans="1:6" outlineLevel="1">
      <c r="A143" s="16"/>
      <c r="B143" s="6" t="s">
        <v>60</v>
      </c>
      <c r="C143" s="6" t="s">
        <v>61</v>
      </c>
      <c r="D143" s="17">
        <v>1</v>
      </c>
      <c r="E143" s="18"/>
      <c r="F143" s="69"/>
    </row>
    <row r="144" spans="1:6" outlineLevel="1">
      <c r="A144" s="16"/>
      <c r="B144" s="6" t="s">
        <v>62</v>
      </c>
      <c r="C144" s="6" t="s">
        <v>22</v>
      </c>
      <c r="D144" s="17">
        <v>1</v>
      </c>
      <c r="E144" s="18"/>
      <c r="F144" s="69"/>
    </row>
    <row r="145" spans="1:6" outlineLevel="1">
      <c r="A145" s="16"/>
      <c r="B145" s="6" t="s">
        <v>91</v>
      </c>
      <c r="C145" s="6" t="s">
        <v>92</v>
      </c>
      <c r="D145" s="17">
        <v>1</v>
      </c>
      <c r="E145" s="18"/>
      <c r="F145" s="69"/>
    </row>
    <row r="146" spans="1:6" outlineLevel="1">
      <c r="A146" s="16"/>
      <c r="B146" s="6" t="s">
        <v>114</v>
      </c>
      <c r="C146" s="6" t="s">
        <v>115</v>
      </c>
      <c r="D146" s="17">
        <v>1</v>
      </c>
      <c r="E146" s="18"/>
      <c r="F146" s="69"/>
    </row>
    <row r="147" spans="1:6" s="19" customFormat="1">
      <c r="A147" s="13">
        <v>6</v>
      </c>
      <c r="B147" s="3" t="s">
        <v>6</v>
      </c>
      <c r="C147" s="3" t="s">
        <v>105</v>
      </c>
      <c r="D147" s="14">
        <v>1</v>
      </c>
      <c r="E147" s="15">
        <v>112169000</v>
      </c>
      <c r="F147" s="68">
        <f>D147*E147</f>
        <v>112169000</v>
      </c>
    </row>
    <row r="148" spans="1:6" outlineLevel="1">
      <c r="A148" s="16"/>
      <c r="B148" s="6" t="s">
        <v>50</v>
      </c>
      <c r="C148" s="6" t="s">
        <v>51</v>
      </c>
      <c r="D148" s="17">
        <v>1</v>
      </c>
      <c r="E148" s="18"/>
      <c r="F148" s="69"/>
    </row>
    <row r="149" spans="1:6" outlineLevel="1">
      <c r="A149" s="16"/>
      <c r="B149" s="6" t="s">
        <v>52</v>
      </c>
      <c r="C149" s="6" t="s">
        <v>53</v>
      </c>
      <c r="D149" s="17">
        <v>1</v>
      </c>
      <c r="E149" s="18"/>
      <c r="F149" s="69"/>
    </row>
    <row r="150" spans="1:6" ht="28.8" outlineLevel="1">
      <c r="A150" s="16"/>
      <c r="B150" s="6" t="s">
        <v>106</v>
      </c>
      <c r="C150" s="6" t="s">
        <v>107</v>
      </c>
      <c r="D150" s="17">
        <v>1</v>
      </c>
      <c r="E150" s="18"/>
      <c r="F150" s="69"/>
    </row>
    <row r="151" spans="1:6" ht="28.8" outlineLevel="1">
      <c r="A151" s="16"/>
      <c r="B151" s="6" t="s">
        <v>108</v>
      </c>
      <c r="C151" s="6" t="s">
        <v>109</v>
      </c>
      <c r="D151" s="17">
        <v>1</v>
      </c>
      <c r="E151" s="18"/>
      <c r="F151" s="69"/>
    </row>
    <row r="152" spans="1:6" outlineLevel="1">
      <c r="A152" s="16"/>
      <c r="B152" s="6" t="s">
        <v>110</v>
      </c>
      <c r="C152" s="6" t="s">
        <v>22</v>
      </c>
      <c r="D152" s="17">
        <v>1</v>
      </c>
      <c r="E152" s="18"/>
      <c r="F152" s="69"/>
    </row>
    <row r="153" spans="1:6" outlineLevel="1">
      <c r="A153" s="16"/>
      <c r="B153" s="6" t="s">
        <v>54</v>
      </c>
      <c r="C153" s="6" t="s">
        <v>55</v>
      </c>
      <c r="D153" s="17">
        <v>1</v>
      </c>
      <c r="E153" s="18"/>
      <c r="F153" s="69"/>
    </row>
    <row r="154" spans="1:6" outlineLevel="1">
      <c r="A154" s="16"/>
      <c r="B154" s="6" t="s">
        <v>56</v>
      </c>
      <c r="C154" s="6" t="s">
        <v>22</v>
      </c>
      <c r="D154" s="17">
        <v>1</v>
      </c>
      <c r="E154" s="18"/>
      <c r="F154" s="69"/>
    </row>
    <row r="155" spans="1:6" ht="28.8" outlineLevel="1">
      <c r="A155" s="16"/>
      <c r="B155" s="6" t="s">
        <v>10</v>
      </c>
      <c r="C155" s="6" t="s">
        <v>30</v>
      </c>
      <c r="D155" s="17">
        <v>4</v>
      </c>
      <c r="E155" s="18"/>
      <c r="F155" s="69"/>
    </row>
    <row r="156" spans="1:6" outlineLevel="1">
      <c r="A156" s="16"/>
      <c r="B156" s="6" t="s">
        <v>11</v>
      </c>
      <c r="C156" s="6" t="s">
        <v>22</v>
      </c>
      <c r="D156" s="17">
        <v>4</v>
      </c>
      <c r="E156" s="18"/>
      <c r="F156" s="69"/>
    </row>
    <row r="157" spans="1:6" outlineLevel="1">
      <c r="A157" s="16"/>
      <c r="B157" s="6" t="s">
        <v>12</v>
      </c>
      <c r="C157" s="6" t="s">
        <v>31</v>
      </c>
      <c r="D157" s="17">
        <v>1</v>
      </c>
      <c r="E157" s="18"/>
      <c r="F157" s="69"/>
    </row>
    <row r="158" spans="1:6" outlineLevel="1">
      <c r="A158" s="16"/>
      <c r="B158" s="6" t="s">
        <v>13</v>
      </c>
      <c r="C158" s="6" t="s">
        <v>22</v>
      </c>
      <c r="D158" s="17">
        <v>1</v>
      </c>
      <c r="E158" s="18"/>
      <c r="F158" s="69"/>
    </row>
    <row r="159" spans="1:6" ht="28.8" outlineLevel="1">
      <c r="A159" s="16"/>
      <c r="B159" s="6" t="s">
        <v>32</v>
      </c>
      <c r="C159" s="6" t="s">
        <v>33</v>
      </c>
      <c r="D159" s="17">
        <v>1</v>
      </c>
      <c r="E159" s="18"/>
      <c r="F159" s="69"/>
    </row>
    <row r="160" spans="1:6" outlineLevel="1">
      <c r="A160" s="16"/>
      <c r="B160" s="6" t="s">
        <v>34</v>
      </c>
      <c r="C160" s="6" t="s">
        <v>22</v>
      </c>
      <c r="D160" s="17">
        <v>1</v>
      </c>
      <c r="E160" s="18"/>
      <c r="F160" s="69"/>
    </row>
    <row r="161" spans="1:6" ht="28.8" outlineLevel="1">
      <c r="A161" s="16"/>
      <c r="B161" s="6" t="s">
        <v>35</v>
      </c>
      <c r="C161" s="6" t="s">
        <v>36</v>
      </c>
      <c r="D161" s="17">
        <v>1</v>
      </c>
      <c r="E161" s="18"/>
      <c r="F161" s="69"/>
    </row>
    <row r="162" spans="1:6" outlineLevel="1">
      <c r="A162" s="16"/>
      <c r="B162" s="6" t="s">
        <v>37</v>
      </c>
      <c r="C162" s="6" t="s">
        <v>22</v>
      </c>
      <c r="D162" s="17">
        <v>1</v>
      </c>
      <c r="E162" s="18"/>
      <c r="F162" s="69"/>
    </row>
    <row r="163" spans="1:6" ht="28.8" outlineLevel="1">
      <c r="A163" s="16"/>
      <c r="B163" s="6" t="s">
        <v>38</v>
      </c>
      <c r="C163" s="6" t="s">
        <v>39</v>
      </c>
      <c r="D163" s="17">
        <v>2</v>
      </c>
      <c r="E163" s="18"/>
      <c r="F163" s="69"/>
    </row>
    <row r="164" spans="1:6" outlineLevel="1">
      <c r="A164" s="16"/>
      <c r="B164" s="6" t="s">
        <v>40</v>
      </c>
      <c r="C164" s="6" t="s">
        <v>22</v>
      </c>
      <c r="D164" s="17">
        <v>2</v>
      </c>
      <c r="E164" s="18"/>
      <c r="F164" s="69"/>
    </row>
    <row r="165" spans="1:6" ht="28.8" outlineLevel="1">
      <c r="A165" s="16"/>
      <c r="B165" s="6" t="s">
        <v>16</v>
      </c>
      <c r="C165" s="6" t="s">
        <v>41</v>
      </c>
      <c r="D165" s="17">
        <v>1</v>
      </c>
      <c r="E165" s="18"/>
      <c r="F165" s="69"/>
    </row>
    <row r="166" spans="1:6" outlineLevel="1">
      <c r="A166" s="16"/>
      <c r="B166" s="6" t="s">
        <v>17</v>
      </c>
      <c r="C166" s="6" t="s">
        <v>22</v>
      </c>
      <c r="D166" s="17">
        <v>1</v>
      </c>
      <c r="E166" s="18"/>
      <c r="F166" s="69"/>
    </row>
    <row r="167" spans="1:6" ht="28.8" outlineLevel="1">
      <c r="A167" s="16"/>
      <c r="B167" s="6" t="s">
        <v>89</v>
      </c>
      <c r="C167" s="6" t="s">
        <v>90</v>
      </c>
      <c r="D167" s="17">
        <v>1</v>
      </c>
      <c r="E167" s="18"/>
      <c r="F167" s="69"/>
    </row>
    <row r="168" spans="1:6" outlineLevel="1">
      <c r="A168" s="16"/>
      <c r="B168" s="6" t="s">
        <v>111</v>
      </c>
      <c r="C168" s="6" t="s">
        <v>112</v>
      </c>
      <c r="D168" s="17">
        <v>1</v>
      </c>
      <c r="E168" s="18"/>
      <c r="F168" s="69"/>
    </row>
    <row r="169" spans="1:6" outlineLevel="1">
      <c r="A169" s="16"/>
      <c r="B169" s="6" t="s">
        <v>113</v>
      </c>
      <c r="C169" s="6" t="s">
        <v>22</v>
      </c>
      <c r="D169" s="17">
        <v>1</v>
      </c>
      <c r="E169" s="18"/>
      <c r="F169" s="69"/>
    </row>
    <row r="170" spans="1:6" outlineLevel="1">
      <c r="A170" s="16"/>
      <c r="B170" s="6" t="s">
        <v>57</v>
      </c>
      <c r="C170" s="6" t="s">
        <v>58</v>
      </c>
      <c r="D170" s="17">
        <v>1</v>
      </c>
      <c r="E170" s="18"/>
      <c r="F170" s="69"/>
    </row>
    <row r="171" spans="1:6" outlineLevel="1">
      <c r="A171" s="16"/>
      <c r="B171" s="6" t="s">
        <v>59</v>
      </c>
      <c r="C171" s="6" t="s">
        <v>22</v>
      </c>
      <c r="D171" s="17">
        <v>1</v>
      </c>
      <c r="E171" s="18"/>
      <c r="F171" s="69"/>
    </row>
    <row r="172" spans="1:6" outlineLevel="1">
      <c r="A172" s="16"/>
      <c r="B172" s="6" t="s">
        <v>60</v>
      </c>
      <c r="C172" s="6" t="s">
        <v>61</v>
      </c>
      <c r="D172" s="17">
        <v>1</v>
      </c>
      <c r="E172" s="18"/>
      <c r="F172" s="69"/>
    </row>
    <row r="173" spans="1:6" outlineLevel="1">
      <c r="A173" s="16"/>
      <c r="B173" s="6" t="s">
        <v>62</v>
      </c>
      <c r="C173" s="6" t="s">
        <v>22</v>
      </c>
      <c r="D173" s="17">
        <v>1</v>
      </c>
      <c r="E173" s="18"/>
      <c r="F173" s="69"/>
    </row>
    <row r="174" spans="1:6" outlineLevel="1">
      <c r="A174" s="16"/>
      <c r="B174" s="6" t="s">
        <v>91</v>
      </c>
      <c r="C174" s="6" t="s">
        <v>92</v>
      </c>
      <c r="D174" s="17">
        <v>1</v>
      </c>
      <c r="E174" s="18"/>
      <c r="F174" s="69"/>
    </row>
    <row r="175" spans="1:6" outlineLevel="1">
      <c r="A175" s="16"/>
      <c r="B175" s="6" t="s">
        <v>114</v>
      </c>
      <c r="C175" s="6" t="s">
        <v>115</v>
      </c>
      <c r="D175" s="17">
        <v>1</v>
      </c>
      <c r="E175" s="18"/>
      <c r="F175" s="69"/>
    </row>
    <row r="176" spans="1:6" s="19" customFormat="1" ht="28.8">
      <c r="A176" s="13">
        <v>7</v>
      </c>
      <c r="B176" s="3" t="s">
        <v>116</v>
      </c>
      <c r="C176" s="3" t="s">
        <v>125</v>
      </c>
      <c r="D176" s="14">
        <v>3</v>
      </c>
      <c r="E176" s="15">
        <v>77230000</v>
      </c>
      <c r="F176" s="68">
        <f>D176*E176</f>
        <v>231690000</v>
      </c>
    </row>
    <row r="177" spans="1:6" ht="28.8" outlineLevel="1">
      <c r="A177" s="16"/>
      <c r="B177" s="6" t="s">
        <v>117</v>
      </c>
      <c r="C177" s="6" t="s">
        <v>118</v>
      </c>
      <c r="D177" s="17">
        <v>1</v>
      </c>
      <c r="E177" s="18"/>
      <c r="F177" s="69"/>
    </row>
    <row r="178" spans="1:6" outlineLevel="1">
      <c r="A178" s="16"/>
      <c r="B178" s="6" t="s">
        <v>119</v>
      </c>
      <c r="C178" s="6" t="s">
        <v>120</v>
      </c>
      <c r="D178" s="17">
        <v>1</v>
      </c>
      <c r="E178" s="18"/>
      <c r="F178" s="69"/>
    </row>
    <row r="179" spans="1:6" outlineLevel="1">
      <c r="A179" s="16"/>
      <c r="B179" s="6" t="s">
        <v>111</v>
      </c>
      <c r="C179" s="6" t="s">
        <v>112</v>
      </c>
      <c r="D179" s="17">
        <v>1</v>
      </c>
      <c r="E179" s="18"/>
      <c r="F179" s="69"/>
    </row>
    <row r="180" spans="1:6" outlineLevel="1">
      <c r="A180" s="16"/>
      <c r="B180" s="6" t="s">
        <v>102</v>
      </c>
      <c r="C180" s="6" t="s">
        <v>103</v>
      </c>
      <c r="D180" s="17">
        <v>1</v>
      </c>
      <c r="E180" s="18"/>
      <c r="F180" s="69"/>
    </row>
    <row r="181" spans="1:6" ht="28.8" outlineLevel="1">
      <c r="A181" s="16"/>
      <c r="B181" s="6" t="s">
        <v>121</v>
      </c>
      <c r="C181" s="6" t="s">
        <v>122</v>
      </c>
      <c r="D181" s="17">
        <v>1</v>
      </c>
      <c r="E181" s="18"/>
      <c r="F181" s="69"/>
    </row>
    <row r="182" spans="1:6" ht="28.8" outlineLevel="1">
      <c r="A182" s="16"/>
      <c r="B182" s="6" t="s">
        <v>10</v>
      </c>
      <c r="C182" s="6" t="s">
        <v>30</v>
      </c>
      <c r="D182" s="17">
        <v>2</v>
      </c>
      <c r="E182" s="18"/>
      <c r="F182" s="69"/>
    </row>
    <row r="183" spans="1:6" ht="28.8" outlineLevel="1">
      <c r="A183" s="16"/>
      <c r="B183" s="6" t="s">
        <v>16</v>
      </c>
      <c r="C183" s="6" t="s">
        <v>41</v>
      </c>
      <c r="D183" s="17">
        <v>1</v>
      </c>
      <c r="E183" s="18"/>
      <c r="F183" s="69"/>
    </row>
    <row r="184" spans="1:6" outlineLevel="1">
      <c r="A184" s="16"/>
      <c r="B184" s="6" t="s">
        <v>91</v>
      </c>
      <c r="C184" s="6" t="s">
        <v>92</v>
      </c>
      <c r="D184" s="17">
        <v>1</v>
      </c>
      <c r="E184" s="18"/>
      <c r="F184" s="69"/>
    </row>
    <row r="185" spans="1:6" outlineLevel="1">
      <c r="A185" s="16"/>
      <c r="B185" s="6" t="s">
        <v>123</v>
      </c>
      <c r="C185" s="6" t="s">
        <v>124</v>
      </c>
      <c r="D185" s="17">
        <v>1</v>
      </c>
      <c r="E185" s="18"/>
      <c r="F185" s="69"/>
    </row>
    <row r="186" spans="1:6" ht="28.8" outlineLevel="1">
      <c r="A186" s="16"/>
      <c r="B186" s="6" t="s">
        <v>89</v>
      </c>
      <c r="C186" s="6" t="s">
        <v>90</v>
      </c>
      <c r="D186" s="17">
        <v>1</v>
      </c>
      <c r="E186" s="18"/>
      <c r="F186" s="69"/>
    </row>
    <row r="187" spans="1:6" s="19" customFormat="1" ht="28.8">
      <c r="A187" s="13">
        <v>8</v>
      </c>
      <c r="B187" s="3" t="s">
        <v>148</v>
      </c>
      <c r="C187" s="3" t="s">
        <v>147</v>
      </c>
      <c r="D187" s="14">
        <v>1</v>
      </c>
      <c r="E187" s="15">
        <v>67560000</v>
      </c>
      <c r="F187" s="68">
        <f>D187*E187</f>
        <v>67560000</v>
      </c>
    </row>
    <row r="188" spans="1:6" outlineLevel="1">
      <c r="A188" s="16"/>
      <c r="B188" s="6" t="s">
        <v>126</v>
      </c>
      <c r="C188" s="6" t="s">
        <v>127</v>
      </c>
      <c r="D188" s="17">
        <v>1</v>
      </c>
      <c r="E188" s="18"/>
      <c r="F188" s="69"/>
    </row>
    <row r="189" spans="1:6" outlineLevel="1">
      <c r="A189" s="16"/>
      <c r="B189" s="6" t="s">
        <v>128</v>
      </c>
      <c r="C189" s="6" t="s">
        <v>129</v>
      </c>
      <c r="D189" s="17">
        <v>1</v>
      </c>
      <c r="E189" s="18"/>
      <c r="F189" s="69"/>
    </row>
    <row r="190" spans="1:6" ht="28.8" outlineLevel="1">
      <c r="A190" s="16"/>
      <c r="B190" s="6" t="s">
        <v>130</v>
      </c>
      <c r="C190" s="6" t="s">
        <v>131</v>
      </c>
      <c r="D190" s="17">
        <v>1</v>
      </c>
      <c r="E190" s="18"/>
      <c r="F190" s="69"/>
    </row>
    <row r="191" spans="1:6" ht="28.8" outlineLevel="1">
      <c r="A191" s="16"/>
      <c r="B191" s="6" t="s">
        <v>108</v>
      </c>
      <c r="C191" s="6" t="s">
        <v>109</v>
      </c>
      <c r="D191" s="17">
        <v>1</v>
      </c>
      <c r="E191" s="18"/>
      <c r="F191" s="69"/>
    </row>
    <row r="192" spans="1:6" outlineLevel="1">
      <c r="A192" s="16"/>
      <c r="B192" s="6" t="s">
        <v>110</v>
      </c>
      <c r="C192" s="6" t="s">
        <v>22</v>
      </c>
      <c r="D192" s="17">
        <v>1</v>
      </c>
      <c r="E192" s="18"/>
      <c r="F192" s="69"/>
    </row>
    <row r="193" spans="1:6" ht="28.8" outlineLevel="1">
      <c r="A193" s="16"/>
      <c r="B193" s="6" t="s">
        <v>132</v>
      </c>
      <c r="C193" s="6" t="s">
        <v>133</v>
      </c>
      <c r="D193" s="17">
        <v>2</v>
      </c>
      <c r="E193" s="18"/>
      <c r="F193" s="69"/>
    </row>
    <row r="194" spans="1:6" outlineLevel="1">
      <c r="A194" s="16"/>
      <c r="B194" s="6" t="s">
        <v>134</v>
      </c>
      <c r="C194" s="6" t="s">
        <v>22</v>
      </c>
      <c r="D194" s="17">
        <v>2</v>
      </c>
      <c r="E194" s="18"/>
      <c r="F194" s="69"/>
    </row>
    <row r="195" spans="1:6" outlineLevel="1">
      <c r="A195" s="16"/>
      <c r="B195" s="6" t="s">
        <v>119</v>
      </c>
      <c r="C195" s="6" t="s">
        <v>120</v>
      </c>
      <c r="D195" s="17">
        <v>1</v>
      </c>
      <c r="E195" s="18"/>
      <c r="F195" s="69"/>
    </row>
    <row r="196" spans="1:6" outlineLevel="1">
      <c r="A196" s="16"/>
      <c r="B196" s="6" t="s">
        <v>135</v>
      </c>
      <c r="C196" s="6" t="s">
        <v>22</v>
      </c>
      <c r="D196" s="17">
        <v>1</v>
      </c>
      <c r="E196" s="18"/>
      <c r="F196" s="69"/>
    </row>
    <row r="197" spans="1:6" ht="28.8" outlineLevel="1">
      <c r="A197" s="16"/>
      <c r="B197" s="6" t="s">
        <v>136</v>
      </c>
      <c r="C197" s="6" t="s">
        <v>137</v>
      </c>
      <c r="D197" s="17">
        <v>1</v>
      </c>
      <c r="E197" s="18"/>
      <c r="F197" s="69"/>
    </row>
    <row r="198" spans="1:6" outlineLevel="1">
      <c r="A198" s="16"/>
      <c r="B198" s="6" t="s">
        <v>138</v>
      </c>
      <c r="C198" s="6" t="s">
        <v>22</v>
      </c>
      <c r="D198" s="17">
        <v>1</v>
      </c>
      <c r="E198" s="18"/>
      <c r="F198" s="69"/>
    </row>
    <row r="199" spans="1:6" outlineLevel="1">
      <c r="A199" s="16"/>
      <c r="B199" s="6" t="s">
        <v>139</v>
      </c>
      <c r="C199" s="6" t="s">
        <v>140</v>
      </c>
      <c r="D199" s="17">
        <v>1</v>
      </c>
      <c r="E199" s="18"/>
      <c r="F199" s="69"/>
    </row>
    <row r="200" spans="1:6" outlineLevel="1">
      <c r="A200" s="16"/>
      <c r="B200" s="6" t="s">
        <v>141</v>
      </c>
      <c r="C200" s="6" t="s">
        <v>22</v>
      </c>
      <c r="D200" s="17">
        <v>1</v>
      </c>
      <c r="E200" s="18"/>
      <c r="F200" s="69"/>
    </row>
    <row r="201" spans="1:6" outlineLevel="1">
      <c r="A201" s="16"/>
      <c r="B201" s="6" t="s">
        <v>142</v>
      </c>
      <c r="C201" s="6" t="s">
        <v>143</v>
      </c>
      <c r="D201" s="17">
        <v>1</v>
      </c>
      <c r="E201" s="18"/>
      <c r="F201" s="69"/>
    </row>
    <row r="202" spans="1:6" outlineLevel="1">
      <c r="A202" s="16"/>
      <c r="B202" s="6" t="s">
        <v>144</v>
      </c>
      <c r="C202" s="6" t="s">
        <v>22</v>
      </c>
      <c r="D202" s="17">
        <v>1</v>
      </c>
      <c r="E202" s="18"/>
      <c r="F202" s="69"/>
    </row>
    <row r="203" spans="1:6" ht="28.8" outlineLevel="1">
      <c r="A203" s="16"/>
      <c r="B203" s="6" t="s">
        <v>16</v>
      </c>
      <c r="C203" s="6" t="s">
        <v>41</v>
      </c>
      <c r="D203" s="17">
        <v>1</v>
      </c>
      <c r="E203" s="18"/>
      <c r="F203" s="69"/>
    </row>
    <row r="204" spans="1:6" outlineLevel="1">
      <c r="A204" s="16"/>
      <c r="B204" s="6" t="s">
        <v>17</v>
      </c>
      <c r="C204" s="6" t="s">
        <v>22</v>
      </c>
      <c r="D204" s="17">
        <v>1</v>
      </c>
      <c r="E204" s="18"/>
      <c r="F204" s="69"/>
    </row>
    <row r="205" spans="1:6" ht="28.8" outlineLevel="1">
      <c r="A205" s="16"/>
      <c r="B205" s="6" t="s">
        <v>89</v>
      </c>
      <c r="C205" s="6" t="s">
        <v>90</v>
      </c>
      <c r="D205" s="17">
        <v>1</v>
      </c>
      <c r="E205" s="18"/>
      <c r="F205" s="69"/>
    </row>
    <row r="206" spans="1:6" outlineLevel="1">
      <c r="A206" s="16"/>
      <c r="B206" s="6" t="s">
        <v>102</v>
      </c>
      <c r="C206" s="6" t="s">
        <v>103</v>
      </c>
      <c r="D206" s="17">
        <v>1</v>
      </c>
      <c r="E206" s="18"/>
      <c r="F206" s="69"/>
    </row>
    <row r="207" spans="1:6" outlineLevel="1">
      <c r="A207" s="16"/>
      <c r="B207" s="6" t="s">
        <v>104</v>
      </c>
      <c r="C207" s="6" t="s">
        <v>22</v>
      </c>
      <c r="D207" s="17">
        <v>1</v>
      </c>
      <c r="E207" s="18"/>
      <c r="F207" s="69"/>
    </row>
    <row r="208" spans="1:6" outlineLevel="1">
      <c r="A208" s="16"/>
      <c r="B208" s="6" t="s">
        <v>91</v>
      </c>
      <c r="C208" s="6" t="s">
        <v>92</v>
      </c>
      <c r="D208" s="17">
        <v>1</v>
      </c>
      <c r="E208" s="18"/>
      <c r="F208" s="69"/>
    </row>
    <row r="209" spans="1:6" outlineLevel="1">
      <c r="A209" s="16"/>
      <c r="B209" s="6" t="s">
        <v>145</v>
      </c>
      <c r="C209" s="6" t="s">
        <v>146</v>
      </c>
      <c r="D209" s="17">
        <v>1</v>
      </c>
      <c r="E209" s="18"/>
      <c r="F209" s="69"/>
    </row>
    <row r="210" spans="1:6" s="19" customFormat="1">
      <c r="A210" s="13">
        <v>9</v>
      </c>
      <c r="B210" s="3" t="s">
        <v>63</v>
      </c>
      <c r="C210" s="3" t="s">
        <v>105</v>
      </c>
      <c r="D210" s="14">
        <v>1</v>
      </c>
      <c r="E210" s="15">
        <v>142279000</v>
      </c>
      <c r="F210" s="68">
        <f>D210*E210</f>
        <v>142279000</v>
      </c>
    </row>
    <row r="211" spans="1:6">
      <c r="A211" s="16"/>
      <c r="B211" s="6" t="s">
        <v>23</v>
      </c>
      <c r="C211" s="6" t="s">
        <v>24</v>
      </c>
      <c r="D211" s="17">
        <v>1</v>
      </c>
      <c r="E211" s="18"/>
      <c r="F211" s="69"/>
    </row>
    <row r="212" spans="1:6">
      <c r="A212" s="16"/>
      <c r="B212" s="6" t="s">
        <v>25</v>
      </c>
      <c r="C212" s="6" t="s">
        <v>26</v>
      </c>
      <c r="D212" s="17">
        <v>1</v>
      </c>
      <c r="E212" s="18"/>
      <c r="F212" s="69"/>
    </row>
    <row r="213" spans="1:6" ht="28.8">
      <c r="A213" s="16"/>
      <c r="B213" s="6" t="s">
        <v>97</v>
      </c>
      <c r="C213" s="6" t="s">
        <v>98</v>
      </c>
      <c r="D213" s="17">
        <v>1</v>
      </c>
      <c r="E213" s="18"/>
      <c r="F213" s="69"/>
    </row>
    <row r="214" spans="1:6" ht="28.8">
      <c r="A214" s="16"/>
      <c r="B214" s="6" t="s">
        <v>108</v>
      </c>
      <c r="C214" s="6" t="s">
        <v>109</v>
      </c>
      <c r="D214" s="17">
        <v>2</v>
      </c>
      <c r="E214" s="18"/>
      <c r="F214" s="69"/>
    </row>
    <row r="215" spans="1:6">
      <c r="A215" s="16"/>
      <c r="B215" s="6" t="s">
        <v>110</v>
      </c>
      <c r="C215" s="6" t="s">
        <v>22</v>
      </c>
      <c r="D215" s="17">
        <v>2</v>
      </c>
      <c r="E215" s="18"/>
      <c r="F215" s="69"/>
    </row>
    <row r="216" spans="1:6">
      <c r="A216" s="16"/>
      <c r="B216" s="6" t="s">
        <v>27</v>
      </c>
      <c r="C216" s="6" t="s">
        <v>28</v>
      </c>
      <c r="D216" s="17">
        <v>1</v>
      </c>
      <c r="E216" s="18"/>
      <c r="F216" s="69"/>
    </row>
    <row r="217" spans="1:6">
      <c r="A217" s="16"/>
      <c r="B217" s="6" t="s">
        <v>29</v>
      </c>
      <c r="C217" s="6" t="s">
        <v>22</v>
      </c>
      <c r="D217" s="17">
        <v>1</v>
      </c>
      <c r="E217" s="18"/>
      <c r="F217" s="69"/>
    </row>
    <row r="218" spans="1:6" ht="28.8">
      <c r="A218" s="16"/>
      <c r="B218" s="6" t="s">
        <v>10</v>
      </c>
      <c r="C218" s="6" t="s">
        <v>30</v>
      </c>
      <c r="D218" s="17">
        <v>4</v>
      </c>
      <c r="E218" s="18"/>
      <c r="F218" s="69"/>
    </row>
    <row r="219" spans="1:6">
      <c r="A219" s="16"/>
      <c r="B219" s="6" t="s">
        <v>11</v>
      </c>
      <c r="C219" s="6" t="s">
        <v>22</v>
      </c>
      <c r="D219" s="17">
        <v>4</v>
      </c>
      <c r="E219" s="18"/>
      <c r="F219" s="69"/>
    </row>
    <row r="220" spans="1:6">
      <c r="A220" s="16"/>
      <c r="B220" s="6" t="s">
        <v>12</v>
      </c>
      <c r="C220" s="6" t="s">
        <v>31</v>
      </c>
      <c r="D220" s="17">
        <v>1</v>
      </c>
      <c r="E220" s="18"/>
      <c r="F220" s="69"/>
    </row>
    <row r="221" spans="1:6">
      <c r="A221" s="16"/>
      <c r="B221" s="6" t="s">
        <v>13</v>
      </c>
      <c r="C221" s="6" t="s">
        <v>22</v>
      </c>
      <c r="D221" s="17">
        <v>1</v>
      </c>
      <c r="E221" s="18"/>
      <c r="F221" s="69"/>
    </row>
    <row r="222" spans="1:6" ht="28.8">
      <c r="A222" s="16"/>
      <c r="B222" s="6" t="s">
        <v>32</v>
      </c>
      <c r="C222" s="6" t="s">
        <v>33</v>
      </c>
      <c r="D222" s="17">
        <v>1</v>
      </c>
      <c r="E222" s="18"/>
      <c r="F222" s="69"/>
    </row>
    <row r="223" spans="1:6">
      <c r="A223" s="16"/>
      <c r="B223" s="6" t="s">
        <v>34</v>
      </c>
      <c r="C223" s="6" t="s">
        <v>22</v>
      </c>
      <c r="D223" s="17">
        <v>1</v>
      </c>
      <c r="E223" s="18"/>
      <c r="F223" s="69"/>
    </row>
    <row r="224" spans="1:6" ht="28.8">
      <c r="A224" s="16"/>
      <c r="B224" s="6" t="s">
        <v>35</v>
      </c>
      <c r="C224" s="6" t="s">
        <v>36</v>
      </c>
      <c r="D224" s="17">
        <v>1</v>
      </c>
      <c r="E224" s="18"/>
      <c r="F224" s="69"/>
    </row>
    <row r="225" spans="1:6">
      <c r="A225" s="16"/>
      <c r="B225" s="6" t="s">
        <v>37</v>
      </c>
      <c r="C225" s="6" t="s">
        <v>22</v>
      </c>
      <c r="D225" s="17">
        <v>1</v>
      </c>
      <c r="E225" s="18"/>
      <c r="F225" s="69"/>
    </row>
    <row r="226" spans="1:6" ht="28.8">
      <c r="A226" s="16"/>
      <c r="B226" s="6" t="s">
        <v>38</v>
      </c>
      <c r="C226" s="6" t="s">
        <v>39</v>
      </c>
      <c r="D226" s="17">
        <v>2</v>
      </c>
      <c r="E226" s="18"/>
      <c r="F226" s="69"/>
    </row>
    <row r="227" spans="1:6">
      <c r="A227" s="16"/>
      <c r="B227" s="6" t="s">
        <v>40</v>
      </c>
      <c r="C227" s="6" t="s">
        <v>22</v>
      </c>
      <c r="D227" s="17">
        <v>2</v>
      </c>
      <c r="E227" s="18"/>
      <c r="F227" s="69"/>
    </row>
    <row r="228" spans="1:6" ht="28.8">
      <c r="A228" s="16"/>
      <c r="B228" s="6" t="s">
        <v>16</v>
      </c>
      <c r="C228" s="6" t="s">
        <v>41</v>
      </c>
      <c r="D228" s="17">
        <v>1</v>
      </c>
      <c r="E228" s="18"/>
      <c r="F228" s="69"/>
    </row>
    <row r="229" spans="1:6">
      <c r="A229" s="16"/>
      <c r="B229" s="6" t="s">
        <v>17</v>
      </c>
      <c r="C229" s="6" t="s">
        <v>22</v>
      </c>
      <c r="D229" s="17">
        <v>1</v>
      </c>
      <c r="E229" s="18"/>
      <c r="F229" s="69"/>
    </row>
    <row r="230" spans="1:6" ht="28.8">
      <c r="A230" s="16"/>
      <c r="B230" s="6" t="s">
        <v>89</v>
      </c>
      <c r="C230" s="6" t="s">
        <v>90</v>
      </c>
      <c r="D230" s="17">
        <v>1</v>
      </c>
      <c r="E230" s="18"/>
      <c r="F230" s="69"/>
    </row>
    <row r="231" spans="1:6">
      <c r="A231" s="16"/>
      <c r="B231" s="6" t="s">
        <v>99</v>
      </c>
      <c r="C231" s="6" t="s">
        <v>100</v>
      </c>
      <c r="D231" s="17">
        <v>1</v>
      </c>
      <c r="E231" s="18"/>
      <c r="F231" s="69"/>
    </row>
    <row r="232" spans="1:6">
      <c r="A232" s="16"/>
      <c r="B232" s="6" t="s">
        <v>101</v>
      </c>
      <c r="C232" s="6" t="s">
        <v>22</v>
      </c>
      <c r="D232" s="17">
        <v>1</v>
      </c>
      <c r="E232" s="18"/>
      <c r="F232" s="69"/>
    </row>
    <row r="233" spans="1:6">
      <c r="A233" s="16"/>
      <c r="B233" s="6" t="s">
        <v>102</v>
      </c>
      <c r="C233" s="6" t="s">
        <v>103</v>
      </c>
      <c r="D233" s="17">
        <v>1</v>
      </c>
      <c r="E233" s="18"/>
      <c r="F233" s="69"/>
    </row>
    <row r="234" spans="1:6">
      <c r="A234" s="16"/>
      <c r="B234" s="6" t="s">
        <v>104</v>
      </c>
      <c r="C234" s="6" t="s">
        <v>22</v>
      </c>
      <c r="D234" s="17">
        <v>1</v>
      </c>
      <c r="E234" s="18"/>
      <c r="F234" s="69"/>
    </row>
    <row r="235" spans="1:6">
      <c r="A235" s="16"/>
      <c r="B235" s="6" t="s">
        <v>42</v>
      </c>
      <c r="C235" s="6" t="s">
        <v>43</v>
      </c>
      <c r="D235" s="17">
        <v>1</v>
      </c>
      <c r="E235" s="18"/>
      <c r="F235" s="69"/>
    </row>
    <row r="236" spans="1:6">
      <c r="A236" s="16"/>
      <c r="B236" s="6" t="s">
        <v>44</v>
      </c>
      <c r="C236" s="6" t="s">
        <v>22</v>
      </c>
      <c r="D236" s="17">
        <v>1</v>
      </c>
      <c r="E236" s="18"/>
      <c r="F236" s="69"/>
    </row>
    <row r="237" spans="1:6">
      <c r="A237" s="16"/>
      <c r="B237" s="6" t="s">
        <v>14</v>
      </c>
      <c r="C237" s="6" t="s">
        <v>45</v>
      </c>
      <c r="D237" s="17">
        <v>1</v>
      </c>
      <c r="E237" s="18"/>
      <c r="F237" s="69"/>
    </row>
    <row r="238" spans="1:6">
      <c r="A238" s="16"/>
      <c r="B238" s="6" t="s">
        <v>15</v>
      </c>
      <c r="C238" s="6" t="s">
        <v>22</v>
      </c>
      <c r="D238" s="17">
        <v>1</v>
      </c>
      <c r="E238" s="18"/>
      <c r="F238" s="69"/>
    </row>
    <row r="239" spans="1:6">
      <c r="A239" s="16"/>
      <c r="B239" s="6" t="s">
        <v>91</v>
      </c>
      <c r="C239" s="6" t="s">
        <v>92</v>
      </c>
      <c r="D239" s="17">
        <v>1</v>
      </c>
      <c r="E239" s="18"/>
      <c r="F239" s="69"/>
    </row>
    <row r="240" spans="1:6">
      <c r="A240" s="16"/>
      <c r="B240" s="6" t="s">
        <v>93</v>
      </c>
      <c r="C240" s="6" t="s">
        <v>94</v>
      </c>
      <c r="D240" s="17">
        <v>1</v>
      </c>
      <c r="E240" s="18"/>
      <c r="F240" s="69"/>
    </row>
    <row r="241" spans="1:6" s="19" customFormat="1">
      <c r="A241" s="13">
        <v>10</v>
      </c>
      <c r="B241" s="3" t="s">
        <v>149</v>
      </c>
      <c r="C241" s="3" t="s">
        <v>155</v>
      </c>
      <c r="D241" s="14">
        <v>1</v>
      </c>
      <c r="E241" s="15">
        <v>88251000</v>
      </c>
      <c r="F241" s="68">
        <f>D241*E241</f>
        <v>88251000</v>
      </c>
    </row>
    <row r="242" spans="1:6" outlineLevel="1">
      <c r="A242" s="16"/>
      <c r="B242" s="6" t="s">
        <v>154</v>
      </c>
      <c r="C242" s="6" t="s">
        <v>155</v>
      </c>
      <c r="D242" s="17">
        <v>1</v>
      </c>
      <c r="E242" s="18"/>
      <c r="F242" s="69"/>
    </row>
    <row r="243" spans="1:6" ht="28.8" outlineLevel="1">
      <c r="A243" s="16"/>
      <c r="B243" s="6" t="s">
        <v>156</v>
      </c>
      <c r="C243" s="6" t="s">
        <v>157</v>
      </c>
      <c r="D243" s="17">
        <v>1</v>
      </c>
      <c r="E243" s="18"/>
      <c r="F243" s="69"/>
    </row>
    <row r="244" spans="1:6" outlineLevel="1">
      <c r="A244" s="16"/>
      <c r="B244" s="6" t="s">
        <v>83</v>
      </c>
      <c r="C244" s="6" t="s">
        <v>150</v>
      </c>
      <c r="D244" s="17">
        <v>1</v>
      </c>
      <c r="E244" s="18"/>
      <c r="F244" s="69"/>
    </row>
    <row r="245" spans="1:6" outlineLevel="1">
      <c r="A245" s="16"/>
      <c r="B245" s="6" t="s">
        <v>82</v>
      </c>
      <c r="C245" s="6" t="s">
        <v>151</v>
      </c>
      <c r="D245" s="17">
        <v>2</v>
      </c>
      <c r="E245" s="18"/>
      <c r="F245" s="69"/>
    </row>
    <row r="246" spans="1:6" outlineLevel="1">
      <c r="A246" s="16"/>
      <c r="B246" s="6" t="s">
        <v>152</v>
      </c>
      <c r="C246" s="6" t="s">
        <v>153</v>
      </c>
      <c r="D246" s="17">
        <v>1</v>
      </c>
      <c r="E246" s="18"/>
      <c r="F246" s="69"/>
    </row>
    <row r="247" spans="1:6" outlineLevel="1">
      <c r="A247" s="16"/>
      <c r="B247" s="6" t="s">
        <v>20</v>
      </c>
      <c r="C247" s="6" t="s">
        <v>21</v>
      </c>
      <c r="D247" s="17">
        <v>36</v>
      </c>
      <c r="E247" s="18"/>
      <c r="F247" s="69"/>
    </row>
    <row r="248" spans="1:6" outlineLevel="1">
      <c r="A248" s="16"/>
      <c r="B248" s="6" t="s">
        <v>158</v>
      </c>
      <c r="C248" s="6" t="s">
        <v>159</v>
      </c>
      <c r="D248" s="17">
        <v>1</v>
      </c>
      <c r="E248" s="18"/>
      <c r="F248" s="69"/>
    </row>
    <row r="249" spans="1:6" outlineLevel="1">
      <c r="A249" s="16"/>
      <c r="B249" s="6" t="s">
        <v>91</v>
      </c>
      <c r="C249" s="6" t="s">
        <v>92</v>
      </c>
      <c r="D249" s="17">
        <v>1</v>
      </c>
      <c r="E249" s="18"/>
      <c r="F249" s="69"/>
    </row>
    <row r="250" spans="1:6" outlineLevel="1">
      <c r="A250" s="16"/>
      <c r="B250" s="6" t="s">
        <v>160</v>
      </c>
      <c r="C250" s="6" t="s">
        <v>161</v>
      </c>
      <c r="D250" s="17">
        <v>1</v>
      </c>
      <c r="E250" s="18"/>
      <c r="F250" s="69"/>
    </row>
    <row r="251" spans="1:6" s="19" customFormat="1">
      <c r="A251" s="13">
        <v>11</v>
      </c>
      <c r="B251" s="3" t="s">
        <v>64</v>
      </c>
      <c r="C251" s="3" t="s">
        <v>66</v>
      </c>
      <c r="D251" s="14">
        <v>1</v>
      </c>
      <c r="E251" s="15">
        <v>268434000</v>
      </c>
      <c r="F251" s="68">
        <f>D251*E251</f>
        <v>268434000</v>
      </c>
    </row>
    <row r="252" spans="1:6">
      <c r="A252" s="16"/>
      <c r="B252" s="6" t="s">
        <v>65</v>
      </c>
      <c r="C252" s="6" t="s">
        <v>66</v>
      </c>
      <c r="D252" s="17">
        <v>1</v>
      </c>
      <c r="E252" s="18"/>
      <c r="F252" s="69"/>
    </row>
    <row r="253" spans="1:6" ht="28.8">
      <c r="A253" s="16"/>
      <c r="B253" s="6" t="s">
        <v>67</v>
      </c>
      <c r="C253" s="6" t="s">
        <v>68</v>
      </c>
      <c r="D253" s="17">
        <v>4</v>
      </c>
      <c r="E253" s="18"/>
      <c r="F253" s="69"/>
    </row>
    <row r="254" spans="1:6">
      <c r="A254" s="16"/>
      <c r="B254" s="6" t="s">
        <v>69</v>
      </c>
      <c r="C254" s="6" t="s">
        <v>22</v>
      </c>
      <c r="D254" s="17">
        <v>4</v>
      </c>
      <c r="E254" s="18"/>
      <c r="F254" s="69"/>
    </row>
    <row r="255" spans="1:6">
      <c r="A255" s="16"/>
      <c r="B255" s="6" t="s">
        <v>162</v>
      </c>
      <c r="C255" s="6" t="s">
        <v>163</v>
      </c>
      <c r="D255" s="17">
        <v>1</v>
      </c>
      <c r="E255" s="18"/>
      <c r="F255" s="69"/>
    </row>
    <row r="256" spans="1:6">
      <c r="A256" s="16"/>
      <c r="B256" s="6" t="s">
        <v>164</v>
      </c>
      <c r="C256" s="6" t="s">
        <v>165</v>
      </c>
      <c r="D256" s="17">
        <v>1</v>
      </c>
      <c r="E256" s="18"/>
      <c r="F256" s="69"/>
    </row>
    <row r="257" spans="1:6">
      <c r="A257" s="16"/>
      <c r="B257" s="6" t="s">
        <v>166</v>
      </c>
      <c r="C257" s="6" t="s">
        <v>167</v>
      </c>
      <c r="D257" s="17">
        <v>1</v>
      </c>
      <c r="E257" s="18"/>
      <c r="F257" s="69"/>
    </row>
    <row r="258" spans="1:6">
      <c r="A258" s="16"/>
      <c r="B258" s="6" t="s">
        <v>70</v>
      </c>
      <c r="C258" s="6" t="s">
        <v>71</v>
      </c>
      <c r="D258" s="17">
        <v>2</v>
      </c>
      <c r="E258" s="18"/>
      <c r="F258" s="69"/>
    </row>
    <row r="259" spans="1:6" s="19" customFormat="1" ht="28.8">
      <c r="A259" s="13">
        <v>12</v>
      </c>
      <c r="B259" s="3" t="s">
        <v>170</v>
      </c>
      <c r="C259" s="3" t="s">
        <v>78</v>
      </c>
      <c r="D259" s="14">
        <v>1</v>
      </c>
      <c r="E259" s="15">
        <v>50861000</v>
      </c>
      <c r="F259" s="68">
        <f>D259*E259</f>
        <v>50861000</v>
      </c>
    </row>
    <row r="260" spans="1:6">
      <c r="A260" s="16"/>
      <c r="B260" s="6" t="s">
        <v>72</v>
      </c>
      <c r="C260" s="6" t="s">
        <v>73</v>
      </c>
      <c r="D260" s="17">
        <v>1</v>
      </c>
      <c r="E260" s="18"/>
      <c r="F260" s="69"/>
    </row>
    <row r="261" spans="1:6">
      <c r="A261" s="16"/>
      <c r="B261" s="6" t="s">
        <v>74</v>
      </c>
      <c r="C261" s="6" t="s">
        <v>75</v>
      </c>
      <c r="D261" s="17">
        <v>16</v>
      </c>
      <c r="E261" s="18"/>
      <c r="F261" s="69"/>
    </row>
    <row r="262" spans="1:6">
      <c r="A262" s="16"/>
      <c r="B262" s="6" t="s">
        <v>168</v>
      </c>
      <c r="C262" s="6" t="s">
        <v>169</v>
      </c>
      <c r="D262" s="17">
        <v>2</v>
      </c>
      <c r="E262" s="18"/>
      <c r="F262" s="69"/>
    </row>
    <row r="263" spans="1:6">
      <c r="A263" s="16"/>
      <c r="B263" s="6" t="s">
        <v>76</v>
      </c>
      <c r="C263" s="6" t="s">
        <v>77</v>
      </c>
      <c r="D263" s="17">
        <v>1</v>
      </c>
      <c r="E263" s="18"/>
      <c r="F263" s="69"/>
    </row>
    <row r="264" spans="1:6" s="1" customFormat="1">
      <c r="A264" s="13">
        <v>13</v>
      </c>
      <c r="B264" s="3" t="s">
        <v>171</v>
      </c>
      <c r="C264" s="3" t="s">
        <v>125</v>
      </c>
      <c r="D264" s="14">
        <v>1</v>
      </c>
      <c r="E264" s="15">
        <v>73680000</v>
      </c>
      <c r="F264" s="68">
        <f>D264*E264</f>
        <v>73680000</v>
      </c>
    </row>
    <row r="265" spans="1:6" s="2" customFormat="1" ht="28.8" outlineLevel="1">
      <c r="A265" s="16"/>
      <c r="B265" s="6" t="s">
        <v>172</v>
      </c>
      <c r="C265" s="6" t="s">
        <v>173</v>
      </c>
      <c r="D265" s="17">
        <v>1</v>
      </c>
      <c r="E265" s="18"/>
      <c r="F265" s="69"/>
    </row>
    <row r="266" spans="1:6" s="2" customFormat="1" outlineLevel="1">
      <c r="A266" s="16"/>
      <c r="B266" s="6" t="s">
        <v>119</v>
      </c>
      <c r="C266" s="6" t="s">
        <v>120</v>
      </c>
      <c r="D266" s="17">
        <v>1</v>
      </c>
      <c r="E266" s="18"/>
      <c r="F266" s="69"/>
    </row>
    <row r="267" spans="1:6" s="2" customFormat="1" outlineLevel="1">
      <c r="A267" s="16"/>
      <c r="B267" s="6" t="s">
        <v>111</v>
      </c>
      <c r="C267" s="6" t="s">
        <v>112</v>
      </c>
      <c r="D267" s="17">
        <v>1</v>
      </c>
      <c r="E267" s="18"/>
      <c r="F267" s="69"/>
    </row>
    <row r="268" spans="1:6" s="2" customFormat="1" ht="28.8" outlineLevel="1">
      <c r="A268" s="16"/>
      <c r="B268" s="6" t="s">
        <v>132</v>
      </c>
      <c r="C268" s="6" t="s">
        <v>133</v>
      </c>
      <c r="D268" s="17">
        <v>4</v>
      </c>
      <c r="E268" s="18"/>
      <c r="F268" s="69"/>
    </row>
    <row r="269" spans="1:6" s="2" customFormat="1" outlineLevel="1">
      <c r="A269" s="16"/>
      <c r="B269" s="6" t="s">
        <v>102</v>
      </c>
      <c r="C269" s="6" t="s">
        <v>103</v>
      </c>
      <c r="D269" s="17">
        <v>1</v>
      </c>
      <c r="E269" s="18"/>
      <c r="F269" s="69"/>
    </row>
    <row r="270" spans="1:6" s="2" customFormat="1" ht="28.8" outlineLevel="1">
      <c r="A270" s="16"/>
      <c r="B270" s="6" t="s">
        <v>121</v>
      </c>
      <c r="C270" s="6" t="s">
        <v>122</v>
      </c>
      <c r="D270" s="17">
        <v>1</v>
      </c>
      <c r="E270" s="18"/>
      <c r="F270" s="69"/>
    </row>
    <row r="271" spans="1:6" s="2" customFormat="1" outlineLevel="1">
      <c r="A271" s="16"/>
      <c r="B271" s="6" t="s">
        <v>91</v>
      </c>
      <c r="C271" s="6" t="s">
        <v>92</v>
      </c>
      <c r="D271" s="17">
        <v>1</v>
      </c>
      <c r="E271" s="18"/>
      <c r="F271" s="69"/>
    </row>
    <row r="272" spans="1:6" s="2" customFormat="1" outlineLevel="1">
      <c r="A272" s="16"/>
      <c r="B272" s="6" t="s">
        <v>123</v>
      </c>
      <c r="C272" s="6" t="s">
        <v>124</v>
      </c>
      <c r="D272" s="17">
        <v>1</v>
      </c>
      <c r="E272" s="18"/>
      <c r="F272" s="69"/>
    </row>
    <row r="273" spans="1:6" ht="28.8" outlineLevel="1">
      <c r="A273" s="16"/>
      <c r="B273" s="6" t="s">
        <v>89</v>
      </c>
      <c r="C273" s="6" t="s">
        <v>90</v>
      </c>
      <c r="D273" s="17">
        <v>1</v>
      </c>
      <c r="E273" s="18"/>
      <c r="F273" s="69"/>
    </row>
    <row r="274" spans="1:6" s="1" customFormat="1">
      <c r="A274" s="13">
        <v>14</v>
      </c>
      <c r="B274" s="3" t="s">
        <v>178</v>
      </c>
      <c r="C274" s="3" t="s">
        <v>125</v>
      </c>
      <c r="D274" s="14">
        <v>1</v>
      </c>
      <c r="E274" s="15">
        <v>72238000</v>
      </c>
      <c r="F274" s="68">
        <f>D274*E274</f>
        <v>72238000</v>
      </c>
    </row>
    <row r="275" spans="1:6" s="2" customFormat="1" ht="28.8" outlineLevel="1">
      <c r="A275" s="16"/>
      <c r="B275" s="6" t="s">
        <v>174</v>
      </c>
      <c r="C275" s="6" t="s">
        <v>175</v>
      </c>
      <c r="D275" s="17">
        <v>1</v>
      </c>
      <c r="E275" s="18"/>
      <c r="F275" s="69"/>
    </row>
    <row r="276" spans="1:6" s="2" customFormat="1" outlineLevel="1">
      <c r="A276" s="16"/>
      <c r="B276" s="6" t="s">
        <v>119</v>
      </c>
      <c r="C276" s="6" t="s">
        <v>120</v>
      </c>
      <c r="D276" s="17">
        <v>1</v>
      </c>
      <c r="E276" s="18"/>
      <c r="F276" s="69"/>
    </row>
    <row r="277" spans="1:6" s="2" customFormat="1" outlineLevel="1">
      <c r="A277" s="16"/>
      <c r="B277" s="6" t="s">
        <v>111</v>
      </c>
      <c r="C277" s="6" t="s">
        <v>112</v>
      </c>
      <c r="D277" s="17">
        <v>1</v>
      </c>
      <c r="E277" s="18"/>
      <c r="F277" s="69"/>
    </row>
    <row r="278" spans="1:6" s="2" customFormat="1" ht="28.8" outlineLevel="1">
      <c r="A278" s="16"/>
      <c r="B278" s="6" t="s">
        <v>132</v>
      </c>
      <c r="C278" s="6" t="s">
        <v>133</v>
      </c>
      <c r="D278" s="17">
        <v>2</v>
      </c>
      <c r="E278" s="18"/>
      <c r="F278" s="69"/>
    </row>
    <row r="279" spans="1:6" s="2" customFormat="1" ht="28.8" outlineLevel="1">
      <c r="A279" s="16"/>
      <c r="B279" s="6" t="s">
        <v>16</v>
      </c>
      <c r="C279" s="6" t="s">
        <v>41</v>
      </c>
      <c r="D279" s="17">
        <v>1</v>
      </c>
      <c r="E279" s="18"/>
      <c r="F279" s="69"/>
    </row>
    <row r="280" spans="1:6" s="2" customFormat="1" ht="28.8" outlineLevel="1">
      <c r="A280" s="16"/>
      <c r="B280" s="6" t="s">
        <v>176</v>
      </c>
      <c r="C280" s="6" t="s">
        <v>177</v>
      </c>
      <c r="D280" s="17">
        <v>1</v>
      </c>
      <c r="E280" s="18"/>
      <c r="F280" s="69"/>
    </row>
    <row r="281" spans="1:6" s="2" customFormat="1" outlineLevel="1">
      <c r="A281" s="16"/>
      <c r="B281" s="6" t="s">
        <v>91</v>
      </c>
      <c r="C281" s="6" t="s">
        <v>92</v>
      </c>
      <c r="D281" s="17">
        <v>1</v>
      </c>
      <c r="E281" s="18"/>
      <c r="F281" s="69"/>
    </row>
    <row r="282" spans="1:6" s="2" customFormat="1" outlineLevel="1">
      <c r="A282" s="16"/>
      <c r="B282" s="6" t="s">
        <v>123</v>
      </c>
      <c r="C282" s="6" t="s">
        <v>124</v>
      </c>
      <c r="D282" s="17">
        <v>1</v>
      </c>
      <c r="E282" s="18"/>
      <c r="F282" s="69"/>
    </row>
    <row r="283" spans="1:6" ht="28.8" outlineLevel="1">
      <c r="A283" s="16"/>
      <c r="B283" s="6" t="s">
        <v>89</v>
      </c>
      <c r="C283" s="6" t="s">
        <v>90</v>
      </c>
      <c r="D283" s="17">
        <v>1</v>
      </c>
      <c r="E283" s="18"/>
      <c r="F283" s="69"/>
    </row>
    <row r="284" spans="1:6" s="25" customFormat="1" ht="27" customHeight="1" thickBot="1">
      <c r="A284" s="20"/>
      <c r="B284" s="7" t="s">
        <v>189</v>
      </c>
      <c r="C284" s="7"/>
      <c r="D284" s="21"/>
      <c r="E284" s="22"/>
      <c r="F284" s="70">
        <f>SUM(F4:F283)</f>
        <v>1834659000</v>
      </c>
    </row>
    <row r="285" spans="1:6">
      <c r="E285" s="26"/>
      <c r="F285" s="2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B6D63-8084-4403-957A-5F61ACF868D7}">
  <dimension ref="A1:F13"/>
  <sheetViews>
    <sheetView workbookViewId="0">
      <selection activeCell="F12" sqref="A3:F12"/>
    </sheetView>
  </sheetViews>
  <sheetFormatPr defaultColWidth="9" defaultRowHeight="14.4" outlineLevelRow="1"/>
  <cols>
    <col min="1" max="1" width="5.5546875" style="12" bestFit="1" customWidth="1"/>
    <col min="2" max="2" width="33.109375" style="8" customWidth="1"/>
    <col min="3" max="3" width="54.33203125" style="8" customWidth="1"/>
    <col min="4" max="4" width="9.44140625" style="12" bestFit="1" customWidth="1"/>
    <col min="5" max="5" width="18" style="27" customWidth="1"/>
    <col min="6" max="6" width="26.33203125" style="27" bestFit="1" customWidth="1"/>
    <col min="7" max="16384" width="9" style="12"/>
  </cols>
  <sheetData>
    <row r="1" spans="1:6" s="23" customFormat="1"/>
    <row r="2" spans="1:6" ht="20.399999999999999" thickBot="1">
      <c r="B2" s="4" t="s">
        <v>186</v>
      </c>
      <c r="C2" s="4"/>
      <c r="D2" s="4"/>
      <c r="E2" s="24"/>
      <c r="F2" s="24"/>
    </row>
    <row r="3" spans="1:6" s="9" customFormat="1" ht="31.5" customHeight="1">
      <c r="A3" s="10" t="s">
        <v>8</v>
      </c>
      <c r="B3" s="5" t="s">
        <v>9</v>
      </c>
      <c r="C3" s="5"/>
      <c r="D3" s="5" t="s">
        <v>7</v>
      </c>
      <c r="E3" s="5" t="s">
        <v>0</v>
      </c>
      <c r="F3" s="11" t="s">
        <v>1</v>
      </c>
    </row>
    <row r="4" spans="1:6" s="19" customFormat="1">
      <c r="A4" s="13">
        <v>1</v>
      </c>
      <c r="B4" s="3" t="s">
        <v>179</v>
      </c>
      <c r="C4" s="3" t="s">
        <v>125</v>
      </c>
      <c r="D4" s="14">
        <v>1</v>
      </c>
      <c r="E4" s="15">
        <v>84228000</v>
      </c>
      <c r="F4" s="68">
        <f>D4*E4</f>
        <v>84228000</v>
      </c>
    </row>
    <row r="5" spans="1:6" ht="28.8" outlineLevel="1">
      <c r="A5" s="16"/>
      <c r="B5" s="6" t="s">
        <v>180</v>
      </c>
      <c r="C5" s="6" t="s">
        <v>181</v>
      </c>
      <c r="D5" s="17">
        <v>1</v>
      </c>
      <c r="E5" s="18"/>
      <c r="F5" s="69"/>
    </row>
    <row r="6" spans="1:6" ht="28.8" outlineLevel="1">
      <c r="A6" s="16"/>
      <c r="B6" s="6" t="s">
        <v>35</v>
      </c>
      <c r="C6" s="6" t="s">
        <v>36</v>
      </c>
      <c r="D6" s="17">
        <v>1</v>
      </c>
      <c r="E6" s="18"/>
      <c r="F6" s="69"/>
    </row>
    <row r="7" spans="1:6" ht="28.8" outlineLevel="1">
      <c r="A7" s="16"/>
      <c r="B7" s="6" t="s">
        <v>182</v>
      </c>
      <c r="C7" s="6" t="s">
        <v>183</v>
      </c>
      <c r="D7" s="17">
        <v>2</v>
      </c>
      <c r="E7" s="18"/>
      <c r="F7" s="69"/>
    </row>
    <row r="8" spans="1:6" ht="28.8" outlineLevel="1">
      <c r="A8" s="16"/>
      <c r="B8" s="6" t="s">
        <v>32</v>
      </c>
      <c r="C8" s="6" t="s">
        <v>33</v>
      </c>
      <c r="D8" s="17">
        <v>1</v>
      </c>
      <c r="E8" s="18"/>
      <c r="F8" s="69"/>
    </row>
    <row r="9" spans="1:6" ht="28.8" outlineLevel="1">
      <c r="A9" s="16"/>
      <c r="B9" s="6" t="s">
        <v>176</v>
      </c>
      <c r="C9" s="6" t="s">
        <v>177</v>
      </c>
      <c r="D9" s="17">
        <v>1</v>
      </c>
      <c r="E9" s="18"/>
      <c r="F9" s="69"/>
    </row>
    <row r="10" spans="1:6" outlineLevel="1">
      <c r="A10" s="16"/>
      <c r="B10" s="6" t="s">
        <v>91</v>
      </c>
      <c r="C10" s="6" t="s">
        <v>92</v>
      </c>
      <c r="D10" s="17">
        <v>1</v>
      </c>
      <c r="E10" s="18"/>
      <c r="F10" s="69"/>
    </row>
    <row r="11" spans="1:6" outlineLevel="1">
      <c r="A11" s="16"/>
      <c r="B11" s="6" t="s">
        <v>184</v>
      </c>
      <c r="C11" s="6" t="s">
        <v>185</v>
      </c>
      <c r="D11" s="17">
        <v>1</v>
      </c>
      <c r="E11" s="18"/>
      <c r="F11" s="69"/>
    </row>
    <row r="12" spans="1:6" s="25" customFormat="1" ht="27" customHeight="1" thickBot="1">
      <c r="A12" s="20"/>
      <c r="B12" s="7" t="s">
        <v>187</v>
      </c>
      <c r="C12" s="7"/>
      <c r="D12" s="21"/>
      <c r="E12" s="22"/>
      <c r="F12" s="70">
        <f>SUM(F4:F11)</f>
        <v>84228000</v>
      </c>
    </row>
    <row r="13" spans="1:6">
      <c r="E13" s="26"/>
      <c r="F13" s="2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59EF0-176C-4FB4-99D1-4E6A860C7F87}">
  <dimension ref="A1:F54"/>
  <sheetViews>
    <sheetView topLeftCell="A10" workbookViewId="0">
      <selection activeCell="E8" sqref="E8"/>
    </sheetView>
  </sheetViews>
  <sheetFormatPr defaultColWidth="9" defaultRowHeight="14.4" outlineLevelRow="1"/>
  <cols>
    <col min="1" max="1" width="5.5546875" style="12" bestFit="1" customWidth="1"/>
    <col min="2" max="2" width="33.109375" style="8" customWidth="1"/>
    <col min="3" max="3" width="54.33203125" style="8" customWidth="1"/>
    <col min="4" max="4" width="9.44140625" style="12" bestFit="1" customWidth="1"/>
    <col min="5" max="5" width="18" style="27" customWidth="1"/>
    <col min="6" max="6" width="26.33203125" style="27" bestFit="1" customWidth="1"/>
    <col min="7" max="16384" width="9" style="12"/>
  </cols>
  <sheetData>
    <row r="1" spans="1:6" s="23" customFormat="1"/>
    <row r="2" spans="1:6" ht="20.399999999999999" thickBot="1">
      <c r="B2" s="4" t="s">
        <v>220</v>
      </c>
      <c r="C2" s="4"/>
      <c r="D2" s="4"/>
      <c r="E2" s="24"/>
      <c r="F2" s="24"/>
    </row>
    <row r="3" spans="1:6" s="9" customFormat="1" ht="31.5" customHeight="1">
      <c r="A3" s="10" t="s">
        <v>8</v>
      </c>
      <c r="B3" s="5" t="s">
        <v>9</v>
      </c>
      <c r="C3" s="5"/>
      <c r="D3" s="5" t="s">
        <v>7</v>
      </c>
      <c r="E3" s="5" t="s">
        <v>0</v>
      </c>
      <c r="F3" s="11" t="s">
        <v>1</v>
      </c>
    </row>
    <row r="4" spans="1:6" s="19" customFormat="1">
      <c r="A4" s="13">
        <v>1</v>
      </c>
      <c r="B4" s="3" t="s">
        <v>190</v>
      </c>
      <c r="C4" s="3" t="s">
        <v>125</v>
      </c>
      <c r="D4" s="14">
        <v>1</v>
      </c>
      <c r="E4" s="15">
        <v>121174000</v>
      </c>
      <c r="F4" s="68">
        <f>D4*E4</f>
        <v>121174000</v>
      </c>
    </row>
    <row r="5" spans="1:6" ht="28.8" outlineLevel="1">
      <c r="A5" s="16"/>
      <c r="B5" s="6" t="s">
        <v>191</v>
      </c>
      <c r="C5" s="6" t="s">
        <v>192</v>
      </c>
      <c r="D5" s="17">
        <v>1</v>
      </c>
      <c r="E5" s="18"/>
      <c r="F5" s="69"/>
    </row>
    <row r="6" spans="1:6" outlineLevel="1">
      <c r="A6" s="16"/>
      <c r="B6" s="6" t="s">
        <v>193</v>
      </c>
      <c r="C6" s="6" t="s">
        <v>194</v>
      </c>
      <c r="D6" s="17">
        <v>1</v>
      </c>
      <c r="E6" s="18"/>
      <c r="F6" s="69"/>
    </row>
    <row r="7" spans="1:6" ht="28.8" outlineLevel="1">
      <c r="A7" s="16"/>
      <c r="B7" s="6" t="s">
        <v>195</v>
      </c>
      <c r="C7" s="6" t="s">
        <v>196</v>
      </c>
      <c r="D7" s="17">
        <v>1</v>
      </c>
      <c r="E7" s="18"/>
      <c r="F7" s="69"/>
    </row>
    <row r="8" spans="1:6" ht="28.8" outlineLevel="1">
      <c r="A8" s="16"/>
      <c r="B8" s="6" t="s">
        <v>86</v>
      </c>
      <c r="C8" s="6" t="s">
        <v>87</v>
      </c>
      <c r="D8" s="17">
        <v>2</v>
      </c>
      <c r="E8" s="18"/>
      <c r="F8" s="69"/>
    </row>
    <row r="9" spans="1:6" outlineLevel="1">
      <c r="A9" s="16"/>
      <c r="B9" s="6" t="s">
        <v>88</v>
      </c>
      <c r="C9" s="6" t="s">
        <v>22</v>
      </c>
      <c r="D9" s="17">
        <v>2</v>
      </c>
      <c r="E9" s="18"/>
      <c r="F9" s="69"/>
    </row>
    <row r="10" spans="1:6" ht="28.8" outlineLevel="1">
      <c r="A10" s="16"/>
      <c r="B10" s="6" t="s">
        <v>79</v>
      </c>
      <c r="C10" s="6" t="s">
        <v>80</v>
      </c>
      <c r="D10" s="17">
        <v>2</v>
      </c>
      <c r="E10" s="18"/>
      <c r="F10" s="69"/>
    </row>
    <row r="11" spans="1:6" outlineLevel="1">
      <c r="A11" s="16"/>
      <c r="B11" s="6" t="s">
        <v>81</v>
      </c>
      <c r="C11" s="6" t="s">
        <v>22</v>
      </c>
      <c r="D11" s="17">
        <v>2</v>
      </c>
      <c r="E11" s="18"/>
      <c r="F11" s="69"/>
    </row>
    <row r="12" spans="1:6" ht="28.8" outlineLevel="1">
      <c r="A12" s="16"/>
      <c r="B12" s="6" t="s">
        <v>197</v>
      </c>
      <c r="C12" s="6" t="s">
        <v>198</v>
      </c>
      <c r="D12" s="17">
        <v>1</v>
      </c>
      <c r="E12" s="18"/>
      <c r="F12" s="69"/>
    </row>
    <row r="13" spans="1:6" outlineLevel="1">
      <c r="A13" s="16"/>
      <c r="B13" s="6" t="s">
        <v>199</v>
      </c>
      <c r="C13" s="6" t="s">
        <v>22</v>
      </c>
      <c r="D13" s="17">
        <v>1</v>
      </c>
      <c r="E13" s="18"/>
      <c r="F13" s="69"/>
    </row>
    <row r="14" spans="1:6" ht="28.8" outlineLevel="1">
      <c r="A14" s="16"/>
      <c r="B14" s="6" t="s">
        <v>35</v>
      </c>
      <c r="C14" s="6" t="s">
        <v>36</v>
      </c>
      <c r="D14" s="17">
        <v>1</v>
      </c>
      <c r="E14" s="18"/>
      <c r="F14" s="69"/>
    </row>
    <row r="15" spans="1:6" outlineLevel="1">
      <c r="A15" s="16"/>
      <c r="B15" s="6" t="s">
        <v>37</v>
      </c>
      <c r="C15" s="6" t="s">
        <v>22</v>
      </c>
      <c r="D15" s="17">
        <v>1</v>
      </c>
      <c r="E15" s="18"/>
      <c r="F15" s="69"/>
    </row>
    <row r="16" spans="1:6" outlineLevel="1">
      <c r="A16" s="16"/>
      <c r="B16" s="6" t="s">
        <v>200</v>
      </c>
      <c r="C16" s="6" t="s">
        <v>201</v>
      </c>
      <c r="D16" s="17">
        <v>1</v>
      </c>
      <c r="E16" s="18"/>
      <c r="F16" s="69"/>
    </row>
    <row r="17" spans="1:6" outlineLevel="1">
      <c r="A17" s="16"/>
      <c r="B17" s="6" t="s">
        <v>202</v>
      </c>
      <c r="C17" s="6" t="s">
        <v>22</v>
      </c>
      <c r="D17" s="17">
        <v>1</v>
      </c>
      <c r="E17" s="18"/>
      <c r="F17" s="69"/>
    </row>
    <row r="18" spans="1:6" ht="28.8" outlineLevel="1">
      <c r="A18" s="16"/>
      <c r="B18" s="6" t="s">
        <v>38</v>
      </c>
      <c r="C18" s="6" t="s">
        <v>39</v>
      </c>
      <c r="D18" s="17">
        <v>2</v>
      </c>
      <c r="E18" s="18"/>
      <c r="F18" s="69"/>
    </row>
    <row r="19" spans="1:6" outlineLevel="1">
      <c r="A19" s="16"/>
      <c r="B19" s="6" t="s">
        <v>40</v>
      </c>
      <c r="C19" s="6" t="s">
        <v>22</v>
      </c>
      <c r="D19" s="17">
        <v>2</v>
      </c>
      <c r="E19" s="18"/>
      <c r="F19" s="69"/>
    </row>
    <row r="20" spans="1:6" ht="28.8" outlineLevel="1">
      <c r="A20" s="16"/>
      <c r="B20" s="6" t="s">
        <v>89</v>
      </c>
      <c r="C20" s="6" t="s">
        <v>90</v>
      </c>
      <c r="D20" s="17">
        <v>1</v>
      </c>
      <c r="E20" s="18"/>
      <c r="F20" s="69"/>
    </row>
    <row r="21" spans="1:6" ht="28.8" outlineLevel="1">
      <c r="A21" s="16"/>
      <c r="B21" s="6" t="s">
        <v>203</v>
      </c>
      <c r="C21" s="6" t="s">
        <v>204</v>
      </c>
      <c r="D21" s="17">
        <v>1</v>
      </c>
      <c r="E21" s="18"/>
      <c r="F21" s="69"/>
    </row>
    <row r="22" spans="1:6" outlineLevel="1">
      <c r="A22" s="16"/>
      <c r="B22" s="6" t="s">
        <v>205</v>
      </c>
      <c r="C22" s="6" t="s">
        <v>22</v>
      </c>
      <c r="D22" s="17">
        <v>1</v>
      </c>
      <c r="E22" s="18"/>
      <c r="F22" s="69"/>
    </row>
    <row r="23" spans="1:6" outlineLevel="1">
      <c r="A23" s="16"/>
      <c r="B23" s="6" t="s">
        <v>206</v>
      </c>
      <c r="C23" s="6" t="s">
        <v>207</v>
      </c>
      <c r="D23" s="17">
        <v>1</v>
      </c>
      <c r="E23" s="18"/>
      <c r="F23" s="69"/>
    </row>
    <row r="24" spans="1:6" outlineLevel="1">
      <c r="A24" s="16"/>
      <c r="B24" s="6" t="s">
        <v>208</v>
      </c>
      <c r="C24" s="6" t="s">
        <v>22</v>
      </c>
      <c r="D24" s="17">
        <v>1</v>
      </c>
      <c r="E24" s="18"/>
      <c r="F24" s="69"/>
    </row>
    <row r="25" spans="1:6" outlineLevel="1">
      <c r="A25" s="16"/>
      <c r="B25" s="6" t="s">
        <v>91</v>
      </c>
      <c r="C25" s="6" t="s">
        <v>92</v>
      </c>
      <c r="D25" s="17">
        <v>1</v>
      </c>
      <c r="E25" s="18"/>
      <c r="F25" s="69"/>
    </row>
    <row r="26" spans="1:6" outlineLevel="1">
      <c r="A26" s="16"/>
      <c r="B26" s="6" t="s">
        <v>209</v>
      </c>
      <c r="C26" s="6" t="s">
        <v>210</v>
      </c>
      <c r="D26" s="17">
        <v>1</v>
      </c>
      <c r="E26" s="18"/>
      <c r="F26" s="69"/>
    </row>
    <row r="27" spans="1:6" s="19" customFormat="1">
      <c r="A27" s="13">
        <v>2</v>
      </c>
      <c r="B27" s="3" t="s">
        <v>211</v>
      </c>
      <c r="C27" s="3" t="s">
        <v>125</v>
      </c>
      <c r="D27" s="14">
        <v>1</v>
      </c>
      <c r="E27" s="15">
        <v>145001000</v>
      </c>
      <c r="F27" s="68">
        <f>D27*E27</f>
        <v>145001000</v>
      </c>
    </row>
    <row r="28" spans="1:6" outlineLevel="1">
      <c r="A28" s="16"/>
      <c r="B28" s="6" t="s">
        <v>23</v>
      </c>
      <c r="C28" s="6" t="s">
        <v>24</v>
      </c>
      <c r="D28" s="17">
        <v>1</v>
      </c>
      <c r="E28" s="18"/>
      <c r="F28" s="69"/>
    </row>
    <row r="29" spans="1:6" outlineLevel="1">
      <c r="A29" s="16"/>
      <c r="B29" s="6" t="s">
        <v>25</v>
      </c>
      <c r="C29" s="6" t="s">
        <v>26</v>
      </c>
      <c r="D29" s="17">
        <v>1</v>
      </c>
      <c r="E29" s="18"/>
      <c r="F29" s="69"/>
    </row>
    <row r="30" spans="1:6" ht="28.8" outlineLevel="1">
      <c r="A30" s="16"/>
      <c r="B30" s="6" t="s">
        <v>84</v>
      </c>
      <c r="C30" s="6" t="s">
        <v>85</v>
      </c>
      <c r="D30" s="17">
        <v>1</v>
      </c>
      <c r="E30" s="18"/>
      <c r="F30" s="69"/>
    </row>
    <row r="31" spans="1:6" ht="28.8" outlineLevel="1">
      <c r="A31" s="16"/>
      <c r="B31" s="6" t="s">
        <v>86</v>
      </c>
      <c r="C31" s="6" t="s">
        <v>87</v>
      </c>
      <c r="D31" s="17">
        <v>2</v>
      </c>
      <c r="E31" s="18"/>
      <c r="F31" s="69"/>
    </row>
    <row r="32" spans="1:6" outlineLevel="1">
      <c r="A32" s="16"/>
      <c r="B32" s="6" t="s">
        <v>88</v>
      </c>
      <c r="C32" s="6" t="s">
        <v>22</v>
      </c>
      <c r="D32" s="17">
        <v>2</v>
      </c>
      <c r="E32" s="18"/>
      <c r="F32" s="69"/>
    </row>
    <row r="33" spans="1:6" ht="28.8" outlineLevel="1">
      <c r="A33" s="16"/>
      <c r="B33" s="6" t="s">
        <v>79</v>
      </c>
      <c r="C33" s="6" t="s">
        <v>80</v>
      </c>
      <c r="D33" s="17">
        <v>2</v>
      </c>
      <c r="E33" s="18"/>
      <c r="F33" s="69"/>
    </row>
    <row r="34" spans="1:6" outlineLevel="1">
      <c r="A34" s="16"/>
      <c r="B34" s="6" t="s">
        <v>81</v>
      </c>
      <c r="C34" s="6" t="s">
        <v>22</v>
      </c>
      <c r="D34" s="17">
        <v>2</v>
      </c>
      <c r="E34" s="18"/>
      <c r="F34" s="69"/>
    </row>
    <row r="35" spans="1:6" outlineLevel="1">
      <c r="A35" s="16"/>
      <c r="B35" s="6" t="s">
        <v>200</v>
      </c>
      <c r="C35" s="6" t="s">
        <v>201</v>
      </c>
      <c r="D35" s="17">
        <v>1</v>
      </c>
      <c r="E35" s="18"/>
      <c r="F35" s="69"/>
    </row>
    <row r="36" spans="1:6" outlineLevel="1">
      <c r="A36" s="16"/>
      <c r="B36" s="6" t="s">
        <v>202</v>
      </c>
      <c r="C36" s="6" t="s">
        <v>22</v>
      </c>
      <c r="D36" s="17">
        <v>1</v>
      </c>
      <c r="E36" s="18"/>
      <c r="F36" s="69"/>
    </row>
    <row r="37" spans="1:6" ht="28.8" outlineLevel="1">
      <c r="A37" s="16"/>
      <c r="B37" s="6" t="s">
        <v>32</v>
      </c>
      <c r="C37" s="6" t="s">
        <v>33</v>
      </c>
      <c r="D37" s="17">
        <v>1</v>
      </c>
      <c r="E37" s="18"/>
      <c r="F37" s="69"/>
    </row>
    <row r="38" spans="1:6" outlineLevel="1">
      <c r="A38" s="16"/>
      <c r="B38" s="6" t="s">
        <v>34</v>
      </c>
      <c r="C38" s="6" t="s">
        <v>22</v>
      </c>
      <c r="D38" s="17">
        <v>1</v>
      </c>
      <c r="E38" s="18"/>
      <c r="F38" s="69"/>
    </row>
    <row r="39" spans="1:6" ht="28.8" outlineLevel="1">
      <c r="A39" s="16"/>
      <c r="B39" s="6" t="s">
        <v>35</v>
      </c>
      <c r="C39" s="6" t="s">
        <v>36</v>
      </c>
      <c r="D39" s="17">
        <v>1</v>
      </c>
      <c r="E39" s="18"/>
      <c r="F39" s="69"/>
    </row>
    <row r="40" spans="1:6" outlineLevel="1">
      <c r="A40" s="16"/>
      <c r="B40" s="6" t="s">
        <v>37</v>
      </c>
      <c r="C40" s="6" t="s">
        <v>22</v>
      </c>
      <c r="D40" s="17">
        <v>1</v>
      </c>
      <c r="E40" s="18"/>
      <c r="F40" s="69"/>
    </row>
    <row r="41" spans="1:6" outlineLevel="1">
      <c r="A41" s="16"/>
      <c r="B41" s="6" t="s">
        <v>212</v>
      </c>
      <c r="C41" s="6" t="s">
        <v>213</v>
      </c>
      <c r="D41" s="17">
        <v>1</v>
      </c>
      <c r="E41" s="18"/>
      <c r="F41" s="69"/>
    </row>
    <row r="42" spans="1:6" outlineLevel="1">
      <c r="A42" s="16"/>
      <c r="B42" s="6" t="s">
        <v>214</v>
      </c>
      <c r="C42" s="6" t="s">
        <v>22</v>
      </c>
      <c r="D42" s="17">
        <v>1</v>
      </c>
      <c r="E42" s="18"/>
      <c r="F42" s="69"/>
    </row>
    <row r="43" spans="1:6" ht="28.8" outlineLevel="1">
      <c r="A43" s="16"/>
      <c r="B43" s="6" t="s">
        <v>38</v>
      </c>
      <c r="C43" s="6" t="s">
        <v>39</v>
      </c>
      <c r="D43" s="17">
        <v>2</v>
      </c>
      <c r="E43" s="18"/>
      <c r="F43" s="69"/>
    </row>
    <row r="44" spans="1:6" outlineLevel="1">
      <c r="A44" s="16"/>
      <c r="B44" s="6" t="s">
        <v>40</v>
      </c>
      <c r="C44" s="6" t="s">
        <v>22</v>
      </c>
      <c r="D44" s="17">
        <v>2</v>
      </c>
      <c r="E44" s="18"/>
      <c r="F44" s="69"/>
    </row>
    <row r="45" spans="1:6" ht="28.8" outlineLevel="1">
      <c r="A45" s="16"/>
      <c r="B45" s="6" t="s">
        <v>89</v>
      </c>
      <c r="C45" s="6" t="s">
        <v>90</v>
      </c>
      <c r="D45" s="17">
        <v>1</v>
      </c>
      <c r="E45" s="18"/>
      <c r="F45" s="69"/>
    </row>
    <row r="46" spans="1:6" outlineLevel="1">
      <c r="A46" s="16"/>
      <c r="B46" s="6" t="s">
        <v>14</v>
      </c>
      <c r="C46" s="6" t="s">
        <v>45</v>
      </c>
      <c r="D46" s="17">
        <v>1</v>
      </c>
      <c r="E46" s="18"/>
      <c r="F46" s="69"/>
    </row>
    <row r="47" spans="1:6" outlineLevel="1">
      <c r="A47" s="16"/>
      <c r="B47" s="6" t="s">
        <v>15</v>
      </c>
      <c r="C47" s="6" t="s">
        <v>22</v>
      </c>
      <c r="D47" s="17">
        <v>1</v>
      </c>
      <c r="E47" s="18"/>
      <c r="F47" s="69"/>
    </row>
    <row r="48" spans="1:6" outlineLevel="1">
      <c r="A48" s="16"/>
      <c r="B48" s="6" t="s">
        <v>215</v>
      </c>
      <c r="C48" s="6" t="s">
        <v>216</v>
      </c>
      <c r="D48" s="17">
        <v>1</v>
      </c>
      <c r="E48" s="18"/>
      <c r="F48" s="69"/>
    </row>
    <row r="49" spans="1:6" outlineLevel="1">
      <c r="A49" s="16"/>
      <c r="B49" s="6" t="s">
        <v>217</v>
      </c>
      <c r="C49" s="6" t="s">
        <v>22</v>
      </c>
      <c r="D49" s="17">
        <v>1</v>
      </c>
      <c r="E49" s="18"/>
      <c r="F49" s="69"/>
    </row>
    <row r="50" spans="1:6" outlineLevel="1">
      <c r="A50" s="16"/>
      <c r="B50" s="6" t="s">
        <v>218</v>
      </c>
      <c r="C50" s="6" t="s">
        <v>219</v>
      </c>
      <c r="D50" s="17">
        <v>1</v>
      </c>
      <c r="E50" s="18"/>
      <c r="F50" s="69"/>
    </row>
    <row r="51" spans="1:6" outlineLevel="1">
      <c r="A51" s="16"/>
      <c r="B51" s="6" t="s">
        <v>91</v>
      </c>
      <c r="C51" s="6" t="s">
        <v>92</v>
      </c>
      <c r="D51" s="17">
        <v>1</v>
      </c>
      <c r="E51" s="18"/>
      <c r="F51" s="69"/>
    </row>
    <row r="52" spans="1:6" outlineLevel="1">
      <c r="A52" s="16"/>
      <c r="B52" s="6" t="s">
        <v>93</v>
      </c>
      <c r="C52" s="6" t="s">
        <v>94</v>
      </c>
      <c r="D52" s="17">
        <v>1</v>
      </c>
      <c r="E52" s="18"/>
      <c r="F52" s="69"/>
    </row>
    <row r="53" spans="1:6" s="25" customFormat="1" ht="27" customHeight="1" thickBot="1">
      <c r="A53" s="20"/>
      <c r="B53" s="7" t="s">
        <v>221</v>
      </c>
      <c r="C53" s="7"/>
      <c r="D53" s="21"/>
      <c r="E53" s="22"/>
      <c r="F53" s="70">
        <f>SUM(F4:F52)</f>
        <v>266175000</v>
      </c>
    </row>
    <row r="54" spans="1:6">
      <c r="E54" s="26"/>
      <c r="F54" s="2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vt:lpstr>
      <vt:lpstr>Hotel Server</vt:lpstr>
      <vt:lpstr>BCT Operator Server</vt:lpstr>
      <vt:lpstr>BMS Server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dangt</cp:lastModifiedBy>
  <cp:lastPrinted>2016-10-11T08:37:59Z</cp:lastPrinted>
  <dcterms:created xsi:type="dcterms:W3CDTF">2016-10-11T06:27:31Z</dcterms:created>
  <dcterms:modified xsi:type="dcterms:W3CDTF">2019-12-20T15:30:49Z</dcterms:modified>
</cp:coreProperties>
</file>