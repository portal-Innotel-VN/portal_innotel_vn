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khach hang\RESELLER\itd\"/>
    </mc:Choice>
  </mc:AlternateContent>
  <bookViews>
    <workbookView xWindow="-110" yWindow="-110" windowWidth="19400" windowHeight="10400" firstSheet="2" activeTab="2"/>
  </bookViews>
  <sheets>
    <sheet name="Vietnamese USD" sheetId="7" state="hidden" r:id="rId1"/>
    <sheet name="EN" sheetId="8" state="hidden" r:id="rId2"/>
    <sheet name="v3" sheetId="12" r:id="rId3"/>
    <sheet name="DGDA" sheetId="4" state="hidden" r:id="rId4"/>
    <sheet name="IF" sheetId="5" state="veryHidden" r:id="rId5"/>
  </sheets>
  <definedNames>
    <definedName name="CHIPHITHUE_daura">IF!$F$3:$F$300</definedName>
    <definedName name="CHIPHITHUE_dauvao">IF!$D$3:$D$300</definedName>
    <definedName name="CL">IF!$A$3:$A$300</definedName>
    <definedName name="DIEN_GIAI" localSheetId="2">#REF!</definedName>
    <definedName name="DIEN_GIAI">#REF!</definedName>
    <definedName name="DVT" localSheetId="2">#REF!</definedName>
    <definedName name="DVT">#REF!</definedName>
    <definedName name="efda" localSheetId="2">#REF!</definedName>
    <definedName name="efda">#REF!</definedName>
    <definedName name="erwf" localSheetId="2">#REF!</definedName>
    <definedName name="erwf">#REF!</definedName>
    <definedName name="esfse" localSheetId="2">#REF!</definedName>
    <definedName name="esfse">#REF!</definedName>
    <definedName name="etaw" localSheetId="2">#REF!</definedName>
    <definedName name="etaw">#REF!</definedName>
    <definedName name="GIA_1" localSheetId="2">#REF!</definedName>
    <definedName name="GIA_1">#REF!</definedName>
    <definedName name="GIA_2" localSheetId="2">#REF!</definedName>
    <definedName name="GIA_2">#REF!</definedName>
    <definedName name="GIA_NHAP" localSheetId="2">#REF!</definedName>
    <definedName name="GIA_NHAP">#REF!</definedName>
    <definedName name="HAN_TT" localSheetId="2">#REF!</definedName>
    <definedName name="HAN_TT">#REF!</definedName>
    <definedName name="Ma_KH" localSheetId="2">#REF!</definedName>
    <definedName name="Ma_KH">#REF!</definedName>
    <definedName name="NHAP_TU" localSheetId="2">#REF!</definedName>
    <definedName name="NHAP_TU">#REF!</definedName>
    <definedName name="P.N" localSheetId="2">#REF!</definedName>
    <definedName name="P.N">#REF!</definedName>
    <definedName name="_xlnm.Print_Area" localSheetId="3">DGDA!$A$1:$G$60</definedName>
    <definedName name="_xlnm.Print_Area" localSheetId="1">EN!$A$1:$H$51</definedName>
    <definedName name="_xlnm.Print_Area" localSheetId="2">'v3'!$A$1:$H$45</definedName>
    <definedName name="_xlnm.Print_Area" localSheetId="0">'Vietnamese USD'!$A$1:$J$54</definedName>
    <definedName name="rfwe" localSheetId="2">#REF!</definedName>
    <definedName name="rfwe">#REF!</definedName>
    <definedName name="SL" localSheetId="2">#REF!</definedName>
    <definedName name="SL">#REF!</definedName>
    <definedName name="So_PT" localSheetId="2">#REF!</definedName>
    <definedName name="So_PT">#REF!</definedName>
    <definedName name="STT" localSheetId="2">#REF!</definedName>
    <definedName name="STT">#REF!</definedName>
    <definedName name="t4ae" localSheetId="2">#REF!</definedName>
    <definedName name="t4ae">#REF!</definedName>
    <definedName name="TG" localSheetId="2">'v3'!#REF!</definedName>
    <definedName name="tg">#REF!</definedName>
    <definedName name="TTIEN_BAN">IF!$E$3:$E$300</definedName>
    <definedName name="TTIEN_HDON">IF!$G$3:$G$300</definedName>
    <definedName name="TTIEN_HDON_VAT">IF!$H$3:$H$300</definedName>
    <definedName name="TTIEN_NHAP">IF!$B$3:$B$300</definedName>
    <definedName name="TTIEN_NHAP_VAT">IF!$C$3:$C$300</definedName>
    <definedName name="VAT_daura" localSheetId="2">#REF!</definedName>
    <definedName name="VAT_daura">#REF!</definedName>
    <definedName name="VAT_dauvao" localSheetId="2">#REF!</definedName>
    <definedName name="VAT_dauvao">#REF!</definedName>
    <definedName name="wat" localSheetId="2">#REF!</definedName>
    <definedName name="wat">#REF!</definedName>
  </definedNames>
  <calcPr calcId="152511"/>
</workbook>
</file>

<file path=xl/calcChain.xml><?xml version="1.0" encoding="utf-8"?>
<calcChain xmlns="http://schemas.openxmlformats.org/spreadsheetml/2006/main">
  <c r="H22" i="12" l="1"/>
  <c r="H23" i="12" s="1"/>
  <c r="H20" i="12" l="1"/>
  <c r="H21" i="12"/>
  <c r="H19" i="12" l="1"/>
  <c r="H18" i="12"/>
  <c r="H14" i="12"/>
  <c r="H15" i="12"/>
  <c r="H16" i="12"/>
  <c r="H17" i="12"/>
  <c r="H13" i="12" l="1"/>
  <c r="B9" i="12" l="1"/>
  <c r="H24" i="12" l="1"/>
  <c r="H25" i="12" s="1"/>
  <c r="G300" i="5" l="1"/>
  <c r="H300" i="5" s="1"/>
  <c r="F300" i="5"/>
  <c r="E300" i="5"/>
  <c r="D300" i="5"/>
  <c r="B300" i="5"/>
  <c r="C300" i="5" s="1"/>
  <c r="G299" i="5"/>
  <c r="H299" i="5" s="1"/>
  <c r="F299" i="5"/>
  <c r="E299" i="5"/>
  <c r="D299" i="5"/>
  <c r="B299" i="5"/>
  <c r="C299" i="5" s="1"/>
  <c r="G298" i="5"/>
  <c r="H298" i="5" s="1"/>
  <c r="F298" i="5"/>
  <c r="E298" i="5"/>
  <c r="D298" i="5"/>
  <c r="B298" i="5"/>
  <c r="C298" i="5" s="1"/>
  <c r="G297" i="5"/>
  <c r="H297" i="5" s="1"/>
  <c r="F297" i="5"/>
  <c r="E297" i="5"/>
  <c r="D297" i="5"/>
  <c r="B297" i="5"/>
  <c r="C297" i="5" s="1"/>
  <c r="G296" i="5"/>
  <c r="H296" i="5" s="1"/>
  <c r="F296" i="5"/>
  <c r="E296" i="5"/>
  <c r="D296" i="5"/>
  <c r="B296" i="5"/>
  <c r="C296" i="5" s="1"/>
  <c r="G295" i="5"/>
  <c r="H295" i="5" s="1"/>
  <c r="F295" i="5"/>
  <c r="E295" i="5"/>
  <c r="D295" i="5"/>
  <c r="B295" i="5"/>
  <c r="C295" i="5" s="1"/>
  <c r="G294" i="5"/>
  <c r="F294" i="5"/>
  <c r="E294" i="5"/>
  <c r="D294" i="5"/>
  <c r="B294" i="5"/>
  <c r="C294" i="5" s="1"/>
  <c r="G293" i="5"/>
  <c r="H293" i="5" s="1"/>
  <c r="F293" i="5"/>
  <c r="E293" i="5"/>
  <c r="D293" i="5"/>
  <c r="B293" i="5"/>
  <c r="C293" i="5" s="1"/>
  <c r="G292" i="5"/>
  <c r="H292" i="5" s="1"/>
  <c r="F292" i="5"/>
  <c r="E292" i="5"/>
  <c r="D292" i="5"/>
  <c r="B292" i="5"/>
  <c r="C292" i="5" s="1"/>
  <c r="G291" i="5"/>
  <c r="H291" i="5" s="1"/>
  <c r="F291" i="5"/>
  <c r="E291" i="5"/>
  <c r="D291" i="5"/>
  <c r="B291" i="5"/>
  <c r="C291" i="5" s="1"/>
  <c r="G290" i="5"/>
  <c r="F290" i="5"/>
  <c r="E290" i="5"/>
  <c r="D290" i="5"/>
  <c r="B290" i="5"/>
  <c r="C290" i="5" s="1"/>
  <c r="G289" i="5"/>
  <c r="H289" i="5" s="1"/>
  <c r="F289" i="5"/>
  <c r="E289" i="5"/>
  <c r="D289" i="5"/>
  <c r="B289" i="5"/>
  <c r="C289" i="5" s="1"/>
  <c r="G288" i="5"/>
  <c r="H288" i="5" s="1"/>
  <c r="F288" i="5"/>
  <c r="E288" i="5"/>
  <c r="D288" i="5"/>
  <c r="B288" i="5"/>
  <c r="C288" i="5" s="1"/>
  <c r="G287" i="5"/>
  <c r="H287" i="5" s="1"/>
  <c r="F287" i="5"/>
  <c r="E287" i="5"/>
  <c r="D287" i="5"/>
  <c r="B287" i="5"/>
  <c r="C287" i="5" s="1"/>
  <c r="G286" i="5"/>
  <c r="H286" i="5" s="1"/>
  <c r="F286" i="5"/>
  <c r="E286" i="5"/>
  <c r="D286" i="5"/>
  <c r="B286" i="5"/>
  <c r="C286" i="5" s="1"/>
  <c r="G285" i="5"/>
  <c r="H285" i="5" s="1"/>
  <c r="F285" i="5"/>
  <c r="E285" i="5"/>
  <c r="D285" i="5"/>
  <c r="B285" i="5"/>
  <c r="C285" i="5" s="1"/>
  <c r="G284" i="5"/>
  <c r="H284" i="5" s="1"/>
  <c r="F284" i="5"/>
  <c r="E284" i="5"/>
  <c r="D284" i="5"/>
  <c r="B284" i="5"/>
  <c r="C284" i="5" s="1"/>
  <c r="G283" i="5"/>
  <c r="H283" i="5" s="1"/>
  <c r="F283" i="5"/>
  <c r="E283" i="5"/>
  <c r="D283" i="5"/>
  <c r="B283" i="5"/>
  <c r="C283" i="5" s="1"/>
  <c r="G282" i="5"/>
  <c r="H282" i="5" s="1"/>
  <c r="F282" i="5"/>
  <c r="E282" i="5"/>
  <c r="D282" i="5"/>
  <c r="B282" i="5"/>
  <c r="C282" i="5" s="1"/>
  <c r="G281" i="5"/>
  <c r="H281" i="5" s="1"/>
  <c r="F281" i="5"/>
  <c r="E281" i="5"/>
  <c r="D281" i="5"/>
  <c r="B281" i="5"/>
  <c r="C281" i="5" s="1"/>
  <c r="G280" i="5"/>
  <c r="H280" i="5" s="1"/>
  <c r="F280" i="5"/>
  <c r="E280" i="5"/>
  <c r="D280" i="5"/>
  <c r="B280" i="5"/>
  <c r="C280" i="5" s="1"/>
  <c r="G279" i="5"/>
  <c r="H279" i="5" s="1"/>
  <c r="F279" i="5"/>
  <c r="E279" i="5"/>
  <c r="D279" i="5"/>
  <c r="B279" i="5"/>
  <c r="C279" i="5" s="1"/>
  <c r="G278" i="5"/>
  <c r="H278" i="5" s="1"/>
  <c r="F278" i="5"/>
  <c r="E278" i="5"/>
  <c r="D278" i="5"/>
  <c r="B278" i="5"/>
  <c r="C278" i="5" s="1"/>
  <c r="G277" i="5"/>
  <c r="H277" i="5" s="1"/>
  <c r="F277" i="5"/>
  <c r="E277" i="5"/>
  <c r="D277" i="5"/>
  <c r="B277" i="5"/>
  <c r="C277" i="5" s="1"/>
  <c r="G276" i="5"/>
  <c r="H276" i="5" s="1"/>
  <c r="F276" i="5"/>
  <c r="E276" i="5"/>
  <c r="D276" i="5"/>
  <c r="B276" i="5"/>
  <c r="C276" i="5" s="1"/>
  <c r="G275" i="5"/>
  <c r="H275" i="5" s="1"/>
  <c r="F275" i="5"/>
  <c r="E275" i="5"/>
  <c r="D275" i="5"/>
  <c r="B275" i="5"/>
  <c r="C275" i="5" s="1"/>
  <c r="G274" i="5"/>
  <c r="H274" i="5" s="1"/>
  <c r="F274" i="5"/>
  <c r="E274" i="5"/>
  <c r="D274" i="5"/>
  <c r="B274" i="5"/>
  <c r="C274" i="5" s="1"/>
  <c r="G273" i="5"/>
  <c r="H273" i="5" s="1"/>
  <c r="F273" i="5"/>
  <c r="E273" i="5"/>
  <c r="D273" i="5"/>
  <c r="B273" i="5"/>
  <c r="C273" i="5" s="1"/>
  <c r="G272" i="5"/>
  <c r="H272" i="5" s="1"/>
  <c r="F272" i="5"/>
  <c r="E272" i="5"/>
  <c r="D272" i="5"/>
  <c r="B272" i="5"/>
  <c r="C272" i="5" s="1"/>
  <c r="G271" i="5"/>
  <c r="H271" i="5" s="1"/>
  <c r="F271" i="5"/>
  <c r="E271" i="5"/>
  <c r="D271" i="5"/>
  <c r="B271" i="5"/>
  <c r="C271" i="5" s="1"/>
  <c r="G270" i="5"/>
  <c r="H270" i="5" s="1"/>
  <c r="F270" i="5"/>
  <c r="E270" i="5"/>
  <c r="D270" i="5"/>
  <c r="B270" i="5"/>
  <c r="C270" i="5" s="1"/>
  <c r="G269" i="5"/>
  <c r="H269" i="5" s="1"/>
  <c r="F269" i="5"/>
  <c r="E269" i="5"/>
  <c r="D269" i="5"/>
  <c r="B269" i="5"/>
  <c r="C269" i="5" s="1"/>
  <c r="G268" i="5"/>
  <c r="H268" i="5" s="1"/>
  <c r="F268" i="5"/>
  <c r="E268" i="5"/>
  <c r="D268" i="5"/>
  <c r="B268" i="5"/>
  <c r="C268" i="5" s="1"/>
  <c r="G267" i="5"/>
  <c r="H267" i="5" s="1"/>
  <c r="F267" i="5"/>
  <c r="E267" i="5"/>
  <c r="D267" i="5"/>
  <c r="B267" i="5"/>
  <c r="C267" i="5" s="1"/>
  <c r="G266" i="5"/>
  <c r="H266" i="5" s="1"/>
  <c r="F266" i="5"/>
  <c r="E266" i="5"/>
  <c r="D266" i="5"/>
  <c r="B266" i="5"/>
  <c r="C266" i="5" s="1"/>
  <c r="G265" i="5"/>
  <c r="H265" i="5" s="1"/>
  <c r="F265" i="5"/>
  <c r="E265" i="5"/>
  <c r="D265" i="5"/>
  <c r="B265" i="5"/>
  <c r="C265" i="5" s="1"/>
  <c r="G264" i="5"/>
  <c r="H264" i="5" s="1"/>
  <c r="F264" i="5"/>
  <c r="E264" i="5"/>
  <c r="D264" i="5"/>
  <c r="B264" i="5"/>
  <c r="C264" i="5" s="1"/>
  <c r="G263" i="5"/>
  <c r="H263" i="5" s="1"/>
  <c r="F263" i="5"/>
  <c r="E263" i="5"/>
  <c r="D263" i="5"/>
  <c r="B263" i="5"/>
  <c r="C263" i="5" s="1"/>
  <c r="G262" i="5"/>
  <c r="H262" i="5" s="1"/>
  <c r="F262" i="5"/>
  <c r="E262" i="5"/>
  <c r="D262" i="5"/>
  <c r="B262" i="5"/>
  <c r="C262" i="5" s="1"/>
  <c r="G261" i="5"/>
  <c r="H261" i="5" s="1"/>
  <c r="F261" i="5"/>
  <c r="E261" i="5"/>
  <c r="D261" i="5"/>
  <c r="B261" i="5"/>
  <c r="C261" i="5" s="1"/>
  <c r="G260" i="5"/>
  <c r="H260" i="5" s="1"/>
  <c r="F260" i="5"/>
  <c r="E260" i="5"/>
  <c r="D260" i="5"/>
  <c r="B260" i="5"/>
  <c r="C260" i="5" s="1"/>
  <c r="G259" i="5"/>
  <c r="H259" i="5" s="1"/>
  <c r="F259" i="5"/>
  <c r="E259" i="5"/>
  <c r="D259" i="5"/>
  <c r="B259" i="5"/>
  <c r="C259" i="5" s="1"/>
  <c r="G258" i="5"/>
  <c r="F258" i="5"/>
  <c r="E258" i="5"/>
  <c r="D258" i="5"/>
  <c r="B258" i="5"/>
  <c r="C258" i="5" s="1"/>
  <c r="G257" i="5"/>
  <c r="F257" i="5"/>
  <c r="E257" i="5"/>
  <c r="D257" i="5"/>
  <c r="B257" i="5"/>
  <c r="C257" i="5" s="1"/>
  <c r="G256" i="5"/>
  <c r="F256" i="5"/>
  <c r="E256" i="5"/>
  <c r="D256" i="5"/>
  <c r="B256" i="5"/>
  <c r="C256" i="5" s="1"/>
  <c r="G255" i="5"/>
  <c r="F255" i="5"/>
  <c r="E255" i="5"/>
  <c r="D255" i="5"/>
  <c r="B255" i="5"/>
  <c r="C255" i="5" s="1"/>
  <c r="G254" i="5"/>
  <c r="F254" i="5"/>
  <c r="E254" i="5"/>
  <c r="D254" i="5"/>
  <c r="B254" i="5"/>
  <c r="C254" i="5" s="1"/>
  <c r="G253" i="5"/>
  <c r="F253" i="5"/>
  <c r="E253" i="5"/>
  <c r="D253" i="5"/>
  <c r="B253" i="5"/>
  <c r="C253" i="5" s="1"/>
  <c r="G252" i="5"/>
  <c r="F252" i="5"/>
  <c r="E252" i="5"/>
  <c r="D252" i="5"/>
  <c r="B252" i="5"/>
  <c r="C252" i="5" s="1"/>
  <c r="G251" i="5"/>
  <c r="F251" i="5"/>
  <c r="E251" i="5"/>
  <c r="D251" i="5"/>
  <c r="B251" i="5"/>
  <c r="C251" i="5" s="1"/>
  <c r="G250" i="5"/>
  <c r="F250" i="5"/>
  <c r="E250" i="5"/>
  <c r="D250" i="5"/>
  <c r="B250" i="5"/>
  <c r="C250" i="5" s="1"/>
  <c r="G249" i="5"/>
  <c r="F249" i="5"/>
  <c r="E249" i="5"/>
  <c r="D249" i="5"/>
  <c r="B249" i="5"/>
  <c r="C249" i="5" s="1"/>
  <c r="G248" i="5"/>
  <c r="F248" i="5"/>
  <c r="E248" i="5"/>
  <c r="D248" i="5"/>
  <c r="B248" i="5"/>
  <c r="C248" i="5" s="1"/>
  <c r="G247" i="5"/>
  <c r="F247" i="5"/>
  <c r="E247" i="5"/>
  <c r="D247" i="5"/>
  <c r="B247" i="5"/>
  <c r="C247" i="5" s="1"/>
  <c r="G246" i="5"/>
  <c r="F246" i="5"/>
  <c r="E246" i="5"/>
  <c r="D246" i="5"/>
  <c r="B246" i="5"/>
  <c r="C246" i="5" s="1"/>
  <c r="G245" i="5"/>
  <c r="F245" i="5"/>
  <c r="E245" i="5"/>
  <c r="D245" i="5"/>
  <c r="B245" i="5"/>
  <c r="C245" i="5" s="1"/>
  <c r="G244" i="5"/>
  <c r="F244" i="5"/>
  <c r="E244" i="5"/>
  <c r="D244" i="5"/>
  <c r="B244" i="5"/>
  <c r="C244" i="5" s="1"/>
  <c r="G243" i="5"/>
  <c r="F243" i="5"/>
  <c r="E243" i="5"/>
  <c r="D243" i="5"/>
  <c r="B243" i="5"/>
  <c r="C243" i="5" s="1"/>
  <c r="G242" i="5"/>
  <c r="F242" i="5"/>
  <c r="E242" i="5"/>
  <c r="D242" i="5"/>
  <c r="B242" i="5"/>
  <c r="C242" i="5" s="1"/>
  <c r="G241" i="5"/>
  <c r="F241" i="5"/>
  <c r="E241" i="5"/>
  <c r="D241" i="5"/>
  <c r="B241" i="5"/>
  <c r="C241" i="5" s="1"/>
  <c r="G240" i="5"/>
  <c r="F240" i="5"/>
  <c r="E240" i="5"/>
  <c r="D240" i="5"/>
  <c r="B240" i="5"/>
  <c r="C240" i="5" s="1"/>
  <c r="G239" i="5"/>
  <c r="F239" i="5"/>
  <c r="E239" i="5"/>
  <c r="D239" i="5"/>
  <c r="B239" i="5"/>
  <c r="C239" i="5" s="1"/>
  <c r="G238" i="5"/>
  <c r="F238" i="5"/>
  <c r="E238" i="5"/>
  <c r="D238" i="5"/>
  <c r="B238" i="5"/>
  <c r="C238" i="5" s="1"/>
  <c r="G237" i="5"/>
  <c r="F237" i="5"/>
  <c r="E237" i="5"/>
  <c r="D237" i="5"/>
  <c r="B237" i="5"/>
  <c r="C237" i="5" s="1"/>
  <c r="G236" i="5"/>
  <c r="F236" i="5"/>
  <c r="E236" i="5"/>
  <c r="D236" i="5"/>
  <c r="B236" i="5"/>
  <c r="C236" i="5" s="1"/>
  <c r="G235" i="5"/>
  <c r="F235" i="5"/>
  <c r="E235" i="5"/>
  <c r="D235" i="5"/>
  <c r="B235" i="5"/>
  <c r="C235" i="5" s="1"/>
  <c r="G234" i="5"/>
  <c r="F234" i="5"/>
  <c r="E234" i="5"/>
  <c r="D234" i="5"/>
  <c r="B234" i="5"/>
  <c r="C234" i="5" s="1"/>
  <c r="G233" i="5"/>
  <c r="F233" i="5"/>
  <c r="E233" i="5"/>
  <c r="D233" i="5"/>
  <c r="B233" i="5"/>
  <c r="C233" i="5" s="1"/>
  <c r="G232" i="5"/>
  <c r="F232" i="5"/>
  <c r="E232" i="5"/>
  <c r="D232" i="5"/>
  <c r="B232" i="5"/>
  <c r="C232" i="5" s="1"/>
  <c r="G231" i="5"/>
  <c r="F231" i="5"/>
  <c r="E231" i="5"/>
  <c r="D231" i="5"/>
  <c r="B231" i="5"/>
  <c r="C231" i="5" s="1"/>
  <c r="G230" i="5"/>
  <c r="F230" i="5"/>
  <c r="E230" i="5"/>
  <c r="D230" i="5"/>
  <c r="B230" i="5"/>
  <c r="C230" i="5" s="1"/>
  <c r="G229" i="5"/>
  <c r="F229" i="5"/>
  <c r="E229" i="5"/>
  <c r="D229" i="5"/>
  <c r="B229" i="5"/>
  <c r="C229" i="5" s="1"/>
  <c r="G228" i="5"/>
  <c r="F228" i="5"/>
  <c r="E228" i="5"/>
  <c r="D228" i="5"/>
  <c r="B228" i="5"/>
  <c r="C228" i="5" s="1"/>
  <c r="G227" i="5"/>
  <c r="F227" i="5"/>
  <c r="E227" i="5"/>
  <c r="D227" i="5"/>
  <c r="B227" i="5"/>
  <c r="C227" i="5" s="1"/>
  <c r="G226" i="5"/>
  <c r="F226" i="5"/>
  <c r="E226" i="5"/>
  <c r="D226" i="5"/>
  <c r="B226" i="5"/>
  <c r="C226" i="5" s="1"/>
  <c r="G225" i="5"/>
  <c r="F225" i="5"/>
  <c r="E225" i="5"/>
  <c r="D225" i="5"/>
  <c r="B225" i="5"/>
  <c r="C225" i="5" s="1"/>
  <c r="G224" i="5"/>
  <c r="F224" i="5"/>
  <c r="E224" i="5"/>
  <c r="D224" i="5"/>
  <c r="B224" i="5"/>
  <c r="C224" i="5" s="1"/>
  <c r="G223" i="5"/>
  <c r="F223" i="5"/>
  <c r="E223" i="5"/>
  <c r="D223" i="5"/>
  <c r="B223" i="5"/>
  <c r="C223" i="5" s="1"/>
  <c r="G222" i="5"/>
  <c r="F222" i="5"/>
  <c r="E222" i="5"/>
  <c r="D222" i="5"/>
  <c r="B222" i="5"/>
  <c r="C222" i="5" s="1"/>
  <c r="G221" i="5"/>
  <c r="F221" i="5"/>
  <c r="E221" i="5"/>
  <c r="D221" i="5"/>
  <c r="B221" i="5"/>
  <c r="C221" i="5" s="1"/>
  <c r="G220" i="5"/>
  <c r="F220" i="5"/>
  <c r="E220" i="5"/>
  <c r="D220" i="5"/>
  <c r="B220" i="5"/>
  <c r="C220" i="5" s="1"/>
  <c r="G219" i="5"/>
  <c r="F219" i="5"/>
  <c r="E219" i="5"/>
  <c r="D219" i="5"/>
  <c r="B219" i="5"/>
  <c r="C219" i="5" s="1"/>
  <c r="G218" i="5"/>
  <c r="F218" i="5"/>
  <c r="E218" i="5"/>
  <c r="D218" i="5"/>
  <c r="B218" i="5"/>
  <c r="C218" i="5" s="1"/>
  <c r="G217" i="5"/>
  <c r="F217" i="5"/>
  <c r="E217" i="5"/>
  <c r="D217" i="5"/>
  <c r="B217" i="5"/>
  <c r="C217" i="5" s="1"/>
  <c r="G216" i="5"/>
  <c r="F216" i="5"/>
  <c r="E216" i="5"/>
  <c r="D216" i="5"/>
  <c r="B216" i="5"/>
  <c r="C216" i="5" s="1"/>
  <c r="G215" i="5"/>
  <c r="F215" i="5"/>
  <c r="E215" i="5"/>
  <c r="D215" i="5"/>
  <c r="B215" i="5"/>
  <c r="C215" i="5" s="1"/>
  <c r="G214" i="5"/>
  <c r="F214" i="5"/>
  <c r="E214" i="5"/>
  <c r="D214" i="5"/>
  <c r="B214" i="5"/>
  <c r="C214" i="5" s="1"/>
  <c r="G213" i="5"/>
  <c r="F213" i="5"/>
  <c r="E213" i="5"/>
  <c r="D213" i="5"/>
  <c r="B213" i="5"/>
  <c r="C213" i="5" s="1"/>
  <c r="G212" i="5"/>
  <c r="F212" i="5"/>
  <c r="E212" i="5"/>
  <c r="D212" i="5"/>
  <c r="B212" i="5"/>
  <c r="C212" i="5" s="1"/>
  <c r="G211" i="5"/>
  <c r="F211" i="5"/>
  <c r="E211" i="5"/>
  <c r="D211" i="5"/>
  <c r="B211" i="5"/>
  <c r="C211" i="5" s="1"/>
  <c r="G210" i="5"/>
  <c r="F210" i="5"/>
  <c r="E210" i="5"/>
  <c r="D210" i="5"/>
  <c r="B210" i="5"/>
  <c r="C210" i="5" s="1"/>
  <c r="G209" i="5"/>
  <c r="F209" i="5"/>
  <c r="E209" i="5"/>
  <c r="D209" i="5"/>
  <c r="B209" i="5"/>
  <c r="C209" i="5" s="1"/>
  <c r="G208" i="5"/>
  <c r="F208" i="5"/>
  <c r="E208" i="5"/>
  <c r="D208" i="5"/>
  <c r="B208" i="5"/>
  <c r="C208" i="5" s="1"/>
  <c r="G207" i="5"/>
  <c r="F207" i="5"/>
  <c r="E207" i="5"/>
  <c r="D207" i="5"/>
  <c r="B207" i="5"/>
  <c r="C207" i="5" s="1"/>
  <c r="G206" i="5"/>
  <c r="F206" i="5"/>
  <c r="E206" i="5"/>
  <c r="D206" i="5"/>
  <c r="B206" i="5"/>
  <c r="C206" i="5" s="1"/>
  <c r="G205" i="5"/>
  <c r="F205" i="5"/>
  <c r="E205" i="5"/>
  <c r="D205" i="5"/>
  <c r="B205" i="5"/>
  <c r="C205" i="5" s="1"/>
  <c r="G204" i="5"/>
  <c r="F204" i="5"/>
  <c r="E204" i="5"/>
  <c r="D204" i="5"/>
  <c r="B204" i="5"/>
  <c r="C204" i="5" s="1"/>
  <c r="G203" i="5"/>
  <c r="F203" i="5"/>
  <c r="E203" i="5"/>
  <c r="D203" i="5"/>
  <c r="B203" i="5"/>
  <c r="C203" i="5" s="1"/>
  <c r="G202" i="5"/>
  <c r="F202" i="5"/>
  <c r="E202" i="5"/>
  <c r="D202" i="5"/>
  <c r="B202" i="5"/>
  <c r="C202" i="5" s="1"/>
  <c r="G201" i="5"/>
  <c r="F201" i="5"/>
  <c r="E201" i="5"/>
  <c r="D201" i="5"/>
  <c r="B201" i="5"/>
  <c r="C201" i="5" s="1"/>
  <c r="G200" i="5"/>
  <c r="F200" i="5"/>
  <c r="E200" i="5"/>
  <c r="D200" i="5"/>
  <c r="B200" i="5"/>
  <c r="C200" i="5" s="1"/>
  <c r="G199" i="5"/>
  <c r="F199" i="5"/>
  <c r="E199" i="5"/>
  <c r="D199" i="5"/>
  <c r="B199" i="5"/>
  <c r="C199" i="5" s="1"/>
  <c r="G198" i="5"/>
  <c r="F198" i="5"/>
  <c r="E198" i="5"/>
  <c r="D198" i="5"/>
  <c r="B198" i="5"/>
  <c r="C198" i="5" s="1"/>
  <c r="G197" i="5"/>
  <c r="F197" i="5"/>
  <c r="E197" i="5"/>
  <c r="D197" i="5"/>
  <c r="B197" i="5"/>
  <c r="C197" i="5" s="1"/>
  <c r="G196" i="5"/>
  <c r="F196" i="5"/>
  <c r="E196" i="5"/>
  <c r="D196" i="5"/>
  <c r="B196" i="5"/>
  <c r="C196" i="5" s="1"/>
  <c r="G195" i="5"/>
  <c r="F195" i="5"/>
  <c r="E195" i="5"/>
  <c r="D195" i="5"/>
  <c r="B195" i="5"/>
  <c r="C195" i="5" s="1"/>
  <c r="G194" i="5"/>
  <c r="H194" i="5" s="1"/>
  <c r="F194" i="5"/>
  <c r="E194" i="5"/>
  <c r="D194" i="5"/>
  <c r="B194" i="5"/>
  <c r="C194" i="5" s="1"/>
  <c r="G193" i="5"/>
  <c r="H193" i="5" s="1"/>
  <c r="F193" i="5"/>
  <c r="E193" i="5"/>
  <c r="D193" i="5"/>
  <c r="B193" i="5"/>
  <c r="C193" i="5" s="1"/>
  <c r="G192" i="5"/>
  <c r="H192" i="5" s="1"/>
  <c r="F192" i="5"/>
  <c r="E192" i="5"/>
  <c r="D192" i="5"/>
  <c r="B192" i="5"/>
  <c r="C192" i="5" s="1"/>
  <c r="G191" i="5"/>
  <c r="H191" i="5" s="1"/>
  <c r="F191" i="5"/>
  <c r="E191" i="5"/>
  <c r="D191" i="5"/>
  <c r="B191" i="5"/>
  <c r="C191" i="5" s="1"/>
  <c r="G190" i="5"/>
  <c r="H190" i="5" s="1"/>
  <c r="F190" i="5"/>
  <c r="E190" i="5"/>
  <c r="D190" i="5"/>
  <c r="B190" i="5"/>
  <c r="C190" i="5" s="1"/>
  <c r="G189" i="5"/>
  <c r="H189" i="5" s="1"/>
  <c r="F189" i="5"/>
  <c r="E189" i="5"/>
  <c r="D189" i="5"/>
  <c r="B189" i="5"/>
  <c r="C189" i="5" s="1"/>
  <c r="G188" i="5"/>
  <c r="H188" i="5" s="1"/>
  <c r="F188" i="5"/>
  <c r="E188" i="5"/>
  <c r="D188" i="5"/>
  <c r="B188" i="5"/>
  <c r="C188" i="5" s="1"/>
  <c r="G187" i="5"/>
  <c r="H187" i="5" s="1"/>
  <c r="F187" i="5"/>
  <c r="E187" i="5"/>
  <c r="D187" i="5"/>
  <c r="B187" i="5"/>
  <c r="C187" i="5" s="1"/>
  <c r="G186" i="5"/>
  <c r="H186" i="5" s="1"/>
  <c r="F186" i="5"/>
  <c r="E186" i="5"/>
  <c r="D186" i="5"/>
  <c r="B186" i="5"/>
  <c r="C186" i="5" s="1"/>
  <c r="G185" i="5"/>
  <c r="F185" i="5"/>
  <c r="E185" i="5"/>
  <c r="D185" i="5"/>
  <c r="B185" i="5"/>
  <c r="C185" i="5" s="1"/>
  <c r="G184" i="5"/>
  <c r="H184" i="5" s="1"/>
  <c r="F184" i="5"/>
  <c r="E184" i="5"/>
  <c r="D184" i="5"/>
  <c r="B184" i="5"/>
  <c r="C184" i="5" s="1"/>
  <c r="G183" i="5"/>
  <c r="H183" i="5" s="1"/>
  <c r="F183" i="5"/>
  <c r="E183" i="5"/>
  <c r="D183" i="5"/>
  <c r="B183" i="5"/>
  <c r="C183" i="5" s="1"/>
  <c r="G182" i="5"/>
  <c r="H182" i="5" s="1"/>
  <c r="F182" i="5"/>
  <c r="E182" i="5"/>
  <c r="D182" i="5"/>
  <c r="B182" i="5"/>
  <c r="C182" i="5" s="1"/>
  <c r="G181" i="5"/>
  <c r="H181" i="5" s="1"/>
  <c r="F181" i="5"/>
  <c r="E181" i="5"/>
  <c r="D181" i="5"/>
  <c r="B181" i="5"/>
  <c r="C181" i="5" s="1"/>
  <c r="G180" i="5"/>
  <c r="H180" i="5" s="1"/>
  <c r="F180" i="5"/>
  <c r="E180" i="5"/>
  <c r="D180" i="5"/>
  <c r="B180" i="5"/>
  <c r="C180" i="5" s="1"/>
  <c r="G179" i="5"/>
  <c r="H179" i="5" s="1"/>
  <c r="F179" i="5"/>
  <c r="E179" i="5"/>
  <c r="D179" i="5"/>
  <c r="B179" i="5"/>
  <c r="C179" i="5" s="1"/>
  <c r="G178" i="5"/>
  <c r="H178" i="5" s="1"/>
  <c r="F178" i="5"/>
  <c r="E178" i="5"/>
  <c r="D178" i="5"/>
  <c r="B178" i="5"/>
  <c r="C178" i="5" s="1"/>
  <c r="G177" i="5"/>
  <c r="H177" i="5" s="1"/>
  <c r="F177" i="5"/>
  <c r="E177" i="5"/>
  <c r="D177" i="5"/>
  <c r="B177" i="5"/>
  <c r="C177" i="5" s="1"/>
  <c r="G176" i="5"/>
  <c r="H176" i="5" s="1"/>
  <c r="F176" i="5"/>
  <c r="E176" i="5"/>
  <c r="D176" i="5"/>
  <c r="B176" i="5"/>
  <c r="C176" i="5" s="1"/>
  <c r="G175" i="5"/>
  <c r="H175" i="5" s="1"/>
  <c r="F175" i="5"/>
  <c r="E175" i="5"/>
  <c r="D175" i="5"/>
  <c r="B175" i="5"/>
  <c r="C175" i="5" s="1"/>
  <c r="G174" i="5"/>
  <c r="H174" i="5" s="1"/>
  <c r="F174" i="5"/>
  <c r="E174" i="5"/>
  <c r="D174" i="5"/>
  <c r="B174" i="5"/>
  <c r="C174" i="5" s="1"/>
  <c r="G173" i="5"/>
  <c r="H173" i="5" s="1"/>
  <c r="F173" i="5"/>
  <c r="E173" i="5"/>
  <c r="D173" i="5"/>
  <c r="B173" i="5"/>
  <c r="C173" i="5" s="1"/>
  <c r="G172" i="5"/>
  <c r="H172" i="5" s="1"/>
  <c r="F172" i="5"/>
  <c r="E172" i="5"/>
  <c r="D172" i="5"/>
  <c r="B172" i="5"/>
  <c r="C172" i="5" s="1"/>
  <c r="G171" i="5"/>
  <c r="H171" i="5" s="1"/>
  <c r="F171" i="5"/>
  <c r="E171" i="5"/>
  <c r="D171" i="5"/>
  <c r="B171" i="5"/>
  <c r="C171" i="5" s="1"/>
  <c r="G170" i="5"/>
  <c r="H170" i="5" s="1"/>
  <c r="F170" i="5"/>
  <c r="E170" i="5"/>
  <c r="D170" i="5"/>
  <c r="B170" i="5"/>
  <c r="C170" i="5" s="1"/>
  <c r="G169" i="5"/>
  <c r="H169" i="5" s="1"/>
  <c r="F169" i="5"/>
  <c r="E169" i="5"/>
  <c r="D169" i="5"/>
  <c r="B169" i="5"/>
  <c r="C169" i="5" s="1"/>
  <c r="G168" i="5"/>
  <c r="H168" i="5" s="1"/>
  <c r="F168" i="5"/>
  <c r="E168" i="5"/>
  <c r="D168" i="5"/>
  <c r="B168" i="5"/>
  <c r="C168" i="5" s="1"/>
  <c r="G167" i="5"/>
  <c r="H167" i="5" s="1"/>
  <c r="F167" i="5"/>
  <c r="E167" i="5"/>
  <c r="D167" i="5"/>
  <c r="B167" i="5"/>
  <c r="C167" i="5" s="1"/>
  <c r="G166" i="5"/>
  <c r="H166" i="5" s="1"/>
  <c r="F166" i="5"/>
  <c r="E166" i="5"/>
  <c r="D166" i="5"/>
  <c r="B166" i="5"/>
  <c r="C166" i="5" s="1"/>
  <c r="G165" i="5"/>
  <c r="H165" i="5" s="1"/>
  <c r="F165" i="5"/>
  <c r="E165" i="5"/>
  <c r="D165" i="5"/>
  <c r="B165" i="5"/>
  <c r="C165" i="5" s="1"/>
  <c r="G164" i="5"/>
  <c r="H164" i="5" s="1"/>
  <c r="F164" i="5"/>
  <c r="E164" i="5"/>
  <c r="D164" i="5"/>
  <c r="B164" i="5"/>
  <c r="C164" i="5" s="1"/>
  <c r="G163" i="5"/>
  <c r="H163" i="5" s="1"/>
  <c r="F163" i="5"/>
  <c r="E163" i="5"/>
  <c r="D163" i="5"/>
  <c r="B163" i="5"/>
  <c r="C163" i="5" s="1"/>
  <c r="G162" i="5"/>
  <c r="H162" i="5" s="1"/>
  <c r="F162" i="5"/>
  <c r="E162" i="5"/>
  <c r="D162" i="5"/>
  <c r="B162" i="5"/>
  <c r="C162" i="5" s="1"/>
  <c r="G161" i="5"/>
  <c r="H161" i="5" s="1"/>
  <c r="F161" i="5"/>
  <c r="E161" i="5"/>
  <c r="D161" i="5"/>
  <c r="B161" i="5"/>
  <c r="C161" i="5" s="1"/>
  <c r="G160" i="5"/>
  <c r="H160" i="5" s="1"/>
  <c r="F160" i="5"/>
  <c r="E160" i="5"/>
  <c r="D160" i="5"/>
  <c r="B160" i="5"/>
  <c r="C160" i="5" s="1"/>
  <c r="G159" i="5"/>
  <c r="H159" i="5" s="1"/>
  <c r="F159" i="5"/>
  <c r="E159" i="5"/>
  <c r="D159" i="5"/>
  <c r="B159" i="5"/>
  <c r="C159" i="5" s="1"/>
  <c r="G158" i="5"/>
  <c r="H158" i="5" s="1"/>
  <c r="F158" i="5"/>
  <c r="E158" i="5"/>
  <c r="D158" i="5"/>
  <c r="B158" i="5"/>
  <c r="C158" i="5" s="1"/>
  <c r="G157" i="5"/>
  <c r="H157" i="5" s="1"/>
  <c r="F157" i="5"/>
  <c r="E157" i="5"/>
  <c r="D157" i="5"/>
  <c r="B157" i="5"/>
  <c r="C157" i="5" s="1"/>
  <c r="G156" i="5"/>
  <c r="H156" i="5" s="1"/>
  <c r="F156" i="5"/>
  <c r="E156" i="5"/>
  <c r="D156" i="5"/>
  <c r="B156" i="5"/>
  <c r="C156" i="5" s="1"/>
  <c r="G155" i="5"/>
  <c r="H155" i="5" s="1"/>
  <c r="F155" i="5"/>
  <c r="E155" i="5"/>
  <c r="D155" i="5"/>
  <c r="B155" i="5"/>
  <c r="C155" i="5" s="1"/>
  <c r="G154" i="5"/>
  <c r="H154" i="5" s="1"/>
  <c r="F154" i="5"/>
  <c r="E154" i="5"/>
  <c r="D154" i="5"/>
  <c r="B154" i="5"/>
  <c r="C154" i="5" s="1"/>
  <c r="G153" i="5"/>
  <c r="H153" i="5" s="1"/>
  <c r="F153" i="5"/>
  <c r="E153" i="5"/>
  <c r="D153" i="5"/>
  <c r="B153" i="5"/>
  <c r="C153" i="5" s="1"/>
  <c r="G152" i="5"/>
  <c r="H152" i="5" s="1"/>
  <c r="F152" i="5"/>
  <c r="E152" i="5"/>
  <c r="D152" i="5"/>
  <c r="B152" i="5"/>
  <c r="C152" i="5" s="1"/>
  <c r="G151" i="5"/>
  <c r="H151" i="5" s="1"/>
  <c r="F151" i="5"/>
  <c r="E151" i="5"/>
  <c r="D151" i="5"/>
  <c r="B151" i="5"/>
  <c r="C151" i="5" s="1"/>
  <c r="G150" i="5"/>
  <c r="H150" i="5" s="1"/>
  <c r="F150" i="5"/>
  <c r="E150" i="5"/>
  <c r="D150" i="5"/>
  <c r="B150" i="5"/>
  <c r="C150" i="5" s="1"/>
  <c r="G149" i="5"/>
  <c r="H149" i="5" s="1"/>
  <c r="F149" i="5"/>
  <c r="E149" i="5"/>
  <c r="D149" i="5"/>
  <c r="B149" i="5"/>
  <c r="C149" i="5" s="1"/>
  <c r="G148" i="5"/>
  <c r="H148" i="5" s="1"/>
  <c r="F148" i="5"/>
  <c r="E148" i="5"/>
  <c r="D148" i="5"/>
  <c r="B148" i="5"/>
  <c r="C148" i="5" s="1"/>
  <c r="G147" i="5"/>
  <c r="F147" i="5"/>
  <c r="E147" i="5"/>
  <c r="D147" i="5"/>
  <c r="B147" i="5"/>
  <c r="C147" i="5" s="1"/>
  <c r="G146" i="5"/>
  <c r="F146" i="5"/>
  <c r="E146" i="5"/>
  <c r="D146" i="5"/>
  <c r="B146" i="5"/>
  <c r="C146" i="5" s="1"/>
  <c r="G145" i="5"/>
  <c r="H145" i="5" s="1"/>
  <c r="F145" i="5"/>
  <c r="E145" i="5"/>
  <c r="D145" i="5"/>
  <c r="B145" i="5"/>
  <c r="C145" i="5" s="1"/>
  <c r="G144" i="5"/>
  <c r="H144" i="5" s="1"/>
  <c r="F144" i="5"/>
  <c r="E144" i="5"/>
  <c r="D144" i="5"/>
  <c r="B144" i="5"/>
  <c r="C144" i="5" s="1"/>
  <c r="G143" i="5"/>
  <c r="H143" i="5" s="1"/>
  <c r="F143" i="5"/>
  <c r="E143" i="5"/>
  <c r="D143" i="5"/>
  <c r="B143" i="5"/>
  <c r="C143" i="5" s="1"/>
  <c r="G142" i="5"/>
  <c r="H142" i="5" s="1"/>
  <c r="F142" i="5"/>
  <c r="E142" i="5"/>
  <c r="D142" i="5"/>
  <c r="B142" i="5"/>
  <c r="C142" i="5" s="1"/>
  <c r="G141" i="5"/>
  <c r="H141" i="5" s="1"/>
  <c r="F141" i="5"/>
  <c r="E141" i="5"/>
  <c r="D141" i="5"/>
  <c r="B141" i="5"/>
  <c r="C141" i="5" s="1"/>
  <c r="G140" i="5"/>
  <c r="H140" i="5" s="1"/>
  <c r="F140" i="5"/>
  <c r="E140" i="5"/>
  <c r="D140" i="5"/>
  <c r="B140" i="5"/>
  <c r="C140" i="5" s="1"/>
  <c r="G139" i="5"/>
  <c r="F139" i="5"/>
  <c r="E139" i="5"/>
  <c r="D139" i="5"/>
  <c r="B139" i="5"/>
  <c r="C139" i="5" s="1"/>
  <c r="G138" i="5"/>
  <c r="F138" i="5"/>
  <c r="E138" i="5"/>
  <c r="D138" i="5"/>
  <c r="B138" i="5"/>
  <c r="C138" i="5" s="1"/>
  <c r="G137" i="5"/>
  <c r="H137" i="5" s="1"/>
  <c r="F137" i="5"/>
  <c r="E137" i="5"/>
  <c r="D137" i="5"/>
  <c r="B137" i="5"/>
  <c r="C137" i="5" s="1"/>
  <c r="G136" i="5"/>
  <c r="H136" i="5" s="1"/>
  <c r="F136" i="5"/>
  <c r="E136" i="5"/>
  <c r="D136" i="5"/>
  <c r="B136" i="5"/>
  <c r="C136" i="5" s="1"/>
  <c r="G135" i="5"/>
  <c r="H135" i="5" s="1"/>
  <c r="F135" i="5"/>
  <c r="E135" i="5"/>
  <c r="D135" i="5"/>
  <c r="B135" i="5"/>
  <c r="C135" i="5" s="1"/>
  <c r="G134" i="5"/>
  <c r="H134" i="5" s="1"/>
  <c r="F134" i="5"/>
  <c r="E134" i="5"/>
  <c r="D134" i="5"/>
  <c r="B134" i="5"/>
  <c r="C134" i="5" s="1"/>
  <c r="G133" i="5"/>
  <c r="H133" i="5" s="1"/>
  <c r="F133" i="5"/>
  <c r="E133" i="5"/>
  <c r="D133" i="5"/>
  <c r="B133" i="5"/>
  <c r="C133" i="5" s="1"/>
  <c r="G132" i="5"/>
  <c r="H132" i="5" s="1"/>
  <c r="F132" i="5"/>
  <c r="E132" i="5"/>
  <c r="D132" i="5"/>
  <c r="B132" i="5"/>
  <c r="C132" i="5" s="1"/>
  <c r="G131" i="5"/>
  <c r="H131" i="5" s="1"/>
  <c r="F131" i="5"/>
  <c r="E131" i="5"/>
  <c r="D131" i="5"/>
  <c r="B131" i="5"/>
  <c r="C131" i="5" s="1"/>
  <c r="G130" i="5"/>
  <c r="F130" i="5"/>
  <c r="E130" i="5"/>
  <c r="D130" i="5"/>
  <c r="B130" i="5"/>
  <c r="C130" i="5" s="1"/>
  <c r="G129" i="5"/>
  <c r="F129" i="5"/>
  <c r="E129" i="5"/>
  <c r="D129" i="5"/>
  <c r="B129" i="5"/>
  <c r="C129" i="5" s="1"/>
  <c r="G128" i="5"/>
  <c r="F128" i="5"/>
  <c r="E128" i="5"/>
  <c r="D128" i="5"/>
  <c r="B128" i="5"/>
  <c r="C128" i="5" s="1"/>
  <c r="G127" i="5"/>
  <c r="F127" i="5"/>
  <c r="E127" i="5"/>
  <c r="D127" i="5"/>
  <c r="B127" i="5"/>
  <c r="C127" i="5" s="1"/>
  <c r="G126" i="5"/>
  <c r="F126" i="5"/>
  <c r="E126" i="5"/>
  <c r="D126" i="5"/>
  <c r="B126" i="5"/>
  <c r="C126" i="5" s="1"/>
  <c r="G125" i="5"/>
  <c r="F125" i="5"/>
  <c r="E125" i="5"/>
  <c r="D125" i="5"/>
  <c r="B125" i="5"/>
  <c r="C125" i="5" s="1"/>
  <c r="G124" i="5"/>
  <c r="F124" i="5"/>
  <c r="E124" i="5"/>
  <c r="D124" i="5"/>
  <c r="B124" i="5"/>
  <c r="C124" i="5" s="1"/>
  <c r="G123" i="5"/>
  <c r="F123" i="5"/>
  <c r="E123" i="5"/>
  <c r="D123" i="5"/>
  <c r="B123" i="5"/>
  <c r="C123" i="5" s="1"/>
  <c r="G122" i="5"/>
  <c r="F122" i="5"/>
  <c r="E122" i="5"/>
  <c r="D122" i="5"/>
  <c r="B122" i="5"/>
  <c r="C122" i="5" s="1"/>
  <c r="G121" i="5"/>
  <c r="F121" i="5"/>
  <c r="E121" i="5"/>
  <c r="D121" i="5"/>
  <c r="B121" i="5"/>
  <c r="C121" i="5" s="1"/>
  <c r="G120" i="5"/>
  <c r="F120" i="5"/>
  <c r="E120" i="5"/>
  <c r="D120" i="5"/>
  <c r="B120" i="5"/>
  <c r="C120" i="5" s="1"/>
  <c r="G119" i="5"/>
  <c r="F119" i="5"/>
  <c r="E119" i="5"/>
  <c r="D119" i="5"/>
  <c r="B119" i="5"/>
  <c r="C119" i="5" s="1"/>
  <c r="G118" i="5"/>
  <c r="F118" i="5"/>
  <c r="E118" i="5"/>
  <c r="D118" i="5"/>
  <c r="B118" i="5"/>
  <c r="C118" i="5" s="1"/>
  <c r="G117" i="5"/>
  <c r="F117" i="5"/>
  <c r="E117" i="5"/>
  <c r="D117" i="5"/>
  <c r="B117" i="5"/>
  <c r="C117" i="5" s="1"/>
  <c r="G116" i="5"/>
  <c r="F116" i="5"/>
  <c r="E116" i="5"/>
  <c r="D116" i="5"/>
  <c r="B116" i="5"/>
  <c r="C116" i="5" s="1"/>
  <c r="G115" i="5"/>
  <c r="F115" i="5"/>
  <c r="E115" i="5"/>
  <c r="D115" i="5"/>
  <c r="B115" i="5"/>
  <c r="C115" i="5" s="1"/>
  <c r="G114" i="5"/>
  <c r="F114" i="5"/>
  <c r="E114" i="5"/>
  <c r="D114" i="5"/>
  <c r="B114" i="5"/>
  <c r="C114" i="5" s="1"/>
  <c r="G113" i="5"/>
  <c r="F113" i="5"/>
  <c r="E113" i="5"/>
  <c r="D113" i="5"/>
  <c r="B113" i="5"/>
  <c r="C113" i="5" s="1"/>
  <c r="G112" i="5"/>
  <c r="F112" i="5"/>
  <c r="E112" i="5"/>
  <c r="D112" i="5"/>
  <c r="B112" i="5"/>
  <c r="C112" i="5" s="1"/>
  <c r="G111" i="5"/>
  <c r="F111" i="5"/>
  <c r="E111" i="5"/>
  <c r="D111" i="5"/>
  <c r="B111" i="5"/>
  <c r="C111" i="5" s="1"/>
  <c r="G110" i="5"/>
  <c r="F110" i="5"/>
  <c r="E110" i="5"/>
  <c r="D110" i="5"/>
  <c r="B110" i="5"/>
  <c r="C110" i="5" s="1"/>
  <c r="G109" i="5"/>
  <c r="F109" i="5"/>
  <c r="E109" i="5"/>
  <c r="D109" i="5"/>
  <c r="B109" i="5"/>
  <c r="C109" i="5" s="1"/>
  <c r="G108" i="5"/>
  <c r="F108" i="5"/>
  <c r="E108" i="5"/>
  <c r="D108" i="5"/>
  <c r="B108" i="5"/>
  <c r="C108" i="5" s="1"/>
  <c r="G107" i="5"/>
  <c r="F107" i="5"/>
  <c r="E107" i="5"/>
  <c r="D107" i="5"/>
  <c r="B107" i="5"/>
  <c r="C107" i="5" s="1"/>
  <c r="G106" i="5"/>
  <c r="F106" i="5"/>
  <c r="E106" i="5"/>
  <c r="D106" i="5"/>
  <c r="B106" i="5"/>
  <c r="C106" i="5" s="1"/>
  <c r="G105" i="5"/>
  <c r="F105" i="5"/>
  <c r="E105" i="5"/>
  <c r="D105" i="5"/>
  <c r="B105" i="5"/>
  <c r="C105" i="5" s="1"/>
  <c r="G104" i="5"/>
  <c r="F104" i="5"/>
  <c r="E104" i="5"/>
  <c r="D104" i="5"/>
  <c r="B104" i="5"/>
  <c r="C104" i="5" s="1"/>
  <c r="G103" i="5"/>
  <c r="F103" i="5"/>
  <c r="E103" i="5"/>
  <c r="D103" i="5"/>
  <c r="B103" i="5"/>
  <c r="C103" i="5" s="1"/>
  <c r="G102" i="5"/>
  <c r="F102" i="5"/>
  <c r="E102" i="5"/>
  <c r="D102" i="5"/>
  <c r="B102" i="5"/>
  <c r="C102" i="5" s="1"/>
  <c r="G101" i="5"/>
  <c r="F101" i="5"/>
  <c r="E101" i="5"/>
  <c r="D101" i="5"/>
  <c r="B101" i="5"/>
  <c r="C101" i="5" s="1"/>
  <c r="G100" i="5"/>
  <c r="F100" i="5"/>
  <c r="E100" i="5"/>
  <c r="D100" i="5"/>
  <c r="B100" i="5"/>
  <c r="C100" i="5" s="1"/>
  <c r="G99" i="5"/>
  <c r="F99" i="5"/>
  <c r="E99" i="5"/>
  <c r="D99" i="5"/>
  <c r="B99" i="5"/>
  <c r="C99" i="5" s="1"/>
  <c r="G98" i="5"/>
  <c r="F98" i="5"/>
  <c r="E98" i="5"/>
  <c r="D98" i="5"/>
  <c r="B98" i="5"/>
  <c r="C98" i="5" s="1"/>
  <c r="G97" i="5"/>
  <c r="F97" i="5"/>
  <c r="E97" i="5"/>
  <c r="D97" i="5"/>
  <c r="B97" i="5"/>
  <c r="C97" i="5" s="1"/>
  <c r="G96" i="5"/>
  <c r="F96" i="5"/>
  <c r="E96" i="5"/>
  <c r="D96" i="5"/>
  <c r="B96" i="5"/>
  <c r="C96" i="5" s="1"/>
  <c r="G95" i="5"/>
  <c r="F95" i="5"/>
  <c r="E95" i="5"/>
  <c r="D95" i="5"/>
  <c r="B95" i="5"/>
  <c r="C95" i="5" s="1"/>
  <c r="G94" i="5"/>
  <c r="F94" i="5"/>
  <c r="E94" i="5"/>
  <c r="D94" i="5"/>
  <c r="B94" i="5"/>
  <c r="C94" i="5" s="1"/>
  <c r="G93" i="5"/>
  <c r="F93" i="5"/>
  <c r="E93" i="5"/>
  <c r="D93" i="5"/>
  <c r="B93" i="5"/>
  <c r="C93" i="5" s="1"/>
  <c r="G92" i="5"/>
  <c r="F92" i="5"/>
  <c r="E92" i="5"/>
  <c r="D92" i="5"/>
  <c r="B92" i="5"/>
  <c r="C92" i="5" s="1"/>
  <c r="G91" i="5"/>
  <c r="F91" i="5"/>
  <c r="E91" i="5"/>
  <c r="D91" i="5"/>
  <c r="B91" i="5"/>
  <c r="C91" i="5" s="1"/>
  <c r="G90" i="5"/>
  <c r="F90" i="5"/>
  <c r="E90" i="5"/>
  <c r="D90" i="5"/>
  <c r="B90" i="5"/>
  <c r="C90" i="5" s="1"/>
  <c r="G89" i="5"/>
  <c r="F89" i="5"/>
  <c r="E89" i="5"/>
  <c r="D89" i="5"/>
  <c r="B89" i="5"/>
  <c r="C89" i="5" s="1"/>
  <c r="G88" i="5"/>
  <c r="F88" i="5"/>
  <c r="E88" i="5"/>
  <c r="D88" i="5"/>
  <c r="B88" i="5"/>
  <c r="C88" i="5" s="1"/>
  <c r="G87" i="5"/>
  <c r="F87" i="5"/>
  <c r="E87" i="5"/>
  <c r="D87" i="5"/>
  <c r="B87" i="5"/>
  <c r="C87" i="5" s="1"/>
  <c r="G86" i="5"/>
  <c r="F86" i="5"/>
  <c r="E86" i="5"/>
  <c r="D86" i="5"/>
  <c r="B86" i="5"/>
  <c r="C86" i="5" s="1"/>
  <c r="G85" i="5"/>
  <c r="F85" i="5"/>
  <c r="E85" i="5"/>
  <c r="D85" i="5"/>
  <c r="B85" i="5"/>
  <c r="C85" i="5" s="1"/>
  <c r="G84" i="5"/>
  <c r="F84" i="5"/>
  <c r="E84" i="5"/>
  <c r="D84" i="5"/>
  <c r="B84" i="5"/>
  <c r="C84" i="5" s="1"/>
  <c r="G83" i="5"/>
  <c r="F83" i="5"/>
  <c r="E83" i="5"/>
  <c r="D83" i="5"/>
  <c r="B83" i="5"/>
  <c r="C83" i="5" s="1"/>
  <c r="G82" i="5"/>
  <c r="F82" i="5"/>
  <c r="E82" i="5"/>
  <c r="D82" i="5"/>
  <c r="B82" i="5"/>
  <c r="C82" i="5" s="1"/>
  <c r="G81" i="5"/>
  <c r="F81" i="5"/>
  <c r="E81" i="5"/>
  <c r="D81" i="5"/>
  <c r="B81" i="5"/>
  <c r="C81" i="5" s="1"/>
  <c r="G80" i="5"/>
  <c r="F80" i="5"/>
  <c r="E80" i="5"/>
  <c r="D80" i="5"/>
  <c r="B80" i="5"/>
  <c r="C80" i="5" s="1"/>
  <c r="G79" i="5"/>
  <c r="F79" i="5"/>
  <c r="E79" i="5"/>
  <c r="D79" i="5"/>
  <c r="B79" i="5"/>
  <c r="C79" i="5" s="1"/>
  <c r="G78" i="5"/>
  <c r="F78" i="5"/>
  <c r="E78" i="5"/>
  <c r="D78" i="5"/>
  <c r="B78" i="5"/>
  <c r="C78" i="5" s="1"/>
  <c r="G77" i="5"/>
  <c r="F77" i="5"/>
  <c r="E77" i="5"/>
  <c r="D77" i="5"/>
  <c r="B77" i="5"/>
  <c r="C77" i="5" s="1"/>
  <c r="G76" i="5"/>
  <c r="F76" i="5"/>
  <c r="E76" i="5"/>
  <c r="D76" i="5"/>
  <c r="B76" i="5"/>
  <c r="C76" i="5" s="1"/>
  <c r="G75" i="5"/>
  <c r="F75" i="5"/>
  <c r="E75" i="5"/>
  <c r="D75" i="5"/>
  <c r="B75" i="5"/>
  <c r="C75" i="5" s="1"/>
  <c r="G74" i="5"/>
  <c r="F74" i="5"/>
  <c r="E74" i="5"/>
  <c r="D74" i="5"/>
  <c r="B74" i="5"/>
  <c r="C74" i="5" s="1"/>
  <c r="G73" i="5"/>
  <c r="F73" i="5"/>
  <c r="E73" i="5"/>
  <c r="D73" i="5"/>
  <c r="B73" i="5"/>
  <c r="C73" i="5" s="1"/>
  <c r="G72" i="5"/>
  <c r="F72" i="5"/>
  <c r="E72" i="5"/>
  <c r="D72" i="5"/>
  <c r="B72" i="5"/>
  <c r="C72" i="5" s="1"/>
  <c r="G71" i="5"/>
  <c r="F71" i="5"/>
  <c r="E71" i="5"/>
  <c r="D71" i="5"/>
  <c r="B71" i="5"/>
  <c r="C71" i="5" s="1"/>
  <c r="G70" i="5"/>
  <c r="F70" i="5"/>
  <c r="E70" i="5"/>
  <c r="D70" i="5"/>
  <c r="B70" i="5"/>
  <c r="C70" i="5" s="1"/>
  <c r="G69" i="5"/>
  <c r="F69" i="5"/>
  <c r="E69" i="5"/>
  <c r="D69" i="5"/>
  <c r="B69" i="5"/>
  <c r="C69" i="5" s="1"/>
  <c r="G68" i="5"/>
  <c r="F68" i="5"/>
  <c r="E68" i="5"/>
  <c r="D68" i="5"/>
  <c r="B68" i="5"/>
  <c r="C68" i="5" s="1"/>
  <c r="G67" i="5"/>
  <c r="F67" i="5"/>
  <c r="E67" i="5"/>
  <c r="D67" i="5"/>
  <c r="B67" i="5"/>
  <c r="C67" i="5" s="1"/>
  <c r="G66" i="5"/>
  <c r="F66" i="5"/>
  <c r="E66" i="5"/>
  <c r="D66" i="5"/>
  <c r="B66" i="5"/>
  <c r="C66" i="5" s="1"/>
  <c r="G65" i="5"/>
  <c r="F65" i="5"/>
  <c r="E65" i="5"/>
  <c r="D65" i="5"/>
  <c r="B65" i="5"/>
  <c r="C65" i="5" s="1"/>
  <c r="G64" i="5"/>
  <c r="F64" i="5"/>
  <c r="E64" i="5"/>
  <c r="D64" i="5"/>
  <c r="B64" i="5"/>
  <c r="C64" i="5" s="1"/>
  <c r="G63" i="5"/>
  <c r="F63" i="5"/>
  <c r="E63" i="5"/>
  <c r="D63" i="5"/>
  <c r="B63" i="5"/>
  <c r="C63" i="5" s="1"/>
  <c r="G62" i="5"/>
  <c r="F62" i="5"/>
  <c r="E62" i="5"/>
  <c r="D62" i="5"/>
  <c r="B62" i="5"/>
  <c r="C62" i="5" s="1"/>
  <c r="G61" i="5"/>
  <c r="F61" i="5"/>
  <c r="E61" i="5"/>
  <c r="D61" i="5"/>
  <c r="B61" i="5"/>
  <c r="C61" i="5" s="1"/>
  <c r="G60" i="5"/>
  <c r="F60" i="5"/>
  <c r="E60" i="5"/>
  <c r="D60" i="5"/>
  <c r="B60" i="5"/>
  <c r="C60" i="5" s="1"/>
  <c r="G59" i="5"/>
  <c r="F59" i="5"/>
  <c r="E59" i="5"/>
  <c r="D59" i="5"/>
  <c r="B59" i="5"/>
  <c r="C59" i="5" s="1"/>
  <c r="G58" i="5"/>
  <c r="F58" i="5"/>
  <c r="E58" i="5"/>
  <c r="D58" i="5"/>
  <c r="B58" i="5"/>
  <c r="C58" i="5" s="1"/>
  <c r="G57" i="5"/>
  <c r="F57" i="5"/>
  <c r="E57" i="5"/>
  <c r="D57" i="5"/>
  <c r="B57" i="5"/>
  <c r="C57" i="5" s="1"/>
  <c r="G56" i="5"/>
  <c r="F56" i="5"/>
  <c r="E56" i="5"/>
  <c r="D56" i="5"/>
  <c r="B56" i="5"/>
  <c r="C56" i="5" s="1"/>
  <c r="G55" i="5"/>
  <c r="F55" i="5"/>
  <c r="E55" i="5"/>
  <c r="D55" i="5"/>
  <c r="B55" i="5"/>
  <c r="C55" i="5" s="1"/>
  <c r="G54" i="5"/>
  <c r="F54" i="5"/>
  <c r="E54" i="5"/>
  <c r="D54" i="5"/>
  <c r="B54" i="5"/>
  <c r="C54" i="5" s="1"/>
  <c r="G53" i="5"/>
  <c r="F53" i="5"/>
  <c r="E53" i="5"/>
  <c r="D53" i="5"/>
  <c r="B53" i="5"/>
  <c r="C53" i="5" s="1"/>
  <c r="G52" i="5"/>
  <c r="F52" i="5"/>
  <c r="E52" i="5"/>
  <c r="D52" i="5"/>
  <c r="B52" i="5"/>
  <c r="C52" i="5" s="1"/>
  <c r="G51" i="5"/>
  <c r="F51" i="5"/>
  <c r="E51" i="5"/>
  <c r="D51" i="5"/>
  <c r="B51" i="5"/>
  <c r="C51" i="5" s="1"/>
  <c r="G50" i="5"/>
  <c r="F50" i="5"/>
  <c r="E50" i="5"/>
  <c r="D50" i="5"/>
  <c r="B50" i="5"/>
  <c r="C50" i="5" s="1"/>
  <c r="G49" i="5"/>
  <c r="F49" i="5"/>
  <c r="E49" i="5"/>
  <c r="D49" i="5"/>
  <c r="B49" i="5"/>
  <c r="C49" i="5" s="1"/>
  <c r="G48" i="5"/>
  <c r="F48" i="5"/>
  <c r="E48" i="5"/>
  <c r="D48" i="5"/>
  <c r="B48" i="5"/>
  <c r="C48" i="5" s="1"/>
  <c r="G47" i="5"/>
  <c r="F47" i="5"/>
  <c r="E47" i="5"/>
  <c r="D47" i="5"/>
  <c r="B47" i="5"/>
  <c r="C47" i="5" s="1"/>
  <c r="G46" i="5"/>
  <c r="F46" i="5"/>
  <c r="E46" i="5"/>
  <c r="D46" i="5"/>
  <c r="B46" i="5"/>
  <c r="C46" i="5" s="1"/>
  <c r="G45" i="5"/>
  <c r="F45" i="5"/>
  <c r="E45" i="5"/>
  <c r="D45" i="5"/>
  <c r="B45" i="5"/>
  <c r="C45" i="5" s="1"/>
  <c r="G44" i="5"/>
  <c r="F44" i="5"/>
  <c r="E44" i="5"/>
  <c r="D44" i="5"/>
  <c r="B44" i="5"/>
  <c r="C44" i="5" s="1"/>
  <c r="G43" i="5"/>
  <c r="F43" i="5"/>
  <c r="E43" i="5"/>
  <c r="D43" i="5"/>
  <c r="B43" i="5"/>
  <c r="C43" i="5" s="1"/>
  <c r="G42" i="5"/>
  <c r="F42" i="5"/>
  <c r="E42" i="5"/>
  <c r="D42" i="5"/>
  <c r="B42" i="5"/>
  <c r="C42" i="5" s="1"/>
  <c r="G41" i="5"/>
  <c r="F41" i="5"/>
  <c r="E41" i="5"/>
  <c r="D41" i="5"/>
  <c r="B41" i="5"/>
  <c r="C41" i="5" s="1"/>
  <c r="G40" i="5"/>
  <c r="F40" i="5"/>
  <c r="E40" i="5"/>
  <c r="D40" i="5"/>
  <c r="B40" i="5"/>
  <c r="C40" i="5" s="1"/>
  <c r="G39" i="5"/>
  <c r="F39" i="5"/>
  <c r="E39" i="5"/>
  <c r="D39" i="5"/>
  <c r="B39" i="5"/>
  <c r="C39" i="5" s="1"/>
  <c r="G38" i="5"/>
  <c r="F38" i="5"/>
  <c r="E38" i="5"/>
  <c r="D38" i="5"/>
  <c r="B38" i="5"/>
  <c r="C38" i="5" s="1"/>
  <c r="G37" i="5"/>
  <c r="F37" i="5"/>
  <c r="E37" i="5"/>
  <c r="D37" i="5"/>
  <c r="B37" i="5"/>
  <c r="C37" i="5" s="1"/>
  <c r="G36" i="5"/>
  <c r="F36" i="5"/>
  <c r="E36" i="5"/>
  <c r="D36" i="5"/>
  <c r="B36" i="5"/>
  <c r="C36" i="5" s="1"/>
  <c r="G35" i="5"/>
  <c r="F35" i="5"/>
  <c r="E35" i="5"/>
  <c r="D35" i="5"/>
  <c r="B35" i="5"/>
  <c r="C35" i="5" s="1"/>
  <c r="G34" i="5"/>
  <c r="H34" i="5" s="1"/>
  <c r="F34" i="5"/>
  <c r="E34" i="5"/>
  <c r="D34" i="5"/>
  <c r="B34" i="5"/>
  <c r="C34" i="5" s="1"/>
  <c r="G33" i="5"/>
  <c r="H33" i="5" s="1"/>
  <c r="F33" i="5"/>
  <c r="E33" i="5"/>
  <c r="D33" i="5"/>
  <c r="B33" i="5"/>
  <c r="C33" i="5" s="1"/>
  <c r="G32" i="5"/>
  <c r="F32" i="5"/>
  <c r="E32" i="5"/>
  <c r="D32" i="5"/>
  <c r="B32" i="5"/>
  <c r="C32" i="5" s="1"/>
  <c r="G31" i="5"/>
  <c r="F31" i="5"/>
  <c r="E31" i="5"/>
  <c r="D31" i="5"/>
  <c r="B31" i="5"/>
  <c r="C31" i="5" s="1"/>
  <c r="G30" i="5"/>
  <c r="H30" i="5" s="1"/>
  <c r="F30" i="5"/>
  <c r="E30" i="5"/>
  <c r="D30" i="5"/>
  <c r="B30" i="5"/>
  <c r="C30" i="5" s="1"/>
  <c r="G29" i="5"/>
  <c r="H29" i="5" s="1"/>
  <c r="F29" i="5"/>
  <c r="E29" i="5"/>
  <c r="D29" i="5"/>
  <c r="B29" i="5"/>
  <c r="C29" i="5" s="1"/>
  <c r="G28" i="5"/>
  <c r="H28" i="5" s="1"/>
  <c r="F28" i="5"/>
  <c r="E28" i="5"/>
  <c r="D28" i="5"/>
  <c r="B28" i="5"/>
  <c r="C28" i="5" s="1"/>
  <c r="G27" i="5"/>
  <c r="F27" i="5"/>
  <c r="E27" i="5"/>
  <c r="D27" i="5"/>
  <c r="B27" i="5"/>
  <c r="C27" i="5" s="1"/>
  <c r="G26" i="5"/>
  <c r="F26" i="5"/>
  <c r="E26" i="5"/>
  <c r="D26" i="5"/>
  <c r="B26" i="5"/>
  <c r="C26" i="5" s="1"/>
  <c r="G25" i="5"/>
  <c r="H25" i="5" s="1"/>
  <c r="F25" i="5"/>
  <c r="E25" i="5"/>
  <c r="D25" i="5"/>
  <c r="B25" i="5"/>
  <c r="C25" i="5" s="1"/>
  <c r="G24" i="5"/>
  <c r="F24" i="5"/>
  <c r="E24" i="5"/>
  <c r="D24" i="5"/>
  <c r="B24" i="5"/>
  <c r="C24" i="5" s="1"/>
  <c r="G23" i="5"/>
  <c r="H23" i="5" s="1"/>
  <c r="F23" i="5"/>
  <c r="E23" i="5"/>
  <c r="D23" i="5"/>
  <c r="B23" i="5"/>
  <c r="C23" i="5" s="1"/>
  <c r="G22" i="5"/>
  <c r="H22" i="5" s="1"/>
  <c r="F22" i="5"/>
  <c r="E22" i="5"/>
  <c r="D22" i="5"/>
  <c r="B22" i="5"/>
  <c r="C22" i="5" s="1"/>
  <c r="G21" i="5"/>
  <c r="H21" i="5" s="1"/>
  <c r="F21" i="5"/>
  <c r="E21" i="5"/>
  <c r="D21" i="5"/>
  <c r="B21" i="5"/>
  <c r="C21" i="5" s="1"/>
  <c r="G20" i="5"/>
  <c r="F20" i="5"/>
  <c r="E20" i="5"/>
  <c r="D20" i="5"/>
  <c r="B20" i="5"/>
  <c r="C20" i="5" s="1"/>
  <c r="G19" i="5"/>
  <c r="H19" i="5" s="1"/>
  <c r="F19" i="5"/>
  <c r="E19" i="5"/>
  <c r="D19" i="5"/>
  <c r="B19" i="5"/>
  <c r="C19" i="5" s="1"/>
  <c r="G18" i="5"/>
  <c r="F18" i="5"/>
  <c r="E18" i="5"/>
  <c r="D18" i="5"/>
  <c r="B18" i="5"/>
  <c r="C18" i="5" s="1"/>
  <c r="G17" i="5"/>
  <c r="H17" i="5" s="1"/>
  <c r="F17" i="5"/>
  <c r="E17" i="5"/>
  <c r="D17" i="5"/>
  <c r="B17" i="5"/>
  <c r="C17" i="5" s="1"/>
  <c r="G16" i="5"/>
  <c r="H16" i="5" s="1"/>
  <c r="F16" i="5"/>
  <c r="E16" i="5"/>
  <c r="D16" i="5"/>
  <c r="B16" i="5"/>
  <c r="C16" i="5" s="1"/>
  <c r="G15" i="5"/>
  <c r="H15" i="5" s="1"/>
  <c r="F15" i="5"/>
  <c r="E15" i="5"/>
  <c r="D15" i="5"/>
  <c r="B15" i="5"/>
  <c r="C15" i="5" s="1"/>
  <c r="G14" i="5"/>
  <c r="H14" i="5" s="1"/>
  <c r="F14" i="5"/>
  <c r="E14" i="5"/>
  <c r="D14" i="5"/>
  <c r="B14" i="5"/>
  <c r="C14" i="5" s="1"/>
  <c r="G13" i="5"/>
  <c r="H13" i="5" s="1"/>
  <c r="F13" i="5"/>
  <c r="E13" i="5"/>
  <c r="D13" i="5"/>
  <c r="B13" i="5"/>
  <c r="C13" i="5" s="1"/>
  <c r="G12" i="5"/>
  <c r="H12" i="5" s="1"/>
  <c r="F12" i="5"/>
  <c r="E12" i="5"/>
  <c r="D12" i="5"/>
  <c r="B12" i="5"/>
  <c r="C12" i="5" s="1"/>
  <c r="G11" i="5"/>
  <c r="H11" i="5" s="1"/>
  <c r="F11" i="5"/>
  <c r="E11" i="5"/>
  <c r="D11" i="5"/>
  <c r="B11" i="5"/>
  <c r="C11" i="5" s="1"/>
  <c r="G10" i="5"/>
  <c r="F10" i="5"/>
  <c r="E10" i="5"/>
  <c r="D10" i="5"/>
  <c r="B10" i="5"/>
  <c r="C10" i="5" s="1"/>
  <c r="G9" i="5"/>
  <c r="H9" i="5" s="1"/>
  <c r="F9" i="5"/>
  <c r="E9" i="5"/>
  <c r="D9" i="5"/>
  <c r="B9" i="5"/>
  <c r="C9" i="5" s="1"/>
  <c r="G8" i="5"/>
  <c r="F8" i="5"/>
  <c r="E8" i="5"/>
  <c r="D8" i="5"/>
  <c r="B8" i="5"/>
  <c r="C8" i="5" s="1"/>
  <c r="G7" i="5"/>
  <c r="H7" i="5" s="1"/>
  <c r="F7" i="5"/>
  <c r="E7" i="5"/>
  <c r="D7" i="5"/>
  <c r="B7" i="5"/>
  <c r="C7" i="5" s="1"/>
  <c r="G6" i="5"/>
  <c r="H6" i="5" s="1"/>
  <c r="F6" i="5"/>
  <c r="E6" i="5"/>
  <c r="D6" i="5"/>
  <c r="B6" i="5"/>
  <c r="C6" i="5" s="1"/>
  <c r="G5" i="5"/>
  <c r="H5" i="5" s="1"/>
  <c r="F5" i="5"/>
  <c r="E5" i="5"/>
  <c r="D5" i="5"/>
  <c r="B5" i="5"/>
  <c r="C5" i="5" s="1"/>
  <c r="G4" i="5"/>
  <c r="H4" i="5" s="1"/>
  <c r="F4" i="5"/>
  <c r="E4" i="5"/>
  <c r="D4" i="5"/>
  <c r="B4" i="5"/>
  <c r="C4" i="5" s="1"/>
  <c r="G3" i="5"/>
  <c r="F3" i="5"/>
  <c r="E3" i="5"/>
  <c r="D3" i="5"/>
  <c r="B3" i="5"/>
  <c r="C3" i="5" s="1"/>
  <c r="D34" i="4"/>
  <c r="D33" i="4"/>
  <c r="D32" i="4"/>
  <c r="D13" i="4"/>
  <c r="D11" i="4"/>
  <c r="D9" i="4"/>
  <c r="D25" i="4" s="1"/>
  <c r="D4" i="4"/>
  <c r="O24" i="8"/>
  <c r="M24" i="8"/>
  <c r="K24" i="8"/>
  <c r="F23" i="8"/>
  <c r="R23" i="8" s="1"/>
  <c r="F22" i="8"/>
  <c r="G22" i="8" s="1"/>
  <c r="F21" i="8"/>
  <c r="Q21" i="8" s="1"/>
  <c r="F20" i="8"/>
  <c r="G20" i="8" s="1"/>
  <c r="H20" i="8" s="1"/>
  <c r="F19" i="8"/>
  <c r="Q19" i="8" s="1"/>
  <c r="F18" i="8"/>
  <c r="Q18" i="8" s="1"/>
  <c r="J17" i="8"/>
  <c r="I17" i="8"/>
  <c r="F17" i="8" s="1"/>
  <c r="G11" i="8"/>
  <c r="G10" i="8"/>
  <c r="G12" i="8" s="1"/>
  <c r="G20" i="7"/>
  <c r="H20" i="7" s="1"/>
  <c r="G19" i="7"/>
  <c r="H19" i="7" s="1"/>
  <c r="G18" i="7"/>
  <c r="H18" i="7" s="1"/>
  <c r="G13" i="7"/>
  <c r="G12" i="7"/>
  <c r="A284" i="5" l="1"/>
  <c r="A198" i="5"/>
  <c r="A32" i="5"/>
  <c r="A34" i="5"/>
  <c r="A38" i="5"/>
  <c r="A40" i="5"/>
  <c r="A44" i="5"/>
  <c r="A46" i="5"/>
  <c r="A64" i="5"/>
  <c r="A74" i="5"/>
  <c r="A78" i="5"/>
  <c r="A80" i="5"/>
  <c r="A168" i="5"/>
  <c r="A180" i="5"/>
  <c r="A192" i="5"/>
  <c r="A200" i="5"/>
  <c r="A202" i="5"/>
  <c r="A208" i="5"/>
  <c r="A210" i="5"/>
  <c r="A216" i="5"/>
  <c r="A224" i="5"/>
  <c r="A240" i="5"/>
  <c r="A246" i="5"/>
  <c r="A258" i="5"/>
  <c r="A260" i="5"/>
  <c r="A268" i="5"/>
  <c r="A272" i="5"/>
  <c r="A276" i="5"/>
  <c r="A280" i="5"/>
  <c r="A288" i="5"/>
  <c r="A290" i="5"/>
  <c r="A294" i="5"/>
  <c r="A300" i="5"/>
  <c r="A83" i="5"/>
  <c r="A91" i="5"/>
  <c r="A95" i="5"/>
  <c r="A97" i="5"/>
  <c r="A99" i="5"/>
  <c r="A109" i="5"/>
  <c r="A113" i="5"/>
  <c r="A119" i="5"/>
  <c r="A125" i="5"/>
  <c r="A129" i="5"/>
  <c r="A137" i="5"/>
  <c r="A266" i="5"/>
  <c r="A282" i="5"/>
  <c r="H294" i="5"/>
  <c r="A274" i="5"/>
  <c r="A270" i="5"/>
  <c r="A278" i="5"/>
  <c r="H290" i="5"/>
  <c r="A48" i="5"/>
  <c r="A123" i="5"/>
  <c r="A214" i="5"/>
  <c r="G18" i="8"/>
  <c r="H18" i="8" s="1"/>
  <c r="A221" i="5"/>
  <c r="G23" i="8"/>
  <c r="H23" i="8" s="1"/>
  <c r="A67" i="5"/>
  <c r="A112" i="5"/>
  <c r="A118" i="5"/>
  <c r="A136" i="5"/>
  <c r="A225" i="5"/>
  <c r="A299" i="5"/>
  <c r="A75" i="5"/>
  <c r="A86" i="5"/>
  <c r="A189" i="5"/>
  <c r="Q17" i="8"/>
  <c r="G17" i="8"/>
  <c r="H17" i="8" s="1"/>
  <c r="R17" i="8"/>
  <c r="A273" i="5"/>
  <c r="R20" i="8"/>
  <c r="H22" i="8"/>
  <c r="A177" i="5"/>
  <c r="A163" i="5"/>
  <c r="D24" i="4"/>
  <c r="D20" i="4" s="1"/>
  <c r="Q23" i="8"/>
  <c r="D15" i="4"/>
  <c r="D17" i="4" s="1"/>
  <c r="A148" i="5"/>
  <c r="R22" i="8"/>
  <c r="I24" i="8"/>
  <c r="Q22" i="8"/>
  <c r="A217" i="5"/>
  <c r="A219" i="5"/>
  <c r="A227" i="5"/>
  <c r="A229" i="5"/>
  <c r="A247" i="5"/>
  <c r="A255" i="5"/>
  <c r="A263" i="5"/>
  <c r="A267" i="5"/>
  <c r="A271" i="5"/>
  <c r="A275" i="5"/>
  <c r="A279" i="5"/>
  <c r="A283" i="5"/>
  <c r="A287" i="5"/>
  <c r="A291" i="5"/>
  <c r="R18" i="8"/>
  <c r="A135" i="5"/>
  <c r="A142" i="5"/>
  <c r="A297" i="5"/>
  <c r="A289" i="5"/>
  <c r="A194" i="5"/>
  <c r="A281" i="5"/>
  <c r="A190" i="5"/>
  <c r="A21" i="5"/>
  <c r="A57" i="5"/>
  <c r="A152" i="5"/>
  <c r="A159" i="5"/>
  <c r="A250" i="5"/>
  <c r="A254" i="5"/>
  <c r="A182" i="5"/>
  <c r="A72" i="5"/>
  <c r="A114" i="5"/>
  <c r="A162" i="5"/>
  <c r="A171" i="5"/>
  <c r="A141" i="5"/>
  <c r="A28" i="5"/>
  <c r="A73" i="5"/>
  <c r="A85" i="5"/>
  <c r="A87" i="5"/>
  <c r="A93" i="5"/>
  <c r="A206" i="5"/>
  <c r="A256" i="5"/>
  <c r="A84" i="5"/>
  <c r="A88" i="5"/>
  <c r="A104" i="5"/>
  <c r="A106" i="5"/>
  <c r="A150" i="5"/>
  <c r="A153" i="5"/>
  <c r="A183" i="5"/>
  <c r="A199" i="5"/>
  <c r="A203" i="5"/>
  <c r="A211" i="5"/>
  <c r="A218" i="5"/>
  <c r="A220" i="5"/>
  <c r="A230" i="5"/>
  <c r="A235" i="5"/>
  <c r="A257" i="5"/>
  <c r="A261" i="5"/>
  <c r="A293" i="5"/>
  <c r="A173" i="5"/>
  <c r="A167" i="5"/>
  <c r="A164" i="5"/>
  <c r="A193" i="5"/>
  <c r="A154" i="5"/>
  <c r="A16" i="5"/>
  <c r="A55" i="5"/>
  <c r="A71" i="5"/>
  <c r="A139" i="5"/>
  <c r="A285" i="5"/>
  <c r="A277" i="5"/>
  <c r="A269" i="5"/>
  <c r="A259" i="5"/>
  <c r="A149" i="5"/>
  <c r="A25" i="5"/>
  <c r="A17" i="5"/>
  <c r="A66" i="5"/>
  <c r="A69" i="5"/>
  <c r="A79" i="5"/>
  <c r="A102" i="5"/>
  <c r="A143" i="5"/>
  <c r="A222" i="5"/>
  <c r="A228" i="5"/>
  <c r="A11" i="5"/>
  <c r="A19" i="5"/>
  <c r="H32" i="5"/>
  <c r="A37" i="5"/>
  <c r="A43" i="5"/>
  <c r="A49" i="5"/>
  <c r="A94" i="5"/>
  <c r="A96" i="5"/>
  <c r="A140" i="5"/>
  <c r="A155" i="5"/>
  <c r="A157" i="5"/>
  <c r="A165" i="5"/>
  <c r="A223" i="5"/>
  <c r="A232" i="5"/>
  <c r="A233" i="5"/>
  <c r="A242" i="5"/>
  <c r="A243" i="5"/>
  <c r="A161" i="5"/>
  <c r="A176" i="5"/>
  <c r="A181" i="5"/>
  <c r="A191" i="5"/>
  <c r="A4" i="5"/>
  <c r="A65" i="5"/>
  <c r="A76" i="5"/>
  <c r="A77" i="5"/>
  <c r="A101" i="5"/>
  <c r="A120" i="5"/>
  <c r="A126" i="5"/>
  <c r="A188" i="5"/>
  <c r="A201" i="5"/>
  <c r="A226" i="5"/>
  <c r="A231" i="5"/>
  <c r="A234" i="5"/>
  <c r="A239" i="5"/>
  <c r="A249" i="5"/>
  <c r="A251" i="5"/>
  <c r="H10" i="5"/>
  <c r="A10" i="5"/>
  <c r="H138" i="5"/>
  <c r="A138" i="5"/>
  <c r="H146" i="5"/>
  <c r="A146" i="5"/>
  <c r="H3" i="5"/>
  <c r="A3" i="5"/>
  <c r="A147" i="5"/>
  <c r="H147" i="5"/>
  <c r="D2" i="5"/>
  <c r="A54" i="5"/>
  <c r="A68" i="5"/>
  <c r="A26" i="5"/>
  <c r="H26" i="5"/>
  <c r="H31" i="5"/>
  <c r="A31" i="5"/>
  <c r="A107" i="5"/>
  <c r="A117" i="5"/>
  <c r="A187" i="5"/>
  <c r="A245" i="5"/>
  <c r="A13" i="5"/>
  <c r="A39" i="5"/>
  <c r="A41" i="5"/>
  <c r="A45" i="5"/>
  <c r="A59" i="5"/>
  <c r="A63" i="5"/>
  <c r="A90" i="5"/>
  <c r="A100" i="5"/>
  <c r="A111" i="5"/>
  <c r="A144" i="5"/>
  <c r="A196" i="5"/>
  <c r="A204" i="5"/>
  <c r="A209" i="5"/>
  <c r="A213" i="5"/>
  <c r="A215" i="5"/>
  <c r="A236" i="5"/>
  <c r="A241" i="5"/>
  <c r="A244" i="5"/>
  <c r="A252" i="5"/>
  <c r="A253" i="5"/>
  <c r="A286" i="5"/>
  <c r="A296" i="5"/>
  <c r="A50" i="5"/>
  <c r="A51" i="5"/>
  <c r="A53" i="5"/>
  <c r="A92" i="5"/>
  <c r="A7" i="5"/>
  <c r="A20" i="5"/>
  <c r="A22" i="5"/>
  <c r="A24" i="5"/>
  <c r="A29" i="5"/>
  <c r="A30" i="5"/>
  <c r="A42" i="5"/>
  <c r="A52" i="5"/>
  <c r="A56" i="5"/>
  <c r="A98" i="5"/>
  <c r="A110" i="5"/>
  <c r="A128" i="5"/>
  <c r="A131" i="5"/>
  <c r="A145" i="5"/>
  <c r="A151" i="5"/>
  <c r="A178" i="5"/>
  <c r="A207" i="5"/>
  <c r="A212" i="5"/>
  <c r="A237" i="5"/>
  <c r="A262" i="5"/>
  <c r="A298" i="5"/>
  <c r="A8" i="5"/>
  <c r="R21" i="8"/>
  <c r="A5" i="5"/>
  <c r="F2" i="5"/>
  <c r="A35" i="5"/>
  <c r="A62" i="5"/>
  <c r="A89" i="5"/>
  <c r="A122" i="5"/>
  <c r="A127" i="5"/>
  <c r="A175" i="5"/>
  <c r="A179" i="5"/>
  <c r="A184" i="5"/>
  <c r="A205" i="5"/>
  <c r="A292" i="5"/>
  <c r="H20" i="5"/>
  <c r="A6" i="5"/>
  <c r="A15" i="5"/>
  <c r="H24" i="5"/>
  <c r="A61" i="5"/>
  <c r="A81" i="5"/>
  <c r="A103" i="5"/>
  <c r="A133" i="5"/>
  <c r="A134" i="5"/>
  <c r="A158" i="5"/>
  <c r="A174" i="5"/>
  <c r="A185" i="5"/>
  <c r="A238" i="5"/>
  <c r="A248" i="5"/>
  <c r="A265" i="5"/>
  <c r="A116" i="5"/>
  <c r="A27" i="5"/>
  <c r="A58" i="5"/>
  <c r="A105" i="5"/>
  <c r="A121" i="5"/>
  <c r="A197" i="5"/>
  <c r="E2" i="5"/>
  <c r="A166" i="5"/>
  <c r="A186" i="5"/>
  <c r="D27" i="4"/>
  <c r="A14" i="5"/>
  <c r="A47" i="5"/>
  <c r="A60" i="5"/>
  <c r="A82" i="5"/>
  <c r="A124" i="5"/>
  <c r="Q20" i="8"/>
  <c r="A9" i="5"/>
  <c r="A18" i="5"/>
  <c r="A36" i="5"/>
  <c r="A70" i="5"/>
  <c r="A108" i="5"/>
  <c r="A115" i="5"/>
  <c r="A130" i="5"/>
  <c r="A170" i="5"/>
  <c r="A195" i="5"/>
  <c r="C2" i="5"/>
  <c r="H21" i="7"/>
  <c r="A132" i="5"/>
  <c r="G19" i="8"/>
  <c r="H19" i="8" s="1"/>
  <c r="H18" i="5"/>
  <c r="A172" i="5"/>
  <c r="H27" i="5"/>
  <c r="H8" i="5"/>
  <c r="A264" i="5"/>
  <c r="A33" i="5"/>
  <c r="A23" i="5"/>
  <c r="H139" i="5"/>
  <c r="A169" i="5"/>
  <c r="H185" i="5"/>
  <c r="G21" i="8"/>
  <c r="H21" i="8" s="1"/>
  <c r="G2" i="5"/>
  <c r="A295" i="5"/>
  <c r="B2" i="5"/>
  <c r="A12" i="5"/>
  <c r="A160" i="5"/>
  <c r="R19" i="8"/>
  <c r="A156" i="5"/>
  <c r="D19" i="4" l="1"/>
  <c r="D35" i="4" s="1"/>
  <c r="D38" i="4" s="1"/>
  <c r="Q25" i="8"/>
  <c r="H2" i="5"/>
  <c r="H24" i="8"/>
  <c r="A2" i="5"/>
  <c r="D37" i="4" l="1"/>
</calcChain>
</file>

<file path=xl/comments1.xml><?xml version="1.0" encoding="utf-8"?>
<comments xmlns="http://schemas.openxmlformats.org/spreadsheetml/2006/main">
  <authors>
    <author>ngoctvb</author>
  </authors>
  <commentList>
    <comment ref="A35" authorId="0" shapeId="0">
      <text>
        <r>
          <rPr>
            <b/>
            <sz val="8"/>
            <rFont val="Tahoma"/>
            <family val="2"/>
          </rPr>
          <t>ngoctvb:</t>
        </r>
        <r>
          <rPr>
            <sz val="8"/>
            <rFont val="Tahoma"/>
            <family val="2"/>
          </rPr>
          <t xml:space="preserve">
tỉ giá điều chỉnh tùy theo deal.</t>
        </r>
      </text>
    </comment>
  </commentList>
</comments>
</file>

<file path=xl/comments2.xml><?xml version="1.0" encoding="utf-8"?>
<comments xmlns="http://schemas.openxmlformats.org/spreadsheetml/2006/main">
  <authors>
    <author>lanlq</author>
  </authors>
  <commentList>
    <comment ref="D6" authorId="0" shapeId="0">
      <text>
        <r>
          <rPr>
            <b/>
            <sz val="8"/>
            <rFont val="Tahoma"/>
            <family val="2"/>
          </rPr>
          <t>dữ liệu do quản trị dự án dự tính</t>
        </r>
        <r>
          <rPr>
            <sz val="8"/>
            <rFont val="Tahoma"/>
            <family val="2"/>
          </rPr>
          <t xml:space="preserve">
</t>
        </r>
      </text>
    </comment>
    <comment ref="D27" authorId="0" shapeId="0">
      <text>
        <r>
          <rPr>
            <sz val="8"/>
            <rFont val="Tahoma"/>
            <family val="2"/>
          </rPr>
          <t>LS: 15%/năm (VND)</t>
        </r>
      </text>
    </comment>
  </commentList>
</comments>
</file>

<file path=xl/sharedStrings.xml><?xml version="1.0" encoding="utf-8"?>
<sst xmlns="http://schemas.openxmlformats.org/spreadsheetml/2006/main" count="268" uniqueCount="242">
  <si>
    <t>BẢNG BÁO GIÁ</t>
  </si>
  <si>
    <t>Kính gửi :</t>
  </si>
  <si>
    <t>Starcity Saigon</t>
  </si>
  <si>
    <t>Ngày:</t>
  </si>
  <si>
    <t>Tên viết tắt KH</t>
  </si>
  <si>
    <t>SCS</t>
  </si>
  <si>
    <t xml:space="preserve">Người nhận: </t>
  </si>
  <si>
    <t>Ms Tiên</t>
  </si>
  <si>
    <t xml:space="preserve">Số báo giá: </t>
  </si>
  <si>
    <t>Số thứ tự BBG</t>
  </si>
  <si>
    <t xml:space="preserve">E-mail:          </t>
  </si>
  <si>
    <t>apm@starcitysaigon.vn</t>
  </si>
  <si>
    <t xml:space="preserve">Có giá trị đến: </t>
  </si>
  <si>
    <t xml:space="preserve">số ngày có giá trị </t>
  </si>
  <si>
    <t xml:space="preserve">Điện thoại:          </t>
  </si>
  <si>
    <t>0918 531 466</t>
  </si>
  <si>
    <t xml:space="preserve">Fax: </t>
  </si>
  <si>
    <t>Chúng tôi xin trân trọng gửi đến quý Công ty bản chào giá với chi tiết các thiết bị như sau:</t>
  </si>
  <si>
    <t>Stt.</t>
  </si>
  <si>
    <t>Mã sản phẩm</t>
  </si>
  <si>
    <t>Diễn giải</t>
  </si>
  <si>
    <t>ĐVT</t>
  </si>
  <si>
    <t>SL.</t>
  </si>
  <si>
    <t>Đơn giá 
(USD)</t>
  </si>
  <si>
    <t>VAT
(USD)</t>
  </si>
  <si>
    <t>Thành tiền
(USD)</t>
  </si>
  <si>
    <t>Giá nhập</t>
  </si>
  <si>
    <t>Nguồn nhập</t>
  </si>
  <si>
    <t xml:space="preserve">Tổng cộng: </t>
  </si>
  <si>
    <t>Bằng chữ:</t>
  </si>
  <si>
    <t>Điều kiện thanh toán và giao hàng:</t>
  </si>
  <si>
    <t>1. Thời gian giao hàng:  2 ngày sau khi nhận Đơn đặt hàng/Hợp đồng và 30% tiền đặt cọc</t>
  </si>
  <si>
    <t>2. Thời gian bảo hành: 12 tháng Theo tiêu chuẩn nhà sản xuất</t>
  </si>
  <si>
    <t xml:space="preserve">2.1. Máy chủ: 3 năm theo tiêu chuẩn nhà sản xuất </t>
  </si>
  <si>
    <t xml:space="preserve">2.2. Máy tính xách tay: 1 năm theo tiêu chuẩn nhà sản xuất </t>
  </si>
  <si>
    <t>3. Tư vấn kỹ thuật:</t>
  </si>
  <si>
    <t xml:space="preserve">Mr. Đỗ Trung Thắng </t>
  </si>
  <si>
    <t xml:space="preserve">Mr. Phan Nghệ Đô </t>
  </si>
  <si>
    <t>Di động: 0903399737</t>
  </si>
  <si>
    <t>Di động: 0903060803</t>
  </si>
  <si>
    <t>email: trungthang@chanchinh.com.vn</t>
  </si>
  <si>
    <t>email: dopn@chanchinh.com.vn</t>
  </si>
  <si>
    <t xml:space="preserve">3. Phương thức thanh toán: Tiền mặt hoặc chuyển khoản trong vòng 7 ngày. Tỷ giá được tính theo tỷ giá bán ra </t>
  </si>
  <si>
    <t>của ngân hàng ngoại thương(VCB) tại thời điểm thanh toán.</t>
  </si>
  <si>
    <t>Tài khoản thanh toán:</t>
  </si>
  <si>
    <t>CÔNG TY TNHH TIN HỌC &amp; THƯƠNG MẠI CHÂN CHÍNH</t>
  </si>
  <si>
    <r>
      <rPr>
        <sz val="10"/>
        <rFont val="Arial"/>
        <family val="2"/>
      </rPr>
      <t xml:space="preserve">Số tài khoản: </t>
    </r>
    <r>
      <rPr>
        <b/>
        <sz val="10"/>
        <rFont val="Arial"/>
        <family val="2"/>
      </rPr>
      <t>687059 (VND) - 8912989 (USD)</t>
    </r>
  </si>
  <si>
    <r>
      <rPr>
        <sz val="10"/>
        <rFont val="Arial"/>
        <family val="2"/>
      </rPr>
      <t xml:space="preserve">Tại: </t>
    </r>
    <r>
      <rPr>
        <b/>
        <sz val="10"/>
        <rFont val="Arial"/>
        <family val="2"/>
      </rPr>
      <t>Ngân Hàng Thương Mại CP Á Châu</t>
    </r>
    <r>
      <rPr>
        <sz val="10"/>
        <rFont val="Arial"/>
        <family val="2"/>
      </rPr>
      <t xml:space="preserve"> - Đ/c: </t>
    </r>
    <r>
      <rPr>
        <b/>
        <sz val="10"/>
        <rFont val="Arial"/>
        <family val="2"/>
      </rPr>
      <t>442 Nguyễn Thị Minh Khai, Quận 3, Tp.Hồ Chí Minh</t>
    </r>
  </si>
  <si>
    <t>Để biết thêm chi tiết và thông tin sản phẩm, xin quý khách vui lòng liên hệ với chúng tôi.</t>
  </si>
  <si>
    <t>Trân trọng kính chào,</t>
  </si>
  <si>
    <t xml:space="preserve">XÁC NHẬN ĐẶT HÀNG </t>
  </si>
  <si>
    <t>(ký tên, đóng dấu)</t>
  </si>
  <si>
    <t>NGUYỄN VĂN NGHỆ</t>
  </si>
  <si>
    <t>Account Manager</t>
  </si>
  <si>
    <t xml:space="preserve">Tel </t>
  </si>
  <si>
    <t>: (084) 08 925 3664 - ext: 125 Fax : (084) 08 925 4090</t>
  </si>
  <si>
    <t>Mobile</t>
  </si>
  <si>
    <t>: (084) 988 336 256</t>
  </si>
  <si>
    <t>E-mail</t>
  </si>
  <si>
    <r>
      <rPr>
        <sz val="11"/>
        <rFont val="Arial"/>
        <family val="2"/>
      </rPr>
      <t xml:space="preserve">: </t>
    </r>
    <r>
      <rPr>
        <u/>
        <sz val="11"/>
        <color indexed="12"/>
        <rFont val="Arial"/>
        <family val="2"/>
      </rPr>
      <t>nghenv@chanchinh.com.vn</t>
    </r>
  </si>
  <si>
    <t>QUOTATION</t>
  </si>
  <si>
    <t>To:</t>
  </si>
  <si>
    <t>Date:</t>
  </si>
  <si>
    <t xml:space="preserve">Tên viết tắt </t>
  </si>
  <si>
    <t xml:space="preserve">Attn: </t>
  </si>
  <si>
    <t>Quote no.:</t>
  </si>
  <si>
    <t>Valid to:</t>
  </si>
  <si>
    <t xml:space="preserve">Phone:          </t>
  </si>
  <si>
    <t>We would like to offer the required products with our prices and specifications as below:</t>
  </si>
  <si>
    <t>VND</t>
  </si>
  <si>
    <t>Item</t>
  </si>
  <si>
    <t>Part no.</t>
  </si>
  <si>
    <t>Description of item</t>
  </si>
  <si>
    <t>Qty</t>
  </si>
  <si>
    <t>Unit</t>
  </si>
  <si>
    <t>Unit Price 
(VND)</t>
  </si>
  <si>
    <t>VAT 
(VND)</t>
  </si>
  <si>
    <t>Amount
(VND)</t>
  </si>
  <si>
    <t>Giá</t>
  </si>
  <si>
    <t>Nguồn</t>
  </si>
  <si>
    <t>Giá 1</t>
  </si>
  <si>
    <t>Nguồn  1</t>
  </si>
  <si>
    <t>Giá  2</t>
  </si>
  <si>
    <t>Nguồn 2</t>
  </si>
  <si>
    <t>Giá 3</t>
  </si>
  <si>
    <t>Nguồn  3</t>
  </si>
  <si>
    <t>TL LN</t>
  </si>
  <si>
    <t>LN</t>
  </si>
  <si>
    <t>ABC</t>
  </si>
  <si>
    <t>Abd</t>
  </si>
  <si>
    <t xml:space="preserve">Grand Total: </t>
  </si>
  <si>
    <r>
      <rPr>
        <i/>
        <u/>
        <sz val="10"/>
        <color indexed="12"/>
        <rFont val="Arial"/>
        <family val="2"/>
      </rPr>
      <t>Say in words:</t>
    </r>
    <r>
      <rPr>
        <i/>
        <sz val="10"/>
        <color indexed="12"/>
        <rFont val="Arial"/>
        <family val="2"/>
      </rPr>
      <t xml:space="preserve"> </t>
    </r>
  </si>
  <si>
    <t xml:space="preserve">TLN </t>
  </si>
  <si>
    <t>Terms &amp; Conditions:</t>
  </si>
  <si>
    <t>1. Delivery: …. after contract/ PO signing and receipt deposit</t>
  </si>
  <si>
    <t>2. Warranty: ... years as per manufacture warranty standard</t>
  </si>
  <si>
    <t xml:space="preserve">3. Payment: By cash or bank transfer within 14 days from the date of Invoice  </t>
  </si>
  <si>
    <t xml:space="preserve">4. Technical support: </t>
  </si>
  <si>
    <t xml:space="preserve">Mr. Do Trung Thang </t>
  </si>
  <si>
    <t>Mr. Đỗ Ngọc Huy (CISSP, CCIE)</t>
  </si>
  <si>
    <t>Mobile: 0903399737</t>
  </si>
  <si>
    <t>Mobile: 0918298445</t>
  </si>
  <si>
    <t>email: huydn@chanchinh.com.vn</t>
  </si>
  <si>
    <r>
      <rPr>
        <sz val="10"/>
        <rFont val="Arial"/>
        <family val="2"/>
      </rPr>
      <t xml:space="preserve">5. Exchange rate: will be at the selling rate of </t>
    </r>
    <r>
      <rPr>
        <sz val="10"/>
        <color indexed="10"/>
        <rFont val="Arial"/>
        <family val="2"/>
      </rPr>
      <t>…………...</t>
    </r>
    <r>
      <rPr>
        <sz val="10"/>
        <rFont val="Arial"/>
        <family val="2"/>
      </rPr>
      <t xml:space="preserve"> at the payment's date</t>
    </r>
  </si>
  <si>
    <t>Beneficiary:</t>
  </si>
  <si>
    <t>CONG TY TNHH TIN HOC VA THUONG MAI CHAN CHINH</t>
  </si>
  <si>
    <r>
      <rPr>
        <sz val="10"/>
        <rFont val="Arial"/>
        <family val="2"/>
      </rPr>
      <t xml:space="preserve">Account Number: </t>
    </r>
    <r>
      <rPr>
        <b/>
        <sz val="10"/>
        <rFont val="Arial"/>
        <family val="2"/>
      </rPr>
      <t>687059 (VND) - 8912989 (USD)</t>
    </r>
  </si>
  <si>
    <r>
      <rPr>
        <sz val="10"/>
        <rFont val="Arial"/>
        <family val="2"/>
      </rPr>
      <t xml:space="preserve">Bank Name: </t>
    </r>
    <r>
      <rPr>
        <b/>
        <sz val="10"/>
        <rFont val="Arial"/>
        <family val="2"/>
      </rPr>
      <t>Asia Commercial Bank</t>
    </r>
    <r>
      <rPr>
        <sz val="10"/>
        <rFont val="Arial"/>
        <family val="2"/>
      </rPr>
      <t xml:space="preserve">  / SWIFT Code: </t>
    </r>
    <r>
      <rPr>
        <b/>
        <sz val="10"/>
        <rFont val="Arial"/>
        <family val="2"/>
      </rPr>
      <t>ASCBVNVX</t>
    </r>
  </si>
  <si>
    <t>Thank you for your attention. Please feel free to contact us for any further information.</t>
  </si>
  <si>
    <t>Yours Sincerely,</t>
  </si>
  <si>
    <t>TO ACCEPT THIS QUOTATION</t>
  </si>
  <si>
    <t xml:space="preserve"> (Sign here stamp and return)</t>
  </si>
  <si>
    <t>HA TRỌNG KHOI</t>
  </si>
  <si>
    <t xml:space="preserve">BU3 Sales Executive </t>
  </si>
  <si>
    <t>: (084) 08 3526 1234 - ext: 128 Fax : (084) 08 3526 4900</t>
  </si>
  <si>
    <t>: (084) 90 247 0191</t>
  </si>
  <si>
    <t xml:space="preserve">   : khoiht@chanchinh.com.vn</t>
  </si>
  <si>
    <t>NGUYEN VAN NGHE (MR)</t>
  </si>
  <si>
    <t>BU3 Sales Manager</t>
  </si>
  <si>
    <t>: (084) 08 3526 1234 - ext: 125 Fax : (084) 08 3526 4900</t>
  </si>
  <si>
    <r>
      <rPr>
        <sz val="10"/>
        <rFont val="VNI-Times"/>
      </rPr>
      <t xml:space="preserve">    : </t>
    </r>
    <r>
      <rPr>
        <sz val="10"/>
        <color indexed="12"/>
        <rFont val="VNI-Times"/>
      </rPr>
      <t>nghenv@chanchinh.com.vn</t>
    </r>
  </si>
  <si>
    <t>SL</t>
  </si>
  <si>
    <t>Thành tiền
(VNĐ)</t>
  </si>
  <si>
    <t>BẢNG DỰ TÍNH HIỆU QUẢ DỰ ÁN</t>
  </si>
  <si>
    <t>Cty</t>
  </si>
  <si>
    <t>Chan Chinh Co.,</t>
  </si>
  <si>
    <t>Khách hàng</t>
  </si>
  <si>
    <t>Số hợp đồng / Ngày P.O.</t>
  </si>
  <si>
    <t>Chỉ nhập số liệu vào ô màu xanh</t>
  </si>
  <si>
    <t>STT</t>
  </si>
  <si>
    <t>Chỉ tiêu</t>
  </si>
  <si>
    <t>Giá trị</t>
  </si>
  <si>
    <t>Doanh số USD (1)</t>
  </si>
  <si>
    <t>Giá vốn hàng bán USD (2)</t>
  </si>
  <si>
    <t>Hhồng / Phần trích lại (3)</t>
  </si>
  <si>
    <t>Lãi gộp (4) = (1)-(2)-(3)</t>
  </si>
  <si>
    <t>+ Tỷ lệ lãi gộp</t>
  </si>
  <si>
    <t>Chi phí (5)</t>
  </si>
  <si>
    <t>Chi phí triển khai hợp đồng</t>
  </si>
  <si>
    <t xml:space="preserve"> + Chi phí đấu thầu</t>
  </si>
  <si>
    <t xml:space="preserve"> + Chi phí triển khai</t>
  </si>
  <si>
    <t xml:space="preserve"> + Chi phí vận chuyển</t>
  </si>
  <si>
    <t xml:space="preserve"> + Chi phí bảo hành (3% Dsố DÁn)</t>
  </si>
  <si>
    <t xml:space="preserve"> + Chi phí nhân công</t>
  </si>
  <si>
    <t xml:space="preserve"> + Chi phí khác (nếu có)</t>
  </si>
  <si>
    <t>Chi phí vốn</t>
  </si>
  <si>
    <t xml:space="preserve"> + Số ngày cnợ được hưởng từ dealer:</t>
  </si>
  <si>
    <t xml:space="preserve"> + Số ngày hàng tồn kho</t>
  </si>
  <si>
    <t xml:space="preserve"> + Số ngày triển khai</t>
  </si>
  <si>
    <t xml:space="preserve"> + Số ngày thu nợ </t>
  </si>
  <si>
    <t>Vòng quay tiền</t>
  </si>
  <si>
    <t xml:space="preserve"> + Khách hàng trả trước</t>
  </si>
  <si>
    <t xml:space="preserve"> + Trả trước cho dealer</t>
  </si>
  <si>
    <t>Lợi nhuận ròng (6)=(4)-(5)</t>
  </si>
  <si>
    <t>Tỷ suất lợi nhuận ròng trên giá vốn</t>
  </si>
  <si>
    <t>Tỷ suất lợi nhuận/DS</t>
  </si>
  <si>
    <t>Người lập</t>
  </si>
  <si>
    <t>Giám đốc</t>
  </si>
  <si>
    <t>Chú giải:</t>
  </si>
  <si>
    <t>1/ Chi phí đấu thầu: bao gồm các khỏan chi cho đấu thầu, chi phí tìm hiểu thị trường. Cụ thể như sau:</t>
  </si>
  <si>
    <t xml:space="preserve"> + Chi mua hồ sơ thầu, chuẩn bị hồ sơ thầu, lệ phí tham dự đấu thầu,…</t>
  </si>
  <si>
    <t xml:space="preserve"> + Chi phí công tác và các chi phí khác để tìm hiểu, nghiên cứu thị trường thị trường</t>
  </si>
  <si>
    <t>2/ Chi phí triển khai: là các khỏan chi để thực hiện hợp đồng:</t>
  </si>
  <si>
    <t xml:space="preserve"> + Chi phí tự triển khai hợp đồng như: Công tác phí, vé may bay, tàu xe nhân viên đi triển khai hợp đồng,</t>
  </si>
  <si>
    <t>chi giao dịch triển khai hợp đồng,…</t>
  </si>
  <si>
    <t xml:space="preserve"> + Vật tư, thiết bị cho triển khai hợp đồng,… </t>
  </si>
  <si>
    <t xml:space="preserve"> + Chi thuê khóan cho các cá nhân, tổ chức ngoài công ty triển khai hợp đồng sẽ được tính vào giá vốn,</t>
  </si>
  <si>
    <t xml:space="preserve"> không nằm trong mục này.</t>
  </si>
  <si>
    <t>3/ Chi phí vận chuyển:</t>
  </si>
  <si>
    <t xml:space="preserve"> + Các khỏan thuê phương tiện vận tải hàng hóa, chi giao dịch nhận hàng với các cá nhân, tổ chức liên quan,…</t>
  </si>
  <si>
    <t>4/ Chi phí nhân công: Tỷ lệ % ((Dsố của DÁn / (Dsố Bquân tháng của Cty: 190,000$ + Dsố của DÁn)) x quỹ lương (6000$)</t>
  </si>
  <si>
    <t>5/ Số ngày tồn kho: là số ngày hàng hóa từ khi nhập kho cho đến khi xuất hóa đơn bán hàng, hoặc xuất tạm triển khai,…</t>
  </si>
  <si>
    <t xml:space="preserve">6/ Số ngày triển khai:  là số ngày hàng hóa từ khi xuất kho để triển khai hợp đồng (xuất tạm) cho đến khi </t>
  </si>
  <si>
    <t>nghiệm thu và xuất hóa đơn.</t>
  </si>
  <si>
    <t>7/ Số ngày thu nợ:  là số ngày  từ khi  xuất hóa đơn bán hàng cho đến khi thu hồi được công nợ</t>
  </si>
  <si>
    <t>CL</t>
  </si>
  <si>
    <t>TTIỀN NHẬP</t>
  </si>
  <si>
    <t>TTIỀN NHẬP+VAT</t>
  </si>
  <si>
    <t>CHI PHÍ THUẾ Ko HĐƠN ĐẦU VÀO</t>
  </si>
  <si>
    <t>TTIỀN BÁN</t>
  </si>
  <si>
    <t>CHI PHÍ THUẾ Ko HĐƠN ĐẦU RA</t>
  </si>
  <si>
    <t>TTIỀN HĐƠN</t>
  </si>
  <si>
    <t>TTIỀN HĐƠN+VAT</t>
  </si>
  <si>
    <t>P/N</t>
  </si>
  <si>
    <t>Tổng cộng (chưa VAT)</t>
  </si>
  <si>
    <t>Thuế VAT (10%)</t>
  </si>
  <si>
    <t>Tổng cộng (sau VAT)</t>
  </si>
  <si>
    <t>Thương hiệu</t>
  </si>
  <si>
    <t>Đơn giá
(VNĐ)</t>
  </si>
  <si>
    <t>cái</t>
  </si>
  <si>
    <t>BẢNG CHÀO GIÁ</t>
  </si>
  <si>
    <t>Kính gửi:</t>
  </si>
  <si>
    <t>Người nhận:</t>
  </si>
  <si>
    <t>TEL:</t>
  </si>
  <si>
    <t>Người gửi:</t>
  </si>
  <si>
    <t>Ngày :</t>
  </si>
  <si>
    <t xml:space="preserve">CÔNG TY CỔ PHẦN CÔNG NGHỆ TIÊN PHONG
</t>
  </si>
  <si>
    <t>(08) 37701115</t>
  </si>
  <si>
    <t xml:space="preserve">FAX : </t>
  </si>
  <si>
    <t xml:space="preserve">(08) 37701116 </t>
  </si>
  <si>
    <t>Ms Loan- Phòng mua hàng</t>
  </si>
  <si>
    <t>Huỳnh Thanh Hải</t>
  </si>
  <si>
    <t xml:space="preserve">Chủ đề: </t>
  </si>
  <si>
    <t>Qno:</t>
  </si>
  <si>
    <t>INNO290721</t>
  </si>
  <si>
    <t>CÁC ĐIỀU KHOẢN THƯƠNG MẠI</t>
  </si>
  <si>
    <t>1. Giá đã bao gồm thuế và phí vận chuyển tại Hồ Chí Minh.</t>
  </si>
  <si>
    <t xml:space="preserve">4. Thời gian bảo hành 1 năm. </t>
  </si>
  <si>
    <t>5. Thanh toán bằng chuyển khoản hoặc tiền mặt</t>
  </si>
  <si>
    <t>Thông tin tài khoản:</t>
  </si>
  <si>
    <t>Công ty tnhh viễn thông sáng tạo thuận phong</t>
  </si>
  <si>
    <t>số tài khoản: 17058209 tại ngân hàng ACB hồ chí minh</t>
  </si>
  <si>
    <t>Xác nhận đặt hàng</t>
  </si>
  <si>
    <t>HUỲNH THANH HẢI</t>
  </si>
  <si>
    <t>2. Thời gian giao hàng thương thảo.</t>
  </si>
  <si>
    <t>3. Thanh toán: thương thảo.</t>
  </si>
  <si>
    <t>Cái</t>
  </si>
  <si>
    <t>Thi công hệ thống mạng- phụ lục số 4 phat sinh đi ống âm sàn khu office</t>
  </si>
  <si>
    <t>760245389</t>
  </si>
  <si>
    <r>
      <t xml:space="preserve">Mặt ổ cắm vuông, 2 cổng, SL, màu trắng.
</t>
    </r>
    <r>
      <rPr>
        <sz val="11"/>
        <color rgb="FFFF0000"/>
        <rFont val="Times New Roman"/>
        <family val="1"/>
      </rPr>
      <t>(6 node call center, 28 node khu office 2D,3D).</t>
    </r>
  </si>
  <si>
    <r>
      <t xml:space="preserve">Đế ổ cắm vuông, màu trắng.
</t>
    </r>
    <r>
      <rPr>
        <sz val="11"/>
        <color rgb="FFFF0000"/>
        <rFont val="Times New Roman"/>
        <family val="1"/>
      </rPr>
      <t>(6 node call center, 28 node khu office 2D,3D)</t>
    </r>
  </si>
  <si>
    <t xml:space="preserve">1375055-1 </t>
  </si>
  <si>
    <t>NPC06UVDB-BL005F</t>
  </si>
  <si>
    <r>
      <rPr>
        <sz val="11"/>
        <color rgb="FF000000"/>
        <rFont val="Times New Roman"/>
        <family val="1"/>
      </rPr>
      <t>Cáp đấu nối, U/UTP, Cat.6, CM (PVC), màu xanh dương, 1.5m</t>
    </r>
    <r>
      <rPr>
        <sz val="11"/>
        <color rgb="FFFF0000"/>
        <rFont val="Times New Roman"/>
        <family val="1"/>
      </rPr>
      <t xml:space="preserve">
(6 node call center, 28 node khu office 2D,3D)</t>
    </r>
  </si>
  <si>
    <t>sợi</t>
  </si>
  <si>
    <t>commscope</t>
  </si>
  <si>
    <t>760237040</t>
  </si>
  <si>
    <t>Thanh đấu nối, UTP, SL, DDM, 24 cổng, 1U, rỗng, thẳng</t>
  </si>
  <si>
    <t xml:space="preserve">9-1375055-2 </t>
  </si>
  <si>
    <t>Ổ cắm UTP, Cat.6, T568A/T568B, SL110, RJ45, màu đen</t>
  </si>
  <si>
    <t>1427254-6</t>
  </si>
  <si>
    <t>Cáp U/UTP, Cat.6, 4 đôi,  CM, 23 AWG, Solid, màu xanh dương, 305m</t>
  </si>
  <si>
    <t>thùng</t>
  </si>
  <si>
    <t>Dây nguồn cadivi 2x 0.75mm (cho camera)</t>
  </si>
  <si>
    <t>cuộn</t>
  </si>
  <si>
    <t>cadivi</t>
  </si>
  <si>
    <t>AMP106-CB15 Rack Power Strip (6) Universal Outlets, 15A, 220V, CB, 3 Pin Plug</t>
  </si>
  <si>
    <t>AMTEC</t>
  </si>
  <si>
    <t>AMP106-CB15</t>
  </si>
  <si>
    <r>
      <t xml:space="preserve">Ổ cắm UTP, Cat.6, T568A/T568B, SL110, RJ45, màu hạnh nhân.
</t>
    </r>
    <r>
      <rPr>
        <sz val="11"/>
        <color rgb="FFFF0000"/>
        <rFont val="Times New Roman"/>
        <family val="1"/>
      </rPr>
      <t>(6 node call center, 28 node khu office 2D,3D).</t>
    </r>
  </si>
  <si>
    <t>AMW06 AMTEC C-CLASS  Wall Mount  06U 
1 QUạt, cửa Mica, màu xám trắng</t>
  </si>
  <si>
    <t>RACK 6U treo tường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</si>
</sst>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"/>
    <numFmt numFmtId="165" formatCode="[$-409]d/mmm/yy;@"/>
    <numFmt numFmtId="166" formatCode="00"/>
    <numFmt numFmtId="167" formatCode="&quot;$&quot;#,##0.00"/>
    <numFmt numFmtId="168" formatCode="_ * #,##0_ ;_ * \-#,##0_ ;_ * &quot;-&quot;??_ ;_ @_ "/>
    <numFmt numFmtId="169" formatCode="0.000%"/>
    <numFmt numFmtId="170" formatCode="_(* #,##0_);_(* \(#,##0\);_(* &quot;-&quot;??_);_(@_)"/>
    <numFmt numFmtId="171" formatCode="_(* #,##0_);_(* \(#,##0\);_(* &quot;-&quot;?_);_(@_)"/>
  </numFmts>
  <fonts count="60">
    <font>
      <sz val="10"/>
      <name val="VNI-Times"/>
      <charset val="134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 val="double"/>
      <sz val="10"/>
      <name val="Arial Unicode MS"/>
      <family val="2"/>
    </font>
    <font>
      <b/>
      <sz val="10"/>
      <color indexed="8"/>
      <name val="Arial"/>
      <family val="2"/>
    </font>
    <font>
      <b/>
      <i/>
      <sz val="10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2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0"/>
      <name val="Times New Roman"/>
      <family val="1"/>
    </font>
    <font>
      <b/>
      <u/>
      <sz val="12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i/>
      <sz val="10"/>
      <name val="Arial"/>
      <family val="2"/>
    </font>
    <font>
      <b/>
      <sz val="10"/>
      <color indexed="12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i/>
      <u/>
      <sz val="10"/>
      <name val="Arial"/>
      <family val="2"/>
    </font>
    <font>
      <b/>
      <sz val="20"/>
      <color rgb="FFFF0000"/>
      <name val="Times New Roman"/>
      <family val="1"/>
    </font>
    <font>
      <i/>
      <sz val="10"/>
      <color rgb="FF0000FF"/>
      <name val="Arial"/>
      <family val="2"/>
    </font>
    <font>
      <b/>
      <i/>
      <sz val="10"/>
      <color rgb="FF0000FF"/>
      <name val="Arial"/>
      <family val="2"/>
    </font>
    <font>
      <b/>
      <i/>
      <u/>
      <sz val="10"/>
      <color rgb="FFFF0000"/>
      <name val="Arial"/>
      <family val="2"/>
    </font>
    <font>
      <sz val="10"/>
      <color indexed="12"/>
      <name val="VNI-Times"/>
    </font>
    <font>
      <u/>
      <sz val="8"/>
      <color indexed="12"/>
      <name val="VNI-Times"/>
    </font>
    <font>
      <u/>
      <sz val="11"/>
      <color theme="10"/>
      <name val="Arial"/>
      <family val="2"/>
    </font>
    <font>
      <sz val="11"/>
      <color theme="1"/>
      <name val="Calibri"/>
      <family val="2"/>
      <scheme val="minor"/>
    </font>
    <font>
      <sz val="12"/>
      <name val="新細明體"/>
      <charset val="136"/>
    </font>
    <font>
      <sz val="10"/>
      <name val="Helv"/>
      <charset val="134"/>
    </font>
    <font>
      <u/>
      <sz val="11"/>
      <color theme="10"/>
      <name val="Calibri"/>
      <family val="2"/>
    </font>
    <font>
      <i/>
      <u/>
      <sz val="10"/>
      <color indexed="12"/>
      <name val="Arial"/>
      <family val="2"/>
    </font>
    <font>
      <i/>
      <sz val="10"/>
      <color indexed="12"/>
      <name val="Arial"/>
      <family val="2"/>
    </font>
    <font>
      <u/>
      <sz val="11"/>
      <color indexed="12"/>
      <name val="Arial"/>
      <family val="2"/>
    </font>
    <font>
      <sz val="10"/>
      <name val="VNI-Times"/>
    </font>
    <font>
      <b/>
      <sz val="8"/>
      <name val="Tahoma"/>
      <family val="2"/>
    </font>
    <font>
      <sz val="8"/>
      <name val="Tahoma"/>
      <family val="2"/>
    </font>
    <font>
      <sz val="10"/>
      <color indexed="8"/>
      <name val="Arial"/>
      <family val="2"/>
    </font>
    <font>
      <b/>
      <sz val="11"/>
      <color indexed="12"/>
      <name val="Times New Roman"/>
      <family val="1"/>
    </font>
    <font>
      <b/>
      <sz val="11"/>
      <color rgb="FF0000FF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0"/>
      <name val="Times New Roman"/>
      <family val="1"/>
    </font>
    <font>
      <b/>
      <i/>
      <u/>
      <sz val="11"/>
      <color theme="1"/>
      <name val="Times New Roman"/>
      <family val="1"/>
    </font>
    <font>
      <i/>
      <u/>
      <sz val="11"/>
      <color theme="1"/>
      <name val="Times New Roman"/>
      <family val="1"/>
    </font>
    <font>
      <b/>
      <sz val="28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10"/>
      <name val="Arial"/>
      <family val="2"/>
    </font>
    <font>
      <u/>
      <sz val="10"/>
      <name val="Arial"/>
      <family val="2"/>
    </font>
    <font>
      <sz val="11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FF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medium">
        <color auto="1"/>
      </left>
      <right style="dashDotDot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dashDotDot">
        <color auto="1"/>
      </left>
      <right style="dashDotDot">
        <color auto="1"/>
      </right>
      <top style="medium">
        <color auto="1"/>
      </top>
      <bottom style="medium">
        <color auto="1"/>
      </bottom>
      <diagonal/>
    </border>
    <border>
      <left style="dashDotDot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</borders>
  <cellStyleXfs count="12">
    <xf numFmtId="0" fontId="0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32" fillId="0" borderId="0"/>
    <xf numFmtId="0" fontId="33" fillId="0" borderId="0"/>
    <xf numFmtId="0" fontId="34" fillId="0" borderId="0"/>
    <xf numFmtId="43" fontId="32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Protection="0"/>
    <xf numFmtId="0" fontId="42" fillId="0" borderId="0" applyNumberFormat="0" applyFill="0" applyBorder="0" applyProtection="0"/>
    <xf numFmtId="0" fontId="1" fillId="0" borderId="0"/>
  </cellStyleXfs>
  <cellXfs count="288">
    <xf numFmtId="0" fontId="0" fillId="0" borderId="0" xfId="0"/>
    <xf numFmtId="0" fontId="2" fillId="0" borderId="0" xfId="0" applyFont="1" applyBorder="1"/>
    <xf numFmtId="0" fontId="3" fillId="0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167" fontId="4" fillId="3" borderId="0" xfId="1" applyNumberFormat="1" applyFont="1" applyFill="1" applyBorder="1" applyAlignment="1">
      <alignment horizontal="right"/>
    </xf>
    <xf numFmtId="43" fontId="5" fillId="2" borderId="0" xfId="1" applyFont="1" applyFill="1" applyBorder="1"/>
    <xf numFmtId="167" fontId="6" fillId="0" borderId="0" xfId="0" applyNumberFormat="1" applyFont="1" applyFill="1" applyBorder="1" applyAlignment="1">
      <alignment horizontal="right" vertical="center"/>
    </xf>
    <xf numFmtId="43" fontId="7" fillId="2" borderId="0" xfId="1" applyFont="1" applyFill="1" applyBorder="1" applyAlignment="1">
      <alignment horizontal="center" vertical="center"/>
    </xf>
    <xf numFmtId="0" fontId="8" fillId="0" borderId="0" xfId="0" applyFont="1" applyBorder="1"/>
    <xf numFmtId="0" fontId="8" fillId="0" borderId="0" xfId="0" applyFont="1" applyBorder="1" applyAlignment="1"/>
    <xf numFmtId="0" fontId="8" fillId="0" borderId="0" xfId="0" applyFont="1" applyFill="1" applyProtection="1">
      <protection locked="0"/>
    </xf>
    <xf numFmtId="0" fontId="8" fillId="0" borderId="0" xfId="0" applyFont="1"/>
    <xf numFmtId="0" fontId="8" fillId="4" borderId="0" xfId="0" applyFont="1" applyFill="1" applyProtection="1">
      <protection locked="0"/>
    </xf>
    <xf numFmtId="0" fontId="8" fillId="4" borderId="0" xfId="0" applyFont="1" applyFill="1"/>
    <xf numFmtId="0" fontId="10" fillId="4" borderId="0" xfId="0" applyFont="1" applyFill="1" applyAlignment="1" applyProtection="1">
      <alignment horizontal="center"/>
      <protection locked="0"/>
    </xf>
    <xf numFmtId="0" fontId="10" fillId="4" borderId="0" xfId="0" applyFont="1" applyFill="1" applyAlignment="1" applyProtection="1">
      <alignment horizontal="left"/>
      <protection locked="0"/>
    </xf>
    <xf numFmtId="0" fontId="8" fillId="4" borderId="0" xfId="0" applyFont="1" applyFill="1" applyAlignment="1" applyProtection="1">
      <alignment horizontal="right"/>
      <protection locked="0"/>
    </xf>
    <xf numFmtId="0" fontId="10" fillId="5" borderId="0" xfId="0" applyFont="1" applyFill="1" applyAlignment="1" applyProtection="1">
      <alignment horizontal="left"/>
      <protection locked="0"/>
    </xf>
    <xf numFmtId="14" fontId="10" fillId="5" borderId="0" xfId="0" applyNumberFormat="1" applyFont="1" applyFill="1" applyAlignment="1" applyProtection="1">
      <alignment horizontal="left"/>
      <protection locked="0"/>
    </xf>
    <xf numFmtId="0" fontId="8" fillId="4" borderId="0" xfId="0" applyFont="1" applyFill="1" applyAlignment="1" applyProtection="1">
      <alignment horizontal="left"/>
      <protection locked="0"/>
    </xf>
    <xf numFmtId="0" fontId="11" fillId="4" borderId="0" xfId="0" applyFont="1" applyFill="1" applyAlignment="1" applyProtection="1">
      <alignment horizontal="right"/>
      <protection locked="0"/>
    </xf>
    <xf numFmtId="0" fontId="10" fillId="4" borderId="1" xfId="0" applyFont="1" applyFill="1" applyBorder="1" applyProtection="1">
      <protection locked="0"/>
    </xf>
    <xf numFmtId="0" fontId="10" fillId="4" borderId="2" xfId="0" applyFont="1" applyFill="1" applyBorder="1" applyAlignment="1" applyProtection="1">
      <alignment horizontal="center"/>
      <protection locked="0"/>
    </xf>
    <xf numFmtId="0" fontId="10" fillId="4" borderId="3" xfId="0" applyFont="1" applyFill="1" applyBorder="1" applyAlignment="1" applyProtection="1">
      <alignment horizontal="center"/>
      <protection locked="0"/>
    </xf>
    <xf numFmtId="0" fontId="8" fillId="4" borderId="4" xfId="0" applyFont="1" applyFill="1" applyBorder="1" applyProtection="1">
      <protection locked="0"/>
    </xf>
    <xf numFmtId="0" fontId="8" fillId="4" borderId="5" xfId="0" applyFont="1" applyFill="1" applyBorder="1" applyProtection="1">
      <protection locked="0"/>
    </xf>
    <xf numFmtId="0" fontId="8" fillId="4" borderId="6" xfId="0" applyFont="1" applyFill="1" applyBorder="1" applyProtection="1">
      <protection locked="0"/>
    </xf>
    <xf numFmtId="0" fontId="10" fillId="4" borderId="7" xfId="0" applyFont="1" applyFill="1" applyBorder="1" applyProtection="1">
      <protection locked="0"/>
    </xf>
    <xf numFmtId="0" fontId="10" fillId="4" borderId="8" xfId="0" applyFont="1" applyFill="1" applyBorder="1" applyProtection="1">
      <protection locked="0"/>
    </xf>
    <xf numFmtId="167" fontId="10" fillId="0" borderId="9" xfId="0" applyNumberFormat="1" applyFont="1" applyFill="1" applyBorder="1" applyProtection="1">
      <protection locked="0"/>
    </xf>
    <xf numFmtId="0" fontId="8" fillId="4" borderId="8" xfId="0" applyFont="1" applyFill="1" applyBorder="1" applyProtection="1">
      <protection locked="0"/>
    </xf>
    <xf numFmtId="0" fontId="8" fillId="4" borderId="9" xfId="0" applyFont="1" applyFill="1" applyBorder="1" applyProtection="1">
      <protection locked="0"/>
    </xf>
    <xf numFmtId="0" fontId="8" fillId="4" borderId="9" xfId="0" applyFont="1" applyFill="1" applyBorder="1" applyProtection="1"/>
    <xf numFmtId="167" fontId="10" fillId="0" borderId="9" xfId="0" applyNumberFormat="1" applyFont="1" applyFill="1" applyBorder="1" applyAlignment="1" applyProtection="1">
      <alignment horizontal="right"/>
      <protection locked="0"/>
    </xf>
    <xf numFmtId="167" fontId="10" fillId="4" borderId="9" xfId="0" applyNumberFormat="1" applyFont="1" applyFill="1" applyBorder="1" applyProtection="1"/>
    <xf numFmtId="10" fontId="10" fillId="4" borderId="9" xfId="2" applyNumberFormat="1" applyFont="1" applyFill="1" applyBorder="1" applyProtection="1"/>
    <xf numFmtId="167" fontId="8" fillId="5" borderId="9" xfId="0" applyNumberFormat="1" applyFont="1" applyFill="1" applyBorder="1" applyProtection="1"/>
    <xf numFmtId="167" fontId="8" fillId="5" borderId="9" xfId="0" applyNumberFormat="1" applyFont="1" applyFill="1" applyBorder="1" applyProtection="1">
      <protection locked="0"/>
    </xf>
    <xf numFmtId="167" fontId="8" fillId="0" borderId="9" xfId="0" applyNumberFormat="1" applyFont="1" applyFill="1" applyBorder="1" applyProtection="1">
      <protection locked="0"/>
    </xf>
    <xf numFmtId="3" fontId="8" fillId="5" borderId="9" xfId="0" applyNumberFormat="1" applyFont="1" applyFill="1" applyBorder="1" applyProtection="1">
      <protection locked="0"/>
    </xf>
    <xf numFmtId="0" fontId="10" fillId="4" borderId="7" xfId="0" applyFont="1" applyFill="1" applyBorder="1" applyAlignment="1" applyProtection="1">
      <alignment vertical="center" wrapText="1"/>
      <protection locked="0"/>
    </xf>
    <xf numFmtId="0" fontId="8" fillId="4" borderId="8" xfId="0" applyFont="1" applyFill="1" applyBorder="1" applyAlignment="1" applyProtection="1">
      <alignment vertical="center" wrapText="1"/>
      <protection locked="0"/>
    </xf>
    <xf numFmtId="3" fontId="8" fillId="5" borderId="9" xfId="0" applyNumberFormat="1" applyFont="1" applyFill="1" applyBorder="1" applyAlignment="1" applyProtection="1">
      <alignment vertical="center" wrapText="1"/>
      <protection locked="0"/>
    </xf>
    <xf numFmtId="0" fontId="12" fillId="4" borderId="8" xfId="0" applyFont="1" applyFill="1" applyBorder="1" applyAlignment="1" applyProtection="1">
      <alignment vertical="center" wrapText="1"/>
      <protection locked="0"/>
    </xf>
    <xf numFmtId="3" fontId="12" fillId="0" borderId="9" xfId="0" applyNumberFormat="1" applyFont="1" applyFill="1" applyBorder="1" applyAlignment="1" applyProtection="1">
      <alignment vertical="center" wrapText="1"/>
      <protection locked="0"/>
    </xf>
    <xf numFmtId="167" fontId="8" fillId="5" borderId="9" xfId="0" applyNumberFormat="1" applyFont="1" applyFill="1" applyBorder="1" applyAlignment="1" applyProtection="1">
      <alignment vertical="center" wrapText="1"/>
      <protection locked="0"/>
    </xf>
    <xf numFmtId="10" fontId="10" fillId="4" borderId="9" xfId="0" applyNumberFormat="1" applyFont="1" applyFill="1" applyBorder="1" applyProtection="1"/>
    <xf numFmtId="0" fontId="10" fillId="4" borderId="10" xfId="0" applyFont="1" applyFill="1" applyBorder="1" applyProtection="1">
      <protection locked="0"/>
    </xf>
    <xf numFmtId="0" fontId="10" fillId="4" borderId="11" xfId="0" applyFont="1" applyFill="1" applyBorder="1" applyProtection="1">
      <protection locked="0"/>
    </xf>
    <xf numFmtId="10" fontId="10" fillId="4" borderId="12" xfId="0" applyNumberFormat="1" applyFont="1" applyFill="1" applyBorder="1" applyProtection="1"/>
    <xf numFmtId="0" fontId="10" fillId="4" borderId="0" xfId="0" applyFont="1" applyFill="1" applyBorder="1" applyProtection="1">
      <protection locked="0"/>
    </xf>
    <xf numFmtId="0" fontId="13" fillId="4" borderId="0" xfId="0" applyFont="1" applyFill="1" applyAlignment="1" applyProtection="1">
      <alignment horizontal="right"/>
      <protection locked="0"/>
    </xf>
    <xf numFmtId="10" fontId="10" fillId="4" borderId="0" xfId="0" applyNumberFormat="1" applyFont="1" applyFill="1" applyBorder="1" applyProtection="1"/>
    <xf numFmtId="0" fontId="14" fillId="4" borderId="0" xfId="0" applyFont="1" applyFill="1" applyProtection="1">
      <protection locked="0"/>
    </xf>
    <xf numFmtId="0" fontId="8" fillId="4" borderId="0" xfId="0" applyFont="1" applyFill="1" applyBorder="1" applyProtection="1">
      <protection locked="0"/>
    </xf>
    <xf numFmtId="0" fontId="8" fillId="4" borderId="0" xfId="0" applyFont="1" applyFill="1" applyBorder="1"/>
    <xf numFmtId="10" fontId="8" fillId="4" borderId="0" xfId="0" applyNumberFormat="1" applyFont="1" applyFill="1" applyBorder="1" applyProtection="1">
      <protection locked="0"/>
    </xf>
    <xf numFmtId="0" fontId="8" fillId="4" borderId="0" xfId="0" applyFont="1" applyFill="1" applyBorder="1" applyAlignment="1" applyProtection="1">
      <protection locked="0"/>
    </xf>
    <xf numFmtId="10" fontId="8" fillId="4" borderId="0" xfId="0" applyNumberFormat="1" applyFont="1" applyFill="1" applyBorder="1" applyAlignment="1" applyProtection="1">
      <protection locked="0"/>
    </xf>
    <xf numFmtId="0" fontId="8" fillId="4" borderId="0" xfId="0" applyFont="1" applyFill="1" applyBorder="1" applyAlignment="1"/>
    <xf numFmtId="169" fontId="8" fillId="4" borderId="0" xfId="2" applyNumberFormat="1" applyFont="1" applyFill="1" applyBorder="1" applyProtection="1">
      <protection locked="0"/>
    </xf>
    <xf numFmtId="43" fontId="8" fillId="4" borderId="0" xfId="1" applyFont="1" applyFill="1" applyProtection="1">
      <protection locked="0"/>
    </xf>
    <xf numFmtId="170" fontId="8" fillId="0" borderId="0" xfId="0" applyNumberFormat="1" applyFont="1" applyFill="1" applyProtection="1">
      <protection locked="0"/>
    </xf>
    <xf numFmtId="43" fontId="8" fillId="0" borderId="0" xfId="0" applyNumberFormat="1" applyFont="1" applyFill="1" applyProtection="1">
      <protection locked="0"/>
    </xf>
    <xf numFmtId="10" fontId="8" fillId="0" borderId="0" xfId="2" applyNumberFormat="1" applyFont="1" applyFill="1" applyProtection="1">
      <protection locked="0"/>
    </xf>
    <xf numFmtId="169" fontId="8" fillId="0" borderId="0" xfId="2" applyNumberFormat="1" applyFont="1" applyFill="1" applyProtection="1">
      <protection locked="0"/>
    </xf>
    <xf numFmtId="0" fontId="15" fillId="0" borderId="0" xfId="4" applyFont="1" applyBorder="1"/>
    <xf numFmtId="0" fontId="16" fillId="0" borderId="0" xfId="4" applyFont="1" applyFill="1" applyBorder="1" applyAlignment="1">
      <alignment vertical="center" wrapText="1"/>
    </xf>
    <xf numFmtId="0" fontId="15" fillId="6" borderId="0" xfId="4" applyFont="1" applyFill="1" applyBorder="1" applyAlignment="1">
      <alignment vertical="center"/>
    </xf>
    <xf numFmtId="0" fontId="17" fillId="4" borderId="0" xfId="4" applyFont="1" applyFill="1" applyAlignment="1">
      <alignment vertical="center"/>
    </xf>
    <xf numFmtId="0" fontId="2" fillId="4" borderId="0" xfId="4" applyFont="1" applyFill="1" applyAlignment="1">
      <alignment horizontal="center" vertical="center"/>
    </xf>
    <xf numFmtId="0" fontId="2" fillId="4" borderId="0" xfId="4" applyFont="1" applyFill="1" applyAlignment="1">
      <alignment vertical="center"/>
    </xf>
    <xf numFmtId="4" fontId="13" fillId="4" borderId="0" xfId="4" applyNumberFormat="1" applyFont="1" applyFill="1" applyAlignment="1">
      <alignment horizontal="center" vertical="center"/>
    </xf>
    <xf numFmtId="43" fontId="13" fillId="4" borderId="0" xfId="7" applyFont="1" applyFill="1" applyAlignment="1">
      <alignment horizontal="center" vertical="center"/>
    </xf>
    <xf numFmtId="0" fontId="15" fillId="0" borderId="0" xfId="4" applyFont="1"/>
    <xf numFmtId="166" fontId="18" fillId="4" borderId="0" xfId="4" applyNumberFormat="1" applyFont="1" applyFill="1" applyAlignment="1">
      <alignment horizontal="center" vertical="center"/>
    </xf>
    <xf numFmtId="0" fontId="2" fillId="4" borderId="0" xfId="4" applyFont="1" applyFill="1" applyBorder="1" applyAlignment="1">
      <alignment horizontal="left" vertical="center"/>
    </xf>
    <xf numFmtId="0" fontId="2" fillId="4" borderId="0" xfId="4" applyFont="1" applyFill="1" applyAlignment="1">
      <alignment horizontal="left" vertical="center"/>
    </xf>
    <xf numFmtId="43" fontId="2" fillId="4" borderId="0" xfId="7" applyFont="1" applyFill="1" applyBorder="1" applyAlignment="1">
      <alignment horizontal="left" vertical="center"/>
    </xf>
    <xf numFmtId="0" fontId="15" fillId="0" borderId="0" xfId="4" applyFont="1" applyBorder="1" applyAlignment="1">
      <alignment horizontal="center" vertical="center"/>
    </xf>
    <xf numFmtId="0" fontId="17" fillId="4" borderId="0" xfId="4" applyFont="1" applyFill="1" applyBorder="1" applyAlignment="1">
      <alignment vertical="center"/>
    </xf>
    <xf numFmtId="0" fontId="15" fillId="0" borderId="0" xfId="4" applyFont="1" applyAlignment="1"/>
    <xf numFmtId="0" fontId="16" fillId="0" borderId="0" xfId="4" applyFont="1"/>
    <xf numFmtId="4" fontId="2" fillId="4" borderId="0" xfId="4" applyNumberFormat="1" applyFont="1" applyFill="1" applyAlignment="1">
      <alignment horizontal="center" vertical="center"/>
    </xf>
    <xf numFmtId="43" fontId="2" fillId="4" borderId="0" xfId="7" applyFont="1" applyFill="1" applyAlignment="1">
      <alignment horizontal="center" vertical="center"/>
    </xf>
    <xf numFmtId="43" fontId="18" fillId="4" borderId="0" xfId="7" applyFont="1" applyFill="1" applyAlignment="1">
      <alignment horizontal="center" vertical="center"/>
    </xf>
    <xf numFmtId="0" fontId="2" fillId="4" borderId="0" xfId="4" applyFont="1" applyFill="1" applyBorder="1" applyAlignment="1">
      <alignment vertical="center"/>
    </xf>
    <xf numFmtId="0" fontId="2" fillId="4" borderId="0" xfId="4" applyFont="1" applyFill="1" applyAlignment="1">
      <alignment vertical="center" wrapText="1"/>
    </xf>
    <xf numFmtId="0" fontId="19" fillId="4" borderId="0" xfId="4" applyFont="1" applyFill="1" applyAlignment="1">
      <alignment horizontal="left" vertical="center"/>
    </xf>
    <xf numFmtId="0" fontId="2" fillId="4" borderId="0" xfId="4" applyFont="1" applyFill="1" applyBorder="1" applyAlignment="1">
      <alignment horizontal="center" vertical="center"/>
    </xf>
    <xf numFmtId="4" fontId="2" fillId="4" borderId="0" xfId="4" applyNumberFormat="1" applyFont="1" applyFill="1" applyBorder="1" applyAlignment="1">
      <alignment horizontal="center" vertical="center" wrapText="1"/>
    </xf>
    <xf numFmtId="43" fontId="2" fillId="4" borderId="0" xfId="7" applyFont="1" applyFill="1" applyBorder="1" applyAlignment="1">
      <alignment horizontal="right" vertical="center"/>
    </xf>
    <xf numFmtId="0" fontId="20" fillId="4" borderId="0" xfId="4" applyFont="1" applyFill="1" applyAlignment="1">
      <alignment vertical="center"/>
    </xf>
    <xf numFmtId="0" fontId="22" fillId="4" borderId="0" xfId="4" applyFont="1" applyFill="1" applyAlignment="1">
      <alignment horizontal="left" vertical="center"/>
    </xf>
    <xf numFmtId="0" fontId="20" fillId="4" borderId="0" xfId="4" applyFont="1" applyFill="1" applyBorder="1" applyAlignment="1">
      <alignment vertical="center"/>
    </xf>
    <xf numFmtId="165" fontId="2" fillId="4" borderId="0" xfId="4" applyNumberFormat="1" applyFont="1" applyFill="1" applyAlignment="1">
      <alignment horizontal="left" vertical="center"/>
    </xf>
    <xf numFmtId="4" fontId="2" fillId="4" borderId="0" xfId="4" applyNumberFormat="1" applyFont="1" applyFill="1" applyAlignment="1">
      <alignment vertical="center"/>
    </xf>
    <xf numFmtId="14" fontId="20" fillId="4" borderId="0" xfId="4" applyNumberFormat="1" applyFont="1" applyFill="1" applyAlignment="1">
      <alignment vertical="center"/>
    </xf>
    <xf numFmtId="0" fontId="2" fillId="4" borderId="0" xfId="4" applyFont="1" applyFill="1" applyBorder="1" applyAlignment="1">
      <alignment horizontal="left"/>
    </xf>
    <xf numFmtId="0" fontId="2" fillId="4" borderId="0" xfId="4" applyFont="1" applyFill="1" applyBorder="1" applyAlignment="1">
      <alignment horizontal="center" wrapText="1"/>
    </xf>
    <xf numFmtId="0" fontId="2" fillId="4" borderId="0" xfId="4" applyFont="1" applyFill="1" applyBorder="1" applyAlignment="1">
      <alignment horizontal="left" wrapText="1"/>
    </xf>
    <xf numFmtId="43" fontId="2" fillId="4" borderId="0" xfId="7" applyFont="1" applyFill="1" applyBorder="1" applyAlignment="1">
      <alignment horizontal="left" wrapText="1"/>
    </xf>
    <xf numFmtId="0" fontId="21" fillId="8" borderId="14" xfId="4" applyFont="1" applyFill="1" applyBorder="1" applyAlignment="1">
      <alignment horizontal="center" vertical="center"/>
    </xf>
    <xf numFmtId="0" fontId="21" fillId="8" borderId="15" xfId="4" applyFont="1" applyFill="1" applyBorder="1" applyAlignment="1">
      <alignment horizontal="center" vertical="center"/>
    </xf>
    <xf numFmtId="0" fontId="21" fillId="8" borderId="15" xfId="4" applyFont="1" applyFill="1" applyBorder="1" applyAlignment="1">
      <alignment horizontal="center" vertical="center" wrapText="1"/>
    </xf>
    <xf numFmtId="166" fontId="21" fillId="8" borderId="15" xfId="4" applyNumberFormat="1" applyFont="1" applyFill="1" applyBorder="1" applyAlignment="1">
      <alignment horizontal="center" vertical="center" wrapText="1"/>
    </xf>
    <xf numFmtId="4" fontId="21" fillId="8" borderId="15" xfId="4" applyNumberFormat="1" applyFont="1" applyFill="1" applyBorder="1" applyAlignment="1">
      <alignment horizontal="center" vertical="center" wrapText="1"/>
    </xf>
    <xf numFmtId="43" fontId="21" fillId="8" borderId="16" xfId="7" applyFont="1" applyFill="1" applyBorder="1" applyAlignment="1">
      <alignment horizontal="center" vertical="center" wrapText="1"/>
    </xf>
    <xf numFmtId="0" fontId="2" fillId="4" borderId="17" xfId="4" applyFont="1" applyFill="1" applyBorder="1" applyAlignment="1">
      <alignment horizontal="center" vertical="center"/>
    </xf>
    <xf numFmtId="0" fontId="2" fillId="0" borderId="18" xfId="6" applyFont="1" applyFill="1" applyBorder="1" applyAlignment="1">
      <alignment horizontal="center" vertical="center" wrapText="1"/>
    </xf>
    <xf numFmtId="0" fontId="2" fillId="0" borderId="18" xfId="6" applyFont="1" applyFill="1" applyBorder="1" applyAlignment="1">
      <alignment vertical="center" wrapText="1"/>
    </xf>
    <xf numFmtId="0" fontId="2" fillId="0" borderId="18" xfId="6" applyFont="1" applyFill="1" applyBorder="1" applyAlignment="1">
      <alignment horizontal="center" vertical="center"/>
    </xf>
    <xf numFmtId="170" fontId="2" fillId="4" borderId="18" xfId="1" applyNumberFormat="1" applyFont="1" applyFill="1" applyBorder="1" applyAlignment="1">
      <alignment vertical="center" wrapText="1"/>
    </xf>
    <xf numFmtId="170" fontId="2" fillId="4" borderId="19" xfId="1" applyNumberFormat="1" applyFont="1" applyFill="1" applyBorder="1" applyAlignment="1">
      <alignment vertical="center" wrapText="1"/>
    </xf>
    <xf numFmtId="170" fontId="18" fillId="4" borderId="19" xfId="1" applyNumberFormat="1" applyFont="1" applyFill="1" applyBorder="1" applyAlignment="1">
      <alignment vertical="center" wrapText="1"/>
    </xf>
    <xf numFmtId="0" fontId="27" fillId="4" borderId="0" xfId="4" applyFont="1" applyFill="1" applyAlignment="1">
      <alignment vertical="center"/>
    </xf>
    <xf numFmtId="0" fontId="28" fillId="4" borderId="0" xfId="4" applyFont="1" applyFill="1" applyAlignment="1">
      <alignment vertical="center"/>
    </xf>
    <xf numFmtId="1" fontId="2" fillId="4" borderId="0" xfId="4" applyNumberFormat="1" applyFont="1" applyFill="1" applyBorder="1" applyAlignment="1">
      <alignment horizontal="left" vertical="center" indent="2"/>
    </xf>
    <xf numFmtId="1" fontId="2" fillId="4" borderId="0" xfId="4" applyNumberFormat="1" applyFont="1" applyFill="1" applyBorder="1" applyAlignment="1">
      <alignment horizontal="left" vertical="center"/>
    </xf>
    <xf numFmtId="0" fontId="18" fillId="4" borderId="0" xfId="4" applyFont="1" applyFill="1" applyAlignment="1">
      <alignment horizontal="left" vertical="center"/>
    </xf>
    <xf numFmtId="0" fontId="18" fillId="4" borderId="0" xfId="4" applyFont="1" applyFill="1" applyAlignment="1">
      <alignment vertical="center"/>
    </xf>
    <xf numFmtId="0" fontId="24" fillId="4" borderId="0" xfId="4" applyFont="1" applyFill="1" applyAlignment="1">
      <alignment horizontal="left" vertical="center"/>
    </xf>
    <xf numFmtId="0" fontId="18" fillId="4" borderId="0" xfId="4" applyFont="1" applyFill="1" applyAlignment="1">
      <alignment horizontal="left" vertical="center" wrapText="1"/>
    </xf>
    <xf numFmtId="0" fontId="18" fillId="4" borderId="0" xfId="4" applyFont="1" applyFill="1" applyAlignment="1">
      <alignment horizontal="center" vertical="center" wrapText="1"/>
    </xf>
    <xf numFmtId="0" fontId="18" fillId="4" borderId="0" xfId="4" applyFont="1" applyFill="1" applyAlignment="1">
      <alignment horizontal="left" vertical="center" indent="2"/>
    </xf>
    <xf numFmtId="0" fontId="2" fillId="4" borderId="0" xfId="4" applyFont="1" applyFill="1" applyAlignment="1">
      <alignment horizontal="left" vertical="center" indent="2"/>
    </xf>
    <xf numFmtId="0" fontId="2" fillId="4" borderId="0" xfId="4" applyFont="1" applyFill="1" applyAlignment="1">
      <alignment horizontal="left" vertical="center" wrapText="1"/>
    </xf>
    <xf numFmtId="0" fontId="2" fillId="4" borderId="0" xfId="4" applyFont="1" applyFill="1" applyAlignment="1">
      <alignment horizontal="center" vertical="center" wrapText="1"/>
    </xf>
    <xf numFmtId="0" fontId="2" fillId="4" borderId="0" xfId="4" applyFont="1" applyFill="1" applyAlignment="1">
      <alignment horizontal="left" vertical="center" indent="1"/>
    </xf>
    <xf numFmtId="0" fontId="2" fillId="0" borderId="0" xfId="4" applyFont="1" applyAlignment="1">
      <alignment vertical="top"/>
    </xf>
    <xf numFmtId="0" fontId="18" fillId="4" borderId="0" xfId="4" applyFont="1" applyFill="1" applyAlignment="1">
      <alignment vertical="center" wrapText="1"/>
    </xf>
    <xf numFmtId="0" fontId="20" fillId="4" borderId="0" xfId="4" applyFont="1" applyFill="1" applyAlignment="1">
      <alignment vertical="center" wrapText="1"/>
    </xf>
    <xf numFmtId="49" fontId="18" fillId="4" borderId="0" xfId="4" applyNumberFormat="1" applyFont="1" applyFill="1" applyAlignment="1">
      <alignment horizontal="center" vertical="center"/>
    </xf>
    <xf numFmtId="167" fontId="18" fillId="4" borderId="0" xfId="4" applyNumberFormat="1" applyFont="1" applyFill="1" applyAlignment="1">
      <alignment horizontal="center" vertical="center"/>
    </xf>
    <xf numFmtId="4" fontId="18" fillId="0" borderId="0" xfId="4" applyNumberFormat="1" applyFont="1" applyAlignment="1">
      <alignment horizontal="center"/>
    </xf>
    <xf numFmtId="0" fontId="20" fillId="4" borderId="0" xfId="4" applyFont="1" applyFill="1" applyAlignment="1">
      <alignment horizontal="center" vertical="top"/>
    </xf>
    <xf numFmtId="0" fontId="20" fillId="4" borderId="0" xfId="4" applyFont="1" applyFill="1" applyAlignment="1">
      <alignment horizontal="left" vertical="center"/>
    </xf>
    <xf numFmtId="49" fontId="2" fillId="4" borderId="0" xfId="4" applyNumberFormat="1" applyFont="1" applyFill="1" applyAlignment="1">
      <alignment horizontal="center" vertical="center"/>
    </xf>
    <xf numFmtId="167" fontId="20" fillId="4" borderId="0" xfId="4" applyNumberFormat="1" applyFont="1" applyFill="1" applyAlignment="1">
      <alignment horizontal="center" vertical="center"/>
    </xf>
    <xf numFmtId="167" fontId="2" fillId="4" borderId="0" xfId="4" applyNumberFormat="1" applyFont="1" applyFill="1" applyAlignment="1">
      <alignment horizontal="center" vertical="center"/>
    </xf>
    <xf numFmtId="0" fontId="29" fillId="0" borderId="0" xfId="3" applyFont="1" applyAlignment="1" applyProtection="1"/>
    <xf numFmtId="0" fontId="15" fillId="0" borderId="13" xfId="4" applyFont="1" applyBorder="1" applyAlignment="1">
      <alignment horizontal="center" vertical="center"/>
    </xf>
    <xf numFmtId="1" fontId="15" fillId="0" borderId="13" xfId="4" applyNumberFormat="1" applyFont="1" applyBorder="1" applyAlignment="1">
      <alignment horizontal="center"/>
    </xf>
    <xf numFmtId="0" fontId="15" fillId="0" borderId="26" xfId="4" applyFont="1" applyBorder="1" applyAlignment="1">
      <alignment horizontal="center" vertical="center"/>
    </xf>
    <xf numFmtId="170" fontId="15" fillId="0" borderId="26" xfId="4" applyNumberFormat="1" applyFont="1" applyBorder="1" applyAlignment="1">
      <alignment horizontal="center" vertical="center"/>
    </xf>
    <xf numFmtId="170" fontId="15" fillId="0" borderId="26" xfId="1" applyNumberFormat="1" applyFont="1" applyBorder="1" applyAlignment="1">
      <alignment horizontal="center" vertical="center"/>
    </xf>
    <xf numFmtId="4" fontId="15" fillId="0" borderId="26" xfId="4" applyNumberFormat="1" applyFont="1" applyBorder="1" applyAlignment="1">
      <alignment horizontal="center" vertical="center"/>
    </xf>
    <xf numFmtId="43" fontId="15" fillId="0" borderId="26" xfId="4" applyNumberFormat="1" applyFont="1" applyBorder="1" applyAlignment="1">
      <alignment horizontal="center" vertical="center"/>
    </xf>
    <xf numFmtId="0" fontId="16" fillId="0" borderId="27" xfId="4" applyFont="1" applyBorder="1" applyAlignment="1">
      <alignment horizontal="center" vertical="center"/>
    </xf>
    <xf numFmtId="0" fontId="15" fillId="0" borderId="28" xfId="4" applyFont="1" applyBorder="1" applyAlignment="1">
      <alignment horizontal="center" vertical="center"/>
    </xf>
    <xf numFmtId="4" fontId="15" fillId="0" borderId="0" xfId="4" applyNumberFormat="1" applyFont="1" applyBorder="1" applyAlignment="1">
      <alignment horizontal="center" vertical="center"/>
    </xf>
    <xf numFmtId="43" fontId="15" fillId="0" borderId="0" xfId="4" applyNumberFormat="1" applyFont="1" applyBorder="1" applyAlignment="1">
      <alignment horizontal="center" vertical="center"/>
    </xf>
    <xf numFmtId="170" fontId="15" fillId="0" borderId="0" xfId="4" applyNumberFormat="1" applyFont="1" applyBorder="1" applyAlignment="1">
      <alignment horizontal="center" vertical="center"/>
    </xf>
    <xf numFmtId="170" fontId="15" fillId="0" borderId="0" xfId="1" applyNumberFormat="1" applyFont="1" applyBorder="1" applyAlignment="1">
      <alignment horizontal="center" vertical="center"/>
    </xf>
    <xf numFmtId="43" fontId="18" fillId="4" borderId="0" xfId="7" applyFont="1" applyFill="1" applyAlignment="1">
      <alignment horizontal="left" vertical="center" wrapText="1"/>
    </xf>
    <xf numFmtId="43" fontId="2" fillId="4" borderId="0" xfId="7" applyFont="1" applyFill="1" applyAlignment="1">
      <alignment horizontal="left" vertical="center" wrapText="1"/>
    </xf>
    <xf numFmtId="43" fontId="2" fillId="4" borderId="0" xfId="7" applyFont="1" applyFill="1" applyAlignment="1">
      <alignment vertical="center"/>
    </xf>
    <xf numFmtId="9" fontId="15" fillId="0" borderId="26" xfId="4" applyNumberFormat="1" applyFont="1" applyBorder="1" applyAlignment="1">
      <alignment horizontal="center" vertical="center"/>
    </xf>
    <xf numFmtId="0" fontId="16" fillId="0" borderId="29" xfId="4" applyFont="1" applyBorder="1" applyAlignment="1">
      <alignment horizontal="center" vertical="center"/>
    </xf>
    <xf numFmtId="0" fontId="16" fillId="0" borderId="30" xfId="4" applyFont="1" applyBorder="1" applyAlignment="1">
      <alignment horizontal="center" vertical="center"/>
    </xf>
    <xf numFmtId="0" fontId="15" fillId="0" borderId="0" xfId="4" applyNumberFormat="1" applyFont="1" applyBorder="1" applyAlignment="1">
      <alignment horizontal="center" vertical="center"/>
    </xf>
    <xf numFmtId="0" fontId="30" fillId="0" borderId="0" xfId="3" applyAlignment="1" applyProtection="1"/>
    <xf numFmtId="0" fontId="17" fillId="4" borderId="0" xfId="4" applyFont="1" applyFill="1" applyAlignment="1">
      <alignment horizontal="left" vertical="top" indent="4"/>
    </xf>
    <xf numFmtId="0" fontId="20" fillId="4" borderId="0" xfId="4" applyFont="1" applyFill="1" applyBorder="1" applyAlignment="1">
      <alignment vertical="center" wrapText="1"/>
    </xf>
    <xf numFmtId="14" fontId="2" fillId="4" borderId="0" xfId="4" applyNumberFormat="1" applyFont="1" applyFill="1" applyAlignment="1">
      <alignment horizontal="left" vertical="center"/>
    </xf>
    <xf numFmtId="4" fontId="2" fillId="4" borderId="0" xfId="4" applyNumberFormat="1" applyFont="1" applyFill="1" applyAlignment="1">
      <alignment horizontal="left" vertical="center"/>
    </xf>
    <xf numFmtId="43" fontId="2" fillId="4" borderId="18" xfId="4" applyNumberFormat="1" applyFont="1" applyFill="1" applyBorder="1" applyAlignment="1">
      <alignment vertical="center" wrapText="1"/>
    </xf>
    <xf numFmtId="43" fontId="2" fillId="4" borderId="19" xfId="7" applyNumberFormat="1" applyFont="1" applyFill="1" applyBorder="1" applyAlignment="1">
      <alignment vertical="center" wrapText="1"/>
    </xf>
    <xf numFmtId="43" fontId="23" fillId="4" borderId="19" xfId="7" applyFont="1" applyFill="1" applyBorder="1" applyAlignment="1">
      <alignment vertical="center" wrapText="1"/>
    </xf>
    <xf numFmtId="0" fontId="26" fillId="4" borderId="0" xfId="4" applyFont="1" applyFill="1" applyAlignment="1">
      <alignment vertical="center"/>
    </xf>
    <xf numFmtId="1" fontId="2" fillId="4" borderId="0" xfId="4" applyNumberFormat="1" applyFont="1" applyFill="1" applyBorder="1" applyAlignment="1">
      <alignment horizontal="left" vertical="center" indent="4"/>
    </xf>
    <xf numFmtId="1" fontId="2" fillId="4" borderId="0" xfId="4" applyNumberFormat="1" applyFont="1" applyFill="1" applyBorder="1" applyAlignment="1">
      <alignment horizontal="left" vertical="top" indent="4"/>
    </xf>
    <xf numFmtId="0" fontId="2" fillId="4" borderId="0" xfId="4" applyFont="1" applyFill="1" applyBorder="1" applyAlignment="1">
      <alignment horizontal="left" vertical="top" indent="4"/>
    </xf>
    <xf numFmtId="167" fontId="18" fillId="4" borderId="0" xfId="4" applyNumberFormat="1" applyFont="1" applyFill="1" applyAlignment="1">
      <alignment horizontal="center"/>
    </xf>
    <xf numFmtId="167" fontId="20" fillId="4" borderId="0" xfId="4" applyNumberFormat="1" applyFont="1" applyFill="1" applyAlignment="1">
      <alignment horizontal="center" vertical="top"/>
    </xf>
    <xf numFmtId="0" fontId="31" fillId="4" borderId="0" xfId="8" applyFont="1" applyFill="1" applyAlignment="1" applyProtection="1">
      <alignment horizontal="left" vertical="center" indent="1"/>
    </xf>
    <xf numFmtId="164" fontId="15" fillId="0" borderId="13" xfId="4" applyNumberFormat="1" applyFont="1" applyBorder="1" applyAlignment="1">
      <alignment horizontal="center"/>
    </xf>
    <xf numFmtId="43" fontId="2" fillId="4" borderId="0" xfId="7" applyFont="1" applyFill="1" applyBorder="1" applyAlignment="1">
      <alignment horizontal="left" vertical="top" indent="4"/>
    </xf>
    <xf numFmtId="0" fontId="17" fillId="4" borderId="0" xfId="4" applyFont="1" applyFill="1" applyBorder="1" applyAlignment="1">
      <alignment horizontal="left" vertical="top" indent="4"/>
    </xf>
    <xf numFmtId="0" fontId="2" fillId="4" borderId="0" xfId="4" quotePrefix="1" applyFont="1" applyFill="1" applyAlignment="1">
      <alignment vertical="center"/>
    </xf>
    <xf numFmtId="0" fontId="10" fillId="4" borderId="8" xfId="0" quotePrefix="1" applyFont="1" applyFill="1" applyBorder="1" applyProtection="1">
      <protection locked="0"/>
    </xf>
    <xf numFmtId="0" fontId="23" fillId="6" borderId="0" xfId="4" applyFont="1" applyFill="1" applyBorder="1" applyAlignment="1">
      <alignment horizontal="center"/>
    </xf>
    <xf numFmtId="0" fontId="23" fillId="6" borderId="0" xfId="4" applyFont="1" applyFill="1" applyBorder="1" applyAlignment="1">
      <alignment horizontal="center" vertical="center"/>
    </xf>
    <xf numFmtId="4" fontId="52" fillId="4" borderId="0" xfId="4" applyNumberFormat="1" applyFont="1" applyFill="1" applyAlignment="1">
      <alignment vertical="center"/>
    </xf>
    <xf numFmtId="43" fontId="52" fillId="4" borderId="0" xfId="7" applyFont="1" applyFill="1" applyAlignment="1">
      <alignment vertical="center"/>
    </xf>
    <xf numFmtId="4" fontId="8" fillId="4" borderId="0" xfId="4" applyNumberFormat="1" applyFont="1" applyFill="1" applyAlignment="1">
      <alignment horizontal="center" vertical="center"/>
    </xf>
    <xf numFmtId="43" fontId="8" fillId="4" borderId="0" xfId="7" applyFont="1" applyFill="1" applyAlignment="1">
      <alignment horizontal="center" vertical="center"/>
    </xf>
    <xf numFmtId="0" fontId="13" fillId="4" borderId="0" xfId="4" applyFont="1" applyFill="1" applyAlignment="1">
      <alignment horizontal="center" vertical="center"/>
    </xf>
    <xf numFmtId="0" fontId="13" fillId="4" borderId="0" xfId="4" applyFont="1" applyFill="1" applyAlignment="1">
      <alignment vertical="center"/>
    </xf>
    <xf numFmtId="0" fontId="52" fillId="4" borderId="0" xfId="4" applyFont="1" applyFill="1" applyAlignment="1">
      <alignment vertical="center"/>
    </xf>
    <xf numFmtId="0" fontId="10" fillId="4" borderId="0" xfId="4" applyFont="1" applyFill="1" applyAlignment="1">
      <alignment vertical="center"/>
    </xf>
    <xf numFmtId="0" fontId="10" fillId="4" borderId="0" xfId="4" applyFont="1" applyFill="1" applyAlignment="1">
      <alignment horizontal="center" vertical="center"/>
    </xf>
    <xf numFmtId="0" fontId="8" fillId="4" borderId="0" xfId="4" applyFont="1" applyFill="1" applyAlignment="1">
      <alignment horizontal="center" vertical="center"/>
    </xf>
    <xf numFmtId="0" fontId="8" fillId="4" borderId="0" xfId="4" applyFont="1" applyFill="1" applyAlignment="1">
      <alignment vertical="center"/>
    </xf>
    <xf numFmtId="168" fontId="47" fillId="6" borderId="13" xfId="4" applyNumberFormat="1" applyFont="1" applyFill="1" applyBorder="1" applyAlignment="1">
      <alignment vertical="center"/>
    </xf>
    <xf numFmtId="170" fontId="16" fillId="0" borderId="0" xfId="1" applyNumberFormat="1" applyFont="1" applyFill="1" applyBorder="1" applyAlignment="1">
      <alignment vertical="center" wrapText="1"/>
    </xf>
    <xf numFmtId="170" fontId="23" fillId="6" borderId="0" xfId="1" applyNumberFormat="1" applyFont="1" applyFill="1" applyBorder="1" applyAlignment="1">
      <alignment horizontal="center"/>
    </xf>
    <xf numFmtId="170" fontId="23" fillId="6" borderId="0" xfId="1" applyNumberFormat="1" applyFont="1" applyFill="1" applyBorder="1" applyAlignment="1">
      <alignment horizontal="center" vertical="center"/>
    </xf>
    <xf numFmtId="170" fontId="15" fillId="6" borderId="0" xfId="1" applyNumberFormat="1" applyFont="1" applyFill="1" applyBorder="1" applyAlignment="1">
      <alignment vertical="center"/>
    </xf>
    <xf numFmtId="170" fontId="15" fillId="0" borderId="0" xfId="1" applyNumberFormat="1" applyFont="1"/>
    <xf numFmtId="171" fontId="47" fillId="6" borderId="13" xfId="4" applyNumberFormat="1" applyFont="1" applyFill="1" applyBorder="1" applyAlignment="1">
      <alignment vertical="center"/>
    </xf>
    <xf numFmtId="9" fontId="23" fillId="6" borderId="0" xfId="2" applyFont="1" applyFill="1" applyBorder="1" applyAlignment="1">
      <alignment horizontal="center"/>
    </xf>
    <xf numFmtId="170" fontId="18" fillId="6" borderId="0" xfId="1" applyNumberFormat="1" applyFont="1" applyFill="1" applyBorder="1" applyAlignment="1">
      <alignment horizontal="center"/>
    </xf>
    <xf numFmtId="170" fontId="18" fillId="6" borderId="0" xfId="1" applyNumberFormat="1" applyFont="1" applyFill="1" applyBorder="1" applyAlignment="1">
      <alignment horizontal="center" vertical="center"/>
    </xf>
    <xf numFmtId="170" fontId="2" fillId="6" borderId="0" xfId="1" applyNumberFormat="1" applyFont="1" applyFill="1" applyBorder="1" applyAlignment="1">
      <alignment vertical="center"/>
    </xf>
    <xf numFmtId="170" fontId="2" fillId="0" borderId="0" xfId="1" applyNumberFormat="1" applyFont="1"/>
    <xf numFmtId="9" fontId="15" fillId="6" borderId="0" xfId="2" applyFont="1" applyFill="1" applyBorder="1" applyAlignment="1">
      <alignment vertical="center"/>
    </xf>
    <xf numFmtId="0" fontId="50" fillId="4" borderId="0" xfId="4" applyFont="1" applyFill="1" applyBorder="1" applyAlignment="1">
      <alignment horizontal="left" vertical="top" wrapText="1"/>
    </xf>
    <xf numFmtId="0" fontId="45" fillId="4" borderId="33" xfId="4" applyFont="1" applyFill="1" applyBorder="1" applyAlignment="1">
      <alignment horizontal="left" vertical="top"/>
    </xf>
    <xf numFmtId="0" fontId="45" fillId="4" borderId="34" xfId="4" applyFont="1" applyFill="1" applyBorder="1" applyAlignment="1">
      <alignment horizontal="left" vertical="top"/>
    </xf>
    <xf numFmtId="0" fontId="45" fillId="4" borderId="0" xfId="4" applyFont="1" applyFill="1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57" fillId="0" borderId="45" xfId="0" applyFont="1" applyBorder="1"/>
    <xf numFmtId="0" fontId="18" fillId="0" borderId="45" xfId="0" applyFont="1" applyBorder="1"/>
    <xf numFmtId="0" fontId="2" fillId="0" borderId="45" xfId="0" applyFont="1" applyBorder="1" applyAlignment="1">
      <alignment horizontal="center"/>
    </xf>
    <xf numFmtId="0" fontId="2" fillId="0" borderId="45" xfId="0" applyFont="1" applyBorder="1"/>
    <xf numFmtId="0" fontId="2" fillId="0" borderId="46" xfId="0" applyFont="1" applyBorder="1"/>
    <xf numFmtId="0" fontId="2" fillId="0" borderId="46" xfId="0" applyFont="1" applyBorder="1" applyAlignment="1">
      <alignment horizontal="center"/>
    </xf>
    <xf numFmtId="0" fontId="58" fillId="0" borderId="47" xfId="0" applyFont="1" applyBorder="1"/>
    <xf numFmtId="0" fontId="2" fillId="0" borderId="48" xfId="0" applyFont="1" applyBorder="1"/>
    <xf numFmtId="0" fontId="2" fillId="0" borderId="48" xfId="0" applyFont="1" applyBorder="1" applyAlignment="1">
      <alignment horizontal="center"/>
    </xf>
    <xf numFmtId="0" fontId="2" fillId="0" borderId="49" xfId="0" applyFont="1" applyBorder="1"/>
    <xf numFmtId="0" fontId="18" fillId="0" borderId="47" xfId="0" applyFont="1" applyBorder="1"/>
    <xf numFmtId="0" fontId="2" fillId="0" borderId="47" xfId="0" applyFont="1" applyBorder="1"/>
    <xf numFmtId="0" fontId="58" fillId="0" borderId="46" xfId="0" applyFont="1" applyBorder="1"/>
    <xf numFmtId="0" fontId="18" fillId="0" borderId="46" xfId="0" applyFont="1" applyBorder="1"/>
    <xf numFmtId="0" fontId="45" fillId="4" borderId="13" xfId="4" applyFont="1" applyFill="1" applyBorder="1" applyAlignment="1">
      <alignment horizontal="left"/>
    </xf>
    <xf numFmtId="0" fontId="43" fillId="7" borderId="51" xfId="4" applyFont="1" applyFill="1" applyBorder="1" applyAlignment="1">
      <alignment horizontal="center" vertical="center"/>
    </xf>
    <xf numFmtId="0" fontId="43" fillId="7" borderId="52" xfId="4" applyFont="1" applyFill="1" applyBorder="1" applyAlignment="1">
      <alignment horizontal="center" vertical="center" wrapText="1"/>
    </xf>
    <xf numFmtId="0" fontId="43" fillId="7" borderId="52" xfId="4" applyFont="1" applyFill="1" applyBorder="1" applyAlignment="1">
      <alignment horizontal="center" vertical="center"/>
    </xf>
    <xf numFmtId="166" fontId="43" fillId="7" borderId="52" xfId="4" applyNumberFormat="1" applyFont="1" applyFill="1" applyBorder="1" applyAlignment="1">
      <alignment horizontal="center" vertical="center" wrapText="1"/>
    </xf>
    <xf numFmtId="0" fontId="44" fillId="7" borderId="52" xfId="4" applyFont="1" applyFill="1" applyBorder="1" applyAlignment="1">
      <alignment horizontal="center" vertical="center" wrapText="1"/>
    </xf>
    <xf numFmtId="43" fontId="44" fillId="7" borderId="53" xfId="7" applyFont="1" applyFill="1" applyBorder="1" applyAlignment="1">
      <alignment horizontal="center" vertical="center" wrapText="1"/>
    </xf>
    <xf numFmtId="0" fontId="46" fillId="0" borderId="50" xfId="0" quotePrefix="1" applyFont="1" applyFill="1" applyBorder="1" applyAlignment="1">
      <alignment horizontal="center" vertical="center" wrapText="1"/>
    </xf>
    <xf numFmtId="168" fontId="46" fillId="6" borderId="50" xfId="1" applyNumberFormat="1" applyFont="1" applyFill="1" applyBorder="1" applyAlignment="1">
      <alignment horizontal="center" vertical="center" wrapText="1"/>
    </xf>
    <xf numFmtId="0" fontId="45" fillId="0" borderId="50" xfId="4" applyFont="1" applyFill="1" applyBorder="1" applyAlignment="1">
      <alignment horizontal="center" vertical="center"/>
    </xf>
    <xf numFmtId="0" fontId="48" fillId="0" borderId="50" xfId="0" applyFont="1" applyFill="1" applyBorder="1" applyAlignment="1">
      <alignment vertical="center" wrapText="1"/>
    </xf>
    <xf numFmtId="168" fontId="46" fillId="0" borderId="50" xfId="1" applyNumberFormat="1" applyFont="1" applyFill="1" applyBorder="1" applyAlignment="1">
      <alignment horizontal="center" vertical="center" wrapText="1"/>
    </xf>
    <xf numFmtId="0" fontId="23" fillId="4" borderId="20" xfId="4" applyFont="1" applyFill="1" applyBorder="1" applyAlignment="1">
      <alignment horizontal="right" vertical="center"/>
    </xf>
    <xf numFmtId="0" fontId="23" fillId="4" borderId="21" xfId="4" applyFont="1" applyFill="1" applyBorder="1" applyAlignment="1">
      <alignment horizontal="right" vertical="center"/>
    </xf>
    <xf numFmtId="0" fontId="23" fillId="4" borderId="22" xfId="4" applyFont="1" applyFill="1" applyBorder="1" applyAlignment="1">
      <alignment horizontal="right" vertical="center"/>
    </xf>
    <xf numFmtId="0" fontId="24" fillId="4" borderId="23" xfId="4" applyFont="1" applyFill="1" applyBorder="1" applyAlignment="1">
      <alignment horizontal="left" vertical="center"/>
    </xf>
    <xf numFmtId="0" fontId="20" fillId="4" borderId="24" xfId="4" applyFont="1" applyFill="1" applyBorder="1" applyAlignment="1">
      <alignment horizontal="left" vertical="center"/>
    </xf>
    <xf numFmtId="0" fontId="20" fillId="4" borderId="25" xfId="4" applyFont="1" applyFill="1" applyBorder="1" applyAlignment="1">
      <alignment horizontal="left" vertical="center"/>
    </xf>
    <xf numFmtId="0" fontId="20" fillId="4" borderId="0" xfId="4" applyFont="1" applyFill="1" applyAlignment="1">
      <alignment horizontal="left" vertical="center"/>
    </xf>
    <xf numFmtId="0" fontId="25" fillId="4" borderId="0" xfId="4" applyFont="1" applyFill="1" applyAlignment="1">
      <alignment horizontal="center"/>
    </xf>
    <xf numFmtId="0" fontId="20" fillId="4" borderId="0" xfId="4" applyFont="1" applyFill="1" applyAlignment="1">
      <alignment vertical="center"/>
    </xf>
    <xf numFmtId="0" fontId="26" fillId="4" borderId="23" xfId="4" applyFont="1" applyFill="1" applyBorder="1" applyAlignment="1">
      <alignment horizontal="left" vertical="center"/>
    </xf>
    <xf numFmtId="0" fontId="26" fillId="4" borderId="24" xfId="4" applyFont="1" applyFill="1" applyBorder="1" applyAlignment="1">
      <alignment horizontal="left" vertical="center"/>
    </xf>
    <xf numFmtId="0" fontId="26" fillId="4" borderId="25" xfId="4" applyFont="1" applyFill="1" applyBorder="1" applyAlignment="1">
      <alignment horizontal="left" vertical="center"/>
    </xf>
    <xf numFmtId="44" fontId="15" fillId="0" borderId="31" xfId="4" applyNumberFormat="1" applyFont="1" applyBorder="1" applyAlignment="1">
      <alignment horizontal="right" vertical="center"/>
    </xf>
    <xf numFmtId="44" fontId="15" fillId="0" borderId="32" xfId="4" applyNumberFormat="1" applyFont="1" applyBorder="1" applyAlignment="1">
      <alignment horizontal="right" vertical="center"/>
    </xf>
    <xf numFmtId="3" fontId="15" fillId="0" borderId="0" xfId="4" applyNumberFormat="1" applyFont="1" applyBorder="1" applyAlignment="1">
      <alignment horizontal="right" vertical="center"/>
    </xf>
    <xf numFmtId="0" fontId="18" fillId="0" borderId="47" xfId="0" applyFont="1" applyBorder="1" applyAlignment="1">
      <alignment horizontal="left" wrapText="1"/>
    </xf>
    <xf numFmtId="0" fontId="18" fillId="0" borderId="48" xfId="0" applyFont="1" applyBorder="1" applyAlignment="1">
      <alignment horizontal="left" wrapText="1"/>
    </xf>
    <xf numFmtId="0" fontId="18" fillId="0" borderId="49" xfId="0" applyFont="1" applyBorder="1" applyAlignment="1">
      <alignment horizontal="left" wrapText="1"/>
    </xf>
    <xf numFmtId="0" fontId="49" fillId="4" borderId="37" xfId="4" applyFont="1" applyFill="1" applyBorder="1" applyAlignment="1">
      <alignment horizontal="left"/>
    </xf>
    <xf numFmtId="0" fontId="49" fillId="4" borderId="39" xfId="4" applyFont="1" applyFill="1" applyBorder="1" applyAlignment="1">
      <alignment horizontal="left"/>
    </xf>
    <xf numFmtId="0" fontId="49" fillId="4" borderId="38" xfId="4" applyFont="1" applyFill="1" applyBorder="1" applyAlignment="1">
      <alignment horizontal="left"/>
    </xf>
    <xf numFmtId="0" fontId="45" fillId="4" borderId="37" xfId="4" applyFont="1" applyFill="1" applyBorder="1" applyAlignment="1">
      <alignment horizontal="left"/>
    </xf>
    <xf numFmtId="0" fontId="45" fillId="4" borderId="39" xfId="4" applyFont="1" applyFill="1" applyBorder="1" applyAlignment="1">
      <alignment horizontal="left"/>
    </xf>
    <xf numFmtId="0" fontId="45" fillId="4" borderId="38" xfId="4" applyFont="1" applyFill="1" applyBorder="1" applyAlignment="1">
      <alignment horizontal="left"/>
    </xf>
    <xf numFmtId="14" fontId="45" fillId="4" borderId="37" xfId="4" applyNumberFormat="1" applyFont="1" applyFill="1" applyBorder="1" applyAlignment="1">
      <alignment horizontal="left"/>
    </xf>
    <xf numFmtId="14" fontId="45" fillId="4" borderId="39" xfId="4" applyNumberFormat="1" applyFont="1" applyFill="1" applyBorder="1" applyAlignment="1">
      <alignment horizontal="left"/>
    </xf>
    <xf numFmtId="14" fontId="45" fillId="4" borderId="38" xfId="4" applyNumberFormat="1" applyFont="1" applyFill="1" applyBorder="1" applyAlignment="1">
      <alignment horizontal="left"/>
    </xf>
    <xf numFmtId="4" fontId="10" fillId="4" borderId="0" xfId="4" applyNumberFormat="1" applyFont="1" applyFill="1" applyAlignment="1">
      <alignment horizontal="center" vertical="center"/>
    </xf>
    <xf numFmtId="0" fontId="50" fillId="4" borderId="40" xfId="4" applyFont="1" applyFill="1" applyBorder="1" applyAlignment="1">
      <alignment horizontal="left" vertical="top" wrapText="1"/>
    </xf>
    <xf numFmtId="0" fontId="51" fillId="4" borderId="40" xfId="4" applyFont="1" applyFill="1" applyBorder="1" applyAlignment="1">
      <alignment horizontal="left" vertical="top"/>
    </xf>
    <xf numFmtId="0" fontId="50" fillId="4" borderId="40" xfId="4" applyFont="1" applyFill="1" applyBorder="1" applyAlignment="1">
      <alignment horizontal="left" vertical="top"/>
    </xf>
    <xf numFmtId="0" fontId="49" fillId="6" borderId="13" xfId="4" applyFont="1" applyFill="1" applyBorder="1" applyAlignment="1">
      <alignment horizontal="center" vertical="center"/>
    </xf>
    <xf numFmtId="171" fontId="49" fillId="6" borderId="13" xfId="4" applyNumberFormat="1" applyFont="1" applyFill="1" applyBorder="1" applyAlignment="1">
      <alignment horizontal="center" vertical="center"/>
    </xf>
    <xf numFmtId="171" fontId="49" fillId="6" borderId="13" xfId="4" applyNumberFormat="1" applyFont="1" applyFill="1" applyBorder="1" applyAlignment="1">
      <alignment horizontal="center" vertical="center" wrapText="1"/>
    </xf>
    <xf numFmtId="171" fontId="53" fillId="6" borderId="36" xfId="4" applyNumberFormat="1" applyFont="1" applyFill="1" applyBorder="1" applyAlignment="1">
      <alignment horizontal="left" vertical="center"/>
    </xf>
    <xf numFmtId="171" fontId="51" fillId="6" borderId="35" xfId="4" applyNumberFormat="1" applyFont="1" applyFill="1" applyBorder="1" applyAlignment="1">
      <alignment horizontal="center" vertical="center"/>
    </xf>
    <xf numFmtId="171" fontId="54" fillId="6" borderId="35" xfId="4" applyNumberFormat="1" applyFont="1" applyFill="1" applyBorder="1" applyAlignment="1">
      <alignment horizontal="left" vertical="center"/>
    </xf>
    <xf numFmtId="0" fontId="55" fillId="4" borderId="41" xfId="4" applyFont="1" applyFill="1" applyBorder="1" applyAlignment="1">
      <alignment horizontal="center" wrapText="1"/>
    </xf>
    <xf numFmtId="0" fontId="55" fillId="4" borderId="42" xfId="4" applyFont="1" applyFill="1" applyBorder="1" applyAlignment="1">
      <alignment horizontal="center" wrapText="1"/>
    </xf>
    <xf numFmtId="0" fontId="55" fillId="4" borderId="43" xfId="4" applyFont="1" applyFill="1" applyBorder="1" applyAlignment="1">
      <alignment horizontal="center" wrapText="1"/>
    </xf>
    <xf numFmtId="0" fontId="56" fillId="4" borderId="37" xfId="4" applyFont="1" applyFill="1" applyBorder="1" applyAlignment="1">
      <alignment horizontal="left"/>
    </xf>
    <xf numFmtId="0" fontId="56" fillId="4" borderId="39" xfId="4" applyFont="1" applyFill="1" applyBorder="1" applyAlignment="1">
      <alignment horizontal="left"/>
    </xf>
    <xf numFmtId="0" fontId="56" fillId="4" borderId="38" xfId="4" applyFont="1" applyFill="1" applyBorder="1" applyAlignment="1">
      <alignment horizontal="left"/>
    </xf>
    <xf numFmtId="0" fontId="9" fillId="4" borderId="0" xfId="0" applyFont="1" applyFill="1" applyAlignment="1" applyProtection="1">
      <alignment horizontal="center"/>
      <protection locked="0"/>
    </xf>
    <xf numFmtId="0" fontId="45" fillId="0" borderId="50" xfId="0" applyFont="1" applyFill="1" applyBorder="1" applyAlignment="1">
      <alignment vertical="center" wrapText="1"/>
    </xf>
    <xf numFmtId="0" fontId="45" fillId="0" borderId="50" xfId="0" applyFont="1" applyFill="1" applyBorder="1" applyAlignment="1">
      <alignment horizontal="center" vertical="center"/>
    </xf>
    <xf numFmtId="168" fontId="45" fillId="0" borderId="50" xfId="1" applyNumberFormat="1" applyFont="1" applyFill="1" applyBorder="1" applyAlignment="1">
      <alignment horizontal="center" vertical="center" wrapText="1"/>
    </xf>
    <xf numFmtId="168" fontId="46" fillId="6" borderId="8" xfId="1" applyNumberFormat="1" applyFont="1" applyFill="1" applyBorder="1" applyAlignment="1">
      <alignment horizontal="center" vertical="center" wrapText="1"/>
    </xf>
    <xf numFmtId="0" fontId="59" fillId="0" borderId="50" xfId="0" applyFont="1" applyFill="1" applyBorder="1" applyAlignment="1">
      <alignment vertical="center" wrapText="1"/>
    </xf>
    <xf numFmtId="0" fontId="45" fillId="9" borderId="50" xfId="0" applyFont="1" applyFill="1" applyBorder="1" applyAlignment="1">
      <alignment vertical="center" wrapText="1"/>
    </xf>
  </cellXfs>
  <cellStyles count="12">
    <cellStyle name="Comma" xfId="1" builtinId="3"/>
    <cellStyle name="Comma 2" xfId="7"/>
    <cellStyle name="Hyperlink" xfId="3" builtinId="8"/>
    <cellStyle name="Hyperlink 2" xfId="8"/>
    <cellStyle name="Normal" xfId="0" builtinId="0"/>
    <cellStyle name="Normal 2" xfId="4"/>
    <cellStyle name="Normal 3" xfId="5"/>
    <cellStyle name="Normal 4" xfId="11"/>
    <cellStyle name="Normal 6" xfId="10"/>
    <cellStyle name="Normal 7" xfId="9"/>
    <cellStyle name="Percent" xfId="2" builtinId="5"/>
    <cellStyle name="Style 1" xfId="6"/>
  </cellStyles>
  <dxfs count="2">
    <dxf>
      <font>
        <b/>
        <i/>
        <color indexed="10"/>
      </font>
    </dxf>
    <dxf>
      <font>
        <b/>
        <i/>
        <color indexed="10"/>
      </font>
    </dxf>
  </dxfs>
  <tableStyles count="0" defaultTableStyle="TableStyleMedium9" defaultPivotStyle="PivotStyleLight16"/>
  <colors>
    <mruColors>
      <color rgb="FF000000"/>
      <color rgb="FFFFFF00"/>
      <color rgb="FF0000FF"/>
      <color rgb="FF04AC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5.png"/><Relationship Id="rId7" Type="http://schemas.openxmlformats.org/officeDocument/2006/relationships/image" Target="../media/image8.png"/><Relationship Id="rId2" Type="http://schemas.openxmlformats.org/officeDocument/2006/relationships/image" Target="../media/image4.png"/><Relationship Id="rId1" Type="http://schemas.openxmlformats.org/officeDocument/2006/relationships/image" Target="../media/image1.jpeg"/><Relationship Id="rId6" Type="http://schemas.openxmlformats.org/officeDocument/2006/relationships/image" Target="cid:image001.png@01D4EA1D.1309D670" TargetMode="External"/><Relationship Id="rId5" Type="http://schemas.openxmlformats.org/officeDocument/2006/relationships/image" Target="../media/image7.png"/><Relationship Id="rId10" Type="http://schemas.openxmlformats.org/officeDocument/2006/relationships/image" Target="cid:image001.png@01D4FC2F.DF0EF970" TargetMode="External"/><Relationship Id="rId4" Type="http://schemas.openxmlformats.org/officeDocument/2006/relationships/image" Target="../media/image6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30480</xdr:rowOff>
    </xdr:from>
    <xdr:to>
      <xdr:col>7</xdr:col>
      <xdr:colOff>800100</xdr:colOff>
      <xdr:row>0</xdr:row>
      <xdr:rowOff>30480</xdr:rowOff>
    </xdr:to>
    <xdr:pic>
      <xdr:nvPicPr>
        <xdr:cNvPr id="8608" name="Picture 2" descr="A4 ngang.jpg">
          <a:extLst>
            <a:ext uri="{FF2B5EF4-FFF2-40B4-BE49-F238E27FC236}">
              <a16:creationId xmlns:a16="http://schemas.microsoft.com/office/drawing/2014/main" xmlns="" id="{00000000-0008-0000-0000-0000A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0480"/>
          <a:ext cx="7010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91440</xdr:colOff>
      <xdr:row>6</xdr:row>
      <xdr:rowOff>30480</xdr:rowOff>
    </xdr:to>
    <xdr:pic>
      <xdr:nvPicPr>
        <xdr:cNvPr id="8609" name="Picture 3" descr="A4 ngang3.jpg">
          <a:extLst>
            <a:ext uri="{FF2B5EF4-FFF2-40B4-BE49-F238E27FC236}">
              <a16:creationId xmlns:a16="http://schemas.microsoft.com/office/drawing/2014/main" xmlns="" id="{00000000-0008-0000-0000-0000A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7311390" cy="1002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7620</xdr:colOff>
      <xdr:row>5</xdr:row>
      <xdr:rowOff>7620</xdr:rowOff>
    </xdr:to>
    <xdr:pic>
      <xdr:nvPicPr>
        <xdr:cNvPr id="7384" name="Picture 1">
          <a:extLst>
            <a:ext uri="{FF2B5EF4-FFF2-40B4-BE49-F238E27FC236}">
              <a16:creationId xmlns:a16="http://schemas.microsoft.com/office/drawing/2014/main" xmlns="" id="{00000000-0008-0000-0100-0000D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7303770" cy="81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123684</xdr:colOff>
      <xdr:row>0</xdr:row>
      <xdr:rowOff>0</xdr:rowOff>
    </xdr:to>
    <xdr:pic>
      <xdr:nvPicPr>
        <xdr:cNvPr id="2" name="Picture 2" descr="A4 ngang.jpg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68543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3" name="Rectangle 450" descr="2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4" name="Rectangle 451" descr="2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5" name="Rectangle 452" descr="2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6" name="Rectangle 453" descr="2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7" name="Rectangle 454" descr="2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8" name="Rectangle 455" descr="2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9" name="Rectangle 456" descr="2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10" name="Rectangle 457" descr="2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11" name="Rectangle 458" descr="1"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12" name="Rectangle 444" descr="2">
          <a:extLst>
            <a:ext uri="{FF2B5EF4-FFF2-40B4-BE49-F238E27FC236}">
              <a16:creationId xmlns:a16="http://schemas.microsoft.com/office/drawing/2014/main" xmlns="" id="{00000000-0008-0000-0200-00000D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13" name="Rectangle 445" descr="2">
          <a:extLst>
            <a:ext uri="{FF2B5EF4-FFF2-40B4-BE49-F238E27FC236}">
              <a16:creationId xmlns:a16="http://schemas.microsoft.com/office/drawing/2014/main" xmlns="" id="{00000000-0008-0000-0200-00000E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14" name="Rectangle 446" descr="2">
          <a:extLst>
            <a:ext uri="{FF2B5EF4-FFF2-40B4-BE49-F238E27FC236}">
              <a16:creationId xmlns:a16="http://schemas.microsoft.com/office/drawing/2014/main" xmlns="" id="{00000000-0008-0000-0200-00000F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15" name="Rectangle 447" descr="2">
          <a:extLst>
            <a:ext uri="{FF2B5EF4-FFF2-40B4-BE49-F238E27FC236}">
              <a16:creationId xmlns:a16="http://schemas.microsoft.com/office/drawing/2014/main" xmlns="" id="{00000000-0008-0000-0200-000010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16" name="Rectangle 448" descr="2">
          <a:extLst>
            <a:ext uri="{FF2B5EF4-FFF2-40B4-BE49-F238E27FC236}">
              <a16:creationId xmlns:a16="http://schemas.microsoft.com/office/drawing/2014/main" xmlns="" id="{00000000-0008-0000-0200-000011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17" name="Rectangle 449" descr="2">
          <a:extLst>
            <a:ext uri="{FF2B5EF4-FFF2-40B4-BE49-F238E27FC236}">
              <a16:creationId xmlns:a16="http://schemas.microsoft.com/office/drawing/2014/main" xmlns="" id="{00000000-0008-0000-0200-000012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18" name="Rectangle 450" descr="2">
          <a:extLst>
            <a:ext uri="{FF2B5EF4-FFF2-40B4-BE49-F238E27FC236}">
              <a16:creationId xmlns:a16="http://schemas.microsoft.com/office/drawing/2014/main" xmlns="" id="{00000000-0008-0000-0200-000013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19" name="Rectangle 451" descr="2">
          <a:extLst>
            <a:ext uri="{FF2B5EF4-FFF2-40B4-BE49-F238E27FC236}">
              <a16:creationId xmlns:a16="http://schemas.microsoft.com/office/drawing/2014/main" xmlns="" id="{00000000-0008-0000-0200-000014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20" name="Rectangle 452" descr="2">
          <a:extLst>
            <a:ext uri="{FF2B5EF4-FFF2-40B4-BE49-F238E27FC236}">
              <a16:creationId xmlns:a16="http://schemas.microsoft.com/office/drawing/2014/main" xmlns="" id="{00000000-0008-0000-0200-000015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21" name="Rectangle 453" descr="2">
          <a:extLst>
            <a:ext uri="{FF2B5EF4-FFF2-40B4-BE49-F238E27FC236}">
              <a16:creationId xmlns:a16="http://schemas.microsoft.com/office/drawing/2014/main" xmlns="" id="{00000000-0008-0000-0200-000016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22" name="Rectangle 454" descr="2">
          <a:extLst>
            <a:ext uri="{FF2B5EF4-FFF2-40B4-BE49-F238E27FC236}">
              <a16:creationId xmlns:a16="http://schemas.microsoft.com/office/drawing/2014/main" xmlns="" id="{00000000-0008-0000-0200-000017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23" name="Rectangle 455" descr="2">
          <a:extLst>
            <a:ext uri="{FF2B5EF4-FFF2-40B4-BE49-F238E27FC236}">
              <a16:creationId xmlns:a16="http://schemas.microsoft.com/office/drawing/2014/main" xmlns="" id="{00000000-0008-0000-0200-000018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24" name="Rectangle 456" descr="2">
          <a:extLst>
            <a:ext uri="{FF2B5EF4-FFF2-40B4-BE49-F238E27FC236}">
              <a16:creationId xmlns:a16="http://schemas.microsoft.com/office/drawing/2014/main" xmlns="" id="{00000000-0008-0000-0200-000019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25" name="Rectangle 457" descr="2">
          <a:extLst>
            <a:ext uri="{FF2B5EF4-FFF2-40B4-BE49-F238E27FC236}">
              <a16:creationId xmlns:a16="http://schemas.microsoft.com/office/drawing/2014/main" xmlns="" id="{00000000-0008-0000-0200-00001A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26" name="Rectangle 458" descr="1">
          <a:extLst>
            <a:ext uri="{FF2B5EF4-FFF2-40B4-BE49-F238E27FC236}">
              <a16:creationId xmlns:a16="http://schemas.microsoft.com/office/drawing/2014/main" xmlns="" id="{00000000-0008-0000-0200-00001B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27" name="Rectangle 444" descr="2">
          <a:extLst>
            <a:ext uri="{FF2B5EF4-FFF2-40B4-BE49-F238E27FC236}">
              <a16:creationId xmlns:a16="http://schemas.microsoft.com/office/drawing/2014/main" xmlns="" id="{00000000-0008-0000-0200-00001C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28" name="Rectangle 445" descr="2">
          <a:extLst>
            <a:ext uri="{FF2B5EF4-FFF2-40B4-BE49-F238E27FC236}">
              <a16:creationId xmlns:a16="http://schemas.microsoft.com/office/drawing/2014/main" xmlns="" id="{00000000-0008-0000-0200-00001D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29" name="Rectangle 446" descr="2">
          <a:extLst>
            <a:ext uri="{FF2B5EF4-FFF2-40B4-BE49-F238E27FC236}">
              <a16:creationId xmlns:a16="http://schemas.microsoft.com/office/drawing/2014/main" xmlns="" id="{00000000-0008-0000-0200-00001E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30" name="Rectangle 447" descr="2">
          <a:extLst>
            <a:ext uri="{FF2B5EF4-FFF2-40B4-BE49-F238E27FC236}">
              <a16:creationId xmlns:a16="http://schemas.microsoft.com/office/drawing/2014/main" xmlns="" id="{00000000-0008-0000-0200-00001F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31" name="Rectangle 448" descr="2">
          <a:extLst>
            <a:ext uri="{FF2B5EF4-FFF2-40B4-BE49-F238E27FC236}">
              <a16:creationId xmlns:a16="http://schemas.microsoft.com/office/drawing/2014/main" xmlns="" id="{00000000-0008-0000-0200-000020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32" name="Rectangle 449" descr="2">
          <a:extLst>
            <a:ext uri="{FF2B5EF4-FFF2-40B4-BE49-F238E27FC236}">
              <a16:creationId xmlns:a16="http://schemas.microsoft.com/office/drawing/2014/main" xmlns="" id="{00000000-0008-0000-0200-000021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33" name="Rectangle 450" descr="2">
          <a:extLst>
            <a:ext uri="{FF2B5EF4-FFF2-40B4-BE49-F238E27FC236}">
              <a16:creationId xmlns:a16="http://schemas.microsoft.com/office/drawing/2014/main" xmlns="" id="{00000000-0008-0000-0200-000022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34" name="Rectangle 451" descr="2">
          <a:extLst>
            <a:ext uri="{FF2B5EF4-FFF2-40B4-BE49-F238E27FC236}">
              <a16:creationId xmlns:a16="http://schemas.microsoft.com/office/drawing/2014/main" xmlns="" id="{00000000-0008-0000-0200-000023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35" name="Rectangle 452" descr="2">
          <a:extLst>
            <a:ext uri="{FF2B5EF4-FFF2-40B4-BE49-F238E27FC236}">
              <a16:creationId xmlns:a16="http://schemas.microsoft.com/office/drawing/2014/main" xmlns="" id="{00000000-0008-0000-0200-000024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36" name="Rectangle 453" descr="2">
          <a:extLst>
            <a:ext uri="{FF2B5EF4-FFF2-40B4-BE49-F238E27FC236}">
              <a16:creationId xmlns:a16="http://schemas.microsoft.com/office/drawing/2014/main" xmlns="" id="{00000000-0008-0000-0200-000025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37" name="Rectangle 454" descr="2">
          <a:extLst>
            <a:ext uri="{FF2B5EF4-FFF2-40B4-BE49-F238E27FC236}">
              <a16:creationId xmlns:a16="http://schemas.microsoft.com/office/drawing/2014/main" xmlns="" id="{00000000-0008-0000-0200-000026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38" name="Rectangle 455" descr="2">
          <a:extLst>
            <a:ext uri="{FF2B5EF4-FFF2-40B4-BE49-F238E27FC236}">
              <a16:creationId xmlns:a16="http://schemas.microsoft.com/office/drawing/2014/main" xmlns="" id="{00000000-0008-0000-0200-000027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39" name="Rectangle 456" descr="2">
          <a:extLst>
            <a:ext uri="{FF2B5EF4-FFF2-40B4-BE49-F238E27FC236}">
              <a16:creationId xmlns:a16="http://schemas.microsoft.com/office/drawing/2014/main" xmlns="" id="{00000000-0008-0000-0200-000028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40" name="Rectangle 457" descr="2">
          <a:extLst>
            <a:ext uri="{FF2B5EF4-FFF2-40B4-BE49-F238E27FC236}">
              <a16:creationId xmlns:a16="http://schemas.microsoft.com/office/drawing/2014/main" xmlns="" id="{00000000-0008-0000-0200-000029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41" name="Rectangle 458" descr="1">
          <a:extLst>
            <a:ext uri="{FF2B5EF4-FFF2-40B4-BE49-F238E27FC236}">
              <a16:creationId xmlns:a16="http://schemas.microsoft.com/office/drawing/2014/main" xmlns="" id="{00000000-0008-0000-0200-00002A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42" name="Rectangle 444" descr="2">
          <a:extLst>
            <a:ext uri="{FF2B5EF4-FFF2-40B4-BE49-F238E27FC236}">
              <a16:creationId xmlns:a16="http://schemas.microsoft.com/office/drawing/2014/main" xmlns="" id="{00000000-0008-0000-0200-00002B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43" name="Rectangle 445" descr="2">
          <a:extLst>
            <a:ext uri="{FF2B5EF4-FFF2-40B4-BE49-F238E27FC236}">
              <a16:creationId xmlns:a16="http://schemas.microsoft.com/office/drawing/2014/main" xmlns="" id="{00000000-0008-0000-0200-00002C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44" name="Rectangle 446" descr="2">
          <a:extLst>
            <a:ext uri="{FF2B5EF4-FFF2-40B4-BE49-F238E27FC236}">
              <a16:creationId xmlns:a16="http://schemas.microsoft.com/office/drawing/2014/main" xmlns="" id="{00000000-0008-0000-0200-00002D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45" name="Rectangle 447" descr="2">
          <a:extLst>
            <a:ext uri="{FF2B5EF4-FFF2-40B4-BE49-F238E27FC236}">
              <a16:creationId xmlns:a16="http://schemas.microsoft.com/office/drawing/2014/main" xmlns="" id="{00000000-0008-0000-0200-00002E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46" name="Rectangle 448" descr="2">
          <a:extLst>
            <a:ext uri="{FF2B5EF4-FFF2-40B4-BE49-F238E27FC236}">
              <a16:creationId xmlns:a16="http://schemas.microsoft.com/office/drawing/2014/main" xmlns="" id="{00000000-0008-0000-0200-00002F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47" name="Rectangle 449" descr="2">
          <a:extLst>
            <a:ext uri="{FF2B5EF4-FFF2-40B4-BE49-F238E27FC236}">
              <a16:creationId xmlns:a16="http://schemas.microsoft.com/office/drawing/2014/main" xmlns="" id="{00000000-0008-0000-0200-000030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48" name="Rectangle 450" descr="2">
          <a:extLst>
            <a:ext uri="{FF2B5EF4-FFF2-40B4-BE49-F238E27FC236}">
              <a16:creationId xmlns:a16="http://schemas.microsoft.com/office/drawing/2014/main" xmlns="" id="{00000000-0008-0000-0200-000031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49" name="Rectangle 451" descr="2">
          <a:extLst>
            <a:ext uri="{FF2B5EF4-FFF2-40B4-BE49-F238E27FC236}">
              <a16:creationId xmlns:a16="http://schemas.microsoft.com/office/drawing/2014/main" xmlns="" id="{00000000-0008-0000-0200-000032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50" name="Rectangle 452" descr="2">
          <a:extLst>
            <a:ext uri="{FF2B5EF4-FFF2-40B4-BE49-F238E27FC236}">
              <a16:creationId xmlns:a16="http://schemas.microsoft.com/office/drawing/2014/main" xmlns="" id="{00000000-0008-0000-0200-000033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51" name="Rectangle 453" descr="2">
          <a:extLst>
            <a:ext uri="{FF2B5EF4-FFF2-40B4-BE49-F238E27FC236}">
              <a16:creationId xmlns:a16="http://schemas.microsoft.com/office/drawing/2014/main" xmlns="" id="{00000000-0008-0000-0200-000034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52" name="Rectangle 454" descr="2">
          <a:extLst>
            <a:ext uri="{FF2B5EF4-FFF2-40B4-BE49-F238E27FC236}">
              <a16:creationId xmlns:a16="http://schemas.microsoft.com/office/drawing/2014/main" xmlns="" id="{00000000-0008-0000-0200-000035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53" name="Rectangle 455" descr="2">
          <a:extLst>
            <a:ext uri="{FF2B5EF4-FFF2-40B4-BE49-F238E27FC236}">
              <a16:creationId xmlns:a16="http://schemas.microsoft.com/office/drawing/2014/main" xmlns="" id="{00000000-0008-0000-0200-000036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54" name="Rectangle 456" descr="2">
          <a:extLst>
            <a:ext uri="{FF2B5EF4-FFF2-40B4-BE49-F238E27FC236}">
              <a16:creationId xmlns:a16="http://schemas.microsoft.com/office/drawing/2014/main" xmlns="" id="{00000000-0008-0000-0200-000037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55" name="Rectangle 457" descr="2">
          <a:extLst>
            <a:ext uri="{FF2B5EF4-FFF2-40B4-BE49-F238E27FC236}">
              <a16:creationId xmlns:a16="http://schemas.microsoft.com/office/drawing/2014/main" xmlns="" id="{00000000-0008-0000-0200-000038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56" name="Rectangle 458" descr="1">
          <a:extLst>
            <a:ext uri="{FF2B5EF4-FFF2-40B4-BE49-F238E27FC236}">
              <a16:creationId xmlns:a16="http://schemas.microsoft.com/office/drawing/2014/main" xmlns="" id="{00000000-0008-0000-0200-000039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57" name="Rectangle 444" descr="2">
          <a:extLst>
            <a:ext uri="{FF2B5EF4-FFF2-40B4-BE49-F238E27FC236}">
              <a16:creationId xmlns:a16="http://schemas.microsoft.com/office/drawing/2014/main" xmlns="" id="{00000000-0008-0000-0200-00003A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58" name="Rectangle 445" descr="2">
          <a:extLst>
            <a:ext uri="{FF2B5EF4-FFF2-40B4-BE49-F238E27FC236}">
              <a16:creationId xmlns:a16="http://schemas.microsoft.com/office/drawing/2014/main" xmlns="" id="{00000000-0008-0000-0200-00003B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59" name="Rectangle 446" descr="2">
          <a:extLst>
            <a:ext uri="{FF2B5EF4-FFF2-40B4-BE49-F238E27FC236}">
              <a16:creationId xmlns:a16="http://schemas.microsoft.com/office/drawing/2014/main" xmlns="" id="{00000000-0008-0000-0200-00003C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60" name="Rectangle 447" descr="2">
          <a:extLst>
            <a:ext uri="{FF2B5EF4-FFF2-40B4-BE49-F238E27FC236}">
              <a16:creationId xmlns:a16="http://schemas.microsoft.com/office/drawing/2014/main" xmlns="" id="{00000000-0008-0000-0200-00003D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61" name="Rectangle 448" descr="2">
          <a:extLst>
            <a:ext uri="{FF2B5EF4-FFF2-40B4-BE49-F238E27FC236}">
              <a16:creationId xmlns:a16="http://schemas.microsoft.com/office/drawing/2014/main" xmlns="" id="{00000000-0008-0000-0200-00003E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62" name="Rectangle 449" descr="2">
          <a:extLst>
            <a:ext uri="{FF2B5EF4-FFF2-40B4-BE49-F238E27FC236}">
              <a16:creationId xmlns:a16="http://schemas.microsoft.com/office/drawing/2014/main" xmlns="" id="{00000000-0008-0000-0200-00003F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63" name="Rectangle 450" descr="2">
          <a:extLst>
            <a:ext uri="{FF2B5EF4-FFF2-40B4-BE49-F238E27FC236}">
              <a16:creationId xmlns:a16="http://schemas.microsoft.com/office/drawing/2014/main" xmlns="" id="{00000000-0008-0000-0200-000040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64" name="Rectangle 451" descr="2">
          <a:extLst>
            <a:ext uri="{FF2B5EF4-FFF2-40B4-BE49-F238E27FC236}">
              <a16:creationId xmlns:a16="http://schemas.microsoft.com/office/drawing/2014/main" xmlns="" id="{00000000-0008-0000-0200-000041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65" name="Rectangle 452" descr="2">
          <a:extLst>
            <a:ext uri="{FF2B5EF4-FFF2-40B4-BE49-F238E27FC236}">
              <a16:creationId xmlns:a16="http://schemas.microsoft.com/office/drawing/2014/main" xmlns="" id="{00000000-0008-0000-0200-000042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66" name="Rectangle 453" descr="2">
          <a:extLst>
            <a:ext uri="{FF2B5EF4-FFF2-40B4-BE49-F238E27FC236}">
              <a16:creationId xmlns:a16="http://schemas.microsoft.com/office/drawing/2014/main" xmlns="" id="{00000000-0008-0000-0200-000043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67" name="Rectangle 454" descr="2">
          <a:extLst>
            <a:ext uri="{FF2B5EF4-FFF2-40B4-BE49-F238E27FC236}">
              <a16:creationId xmlns:a16="http://schemas.microsoft.com/office/drawing/2014/main" xmlns="" id="{00000000-0008-0000-0200-000044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68" name="Rectangle 455" descr="2">
          <a:extLst>
            <a:ext uri="{FF2B5EF4-FFF2-40B4-BE49-F238E27FC236}">
              <a16:creationId xmlns:a16="http://schemas.microsoft.com/office/drawing/2014/main" xmlns="" id="{00000000-0008-0000-0200-000045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69" name="Rectangle 456" descr="2">
          <a:extLst>
            <a:ext uri="{FF2B5EF4-FFF2-40B4-BE49-F238E27FC236}">
              <a16:creationId xmlns:a16="http://schemas.microsoft.com/office/drawing/2014/main" xmlns="" id="{00000000-0008-0000-0200-000046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70" name="Rectangle 457" descr="2">
          <a:extLst>
            <a:ext uri="{FF2B5EF4-FFF2-40B4-BE49-F238E27FC236}">
              <a16:creationId xmlns:a16="http://schemas.microsoft.com/office/drawing/2014/main" xmlns="" id="{00000000-0008-0000-0200-000047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71" name="Rectangle 458" descr="1">
          <a:extLst>
            <a:ext uri="{FF2B5EF4-FFF2-40B4-BE49-F238E27FC236}">
              <a16:creationId xmlns:a16="http://schemas.microsoft.com/office/drawing/2014/main" xmlns="" id="{00000000-0008-0000-0200-000048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72" name="Rectangle 444" descr="2">
          <a:extLst>
            <a:ext uri="{FF2B5EF4-FFF2-40B4-BE49-F238E27FC236}">
              <a16:creationId xmlns:a16="http://schemas.microsoft.com/office/drawing/2014/main" xmlns="" id="{00000000-0008-0000-0200-000049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73" name="Rectangle 445" descr="2">
          <a:extLst>
            <a:ext uri="{FF2B5EF4-FFF2-40B4-BE49-F238E27FC236}">
              <a16:creationId xmlns:a16="http://schemas.microsoft.com/office/drawing/2014/main" xmlns="" id="{00000000-0008-0000-0200-00004A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74" name="Rectangle 446" descr="2">
          <a:extLst>
            <a:ext uri="{FF2B5EF4-FFF2-40B4-BE49-F238E27FC236}">
              <a16:creationId xmlns:a16="http://schemas.microsoft.com/office/drawing/2014/main" xmlns="" id="{00000000-0008-0000-0200-00004B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75" name="Rectangle 447" descr="2">
          <a:extLst>
            <a:ext uri="{FF2B5EF4-FFF2-40B4-BE49-F238E27FC236}">
              <a16:creationId xmlns:a16="http://schemas.microsoft.com/office/drawing/2014/main" xmlns="" id="{00000000-0008-0000-0200-00004C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76" name="Rectangle 448" descr="2">
          <a:extLst>
            <a:ext uri="{FF2B5EF4-FFF2-40B4-BE49-F238E27FC236}">
              <a16:creationId xmlns:a16="http://schemas.microsoft.com/office/drawing/2014/main" xmlns="" id="{00000000-0008-0000-0200-00004D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77" name="Rectangle 449" descr="2">
          <a:extLst>
            <a:ext uri="{FF2B5EF4-FFF2-40B4-BE49-F238E27FC236}">
              <a16:creationId xmlns:a16="http://schemas.microsoft.com/office/drawing/2014/main" xmlns="" id="{00000000-0008-0000-0200-00004E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78" name="Rectangle 450" descr="2">
          <a:extLst>
            <a:ext uri="{FF2B5EF4-FFF2-40B4-BE49-F238E27FC236}">
              <a16:creationId xmlns:a16="http://schemas.microsoft.com/office/drawing/2014/main" xmlns="" id="{00000000-0008-0000-0200-00004F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79" name="Rectangle 451" descr="2">
          <a:extLst>
            <a:ext uri="{FF2B5EF4-FFF2-40B4-BE49-F238E27FC236}">
              <a16:creationId xmlns:a16="http://schemas.microsoft.com/office/drawing/2014/main" xmlns="" id="{00000000-0008-0000-0200-000050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80" name="Rectangle 452" descr="2">
          <a:extLst>
            <a:ext uri="{FF2B5EF4-FFF2-40B4-BE49-F238E27FC236}">
              <a16:creationId xmlns:a16="http://schemas.microsoft.com/office/drawing/2014/main" xmlns="" id="{00000000-0008-0000-0200-000051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81" name="Rectangle 453" descr="2">
          <a:extLst>
            <a:ext uri="{FF2B5EF4-FFF2-40B4-BE49-F238E27FC236}">
              <a16:creationId xmlns:a16="http://schemas.microsoft.com/office/drawing/2014/main" xmlns="" id="{00000000-0008-0000-0200-000052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82" name="Rectangle 454" descr="2">
          <a:extLst>
            <a:ext uri="{FF2B5EF4-FFF2-40B4-BE49-F238E27FC236}">
              <a16:creationId xmlns:a16="http://schemas.microsoft.com/office/drawing/2014/main" xmlns="" id="{00000000-0008-0000-0200-000053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83" name="Rectangle 455" descr="2">
          <a:extLst>
            <a:ext uri="{FF2B5EF4-FFF2-40B4-BE49-F238E27FC236}">
              <a16:creationId xmlns:a16="http://schemas.microsoft.com/office/drawing/2014/main" xmlns="" id="{00000000-0008-0000-0200-000054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84" name="Rectangle 456" descr="2">
          <a:extLst>
            <a:ext uri="{FF2B5EF4-FFF2-40B4-BE49-F238E27FC236}">
              <a16:creationId xmlns:a16="http://schemas.microsoft.com/office/drawing/2014/main" xmlns="" id="{00000000-0008-0000-0200-000055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85" name="Rectangle 457" descr="2">
          <a:extLst>
            <a:ext uri="{FF2B5EF4-FFF2-40B4-BE49-F238E27FC236}">
              <a16:creationId xmlns:a16="http://schemas.microsoft.com/office/drawing/2014/main" xmlns="" id="{00000000-0008-0000-0200-000056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86" name="Rectangle 458" descr="1">
          <a:extLst>
            <a:ext uri="{FF2B5EF4-FFF2-40B4-BE49-F238E27FC236}">
              <a16:creationId xmlns:a16="http://schemas.microsoft.com/office/drawing/2014/main" xmlns="" id="{00000000-0008-0000-0200-000057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87" name="Rectangle 444" descr="2">
          <a:extLst>
            <a:ext uri="{FF2B5EF4-FFF2-40B4-BE49-F238E27FC236}">
              <a16:creationId xmlns:a16="http://schemas.microsoft.com/office/drawing/2014/main" xmlns="" id="{00000000-0008-0000-0200-000058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88" name="Rectangle 445" descr="2">
          <a:extLst>
            <a:ext uri="{FF2B5EF4-FFF2-40B4-BE49-F238E27FC236}">
              <a16:creationId xmlns:a16="http://schemas.microsoft.com/office/drawing/2014/main" xmlns="" id="{00000000-0008-0000-0200-000059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89" name="Rectangle 446" descr="2">
          <a:extLst>
            <a:ext uri="{FF2B5EF4-FFF2-40B4-BE49-F238E27FC236}">
              <a16:creationId xmlns:a16="http://schemas.microsoft.com/office/drawing/2014/main" xmlns="" id="{00000000-0008-0000-0200-00005A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90" name="Rectangle 447" descr="2">
          <a:extLst>
            <a:ext uri="{FF2B5EF4-FFF2-40B4-BE49-F238E27FC236}">
              <a16:creationId xmlns:a16="http://schemas.microsoft.com/office/drawing/2014/main" xmlns="" id="{00000000-0008-0000-0200-00005B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91" name="Rectangle 448" descr="2">
          <a:extLst>
            <a:ext uri="{FF2B5EF4-FFF2-40B4-BE49-F238E27FC236}">
              <a16:creationId xmlns:a16="http://schemas.microsoft.com/office/drawing/2014/main" xmlns="" id="{00000000-0008-0000-0200-00005C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92" name="Rectangle 449" descr="2">
          <a:extLst>
            <a:ext uri="{FF2B5EF4-FFF2-40B4-BE49-F238E27FC236}">
              <a16:creationId xmlns:a16="http://schemas.microsoft.com/office/drawing/2014/main" xmlns="" id="{00000000-0008-0000-0200-00005D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93" name="Rectangle 450" descr="2">
          <a:extLst>
            <a:ext uri="{FF2B5EF4-FFF2-40B4-BE49-F238E27FC236}">
              <a16:creationId xmlns:a16="http://schemas.microsoft.com/office/drawing/2014/main" xmlns="" id="{00000000-0008-0000-0200-00005E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94" name="Rectangle 451" descr="2">
          <a:extLst>
            <a:ext uri="{FF2B5EF4-FFF2-40B4-BE49-F238E27FC236}">
              <a16:creationId xmlns:a16="http://schemas.microsoft.com/office/drawing/2014/main" xmlns="" id="{00000000-0008-0000-0200-00005F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95" name="Rectangle 452" descr="2">
          <a:extLst>
            <a:ext uri="{FF2B5EF4-FFF2-40B4-BE49-F238E27FC236}">
              <a16:creationId xmlns:a16="http://schemas.microsoft.com/office/drawing/2014/main" xmlns="" id="{00000000-0008-0000-0200-000060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96" name="Rectangle 453" descr="2">
          <a:extLst>
            <a:ext uri="{FF2B5EF4-FFF2-40B4-BE49-F238E27FC236}">
              <a16:creationId xmlns:a16="http://schemas.microsoft.com/office/drawing/2014/main" xmlns="" id="{00000000-0008-0000-0200-000061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97" name="Rectangle 454" descr="2">
          <a:extLst>
            <a:ext uri="{FF2B5EF4-FFF2-40B4-BE49-F238E27FC236}">
              <a16:creationId xmlns:a16="http://schemas.microsoft.com/office/drawing/2014/main" xmlns="" id="{00000000-0008-0000-0200-000062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98" name="Rectangle 455" descr="2">
          <a:extLst>
            <a:ext uri="{FF2B5EF4-FFF2-40B4-BE49-F238E27FC236}">
              <a16:creationId xmlns:a16="http://schemas.microsoft.com/office/drawing/2014/main" xmlns="" id="{00000000-0008-0000-0200-000063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99" name="Rectangle 456" descr="2">
          <a:extLst>
            <a:ext uri="{FF2B5EF4-FFF2-40B4-BE49-F238E27FC236}">
              <a16:creationId xmlns:a16="http://schemas.microsoft.com/office/drawing/2014/main" xmlns="" id="{00000000-0008-0000-0200-000064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100" name="Rectangle 457" descr="2">
          <a:extLst>
            <a:ext uri="{FF2B5EF4-FFF2-40B4-BE49-F238E27FC236}">
              <a16:creationId xmlns:a16="http://schemas.microsoft.com/office/drawing/2014/main" xmlns="" id="{00000000-0008-0000-0200-000065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101" name="Rectangle 458" descr="1">
          <a:extLst>
            <a:ext uri="{FF2B5EF4-FFF2-40B4-BE49-F238E27FC236}">
              <a16:creationId xmlns:a16="http://schemas.microsoft.com/office/drawing/2014/main" xmlns="" id="{00000000-0008-0000-0200-000066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102" name="Rectangle 444" descr="2">
          <a:extLst>
            <a:ext uri="{FF2B5EF4-FFF2-40B4-BE49-F238E27FC236}">
              <a16:creationId xmlns:a16="http://schemas.microsoft.com/office/drawing/2014/main" xmlns="" id="{00000000-0008-0000-0200-000067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103" name="Rectangle 445" descr="2">
          <a:extLst>
            <a:ext uri="{FF2B5EF4-FFF2-40B4-BE49-F238E27FC236}">
              <a16:creationId xmlns:a16="http://schemas.microsoft.com/office/drawing/2014/main" xmlns="" id="{00000000-0008-0000-0200-000068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104" name="Rectangle 446" descr="2">
          <a:extLst>
            <a:ext uri="{FF2B5EF4-FFF2-40B4-BE49-F238E27FC236}">
              <a16:creationId xmlns:a16="http://schemas.microsoft.com/office/drawing/2014/main" xmlns="" id="{00000000-0008-0000-0200-000069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105" name="Rectangle 447" descr="2">
          <a:extLst>
            <a:ext uri="{FF2B5EF4-FFF2-40B4-BE49-F238E27FC236}">
              <a16:creationId xmlns:a16="http://schemas.microsoft.com/office/drawing/2014/main" xmlns="" id="{00000000-0008-0000-0200-00006A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106" name="Rectangle 448" descr="2">
          <a:extLst>
            <a:ext uri="{FF2B5EF4-FFF2-40B4-BE49-F238E27FC236}">
              <a16:creationId xmlns:a16="http://schemas.microsoft.com/office/drawing/2014/main" xmlns="" id="{00000000-0008-0000-0200-00006B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107" name="Rectangle 449" descr="2">
          <a:extLst>
            <a:ext uri="{FF2B5EF4-FFF2-40B4-BE49-F238E27FC236}">
              <a16:creationId xmlns:a16="http://schemas.microsoft.com/office/drawing/2014/main" xmlns="" id="{00000000-0008-0000-0200-00006C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108" name="Rectangle 450" descr="2">
          <a:extLst>
            <a:ext uri="{FF2B5EF4-FFF2-40B4-BE49-F238E27FC236}">
              <a16:creationId xmlns:a16="http://schemas.microsoft.com/office/drawing/2014/main" xmlns="" id="{00000000-0008-0000-0200-00006D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109" name="Rectangle 451" descr="2">
          <a:extLst>
            <a:ext uri="{FF2B5EF4-FFF2-40B4-BE49-F238E27FC236}">
              <a16:creationId xmlns:a16="http://schemas.microsoft.com/office/drawing/2014/main" xmlns="" id="{00000000-0008-0000-0200-00006E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110" name="Rectangle 452" descr="2">
          <a:extLst>
            <a:ext uri="{FF2B5EF4-FFF2-40B4-BE49-F238E27FC236}">
              <a16:creationId xmlns:a16="http://schemas.microsoft.com/office/drawing/2014/main" xmlns="" id="{00000000-0008-0000-0200-00006F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111" name="Rectangle 453" descr="2">
          <a:extLst>
            <a:ext uri="{FF2B5EF4-FFF2-40B4-BE49-F238E27FC236}">
              <a16:creationId xmlns:a16="http://schemas.microsoft.com/office/drawing/2014/main" xmlns="" id="{00000000-0008-0000-0200-000070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112" name="Rectangle 454" descr="2">
          <a:extLst>
            <a:ext uri="{FF2B5EF4-FFF2-40B4-BE49-F238E27FC236}">
              <a16:creationId xmlns:a16="http://schemas.microsoft.com/office/drawing/2014/main" xmlns="" id="{00000000-0008-0000-0200-000071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113" name="Rectangle 455" descr="2">
          <a:extLst>
            <a:ext uri="{FF2B5EF4-FFF2-40B4-BE49-F238E27FC236}">
              <a16:creationId xmlns:a16="http://schemas.microsoft.com/office/drawing/2014/main" xmlns="" id="{00000000-0008-0000-0200-000072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26</xdr:row>
      <xdr:rowOff>137930</xdr:rowOff>
    </xdr:to>
    <xdr:sp macro="" textlink="">
      <xdr:nvSpPr>
        <xdr:cNvPr id="114" name="Rectangle 456" descr="2">
          <a:extLst>
            <a:ext uri="{FF2B5EF4-FFF2-40B4-BE49-F238E27FC236}">
              <a16:creationId xmlns:a16="http://schemas.microsoft.com/office/drawing/2014/main" xmlns="" id="{00000000-0008-0000-0200-000073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15" name="Rectangle 444" descr="2">
          <a:extLst>
            <a:ext uri="{FF2B5EF4-FFF2-40B4-BE49-F238E27FC236}">
              <a16:creationId xmlns:a16="http://schemas.microsoft.com/office/drawing/2014/main" xmlns="" id="{00000000-0008-0000-0200-00007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16" name="Rectangle 445" descr="2">
          <a:extLst>
            <a:ext uri="{FF2B5EF4-FFF2-40B4-BE49-F238E27FC236}">
              <a16:creationId xmlns:a16="http://schemas.microsoft.com/office/drawing/2014/main" xmlns="" id="{00000000-0008-0000-0200-00007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17" name="Rectangle 446" descr="2">
          <a:extLst>
            <a:ext uri="{FF2B5EF4-FFF2-40B4-BE49-F238E27FC236}">
              <a16:creationId xmlns:a16="http://schemas.microsoft.com/office/drawing/2014/main" xmlns="" id="{00000000-0008-0000-0200-00007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18" name="Rectangle 447" descr="2">
          <a:extLst>
            <a:ext uri="{FF2B5EF4-FFF2-40B4-BE49-F238E27FC236}">
              <a16:creationId xmlns:a16="http://schemas.microsoft.com/office/drawing/2014/main" xmlns="" id="{00000000-0008-0000-0200-00007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19" name="Rectangle 448" descr="2">
          <a:extLst>
            <a:ext uri="{FF2B5EF4-FFF2-40B4-BE49-F238E27FC236}">
              <a16:creationId xmlns:a16="http://schemas.microsoft.com/office/drawing/2014/main" xmlns="" id="{00000000-0008-0000-0200-00007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20" name="Rectangle 449" descr="2">
          <a:extLst>
            <a:ext uri="{FF2B5EF4-FFF2-40B4-BE49-F238E27FC236}">
              <a16:creationId xmlns:a16="http://schemas.microsoft.com/office/drawing/2014/main" xmlns="" id="{00000000-0008-0000-0200-00007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21" name="Rectangle 450" descr="2">
          <a:extLst>
            <a:ext uri="{FF2B5EF4-FFF2-40B4-BE49-F238E27FC236}">
              <a16:creationId xmlns:a16="http://schemas.microsoft.com/office/drawing/2014/main" xmlns="" id="{00000000-0008-0000-0200-00007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22" name="Rectangle 451" descr="2">
          <a:extLst>
            <a:ext uri="{FF2B5EF4-FFF2-40B4-BE49-F238E27FC236}">
              <a16:creationId xmlns:a16="http://schemas.microsoft.com/office/drawing/2014/main" xmlns="" id="{00000000-0008-0000-0200-00007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23" name="Rectangle 452" descr="2">
          <a:extLst>
            <a:ext uri="{FF2B5EF4-FFF2-40B4-BE49-F238E27FC236}">
              <a16:creationId xmlns:a16="http://schemas.microsoft.com/office/drawing/2014/main" xmlns="" id="{00000000-0008-0000-0200-00007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24" name="Rectangle 453" descr="2">
          <a:extLst>
            <a:ext uri="{FF2B5EF4-FFF2-40B4-BE49-F238E27FC236}">
              <a16:creationId xmlns:a16="http://schemas.microsoft.com/office/drawing/2014/main" xmlns="" id="{00000000-0008-0000-0200-00007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25" name="Rectangle 454" descr="2">
          <a:extLst>
            <a:ext uri="{FF2B5EF4-FFF2-40B4-BE49-F238E27FC236}">
              <a16:creationId xmlns:a16="http://schemas.microsoft.com/office/drawing/2014/main" xmlns="" id="{00000000-0008-0000-0200-00007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26" name="Rectangle 455" descr="2">
          <a:extLst>
            <a:ext uri="{FF2B5EF4-FFF2-40B4-BE49-F238E27FC236}">
              <a16:creationId xmlns:a16="http://schemas.microsoft.com/office/drawing/2014/main" xmlns="" id="{00000000-0008-0000-0200-00007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27" name="Rectangle 456" descr="2">
          <a:extLst>
            <a:ext uri="{FF2B5EF4-FFF2-40B4-BE49-F238E27FC236}">
              <a16:creationId xmlns:a16="http://schemas.microsoft.com/office/drawing/2014/main" xmlns="" id="{00000000-0008-0000-0200-000080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28" name="Rectangle 457" descr="2">
          <a:extLst>
            <a:ext uri="{FF2B5EF4-FFF2-40B4-BE49-F238E27FC236}">
              <a16:creationId xmlns:a16="http://schemas.microsoft.com/office/drawing/2014/main" xmlns="" id="{00000000-0008-0000-0200-000081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29" name="Rectangle 458" descr="1">
          <a:extLst>
            <a:ext uri="{FF2B5EF4-FFF2-40B4-BE49-F238E27FC236}">
              <a16:creationId xmlns:a16="http://schemas.microsoft.com/office/drawing/2014/main" xmlns="" id="{00000000-0008-0000-0200-000082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30" name="Rectangle 444" descr="2">
          <a:extLst>
            <a:ext uri="{FF2B5EF4-FFF2-40B4-BE49-F238E27FC236}">
              <a16:creationId xmlns:a16="http://schemas.microsoft.com/office/drawing/2014/main" xmlns="" id="{00000000-0008-0000-0200-000083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31" name="Rectangle 445" descr="2">
          <a:extLst>
            <a:ext uri="{FF2B5EF4-FFF2-40B4-BE49-F238E27FC236}">
              <a16:creationId xmlns:a16="http://schemas.microsoft.com/office/drawing/2014/main" xmlns="" id="{00000000-0008-0000-0200-00008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32" name="Rectangle 446" descr="2">
          <a:extLst>
            <a:ext uri="{FF2B5EF4-FFF2-40B4-BE49-F238E27FC236}">
              <a16:creationId xmlns:a16="http://schemas.microsoft.com/office/drawing/2014/main" xmlns="" id="{00000000-0008-0000-0200-00008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33" name="Rectangle 447" descr="2">
          <a:extLst>
            <a:ext uri="{FF2B5EF4-FFF2-40B4-BE49-F238E27FC236}">
              <a16:creationId xmlns:a16="http://schemas.microsoft.com/office/drawing/2014/main" xmlns="" id="{00000000-0008-0000-0200-00008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34" name="Rectangle 448" descr="2">
          <a:extLst>
            <a:ext uri="{FF2B5EF4-FFF2-40B4-BE49-F238E27FC236}">
              <a16:creationId xmlns:a16="http://schemas.microsoft.com/office/drawing/2014/main" xmlns="" id="{00000000-0008-0000-0200-00008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35" name="Rectangle 449" descr="2">
          <a:extLst>
            <a:ext uri="{FF2B5EF4-FFF2-40B4-BE49-F238E27FC236}">
              <a16:creationId xmlns:a16="http://schemas.microsoft.com/office/drawing/2014/main" xmlns="" id="{00000000-0008-0000-0200-00008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36" name="Rectangle 450" descr="2">
          <a:extLst>
            <a:ext uri="{FF2B5EF4-FFF2-40B4-BE49-F238E27FC236}">
              <a16:creationId xmlns:a16="http://schemas.microsoft.com/office/drawing/2014/main" xmlns="" id="{00000000-0008-0000-0200-00008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37" name="Rectangle 451" descr="2">
          <a:extLst>
            <a:ext uri="{FF2B5EF4-FFF2-40B4-BE49-F238E27FC236}">
              <a16:creationId xmlns:a16="http://schemas.microsoft.com/office/drawing/2014/main" xmlns="" id="{00000000-0008-0000-0200-00008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38" name="Rectangle 452" descr="2">
          <a:extLst>
            <a:ext uri="{FF2B5EF4-FFF2-40B4-BE49-F238E27FC236}">
              <a16:creationId xmlns:a16="http://schemas.microsoft.com/office/drawing/2014/main" xmlns="" id="{00000000-0008-0000-0200-00008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39" name="Rectangle 453" descr="2">
          <a:extLst>
            <a:ext uri="{FF2B5EF4-FFF2-40B4-BE49-F238E27FC236}">
              <a16:creationId xmlns:a16="http://schemas.microsoft.com/office/drawing/2014/main" xmlns="" id="{00000000-0008-0000-0200-00008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40" name="Rectangle 454" descr="2">
          <a:extLst>
            <a:ext uri="{FF2B5EF4-FFF2-40B4-BE49-F238E27FC236}">
              <a16:creationId xmlns:a16="http://schemas.microsoft.com/office/drawing/2014/main" xmlns="" id="{00000000-0008-0000-0200-00008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41" name="Rectangle 455" descr="2">
          <a:extLst>
            <a:ext uri="{FF2B5EF4-FFF2-40B4-BE49-F238E27FC236}">
              <a16:creationId xmlns:a16="http://schemas.microsoft.com/office/drawing/2014/main" xmlns="" id="{00000000-0008-0000-0200-00008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42" name="Rectangle 456" descr="2">
          <a:extLst>
            <a:ext uri="{FF2B5EF4-FFF2-40B4-BE49-F238E27FC236}">
              <a16:creationId xmlns:a16="http://schemas.microsoft.com/office/drawing/2014/main" xmlns="" id="{00000000-0008-0000-0200-00008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43" name="Rectangle 457" descr="2">
          <a:extLst>
            <a:ext uri="{FF2B5EF4-FFF2-40B4-BE49-F238E27FC236}">
              <a16:creationId xmlns:a16="http://schemas.microsoft.com/office/drawing/2014/main" xmlns="" id="{00000000-0008-0000-0200-000090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44" name="Rectangle 458" descr="1">
          <a:extLst>
            <a:ext uri="{FF2B5EF4-FFF2-40B4-BE49-F238E27FC236}">
              <a16:creationId xmlns:a16="http://schemas.microsoft.com/office/drawing/2014/main" xmlns="" id="{00000000-0008-0000-0200-000091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45" name="Rectangle 444" descr="2">
          <a:extLst>
            <a:ext uri="{FF2B5EF4-FFF2-40B4-BE49-F238E27FC236}">
              <a16:creationId xmlns:a16="http://schemas.microsoft.com/office/drawing/2014/main" xmlns="" id="{00000000-0008-0000-0200-000092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46" name="Rectangle 445" descr="2">
          <a:extLst>
            <a:ext uri="{FF2B5EF4-FFF2-40B4-BE49-F238E27FC236}">
              <a16:creationId xmlns:a16="http://schemas.microsoft.com/office/drawing/2014/main" xmlns="" id="{00000000-0008-0000-0200-000093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47" name="Rectangle 446" descr="2">
          <a:extLst>
            <a:ext uri="{FF2B5EF4-FFF2-40B4-BE49-F238E27FC236}">
              <a16:creationId xmlns:a16="http://schemas.microsoft.com/office/drawing/2014/main" xmlns="" id="{00000000-0008-0000-0200-00009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48" name="Rectangle 447" descr="2">
          <a:extLst>
            <a:ext uri="{FF2B5EF4-FFF2-40B4-BE49-F238E27FC236}">
              <a16:creationId xmlns:a16="http://schemas.microsoft.com/office/drawing/2014/main" xmlns="" id="{00000000-0008-0000-0200-00009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49" name="Rectangle 448" descr="2">
          <a:extLst>
            <a:ext uri="{FF2B5EF4-FFF2-40B4-BE49-F238E27FC236}">
              <a16:creationId xmlns:a16="http://schemas.microsoft.com/office/drawing/2014/main" xmlns="" id="{00000000-0008-0000-0200-00009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50" name="Rectangle 449" descr="2">
          <a:extLst>
            <a:ext uri="{FF2B5EF4-FFF2-40B4-BE49-F238E27FC236}">
              <a16:creationId xmlns:a16="http://schemas.microsoft.com/office/drawing/2014/main" xmlns="" id="{00000000-0008-0000-0200-00009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51" name="Rectangle 450" descr="2">
          <a:extLst>
            <a:ext uri="{FF2B5EF4-FFF2-40B4-BE49-F238E27FC236}">
              <a16:creationId xmlns:a16="http://schemas.microsoft.com/office/drawing/2014/main" xmlns="" id="{00000000-0008-0000-0200-00009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52" name="Rectangle 451" descr="2">
          <a:extLst>
            <a:ext uri="{FF2B5EF4-FFF2-40B4-BE49-F238E27FC236}">
              <a16:creationId xmlns:a16="http://schemas.microsoft.com/office/drawing/2014/main" xmlns="" id="{00000000-0008-0000-0200-00009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53" name="Rectangle 452" descr="2">
          <a:extLst>
            <a:ext uri="{FF2B5EF4-FFF2-40B4-BE49-F238E27FC236}">
              <a16:creationId xmlns:a16="http://schemas.microsoft.com/office/drawing/2014/main" xmlns="" id="{00000000-0008-0000-0200-00009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54" name="Rectangle 453" descr="2">
          <a:extLst>
            <a:ext uri="{FF2B5EF4-FFF2-40B4-BE49-F238E27FC236}">
              <a16:creationId xmlns:a16="http://schemas.microsoft.com/office/drawing/2014/main" xmlns="" id="{00000000-0008-0000-0200-00009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55" name="Rectangle 454" descr="2">
          <a:extLst>
            <a:ext uri="{FF2B5EF4-FFF2-40B4-BE49-F238E27FC236}">
              <a16:creationId xmlns:a16="http://schemas.microsoft.com/office/drawing/2014/main" xmlns="" id="{00000000-0008-0000-0200-00009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56" name="Rectangle 455" descr="2">
          <a:extLst>
            <a:ext uri="{FF2B5EF4-FFF2-40B4-BE49-F238E27FC236}">
              <a16:creationId xmlns:a16="http://schemas.microsoft.com/office/drawing/2014/main" xmlns="" id="{00000000-0008-0000-0200-00009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57" name="Rectangle 456" descr="2">
          <a:extLst>
            <a:ext uri="{FF2B5EF4-FFF2-40B4-BE49-F238E27FC236}">
              <a16:creationId xmlns:a16="http://schemas.microsoft.com/office/drawing/2014/main" xmlns="" id="{00000000-0008-0000-0200-00009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58" name="Rectangle 457" descr="2">
          <a:extLst>
            <a:ext uri="{FF2B5EF4-FFF2-40B4-BE49-F238E27FC236}">
              <a16:creationId xmlns:a16="http://schemas.microsoft.com/office/drawing/2014/main" xmlns="" id="{00000000-0008-0000-0200-00009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59" name="Rectangle 458" descr="1">
          <a:extLst>
            <a:ext uri="{FF2B5EF4-FFF2-40B4-BE49-F238E27FC236}">
              <a16:creationId xmlns:a16="http://schemas.microsoft.com/office/drawing/2014/main" xmlns="" id="{00000000-0008-0000-0200-0000A0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60" name="Rectangle 444" descr="2">
          <a:extLst>
            <a:ext uri="{FF2B5EF4-FFF2-40B4-BE49-F238E27FC236}">
              <a16:creationId xmlns:a16="http://schemas.microsoft.com/office/drawing/2014/main" xmlns="" id="{00000000-0008-0000-0200-0000A1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61" name="Rectangle 445" descr="2">
          <a:extLst>
            <a:ext uri="{FF2B5EF4-FFF2-40B4-BE49-F238E27FC236}">
              <a16:creationId xmlns:a16="http://schemas.microsoft.com/office/drawing/2014/main" xmlns="" id="{00000000-0008-0000-0200-0000A2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62" name="Rectangle 446" descr="2">
          <a:extLst>
            <a:ext uri="{FF2B5EF4-FFF2-40B4-BE49-F238E27FC236}">
              <a16:creationId xmlns:a16="http://schemas.microsoft.com/office/drawing/2014/main" xmlns="" id="{00000000-0008-0000-0200-0000A3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63" name="Rectangle 447" descr="2">
          <a:extLst>
            <a:ext uri="{FF2B5EF4-FFF2-40B4-BE49-F238E27FC236}">
              <a16:creationId xmlns:a16="http://schemas.microsoft.com/office/drawing/2014/main" xmlns="" id="{00000000-0008-0000-0200-0000A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64" name="Rectangle 448" descr="2">
          <a:extLst>
            <a:ext uri="{FF2B5EF4-FFF2-40B4-BE49-F238E27FC236}">
              <a16:creationId xmlns:a16="http://schemas.microsoft.com/office/drawing/2014/main" xmlns="" id="{00000000-0008-0000-0200-0000A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65" name="Rectangle 449" descr="2">
          <a:extLst>
            <a:ext uri="{FF2B5EF4-FFF2-40B4-BE49-F238E27FC236}">
              <a16:creationId xmlns:a16="http://schemas.microsoft.com/office/drawing/2014/main" xmlns="" id="{00000000-0008-0000-0200-0000A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66" name="Rectangle 450" descr="2">
          <a:extLst>
            <a:ext uri="{FF2B5EF4-FFF2-40B4-BE49-F238E27FC236}">
              <a16:creationId xmlns:a16="http://schemas.microsoft.com/office/drawing/2014/main" xmlns="" id="{00000000-0008-0000-0200-0000A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67" name="Rectangle 451" descr="2">
          <a:extLst>
            <a:ext uri="{FF2B5EF4-FFF2-40B4-BE49-F238E27FC236}">
              <a16:creationId xmlns:a16="http://schemas.microsoft.com/office/drawing/2014/main" xmlns="" id="{00000000-0008-0000-0200-0000A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68" name="Rectangle 452" descr="2">
          <a:extLst>
            <a:ext uri="{FF2B5EF4-FFF2-40B4-BE49-F238E27FC236}">
              <a16:creationId xmlns:a16="http://schemas.microsoft.com/office/drawing/2014/main" xmlns="" id="{00000000-0008-0000-0200-0000A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69" name="Rectangle 453" descr="2">
          <a:extLst>
            <a:ext uri="{FF2B5EF4-FFF2-40B4-BE49-F238E27FC236}">
              <a16:creationId xmlns:a16="http://schemas.microsoft.com/office/drawing/2014/main" xmlns="" id="{00000000-0008-0000-0200-0000A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70" name="Rectangle 454" descr="2">
          <a:extLst>
            <a:ext uri="{FF2B5EF4-FFF2-40B4-BE49-F238E27FC236}">
              <a16:creationId xmlns:a16="http://schemas.microsoft.com/office/drawing/2014/main" xmlns="" id="{00000000-0008-0000-0200-0000A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71" name="Rectangle 455" descr="2">
          <a:extLst>
            <a:ext uri="{FF2B5EF4-FFF2-40B4-BE49-F238E27FC236}">
              <a16:creationId xmlns:a16="http://schemas.microsoft.com/office/drawing/2014/main" xmlns="" id="{00000000-0008-0000-0200-0000A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72" name="Rectangle 456" descr="2">
          <a:extLst>
            <a:ext uri="{FF2B5EF4-FFF2-40B4-BE49-F238E27FC236}">
              <a16:creationId xmlns:a16="http://schemas.microsoft.com/office/drawing/2014/main" xmlns="" id="{00000000-0008-0000-0200-0000A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73" name="Rectangle 457" descr="2">
          <a:extLst>
            <a:ext uri="{FF2B5EF4-FFF2-40B4-BE49-F238E27FC236}">
              <a16:creationId xmlns:a16="http://schemas.microsoft.com/office/drawing/2014/main" xmlns="" id="{00000000-0008-0000-0200-0000A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74" name="Rectangle 458" descr="1">
          <a:extLst>
            <a:ext uri="{FF2B5EF4-FFF2-40B4-BE49-F238E27FC236}">
              <a16:creationId xmlns:a16="http://schemas.microsoft.com/office/drawing/2014/main" xmlns="" id="{00000000-0008-0000-0200-0000A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75" name="Rectangle 444" descr="2">
          <a:extLst>
            <a:ext uri="{FF2B5EF4-FFF2-40B4-BE49-F238E27FC236}">
              <a16:creationId xmlns:a16="http://schemas.microsoft.com/office/drawing/2014/main" xmlns="" id="{00000000-0008-0000-0200-0000B0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76" name="Rectangle 445" descr="2">
          <a:extLst>
            <a:ext uri="{FF2B5EF4-FFF2-40B4-BE49-F238E27FC236}">
              <a16:creationId xmlns:a16="http://schemas.microsoft.com/office/drawing/2014/main" xmlns="" id="{00000000-0008-0000-0200-0000B1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77" name="Rectangle 446" descr="2">
          <a:extLst>
            <a:ext uri="{FF2B5EF4-FFF2-40B4-BE49-F238E27FC236}">
              <a16:creationId xmlns:a16="http://schemas.microsoft.com/office/drawing/2014/main" xmlns="" id="{00000000-0008-0000-0200-0000B2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78" name="Rectangle 447" descr="2">
          <a:extLst>
            <a:ext uri="{FF2B5EF4-FFF2-40B4-BE49-F238E27FC236}">
              <a16:creationId xmlns:a16="http://schemas.microsoft.com/office/drawing/2014/main" xmlns="" id="{00000000-0008-0000-0200-0000B3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79" name="Rectangle 448" descr="2">
          <a:extLst>
            <a:ext uri="{FF2B5EF4-FFF2-40B4-BE49-F238E27FC236}">
              <a16:creationId xmlns:a16="http://schemas.microsoft.com/office/drawing/2014/main" xmlns="" id="{00000000-0008-0000-0200-0000B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80" name="Rectangle 449" descr="2">
          <a:extLst>
            <a:ext uri="{FF2B5EF4-FFF2-40B4-BE49-F238E27FC236}">
              <a16:creationId xmlns:a16="http://schemas.microsoft.com/office/drawing/2014/main" xmlns="" id="{00000000-0008-0000-0200-0000B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81" name="Rectangle 450" descr="2">
          <a:extLst>
            <a:ext uri="{FF2B5EF4-FFF2-40B4-BE49-F238E27FC236}">
              <a16:creationId xmlns:a16="http://schemas.microsoft.com/office/drawing/2014/main" xmlns="" id="{00000000-0008-0000-0200-0000B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82" name="Rectangle 451" descr="2">
          <a:extLst>
            <a:ext uri="{FF2B5EF4-FFF2-40B4-BE49-F238E27FC236}">
              <a16:creationId xmlns:a16="http://schemas.microsoft.com/office/drawing/2014/main" xmlns="" id="{00000000-0008-0000-0200-0000B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83" name="Rectangle 452" descr="2">
          <a:extLst>
            <a:ext uri="{FF2B5EF4-FFF2-40B4-BE49-F238E27FC236}">
              <a16:creationId xmlns:a16="http://schemas.microsoft.com/office/drawing/2014/main" xmlns="" id="{00000000-0008-0000-0200-0000B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84" name="Rectangle 453" descr="2">
          <a:extLst>
            <a:ext uri="{FF2B5EF4-FFF2-40B4-BE49-F238E27FC236}">
              <a16:creationId xmlns:a16="http://schemas.microsoft.com/office/drawing/2014/main" xmlns="" id="{00000000-0008-0000-0200-0000B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85" name="Rectangle 454" descr="2">
          <a:extLst>
            <a:ext uri="{FF2B5EF4-FFF2-40B4-BE49-F238E27FC236}">
              <a16:creationId xmlns:a16="http://schemas.microsoft.com/office/drawing/2014/main" xmlns="" id="{00000000-0008-0000-0200-0000B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86" name="Rectangle 455" descr="2">
          <a:extLst>
            <a:ext uri="{FF2B5EF4-FFF2-40B4-BE49-F238E27FC236}">
              <a16:creationId xmlns:a16="http://schemas.microsoft.com/office/drawing/2014/main" xmlns="" id="{00000000-0008-0000-0200-0000B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87" name="Rectangle 456" descr="2">
          <a:extLst>
            <a:ext uri="{FF2B5EF4-FFF2-40B4-BE49-F238E27FC236}">
              <a16:creationId xmlns:a16="http://schemas.microsoft.com/office/drawing/2014/main" xmlns="" id="{00000000-0008-0000-0200-0000B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88" name="Rectangle 457" descr="2">
          <a:extLst>
            <a:ext uri="{FF2B5EF4-FFF2-40B4-BE49-F238E27FC236}">
              <a16:creationId xmlns:a16="http://schemas.microsoft.com/office/drawing/2014/main" xmlns="" id="{00000000-0008-0000-0200-0000B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89" name="Rectangle 458" descr="1">
          <a:extLst>
            <a:ext uri="{FF2B5EF4-FFF2-40B4-BE49-F238E27FC236}">
              <a16:creationId xmlns:a16="http://schemas.microsoft.com/office/drawing/2014/main" xmlns="" id="{00000000-0008-0000-0200-0000B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90" name="Rectangle 444" descr="2">
          <a:extLst>
            <a:ext uri="{FF2B5EF4-FFF2-40B4-BE49-F238E27FC236}">
              <a16:creationId xmlns:a16="http://schemas.microsoft.com/office/drawing/2014/main" xmlns="" id="{00000000-0008-0000-0200-0000B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91" name="Rectangle 445" descr="2">
          <a:extLst>
            <a:ext uri="{FF2B5EF4-FFF2-40B4-BE49-F238E27FC236}">
              <a16:creationId xmlns:a16="http://schemas.microsoft.com/office/drawing/2014/main" xmlns="" id="{00000000-0008-0000-0200-0000C0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92" name="Rectangle 446" descr="2">
          <a:extLst>
            <a:ext uri="{FF2B5EF4-FFF2-40B4-BE49-F238E27FC236}">
              <a16:creationId xmlns:a16="http://schemas.microsoft.com/office/drawing/2014/main" xmlns="" id="{00000000-0008-0000-0200-0000C1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93" name="Rectangle 447" descr="2">
          <a:extLst>
            <a:ext uri="{FF2B5EF4-FFF2-40B4-BE49-F238E27FC236}">
              <a16:creationId xmlns:a16="http://schemas.microsoft.com/office/drawing/2014/main" xmlns="" id="{00000000-0008-0000-0200-0000C2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94" name="Rectangle 448" descr="2">
          <a:extLst>
            <a:ext uri="{FF2B5EF4-FFF2-40B4-BE49-F238E27FC236}">
              <a16:creationId xmlns:a16="http://schemas.microsoft.com/office/drawing/2014/main" xmlns="" id="{00000000-0008-0000-0200-0000C3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95" name="Rectangle 449" descr="2">
          <a:extLst>
            <a:ext uri="{FF2B5EF4-FFF2-40B4-BE49-F238E27FC236}">
              <a16:creationId xmlns:a16="http://schemas.microsoft.com/office/drawing/2014/main" xmlns="" id="{00000000-0008-0000-0200-0000C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96" name="Rectangle 450" descr="2">
          <a:extLst>
            <a:ext uri="{FF2B5EF4-FFF2-40B4-BE49-F238E27FC236}">
              <a16:creationId xmlns:a16="http://schemas.microsoft.com/office/drawing/2014/main" xmlns="" id="{00000000-0008-0000-0200-0000C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97" name="Rectangle 451" descr="2">
          <a:extLst>
            <a:ext uri="{FF2B5EF4-FFF2-40B4-BE49-F238E27FC236}">
              <a16:creationId xmlns:a16="http://schemas.microsoft.com/office/drawing/2014/main" xmlns="" id="{00000000-0008-0000-0200-0000C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98" name="Rectangle 452" descr="2">
          <a:extLst>
            <a:ext uri="{FF2B5EF4-FFF2-40B4-BE49-F238E27FC236}">
              <a16:creationId xmlns:a16="http://schemas.microsoft.com/office/drawing/2014/main" xmlns="" id="{00000000-0008-0000-0200-0000C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199" name="Rectangle 453" descr="2">
          <a:extLst>
            <a:ext uri="{FF2B5EF4-FFF2-40B4-BE49-F238E27FC236}">
              <a16:creationId xmlns:a16="http://schemas.microsoft.com/office/drawing/2014/main" xmlns="" id="{00000000-0008-0000-0200-0000C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00" name="Rectangle 454" descr="2">
          <a:extLst>
            <a:ext uri="{FF2B5EF4-FFF2-40B4-BE49-F238E27FC236}">
              <a16:creationId xmlns:a16="http://schemas.microsoft.com/office/drawing/2014/main" xmlns="" id="{00000000-0008-0000-0200-0000C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01" name="Rectangle 455" descr="2">
          <a:extLst>
            <a:ext uri="{FF2B5EF4-FFF2-40B4-BE49-F238E27FC236}">
              <a16:creationId xmlns:a16="http://schemas.microsoft.com/office/drawing/2014/main" xmlns="" id="{00000000-0008-0000-0200-0000C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02" name="Rectangle 456" descr="2">
          <a:extLst>
            <a:ext uri="{FF2B5EF4-FFF2-40B4-BE49-F238E27FC236}">
              <a16:creationId xmlns:a16="http://schemas.microsoft.com/office/drawing/2014/main" xmlns="" id="{00000000-0008-0000-0200-0000C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03" name="Rectangle 457" descr="2">
          <a:extLst>
            <a:ext uri="{FF2B5EF4-FFF2-40B4-BE49-F238E27FC236}">
              <a16:creationId xmlns:a16="http://schemas.microsoft.com/office/drawing/2014/main" xmlns="" id="{00000000-0008-0000-0200-0000C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04" name="Rectangle 458" descr="1">
          <a:extLst>
            <a:ext uri="{FF2B5EF4-FFF2-40B4-BE49-F238E27FC236}">
              <a16:creationId xmlns:a16="http://schemas.microsoft.com/office/drawing/2014/main" xmlns="" id="{00000000-0008-0000-0200-0000C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05" name="Rectangle 444" descr="2">
          <a:extLst>
            <a:ext uri="{FF2B5EF4-FFF2-40B4-BE49-F238E27FC236}">
              <a16:creationId xmlns:a16="http://schemas.microsoft.com/office/drawing/2014/main" xmlns="" id="{00000000-0008-0000-0200-0000C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06" name="Rectangle 445" descr="2">
          <a:extLst>
            <a:ext uri="{FF2B5EF4-FFF2-40B4-BE49-F238E27FC236}">
              <a16:creationId xmlns:a16="http://schemas.microsoft.com/office/drawing/2014/main" xmlns="" id="{00000000-0008-0000-0200-0000C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07" name="Rectangle 446" descr="2">
          <a:extLst>
            <a:ext uri="{FF2B5EF4-FFF2-40B4-BE49-F238E27FC236}">
              <a16:creationId xmlns:a16="http://schemas.microsoft.com/office/drawing/2014/main" xmlns="" id="{00000000-0008-0000-0200-0000D0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08" name="Rectangle 447" descr="2">
          <a:extLst>
            <a:ext uri="{FF2B5EF4-FFF2-40B4-BE49-F238E27FC236}">
              <a16:creationId xmlns:a16="http://schemas.microsoft.com/office/drawing/2014/main" xmlns="" id="{00000000-0008-0000-0200-0000D1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09" name="Rectangle 448" descr="2">
          <a:extLst>
            <a:ext uri="{FF2B5EF4-FFF2-40B4-BE49-F238E27FC236}">
              <a16:creationId xmlns:a16="http://schemas.microsoft.com/office/drawing/2014/main" xmlns="" id="{00000000-0008-0000-0200-0000D2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10" name="Rectangle 449" descr="2">
          <a:extLst>
            <a:ext uri="{FF2B5EF4-FFF2-40B4-BE49-F238E27FC236}">
              <a16:creationId xmlns:a16="http://schemas.microsoft.com/office/drawing/2014/main" xmlns="" id="{00000000-0008-0000-0200-0000D3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11" name="Rectangle 450" descr="2">
          <a:extLst>
            <a:ext uri="{FF2B5EF4-FFF2-40B4-BE49-F238E27FC236}">
              <a16:creationId xmlns:a16="http://schemas.microsoft.com/office/drawing/2014/main" xmlns="" id="{00000000-0008-0000-0200-0000D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12" name="Rectangle 451" descr="2">
          <a:extLst>
            <a:ext uri="{FF2B5EF4-FFF2-40B4-BE49-F238E27FC236}">
              <a16:creationId xmlns:a16="http://schemas.microsoft.com/office/drawing/2014/main" xmlns="" id="{00000000-0008-0000-0200-0000D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13" name="Rectangle 452" descr="2">
          <a:extLst>
            <a:ext uri="{FF2B5EF4-FFF2-40B4-BE49-F238E27FC236}">
              <a16:creationId xmlns:a16="http://schemas.microsoft.com/office/drawing/2014/main" xmlns="" id="{00000000-0008-0000-0200-0000D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14" name="Rectangle 453" descr="2">
          <a:extLst>
            <a:ext uri="{FF2B5EF4-FFF2-40B4-BE49-F238E27FC236}">
              <a16:creationId xmlns:a16="http://schemas.microsoft.com/office/drawing/2014/main" xmlns="" id="{00000000-0008-0000-0200-0000D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15" name="Rectangle 454" descr="2">
          <a:extLst>
            <a:ext uri="{FF2B5EF4-FFF2-40B4-BE49-F238E27FC236}">
              <a16:creationId xmlns:a16="http://schemas.microsoft.com/office/drawing/2014/main" xmlns="" id="{00000000-0008-0000-0200-0000D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16" name="Rectangle 455" descr="2">
          <a:extLst>
            <a:ext uri="{FF2B5EF4-FFF2-40B4-BE49-F238E27FC236}">
              <a16:creationId xmlns:a16="http://schemas.microsoft.com/office/drawing/2014/main" xmlns="" id="{00000000-0008-0000-0200-0000D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17" name="Rectangle 456" descr="2">
          <a:extLst>
            <a:ext uri="{FF2B5EF4-FFF2-40B4-BE49-F238E27FC236}">
              <a16:creationId xmlns:a16="http://schemas.microsoft.com/office/drawing/2014/main" xmlns="" id="{00000000-0008-0000-0200-0000D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18" name="Rectangle 457" descr="2">
          <a:extLst>
            <a:ext uri="{FF2B5EF4-FFF2-40B4-BE49-F238E27FC236}">
              <a16:creationId xmlns:a16="http://schemas.microsoft.com/office/drawing/2014/main" xmlns="" id="{00000000-0008-0000-0200-0000D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19" name="Rectangle 458" descr="1">
          <a:extLst>
            <a:ext uri="{FF2B5EF4-FFF2-40B4-BE49-F238E27FC236}">
              <a16:creationId xmlns:a16="http://schemas.microsoft.com/office/drawing/2014/main" xmlns="" id="{00000000-0008-0000-0200-0000D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20" name="Rectangle 444" descr="2">
          <a:extLst>
            <a:ext uri="{FF2B5EF4-FFF2-40B4-BE49-F238E27FC236}">
              <a16:creationId xmlns:a16="http://schemas.microsoft.com/office/drawing/2014/main" xmlns="" id="{00000000-0008-0000-0200-0000D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21" name="Rectangle 445" descr="2">
          <a:extLst>
            <a:ext uri="{FF2B5EF4-FFF2-40B4-BE49-F238E27FC236}">
              <a16:creationId xmlns:a16="http://schemas.microsoft.com/office/drawing/2014/main" xmlns="" id="{00000000-0008-0000-0200-0000D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22" name="Rectangle 446" descr="2">
          <a:extLst>
            <a:ext uri="{FF2B5EF4-FFF2-40B4-BE49-F238E27FC236}">
              <a16:creationId xmlns:a16="http://schemas.microsoft.com/office/drawing/2014/main" xmlns="" id="{00000000-0008-0000-0200-0000D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23" name="Rectangle 447" descr="2">
          <a:extLst>
            <a:ext uri="{FF2B5EF4-FFF2-40B4-BE49-F238E27FC236}">
              <a16:creationId xmlns:a16="http://schemas.microsoft.com/office/drawing/2014/main" xmlns="" id="{00000000-0008-0000-0200-0000E0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24" name="Rectangle 448" descr="2">
          <a:extLst>
            <a:ext uri="{FF2B5EF4-FFF2-40B4-BE49-F238E27FC236}">
              <a16:creationId xmlns:a16="http://schemas.microsoft.com/office/drawing/2014/main" xmlns="" id="{00000000-0008-0000-0200-0000E1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25" name="Rectangle 449" descr="2">
          <a:extLst>
            <a:ext uri="{FF2B5EF4-FFF2-40B4-BE49-F238E27FC236}">
              <a16:creationId xmlns:a16="http://schemas.microsoft.com/office/drawing/2014/main" xmlns="" id="{00000000-0008-0000-0200-0000E2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26" name="Rectangle 450" descr="2">
          <a:extLst>
            <a:ext uri="{FF2B5EF4-FFF2-40B4-BE49-F238E27FC236}">
              <a16:creationId xmlns:a16="http://schemas.microsoft.com/office/drawing/2014/main" xmlns="" id="{00000000-0008-0000-0200-0000E3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27" name="Rectangle 451" descr="2">
          <a:extLst>
            <a:ext uri="{FF2B5EF4-FFF2-40B4-BE49-F238E27FC236}">
              <a16:creationId xmlns:a16="http://schemas.microsoft.com/office/drawing/2014/main" xmlns="" id="{00000000-0008-0000-0200-0000E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28" name="Rectangle 452" descr="2">
          <a:extLst>
            <a:ext uri="{FF2B5EF4-FFF2-40B4-BE49-F238E27FC236}">
              <a16:creationId xmlns:a16="http://schemas.microsoft.com/office/drawing/2014/main" xmlns="" id="{00000000-0008-0000-0200-0000E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29" name="Rectangle 453" descr="2">
          <a:extLst>
            <a:ext uri="{FF2B5EF4-FFF2-40B4-BE49-F238E27FC236}">
              <a16:creationId xmlns:a16="http://schemas.microsoft.com/office/drawing/2014/main" xmlns="" id="{00000000-0008-0000-0200-0000E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30" name="Rectangle 454" descr="2">
          <a:extLst>
            <a:ext uri="{FF2B5EF4-FFF2-40B4-BE49-F238E27FC236}">
              <a16:creationId xmlns:a16="http://schemas.microsoft.com/office/drawing/2014/main" xmlns="" id="{00000000-0008-0000-0200-0000E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31" name="Rectangle 455" descr="2">
          <a:extLst>
            <a:ext uri="{FF2B5EF4-FFF2-40B4-BE49-F238E27FC236}">
              <a16:creationId xmlns:a16="http://schemas.microsoft.com/office/drawing/2014/main" xmlns="" id="{00000000-0008-0000-0200-0000E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32" name="Rectangle 456" descr="2">
          <a:extLst>
            <a:ext uri="{FF2B5EF4-FFF2-40B4-BE49-F238E27FC236}">
              <a16:creationId xmlns:a16="http://schemas.microsoft.com/office/drawing/2014/main" xmlns="" id="{00000000-0008-0000-0200-0000E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33" name="Rectangle 457" descr="2">
          <a:extLst>
            <a:ext uri="{FF2B5EF4-FFF2-40B4-BE49-F238E27FC236}">
              <a16:creationId xmlns:a16="http://schemas.microsoft.com/office/drawing/2014/main" xmlns="" id="{00000000-0008-0000-0200-0000E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34" name="Rectangle 458" descr="1">
          <a:extLst>
            <a:ext uri="{FF2B5EF4-FFF2-40B4-BE49-F238E27FC236}">
              <a16:creationId xmlns:a16="http://schemas.microsoft.com/office/drawing/2014/main" xmlns="" id="{00000000-0008-0000-0200-0000E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35" name="Rectangle 444" descr="2">
          <a:extLst>
            <a:ext uri="{FF2B5EF4-FFF2-40B4-BE49-F238E27FC236}">
              <a16:creationId xmlns:a16="http://schemas.microsoft.com/office/drawing/2014/main" xmlns="" id="{00000000-0008-0000-0200-0000E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36" name="Rectangle 445" descr="2">
          <a:extLst>
            <a:ext uri="{FF2B5EF4-FFF2-40B4-BE49-F238E27FC236}">
              <a16:creationId xmlns:a16="http://schemas.microsoft.com/office/drawing/2014/main" xmlns="" id="{00000000-0008-0000-0200-0000E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37" name="Rectangle 446" descr="2">
          <a:extLst>
            <a:ext uri="{FF2B5EF4-FFF2-40B4-BE49-F238E27FC236}">
              <a16:creationId xmlns:a16="http://schemas.microsoft.com/office/drawing/2014/main" xmlns="" id="{00000000-0008-0000-0200-0000E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38" name="Rectangle 447" descr="2">
          <a:extLst>
            <a:ext uri="{FF2B5EF4-FFF2-40B4-BE49-F238E27FC236}">
              <a16:creationId xmlns:a16="http://schemas.microsoft.com/office/drawing/2014/main" xmlns="" id="{00000000-0008-0000-0200-0000E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39" name="Rectangle 448" descr="2">
          <a:extLst>
            <a:ext uri="{FF2B5EF4-FFF2-40B4-BE49-F238E27FC236}">
              <a16:creationId xmlns:a16="http://schemas.microsoft.com/office/drawing/2014/main" xmlns="" id="{00000000-0008-0000-0200-0000F0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40" name="Rectangle 449" descr="2">
          <a:extLst>
            <a:ext uri="{FF2B5EF4-FFF2-40B4-BE49-F238E27FC236}">
              <a16:creationId xmlns:a16="http://schemas.microsoft.com/office/drawing/2014/main" xmlns="" id="{00000000-0008-0000-0200-0000F1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41" name="Rectangle 450" descr="2">
          <a:extLst>
            <a:ext uri="{FF2B5EF4-FFF2-40B4-BE49-F238E27FC236}">
              <a16:creationId xmlns:a16="http://schemas.microsoft.com/office/drawing/2014/main" xmlns="" id="{00000000-0008-0000-0200-0000F2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42" name="Rectangle 451" descr="2">
          <a:extLst>
            <a:ext uri="{FF2B5EF4-FFF2-40B4-BE49-F238E27FC236}">
              <a16:creationId xmlns:a16="http://schemas.microsoft.com/office/drawing/2014/main" xmlns="" id="{00000000-0008-0000-0200-0000F3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43" name="Rectangle 452" descr="2">
          <a:extLst>
            <a:ext uri="{FF2B5EF4-FFF2-40B4-BE49-F238E27FC236}">
              <a16:creationId xmlns:a16="http://schemas.microsoft.com/office/drawing/2014/main" xmlns="" id="{00000000-0008-0000-0200-0000F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44" name="Rectangle 453" descr="2">
          <a:extLst>
            <a:ext uri="{FF2B5EF4-FFF2-40B4-BE49-F238E27FC236}">
              <a16:creationId xmlns:a16="http://schemas.microsoft.com/office/drawing/2014/main" xmlns="" id="{00000000-0008-0000-0200-0000F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45" name="Rectangle 454" descr="2">
          <a:extLst>
            <a:ext uri="{FF2B5EF4-FFF2-40B4-BE49-F238E27FC236}">
              <a16:creationId xmlns:a16="http://schemas.microsoft.com/office/drawing/2014/main" xmlns="" id="{00000000-0008-0000-0200-0000F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46" name="Rectangle 455" descr="2">
          <a:extLst>
            <a:ext uri="{FF2B5EF4-FFF2-40B4-BE49-F238E27FC236}">
              <a16:creationId xmlns:a16="http://schemas.microsoft.com/office/drawing/2014/main" xmlns="" id="{00000000-0008-0000-0200-0000F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47" name="Rectangle 456" descr="2">
          <a:extLst>
            <a:ext uri="{FF2B5EF4-FFF2-40B4-BE49-F238E27FC236}">
              <a16:creationId xmlns:a16="http://schemas.microsoft.com/office/drawing/2014/main" xmlns="" id="{00000000-0008-0000-0200-0000F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48" name="Rectangle 457" descr="2">
          <a:extLst>
            <a:ext uri="{FF2B5EF4-FFF2-40B4-BE49-F238E27FC236}">
              <a16:creationId xmlns:a16="http://schemas.microsoft.com/office/drawing/2014/main" xmlns="" id="{00000000-0008-0000-0200-0000F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49" name="Rectangle 458" descr="1">
          <a:extLst>
            <a:ext uri="{FF2B5EF4-FFF2-40B4-BE49-F238E27FC236}">
              <a16:creationId xmlns:a16="http://schemas.microsoft.com/office/drawing/2014/main" xmlns="" id="{00000000-0008-0000-0200-0000F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50" name="Rectangle 444" descr="2">
          <a:extLst>
            <a:ext uri="{FF2B5EF4-FFF2-40B4-BE49-F238E27FC236}">
              <a16:creationId xmlns:a16="http://schemas.microsoft.com/office/drawing/2014/main" xmlns="" id="{00000000-0008-0000-0200-0000F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51" name="Rectangle 445" descr="2">
          <a:extLst>
            <a:ext uri="{FF2B5EF4-FFF2-40B4-BE49-F238E27FC236}">
              <a16:creationId xmlns:a16="http://schemas.microsoft.com/office/drawing/2014/main" xmlns="" id="{00000000-0008-0000-0200-0000F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52" name="Rectangle 446" descr="2">
          <a:extLst>
            <a:ext uri="{FF2B5EF4-FFF2-40B4-BE49-F238E27FC236}">
              <a16:creationId xmlns:a16="http://schemas.microsoft.com/office/drawing/2014/main" xmlns="" id="{00000000-0008-0000-0200-0000F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53" name="Rectangle 447" descr="2">
          <a:extLst>
            <a:ext uri="{FF2B5EF4-FFF2-40B4-BE49-F238E27FC236}">
              <a16:creationId xmlns:a16="http://schemas.microsoft.com/office/drawing/2014/main" xmlns="" id="{00000000-0008-0000-0200-0000F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54" name="Rectangle 448" descr="2">
          <a:extLst>
            <a:ext uri="{FF2B5EF4-FFF2-40B4-BE49-F238E27FC236}">
              <a16:creationId xmlns:a16="http://schemas.microsoft.com/office/drawing/2014/main" xmlns="" id="{00000000-0008-0000-0200-0000F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55" name="Rectangle 449" descr="2">
          <a:extLst>
            <a:ext uri="{FF2B5EF4-FFF2-40B4-BE49-F238E27FC236}">
              <a16:creationId xmlns:a16="http://schemas.microsoft.com/office/drawing/2014/main" xmlns="" id="{00000000-0008-0000-0200-00000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56" name="Rectangle 450" descr="2">
          <a:extLst>
            <a:ext uri="{FF2B5EF4-FFF2-40B4-BE49-F238E27FC236}">
              <a16:creationId xmlns:a16="http://schemas.microsoft.com/office/drawing/2014/main" xmlns="" id="{00000000-0008-0000-0200-00000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57" name="Rectangle 451" descr="2">
          <a:extLst>
            <a:ext uri="{FF2B5EF4-FFF2-40B4-BE49-F238E27FC236}">
              <a16:creationId xmlns:a16="http://schemas.microsoft.com/office/drawing/2014/main" xmlns="" id="{00000000-0008-0000-0200-00000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58" name="Rectangle 452" descr="2">
          <a:extLst>
            <a:ext uri="{FF2B5EF4-FFF2-40B4-BE49-F238E27FC236}">
              <a16:creationId xmlns:a16="http://schemas.microsoft.com/office/drawing/2014/main" xmlns="" id="{00000000-0008-0000-0200-00000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59" name="Rectangle 453" descr="2">
          <a:extLst>
            <a:ext uri="{FF2B5EF4-FFF2-40B4-BE49-F238E27FC236}">
              <a16:creationId xmlns:a16="http://schemas.microsoft.com/office/drawing/2014/main" xmlns="" id="{00000000-0008-0000-0200-00000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60" name="Rectangle 454" descr="2">
          <a:extLst>
            <a:ext uri="{FF2B5EF4-FFF2-40B4-BE49-F238E27FC236}">
              <a16:creationId xmlns:a16="http://schemas.microsoft.com/office/drawing/2014/main" xmlns="" id="{00000000-0008-0000-0200-00000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61" name="Rectangle 455" descr="2">
          <a:extLst>
            <a:ext uri="{FF2B5EF4-FFF2-40B4-BE49-F238E27FC236}">
              <a16:creationId xmlns:a16="http://schemas.microsoft.com/office/drawing/2014/main" xmlns="" id="{00000000-0008-0000-0200-00000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62" name="Rectangle 456" descr="2">
          <a:extLst>
            <a:ext uri="{FF2B5EF4-FFF2-40B4-BE49-F238E27FC236}">
              <a16:creationId xmlns:a16="http://schemas.microsoft.com/office/drawing/2014/main" xmlns="" id="{00000000-0008-0000-0200-00000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63" name="Rectangle 457" descr="2">
          <a:extLst>
            <a:ext uri="{FF2B5EF4-FFF2-40B4-BE49-F238E27FC236}">
              <a16:creationId xmlns:a16="http://schemas.microsoft.com/office/drawing/2014/main" xmlns="" id="{00000000-0008-0000-0200-00000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64" name="Rectangle 458" descr="1">
          <a:extLst>
            <a:ext uri="{FF2B5EF4-FFF2-40B4-BE49-F238E27FC236}">
              <a16:creationId xmlns:a16="http://schemas.microsoft.com/office/drawing/2014/main" xmlns="" id="{00000000-0008-0000-0200-00000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65" name="Rectangle 444" descr="2">
          <a:extLst>
            <a:ext uri="{FF2B5EF4-FFF2-40B4-BE49-F238E27FC236}">
              <a16:creationId xmlns:a16="http://schemas.microsoft.com/office/drawing/2014/main" xmlns="" id="{00000000-0008-0000-0200-00000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66" name="Rectangle 445" descr="2">
          <a:extLst>
            <a:ext uri="{FF2B5EF4-FFF2-40B4-BE49-F238E27FC236}">
              <a16:creationId xmlns:a16="http://schemas.microsoft.com/office/drawing/2014/main" xmlns="" id="{00000000-0008-0000-0200-00000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67" name="Rectangle 446" descr="2">
          <a:extLst>
            <a:ext uri="{FF2B5EF4-FFF2-40B4-BE49-F238E27FC236}">
              <a16:creationId xmlns:a16="http://schemas.microsoft.com/office/drawing/2014/main" xmlns="" id="{00000000-0008-0000-0200-00000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68" name="Rectangle 447" descr="2">
          <a:extLst>
            <a:ext uri="{FF2B5EF4-FFF2-40B4-BE49-F238E27FC236}">
              <a16:creationId xmlns:a16="http://schemas.microsoft.com/office/drawing/2014/main" xmlns="" id="{00000000-0008-0000-0200-00000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69" name="Rectangle 448" descr="2">
          <a:extLst>
            <a:ext uri="{FF2B5EF4-FFF2-40B4-BE49-F238E27FC236}">
              <a16:creationId xmlns:a16="http://schemas.microsoft.com/office/drawing/2014/main" xmlns="" id="{00000000-0008-0000-0200-00000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70" name="Rectangle 449" descr="2">
          <a:extLst>
            <a:ext uri="{FF2B5EF4-FFF2-40B4-BE49-F238E27FC236}">
              <a16:creationId xmlns:a16="http://schemas.microsoft.com/office/drawing/2014/main" xmlns="" id="{00000000-0008-0000-0200-00000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71" name="Rectangle 450" descr="2">
          <a:extLst>
            <a:ext uri="{FF2B5EF4-FFF2-40B4-BE49-F238E27FC236}">
              <a16:creationId xmlns:a16="http://schemas.microsoft.com/office/drawing/2014/main" xmlns="" id="{00000000-0008-0000-0200-00001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72" name="Rectangle 451" descr="2">
          <a:extLst>
            <a:ext uri="{FF2B5EF4-FFF2-40B4-BE49-F238E27FC236}">
              <a16:creationId xmlns:a16="http://schemas.microsoft.com/office/drawing/2014/main" xmlns="" id="{00000000-0008-0000-0200-00001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73" name="Rectangle 452" descr="2">
          <a:extLst>
            <a:ext uri="{FF2B5EF4-FFF2-40B4-BE49-F238E27FC236}">
              <a16:creationId xmlns:a16="http://schemas.microsoft.com/office/drawing/2014/main" xmlns="" id="{00000000-0008-0000-0200-00001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74" name="Rectangle 453" descr="2">
          <a:extLst>
            <a:ext uri="{FF2B5EF4-FFF2-40B4-BE49-F238E27FC236}">
              <a16:creationId xmlns:a16="http://schemas.microsoft.com/office/drawing/2014/main" xmlns="" id="{00000000-0008-0000-0200-00001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75" name="Rectangle 454" descr="2">
          <a:extLst>
            <a:ext uri="{FF2B5EF4-FFF2-40B4-BE49-F238E27FC236}">
              <a16:creationId xmlns:a16="http://schemas.microsoft.com/office/drawing/2014/main" xmlns="" id="{00000000-0008-0000-0200-00001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76" name="Rectangle 455" descr="2">
          <a:extLst>
            <a:ext uri="{FF2B5EF4-FFF2-40B4-BE49-F238E27FC236}">
              <a16:creationId xmlns:a16="http://schemas.microsoft.com/office/drawing/2014/main" xmlns="" id="{00000000-0008-0000-0200-00001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77" name="Rectangle 456" descr="2">
          <a:extLst>
            <a:ext uri="{FF2B5EF4-FFF2-40B4-BE49-F238E27FC236}">
              <a16:creationId xmlns:a16="http://schemas.microsoft.com/office/drawing/2014/main" xmlns="" id="{00000000-0008-0000-0200-00001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78" name="Rectangle 457" descr="2">
          <a:extLst>
            <a:ext uri="{FF2B5EF4-FFF2-40B4-BE49-F238E27FC236}">
              <a16:creationId xmlns:a16="http://schemas.microsoft.com/office/drawing/2014/main" xmlns="" id="{00000000-0008-0000-0200-00001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79" name="Rectangle 458" descr="1">
          <a:extLst>
            <a:ext uri="{FF2B5EF4-FFF2-40B4-BE49-F238E27FC236}">
              <a16:creationId xmlns:a16="http://schemas.microsoft.com/office/drawing/2014/main" xmlns="" id="{00000000-0008-0000-0200-00001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80" name="Rectangle 444" descr="2">
          <a:extLst>
            <a:ext uri="{FF2B5EF4-FFF2-40B4-BE49-F238E27FC236}">
              <a16:creationId xmlns:a16="http://schemas.microsoft.com/office/drawing/2014/main" xmlns="" id="{00000000-0008-0000-0200-00001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81" name="Rectangle 445" descr="2">
          <a:extLst>
            <a:ext uri="{FF2B5EF4-FFF2-40B4-BE49-F238E27FC236}">
              <a16:creationId xmlns:a16="http://schemas.microsoft.com/office/drawing/2014/main" xmlns="" id="{00000000-0008-0000-0200-00001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82" name="Rectangle 446" descr="2">
          <a:extLst>
            <a:ext uri="{FF2B5EF4-FFF2-40B4-BE49-F238E27FC236}">
              <a16:creationId xmlns:a16="http://schemas.microsoft.com/office/drawing/2014/main" xmlns="" id="{00000000-0008-0000-0200-00001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83" name="Rectangle 447" descr="2">
          <a:extLst>
            <a:ext uri="{FF2B5EF4-FFF2-40B4-BE49-F238E27FC236}">
              <a16:creationId xmlns:a16="http://schemas.microsoft.com/office/drawing/2014/main" xmlns="" id="{00000000-0008-0000-0200-00001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84" name="Rectangle 448" descr="2">
          <a:extLst>
            <a:ext uri="{FF2B5EF4-FFF2-40B4-BE49-F238E27FC236}">
              <a16:creationId xmlns:a16="http://schemas.microsoft.com/office/drawing/2014/main" xmlns="" id="{00000000-0008-0000-0200-00001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85" name="Rectangle 449" descr="2">
          <a:extLst>
            <a:ext uri="{FF2B5EF4-FFF2-40B4-BE49-F238E27FC236}">
              <a16:creationId xmlns:a16="http://schemas.microsoft.com/office/drawing/2014/main" xmlns="" id="{00000000-0008-0000-0200-00001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86" name="Rectangle 450" descr="2">
          <a:extLst>
            <a:ext uri="{FF2B5EF4-FFF2-40B4-BE49-F238E27FC236}">
              <a16:creationId xmlns:a16="http://schemas.microsoft.com/office/drawing/2014/main" xmlns="" id="{00000000-0008-0000-0200-00001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87" name="Rectangle 451" descr="2">
          <a:extLst>
            <a:ext uri="{FF2B5EF4-FFF2-40B4-BE49-F238E27FC236}">
              <a16:creationId xmlns:a16="http://schemas.microsoft.com/office/drawing/2014/main" xmlns="" id="{00000000-0008-0000-0200-00002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88" name="Rectangle 452" descr="2">
          <a:extLst>
            <a:ext uri="{FF2B5EF4-FFF2-40B4-BE49-F238E27FC236}">
              <a16:creationId xmlns:a16="http://schemas.microsoft.com/office/drawing/2014/main" xmlns="" id="{00000000-0008-0000-0200-00002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89" name="Rectangle 453" descr="2">
          <a:extLst>
            <a:ext uri="{FF2B5EF4-FFF2-40B4-BE49-F238E27FC236}">
              <a16:creationId xmlns:a16="http://schemas.microsoft.com/office/drawing/2014/main" xmlns="" id="{00000000-0008-0000-0200-00002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90" name="Rectangle 454" descr="2">
          <a:extLst>
            <a:ext uri="{FF2B5EF4-FFF2-40B4-BE49-F238E27FC236}">
              <a16:creationId xmlns:a16="http://schemas.microsoft.com/office/drawing/2014/main" xmlns="" id="{00000000-0008-0000-0200-00002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91" name="Rectangle 455" descr="2">
          <a:extLst>
            <a:ext uri="{FF2B5EF4-FFF2-40B4-BE49-F238E27FC236}">
              <a16:creationId xmlns:a16="http://schemas.microsoft.com/office/drawing/2014/main" xmlns="" id="{00000000-0008-0000-0200-00002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92" name="Rectangle 456" descr="2">
          <a:extLst>
            <a:ext uri="{FF2B5EF4-FFF2-40B4-BE49-F238E27FC236}">
              <a16:creationId xmlns:a16="http://schemas.microsoft.com/office/drawing/2014/main" xmlns="" id="{00000000-0008-0000-0200-00002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93" name="Rectangle 457" descr="2">
          <a:extLst>
            <a:ext uri="{FF2B5EF4-FFF2-40B4-BE49-F238E27FC236}">
              <a16:creationId xmlns:a16="http://schemas.microsoft.com/office/drawing/2014/main" xmlns="" id="{00000000-0008-0000-0200-00002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94" name="Rectangle 458" descr="1">
          <a:extLst>
            <a:ext uri="{FF2B5EF4-FFF2-40B4-BE49-F238E27FC236}">
              <a16:creationId xmlns:a16="http://schemas.microsoft.com/office/drawing/2014/main" xmlns="" id="{00000000-0008-0000-0200-00002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95" name="Rectangle 444" descr="2">
          <a:extLst>
            <a:ext uri="{FF2B5EF4-FFF2-40B4-BE49-F238E27FC236}">
              <a16:creationId xmlns:a16="http://schemas.microsoft.com/office/drawing/2014/main" xmlns="" id="{00000000-0008-0000-0200-00002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96" name="Rectangle 445" descr="2">
          <a:extLst>
            <a:ext uri="{FF2B5EF4-FFF2-40B4-BE49-F238E27FC236}">
              <a16:creationId xmlns:a16="http://schemas.microsoft.com/office/drawing/2014/main" xmlns="" id="{00000000-0008-0000-0200-00002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97" name="Rectangle 446" descr="2">
          <a:extLst>
            <a:ext uri="{FF2B5EF4-FFF2-40B4-BE49-F238E27FC236}">
              <a16:creationId xmlns:a16="http://schemas.microsoft.com/office/drawing/2014/main" xmlns="" id="{00000000-0008-0000-0200-00002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98" name="Rectangle 447" descr="2">
          <a:extLst>
            <a:ext uri="{FF2B5EF4-FFF2-40B4-BE49-F238E27FC236}">
              <a16:creationId xmlns:a16="http://schemas.microsoft.com/office/drawing/2014/main" xmlns="" id="{00000000-0008-0000-0200-00002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299" name="Rectangle 448" descr="2">
          <a:extLst>
            <a:ext uri="{FF2B5EF4-FFF2-40B4-BE49-F238E27FC236}">
              <a16:creationId xmlns:a16="http://schemas.microsoft.com/office/drawing/2014/main" xmlns="" id="{00000000-0008-0000-0200-00002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00" name="Rectangle 449" descr="2">
          <a:extLst>
            <a:ext uri="{FF2B5EF4-FFF2-40B4-BE49-F238E27FC236}">
              <a16:creationId xmlns:a16="http://schemas.microsoft.com/office/drawing/2014/main" xmlns="" id="{00000000-0008-0000-0200-00002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01" name="Rectangle 450" descr="2">
          <a:extLst>
            <a:ext uri="{FF2B5EF4-FFF2-40B4-BE49-F238E27FC236}">
              <a16:creationId xmlns:a16="http://schemas.microsoft.com/office/drawing/2014/main" xmlns="" id="{00000000-0008-0000-0200-00002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02" name="Rectangle 451" descr="2">
          <a:extLst>
            <a:ext uri="{FF2B5EF4-FFF2-40B4-BE49-F238E27FC236}">
              <a16:creationId xmlns:a16="http://schemas.microsoft.com/office/drawing/2014/main" xmlns="" id="{00000000-0008-0000-0200-00002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03" name="Rectangle 452" descr="2">
          <a:extLst>
            <a:ext uri="{FF2B5EF4-FFF2-40B4-BE49-F238E27FC236}">
              <a16:creationId xmlns:a16="http://schemas.microsoft.com/office/drawing/2014/main" xmlns="" id="{00000000-0008-0000-0200-00003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04" name="Rectangle 453" descr="2">
          <a:extLst>
            <a:ext uri="{FF2B5EF4-FFF2-40B4-BE49-F238E27FC236}">
              <a16:creationId xmlns:a16="http://schemas.microsoft.com/office/drawing/2014/main" xmlns="" id="{00000000-0008-0000-0200-00003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05" name="Rectangle 454" descr="2">
          <a:extLst>
            <a:ext uri="{FF2B5EF4-FFF2-40B4-BE49-F238E27FC236}">
              <a16:creationId xmlns:a16="http://schemas.microsoft.com/office/drawing/2014/main" xmlns="" id="{00000000-0008-0000-0200-00003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06" name="Rectangle 455" descr="2">
          <a:extLst>
            <a:ext uri="{FF2B5EF4-FFF2-40B4-BE49-F238E27FC236}">
              <a16:creationId xmlns:a16="http://schemas.microsoft.com/office/drawing/2014/main" xmlns="" id="{00000000-0008-0000-0200-00003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07" name="Rectangle 456" descr="2">
          <a:extLst>
            <a:ext uri="{FF2B5EF4-FFF2-40B4-BE49-F238E27FC236}">
              <a16:creationId xmlns:a16="http://schemas.microsoft.com/office/drawing/2014/main" xmlns="" id="{00000000-0008-0000-0200-00003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08" name="Rectangle 457" descr="2">
          <a:extLst>
            <a:ext uri="{FF2B5EF4-FFF2-40B4-BE49-F238E27FC236}">
              <a16:creationId xmlns:a16="http://schemas.microsoft.com/office/drawing/2014/main" xmlns="" id="{00000000-0008-0000-0200-00003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09" name="Rectangle 458" descr="1">
          <a:extLst>
            <a:ext uri="{FF2B5EF4-FFF2-40B4-BE49-F238E27FC236}">
              <a16:creationId xmlns:a16="http://schemas.microsoft.com/office/drawing/2014/main" xmlns="" id="{00000000-0008-0000-0200-00003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10" name="Rectangle 444" descr="2">
          <a:extLst>
            <a:ext uri="{FF2B5EF4-FFF2-40B4-BE49-F238E27FC236}">
              <a16:creationId xmlns:a16="http://schemas.microsoft.com/office/drawing/2014/main" xmlns="" id="{00000000-0008-0000-0200-00003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11" name="Rectangle 445" descr="2">
          <a:extLst>
            <a:ext uri="{FF2B5EF4-FFF2-40B4-BE49-F238E27FC236}">
              <a16:creationId xmlns:a16="http://schemas.microsoft.com/office/drawing/2014/main" xmlns="" id="{00000000-0008-0000-0200-00003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12" name="Rectangle 446" descr="2">
          <a:extLst>
            <a:ext uri="{FF2B5EF4-FFF2-40B4-BE49-F238E27FC236}">
              <a16:creationId xmlns:a16="http://schemas.microsoft.com/office/drawing/2014/main" xmlns="" id="{00000000-0008-0000-0200-00003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13" name="Rectangle 447" descr="2">
          <a:extLst>
            <a:ext uri="{FF2B5EF4-FFF2-40B4-BE49-F238E27FC236}">
              <a16:creationId xmlns:a16="http://schemas.microsoft.com/office/drawing/2014/main" xmlns="" id="{00000000-0008-0000-0200-00003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14" name="Rectangle 448" descr="2">
          <a:extLst>
            <a:ext uri="{FF2B5EF4-FFF2-40B4-BE49-F238E27FC236}">
              <a16:creationId xmlns:a16="http://schemas.microsoft.com/office/drawing/2014/main" xmlns="" id="{00000000-0008-0000-0200-00003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15" name="Rectangle 449" descr="2">
          <a:extLst>
            <a:ext uri="{FF2B5EF4-FFF2-40B4-BE49-F238E27FC236}">
              <a16:creationId xmlns:a16="http://schemas.microsoft.com/office/drawing/2014/main" xmlns="" id="{00000000-0008-0000-0200-00003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16" name="Rectangle 450" descr="2">
          <a:extLst>
            <a:ext uri="{FF2B5EF4-FFF2-40B4-BE49-F238E27FC236}">
              <a16:creationId xmlns:a16="http://schemas.microsoft.com/office/drawing/2014/main" xmlns="" id="{00000000-0008-0000-0200-00003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17" name="Rectangle 451" descr="2">
          <a:extLst>
            <a:ext uri="{FF2B5EF4-FFF2-40B4-BE49-F238E27FC236}">
              <a16:creationId xmlns:a16="http://schemas.microsoft.com/office/drawing/2014/main" xmlns="" id="{00000000-0008-0000-0200-00003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18" name="Rectangle 452" descr="2">
          <a:extLst>
            <a:ext uri="{FF2B5EF4-FFF2-40B4-BE49-F238E27FC236}">
              <a16:creationId xmlns:a16="http://schemas.microsoft.com/office/drawing/2014/main" xmlns="" id="{00000000-0008-0000-0200-00003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19" name="Rectangle 453" descr="2">
          <a:extLst>
            <a:ext uri="{FF2B5EF4-FFF2-40B4-BE49-F238E27FC236}">
              <a16:creationId xmlns:a16="http://schemas.microsoft.com/office/drawing/2014/main" xmlns="" id="{00000000-0008-0000-0200-00004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20" name="Rectangle 454" descr="2">
          <a:extLst>
            <a:ext uri="{FF2B5EF4-FFF2-40B4-BE49-F238E27FC236}">
              <a16:creationId xmlns:a16="http://schemas.microsoft.com/office/drawing/2014/main" xmlns="" id="{00000000-0008-0000-0200-00004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21" name="Rectangle 455" descr="2">
          <a:extLst>
            <a:ext uri="{FF2B5EF4-FFF2-40B4-BE49-F238E27FC236}">
              <a16:creationId xmlns:a16="http://schemas.microsoft.com/office/drawing/2014/main" xmlns="" id="{00000000-0008-0000-0200-00004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22" name="Rectangle 456" descr="2">
          <a:extLst>
            <a:ext uri="{FF2B5EF4-FFF2-40B4-BE49-F238E27FC236}">
              <a16:creationId xmlns:a16="http://schemas.microsoft.com/office/drawing/2014/main" xmlns="" id="{00000000-0008-0000-0200-00004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23" name="Rectangle 457" descr="2">
          <a:extLst>
            <a:ext uri="{FF2B5EF4-FFF2-40B4-BE49-F238E27FC236}">
              <a16:creationId xmlns:a16="http://schemas.microsoft.com/office/drawing/2014/main" xmlns="" id="{00000000-0008-0000-0200-00004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24" name="Rectangle 458" descr="1">
          <a:extLst>
            <a:ext uri="{FF2B5EF4-FFF2-40B4-BE49-F238E27FC236}">
              <a16:creationId xmlns:a16="http://schemas.microsoft.com/office/drawing/2014/main" xmlns="" id="{00000000-0008-0000-0200-00004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25" name="Rectangle 444" descr="2">
          <a:extLst>
            <a:ext uri="{FF2B5EF4-FFF2-40B4-BE49-F238E27FC236}">
              <a16:creationId xmlns:a16="http://schemas.microsoft.com/office/drawing/2014/main" xmlns="" id="{00000000-0008-0000-0200-00004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26" name="Rectangle 445" descr="2">
          <a:extLst>
            <a:ext uri="{FF2B5EF4-FFF2-40B4-BE49-F238E27FC236}">
              <a16:creationId xmlns:a16="http://schemas.microsoft.com/office/drawing/2014/main" xmlns="" id="{00000000-0008-0000-0200-00004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27" name="Rectangle 446" descr="2">
          <a:extLst>
            <a:ext uri="{FF2B5EF4-FFF2-40B4-BE49-F238E27FC236}">
              <a16:creationId xmlns:a16="http://schemas.microsoft.com/office/drawing/2014/main" xmlns="" id="{00000000-0008-0000-0200-00004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28" name="Rectangle 447" descr="2">
          <a:extLst>
            <a:ext uri="{FF2B5EF4-FFF2-40B4-BE49-F238E27FC236}">
              <a16:creationId xmlns:a16="http://schemas.microsoft.com/office/drawing/2014/main" xmlns="" id="{00000000-0008-0000-0200-00004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29" name="Rectangle 448" descr="2">
          <a:extLst>
            <a:ext uri="{FF2B5EF4-FFF2-40B4-BE49-F238E27FC236}">
              <a16:creationId xmlns:a16="http://schemas.microsoft.com/office/drawing/2014/main" xmlns="" id="{00000000-0008-0000-0200-00004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30" name="Rectangle 449" descr="2">
          <a:extLst>
            <a:ext uri="{FF2B5EF4-FFF2-40B4-BE49-F238E27FC236}">
              <a16:creationId xmlns:a16="http://schemas.microsoft.com/office/drawing/2014/main" xmlns="" id="{00000000-0008-0000-0200-00004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31" name="Rectangle 450" descr="2">
          <a:extLst>
            <a:ext uri="{FF2B5EF4-FFF2-40B4-BE49-F238E27FC236}">
              <a16:creationId xmlns:a16="http://schemas.microsoft.com/office/drawing/2014/main" xmlns="" id="{00000000-0008-0000-0200-00004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32" name="Rectangle 451" descr="2">
          <a:extLst>
            <a:ext uri="{FF2B5EF4-FFF2-40B4-BE49-F238E27FC236}">
              <a16:creationId xmlns:a16="http://schemas.microsoft.com/office/drawing/2014/main" xmlns="" id="{00000000-0008-0000-0200-00004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33" name="Rectangle 452" descr="2">
          <a:extLst>
            <a:ext uri="{FF2B5EF4-FFF2-40B4-BE49-F238E27FC236}">
              <a16:creationId xmlns:a16="http://schemas.microsoft.com/office/drawing/2014/main" xmlns="" id="{00000000-0008-0000-0200-00004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34" name="Rectangle 453" descr="2">
          <a:extLst>
            <a:ext uri="{FF2B5EF4-FFF2-40B4-BE49-F238E27FC236}">
              <a16:creationId xmlns:a16="http://schemas.microsoft.com/office/drawing/2014/main" xmlns="" id="{00000000-0008-0000-0200-00004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35" name="Rectangle 454" descr="2">
          <a:extLst>
            <a:ext uri="{FF2B5EF4-FFF2-40B4-BE49-F238E27FC236}">
              <a16:creationId xmlns:a16="http://schemas.microsoft.com/office/drawing/2014/main" xmlns="" id="{00000000-0008-0000-0200-00005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36" name="Rectangle 455" descr="2">
          <a:extLst>
            <a:ext uri="{FF2B5EF4-FFF2-40B4-BE49-F238E27FC236}">
              <a16:creationId xmlns:a16="http://schemas.microsoft.com/office/drawing/2014/main" xmlns="" id="{00000000-0008-0000-0200-00005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37" name="Rectangle 456" descr="2">
          <a:extLst>
            <a:ext uri="{FF2B5EF4-FFF2-40B4-BE49-F238E27FC236}">
              <a16:creationId xmlns:a16="http://schemas.microsoft.com/office/drawing/2014/main" xmlns="" id="{00000000-0008-0000-0200-00005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38" name="Rectangle 457" descr="2">
          <a:extLst>
            <a:ext uri="{FF2B5EF4-FFF2-40B4-BE49-F238E27FC236}">
              <a16:creationId xmlns:a16="http://schemas.microsoft.com/office/drawing/2014/main" xmlns="" id="{00000000-0008-0000-0200-00005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39" name="Rectangle 458" descr="1">
          <a:extLst>
            <a:ext uri="{FF2B5EF4-FFF2-40B4-BE49-F238E27FC236}">
              <a16:creationId xmlns:a16="http://schemas.microsoft.com/office/drawing/2014/main" xmlns="" id="{00000000-0008-0000-0200-00005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40" name="Rectangle 444" descr="2">
          <a:extLst>
            <a:ext uri="{FF2B5EF4-FFF2-40B4-BE49-F238E27FC236}">
              <a16:creationId xmlns:a16="http://schemas.microsoft.com/office/drawing/2014/main" xmlns="" id="{00000000-0008-0000-0200-00005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41" name="Rectangle 445" descr="2">
          <a:extLst>
            <a:ext uri="{FF2B5EF4-FFF2-40B4-BE49-F238E27FC236}">
              <a16:creationId xmlns:a16="http://schemas.microsoft.com/office/drawing/2014/main" xmlns="" id="{00000000-0008-0000-0200-00005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42" name="Rectangle 446" descr="2">
          <a:extLst>
            <a:ext uri="{FF2B5EF4-FFF2-40B4-BE49-F238E27FC236}">
              <a16:creationId xmlns:a16="http://schemas.microsoft.com/office/drawing/2014/main" xmlns="" id="{00000000-0008-0000-0200-00005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43" name="Rectangle 447" descr="2">
          <a:extLst>
            <a:ext uri="{FF2B5EF4-FFF2-40B4-BE49-F238E27FC236}">
              <a16:creationId xmlns:a16="http://schemas.microsoft.com/office/drawing/2014/main" xmlns="" id="{00000000-0008-0000-0200-00005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44" name="Rectangle 448" descr="2">
          <a:extLst>
            <a:ext uri="{FF2B5EF4-FFF2-40B4-BE49-F238E27FC236}">
              <a16:creationId xmlns:a16="http://schemas.microsoft.com/office/drawing/2014/main" xmlns="" id="{00000000-0008-0000-0200-00005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45" name="Rectangle 449" descr="2">
          <a:extLst>
            <a:ext uri="{FF2B5EF4-FFF2-40B4-BE49-F238E27FC236}">
              <a16:creationId xmlns:a16="http://schemas.microsoft.com/office/drawing/2014/main" xmlns="" id="{00000000-0008-0000-0200-00005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46" name="Rectangle 450" descr="2">
          <a:extLst>
            <a:ext uri="{FF2B5EF4-FFF2-40B4-BE49-F238E27FC236}">
              <a16:creationId xmlns:a16="http://schemas.microsoft.com/office/drawing/2014/main" xmlns="" id="{00000000-0008-0000-0200-00005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47" name="Rectangle 451" descr="2">
          <a:extLst>
            <a:ext uri="{FF2B5EF4-FFF2-40B4-BE49-F238E27FC236}">
              <a16:creationId xmlns:a16="http://schemas.microsoft.com/office/drawing/2014/main" xmlns="" id="{00000000-0008-0000-0200-00005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48" name="Rectangle 452" descr="2">
          <a:extLst>
            <a:ext uri="{FF2B5EF4-FFF2-40B4-BE49-F238E27FC236}">
              <a16:creationId xmlns:a16="http://schemas.microsoft.com/office/drawing/2014/main" xmlns="" id="{00000000-0008-0000-0200-00005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49" name="Rectangle 453" descr="2">
          <a:extLst>
            <a:ext uri="{FF2B5EF4-FFF2-40B4-BE49-F238E27FC236}">
              <a16:creationId xmlns:a16="http://schemas.microsoft.com/office/drawing/2014/main" xmlns="" id="{00000000-0008-0000-0200-00005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50" name="Rectangle 454" descr="2">
          <a:extLst>
            <a:ext uri="{FF2B5EF4-FFF2-40B4-BE49-F238E27FC236}">
              <a16:creationId xmlns:a16="http://schemas.microsoft.com/office/drawing/2014/main" xmlns="" id="{00000000-0008-0000-0200-00005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51" name="Rectangle 455" descr="2">
          <a:extLst>
            <a:ext uri="{FF2B5EF4-FFF2-40B4-BE49-F238E27FC236}">
              <a16:creationId xmlns:a16="http://schemas.microsoft.com/office/drawing/2014/main" xmlns="" id="{00000000-0008-0000-0200-00006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52" name="Rectangle 456" descr="2">
          <a:extLst>
            <a:ext uri="{FF2B5EF4-FFF2-40B4-BE49-F238E27FC236}">
              <a16:creationId xmlns:a16="http://schemas.microsoft.com/office/drawing/2014/main" xmlns="" id="{00000000-0008-0000-0200-00006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53" name="Rectangle 457" descr="2">
          <a:extLst>
            <a:ext uri="{FF2B5EF4-FFF2-40B4-BE49-F238E27FC236}">
              <a16:creationId xmlns:a16="http://schemas.microsoft.com/office/drawing/2014/main" xmlns="" id="{00000000-0008-0000-0200-00006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54" name="Rectangle 458" descr="1">
          <a:extLst>
            <a:ext uri="{FF2B5EF4-FFF2-40B4-BE49-F238E27FC236}">
              <a16:creationId xmlns:a16="http://schemas.microsoft.com/office/drawing/2014/main" xmlns="" id="{00000000-0008-0000-0200-00006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55" name="Rectangle 444" descr="2">
          <a:extLst>
            <a:ext uri="{FF2B5EF4-FFF2-40B4-BE49-F238E27FC236}">
              <a16:creationId xmlns:a16="http://schemas.microsoft.com/office/drawing/2014/main" xmlns="" id="{00000000-0008-0000-0200-00006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56" name="Rectangle 445" descr="2">
          <a:extLst>
            <a:ext uri="{FF2B5EF4-FFF2-40B4-BE49-F238E27FC236}">
              <a16:creationId xmlns:a16="http://schemas.microsoft.com/office/drawing/2014/main" xmlns="" id="{00000000-0008-0000-0200-00006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57" name="Rectangle 446" descr="2">
          <a:extLst>
            <a:ext uri="{FF2B5EF4-FFF2-40B4-BE49-F238E27FC236}">
              <a16:creationId xmlns:a16="http://schemas.microsoft.com/office/drawing/2014/main" xmlns="" id="{00000000-0008-0000-0200-00006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58" name="Rectangle 447" descr="2">
          <a:extLst>
            <a:ext uri="{FF2B5EF4-FFF2-40B4-BE49-F238E27FC236}">
              <a16:creationId xmlns:a16="http://schemas.microsoft.com/office/drawing/2014/main" xmlns="" id="{00000000-0008-0000-0200-00006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59" name="Rectangle 448" descr="2">
          <a:extLst>
            <a:ext uri="{FF2B5EF4-FFF2-40B4-BE49-F238E27FC236}">
              <a16:creationId xmlns:a16="http://schemas.microsoft.com/office/drawing/2014/main" xmlns="" id="{00000000-0008-0000-0200-00006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60" name="Rectangle 449" descr="2">
          <a:extLst>
            <a:ext uri="{FF2B5EF4-FFF2-40B4-BE49-F238E27FC236}">
              <a16:creationId xmlns:a16="http://schemas.microsoft.com/office/drawing/2014/main" xmlns="" id="{00000000-0008-0000-0200-00006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61" name="Rectangle 450" descr="2">
          <a:extLst>
            <a:ext uri="{FF2B5EF4-FFF2-40B4-BE49-F238E27FC236}">
              <a16:creationId xmlns:a16="http://schemas.microsoft.com/office/drawing/2014/main" xmlns="" id="{00000000-0008-0000-0200-00006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62" name="Rectangle 451" descr="2">
          <a:extLst>
            <a:ext uri="{FF2B5EF4-FFF2-40B4-BE49-F238E27FC236}">
              <a16:creationId xmlns:a16="http://schemas.microsoft.com/office/drawing/2014/main" xmlns="" id="{00000000-0008-0000-0200-00006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63" name="Rectangle 452" descr="2">
          <a:extLst>
            <a:ext uri="{FF2B5EF4-FFF2-40B4-BE49-F238E27FC236}">
              <a16:creationId xmlns:a16="http://schemas.microsoft.com/office/drawing/2014/main" xmlns="" id="{00000000-0008-0000-0200-00006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64" name="Rectangle 453" descr="2">
          <a:extLst>
            <a:ext uri="{FF2B5EF4-FFF2-40B4-BE49-F238E27FC236}">
              <a16:creationId xmlns:a16="http://schemas.microsoft.com/office/drawing/2014/main" xmlns="" id="{00000000-0008-0000-0200-00006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65" name="Rectangle 454" descr="2">
          <a:extLst>
            <a:ext uri="{FF2B5EF4-FFF2-40B4-BE49-F238E27FC236}">
              <a16:creationId xmlns:a16="http://schemas.microsoft.com/office/drawing/2014/main" xmlns="" id="{00000000-0008-0000-0200-00006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66" name="Rectangle 455" descr="2">
          <a:extLst>
            <a:ext uri="{FF2B5EF4-FFF2-40B4-BE49-F238E27FC236}">
              <a16:creationId xmlns:a16="http://schemas.microsoft.com/office/drawing/2014/main" xmlns="" id="{00000000-0008-0000-0200-00006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67" name="Rectangle 456" descr="2">
          <a:extLst>
            <a:ext uri="{FF2B5EF4-FFF2-40B4-BE49-F238E27FC236}">
              <a16:creationId xmlns:a16="http://schemas.microsoft.com/office/drawing/2014/main" xmlns="" id="{00000000-0008-0000-0200-00007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68" name="Rectangle 457" descr="2">
          <a:extLst>
            <a:ext uri="{FF2B5EF4-FFF2-40B4-BE49-F238E27FC236}">
              <a16:creationId xmlns:a16="http://schemas.microsoft.com/office/drawing/2014/main" xmlns="" id="{00000000-0008-0000-0200-00007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69" name="Rectangle 458" descr="1">
          <a:extLst>
            <a:ext uri="{FF2B5EF4-FFF2-40B4-BE49-F238E27FC236}">
              <a16:creationId xmlns:a16="http://schemas.microsoft.com/office/drawing/2014/main" xmlns="" id="{00000000-0008-0000-0200-00007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70" name="Rectangle 444" descr="2">
          <a:extLst>
            <a:ext uri="{FF2B5EF4-FFF2-40B4-BE49-F238E27FC236}">
              <a16:creationId xmlns:a16="http://schemas.microsoft.com/office/drawing/2014/main" xmlns="" id="{00000000-0008-0000-0200-00007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71" name="Rectangle 445" descr="2">
          <a:extLst>
            <a:ext uri="{FF2B5EF4-FFF2-40B4-BE49-F238E27FC236}">
              <a16:creationId xmlns:a16="http://schemas.microsoft.com/office/drawing/2014/main" xmlns="" id="{00000000-0008-0000-0200-00007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72" name="Rectangle 446" descr="2">
          <a:extLst>
            <a:ext uri="{FF2B5EF4-FFF2-40B4-BE49-F238E27FC236}">
              <a16:creationId xmlns:a16="http://schemas.microsoft.com/office/drawing/2014/main" xmlns="" id="{00000000-0008-0000-0200-00007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73" name="Rectangle 447" descr="2">
          <a:extLst>
            <a:ext uri="{FF2B5EF4-FFF2-40B4-BE49-F238E27FC236}">
              <a16:creationId xmlns:a16="http://schemas.microsoft.com/office/drawing/2014/main" xmlns="" id="{00000000-0008-0000-0200-00007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74" name="Rectangle 448" descr="2">
          <a:extLst>
            <a:ext uri="{FF2B5EF4-FFF2-40B4-BE49-F238E27FC236}">
              <a16:creationId xmlns:a16="http://schemas.microsoft.com/office/drawing/2014/main" xmlns="" id="{00000000-0008-0000-0200-00007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75" name="Rectangle 449" descr="2">
          <a:extLst>
            <a:ext uri="{FF2B5EF4-FFF2-40B4-BE49-F238E27FC236}">
              <a16:creationId xmlns:a16="http://schemas.microsoft.com/office/drawing/2014/main" xmlns="" id="{00000000-0008-0000-0200-00007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76" name="Rectangle 450" descr="2">
          <a:extLst>
            <a:ext uri="{FF2B5EF4-FFF2-40B4-BE49-F238E27FC236}">
              <a16:creationId xmlns:a16="http://schemas.microsoft.com/office/drawing/2014/main" xmlns="" id="{00000000-0008-0000-0200-00007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77" name="Rectangle 451" descr="2">
          <a:extLst>
            <a:ext uri="{FF2B5EF4-FFF2-40B4-BE49-F238E27FC236}">
              <a16:creationId xmlns:a16="http://schemas.microsoft.com/office/drawing/2014/main" xmlns="" id="{00000000-0008-0000-0200-00007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78" name="Rectangle 452" descr="2">
          <a:extLst>
            <a:ext uri="{FF2B5EF4-FFF2-40B4-BE49-F238E27FC236}">
              <a16:creationId xmlns:a16="http://schemas.microsoft.com/office/drawing/2014/main" xmlns="" id="{00000000-0008-0000-0200-00007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79" name="Rectangle 453" descr="2">
          <a:extLst>
            <a:ext uri="{FF2B5EF4-FFF2-40B4-BE49-F238E27FC236}">
              <a16:creationId xmlns:a16="http://schemas.microsoft.com/office/drawing/2014/main" xmlns="" id="{00000000-0008-0000-0200-00007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80" name="Rectangle 454" descr="2">
          <a:extLst>
            <a:ext uri="{FF2B5EF4-FFF2-40B4-BE49-F238E27FC236}">
              <a16:creationId xmlns:a16="http://schemas.microsoft.com/office/drawing/2014/main" xmlns="" id="{00000000-0008-0000-0200-00007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81" name="Rectangle 455" descr="2">
          <a:extLst>
            <a:ext uri="{FF2B5EF4-FFF2-40B4-BE49-F238E27FC236}">
              <a16:creationId xmlns:a16="http://schemas.microsoft.com/office/drawing/2014/main" xmlns="" id="{00000000-0008-0000-0200-00007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82" name="Rectangle 456" descr="2">
          <a:extLst>
            <a:ext uri="{FF2B5EF4-FFF2-40B4-BE49-F238E27FC236}">
              <a16:creationId xmlns:a16="http://schemas.microsoft.com/office/drawing/2014/main" xmlns="" id="{00000000-0008-0000-0200-00007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83" name="Rectangle 457" descr="2">
          <a:extLst>
            <a:ext uri="{FF2B5EF4-FFF2-40B4-BE49-F238E27FC236}">
              <a16:creationId xmlns:a16="http://schemas.microsoft.com/office/drawing/2014/main" xmlns="" id="{00000000-0008-0000-0200-00008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84" name="Rectangle 458" descr="1">
          <a:extLst>
            <a:ext uri="{FF2B5EF4-FFF2-40B4-BE49-F238E27FC236}">
              <a16:creationId xmlns:a16="http://schemas.microsoft.com/office/drawing/2014/main" xmlns="" id="{00000000-0008-0000-0200-00008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85" name="Rectangle 444" descr="2">
          <a:extLst>
            <a:ext uri="{FF2B5EF4-FFF2-40B4-BE49-F238E27FC236}">
              <a16:creationId xmlns:a16="http://schemas.microsoft.com/office/drawing/2014/main" xmlns="" id="{00000000-0008-0000-0200-00008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86" name="Rectangle 445" descr="2">
          <a:extLst>
            <a:ext uri="{FF2B5EF4-FFF2-40B4-BE49-F238E27FC236}">
              <a16:creationId xmlns:a16="http://schemas.microsoft.com/office/drawing/2014/main" xmlns="" id="{00000000-0008-0000-0200-00008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87" name="Rectangle 446" descr="2">
          <a:extLst>
            <a:ext uri="{FF2B5EF4-FFF2-40B4-BE49-F238E27FC236}">
              <a16:creationId xmlns:a16="http://schemas.microsoft.com/office/drawing/2014/main" xmlns="" id="{00000000-0008-0000-0200-00008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88" name="Rectangle 447" descr="2">
          <a:extLst>
            <a:ext uri="{FF2B5EF4-FFF2-40B4-BE49-F238E27FC236}">
              <a16:creationId xmlns:a16="http://schemas.microsoft.com/office/drawing/2014/main" xmlns="" id="{00000000-0008-0000-0200-00008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89" name="Rectangle 448" descr="2">
          <a:extLst>
            <a:ext uri="{FF2B5EF4-FFF2-40B4-BE49-F238E27FC236}">
              <a16:creationId xmlns:a16="http://schemas.microsoft.com/office/drawing/2014/main" xmlns="" id="{00000000-0008-0000-0200-00008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90" name="Rectangle 449" descr="2">
          <a:extLst>
            <a:ext uri="{FF2B5EF4-FFF2-40B4-BE49-F238E27FC236}">
              <a16:creationId xmlns:a16="http://schemas.microsoft.com/office/drawing/2014/main" xmlns="" id="{00000000-0008-0000-0200-00008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91" name="Rectangle 450" descr="2">
          <a:extLst>
            <a:ext uri="{FF2B5EF4-FFF2-40B4-BE49-F238E27FC236}">
              <a16:creationId xmlns:a16="http://schemas.microsoft.com/office/drawing/2014/main" xmlns="" id="{00000000-0008-0000-0200-00008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92" name="Rectangle 451" descr="2">
          <a:extLst>
            <a:ext uri="{FF2B5EF4-FFF2-40B4-BE49-F238E27FC236}">
              <a16:creationId xmlns:a16="http://schemas.microsoft.com/office/drawing/2014/main" xmlns="" id="{00000000-0008-0000-0200-00008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93" name="Rectangle 452" descr="2">
          <a:extLst>
            <a:ext uri="{FF2B5EF4-FFF2-40B4-BE49-F238E27FC236}">
              <a16:creationId xmlns:a16="http://schemas.microsoft.com/office/drawing/2014/main" xmlns="" id="{00000000-0008-0000-0200-00008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94" name="Rectangle 453" descr="2">
          <a:extLst>
            <a:ext uri="{FF2B5EF4-FFF2-40B4-BE49-F238E27FC236}">
              <a16:creationId xmlns:a16="http://schemas.microsoft.com/office/drawing/2014/main" xmlns="" id="{00000000-0008-0000-0200-00008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95" name="Rectangle 454" descr="2">
          <a:extLst>
            <a:ext uri="{FF2B5EF4-FFF2-40B4-BE49-F238E27FC236}">
              <a16:creationId xmlns:a16="http://schemas.microsoft.com/office/drawing/2014/main" xmlns="" id="{00000000-0008-0000-0200-00008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96" name="Rectangle 455" descr="2">
          <a:extLst>
            <a:ext uri="{FF2B5EF4-FFF2-40B4-BE49-F238E27FC236}">
              <a16:creationId xmlns:a16="http://schemas.microsoft.com/office/drawing/2014/main" xmlns="" id="{00000000-0008-0000-0200-00008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97" name="Rectangle 456" descr="2">
          <a:extLst>
            <a:ext uri="{FF2B5EF4-FFF2-40B4-BE49-F238E27FC236}">
              <a16:creationId xmlns:a16="http://schemas.microsoft.com/office/drawing/2014/main" xmlns="" id="{00000000-0008-0000-0200-00008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98" name="Rectangle 457" descr="2">
          <a:extLst>
            <a:ext uri="{FF2B5EF4-FFF2-40B4-BE49-F238E27FC236}">
              <a16:creationId xmlns:a16="http://schemas.microsoft.com/office/drawing/2014/main" xmlns="" id="{00000000-0008-0000-0200-00008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399" name="Rectangle 458" descr="1">
          <a:extLst>
            <a:ext uri="{FF2B5EF4-FFF2-40B4-BE49-F238E27FC236}">
              <a16:creationId xmlns:a16="http://schemas.microsoft.com/office/drawing/2014/main" xmlns="" id="{00000000-0008-0000-0200-00009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00" name="Rectangle 444" descr="2">
          <a:extLst>
            <a:ext uri="{FF2B5EF4-FFF2-40B4-BE49-F238E27FC236}">
              <a16:creationId xmlns:a16="http://schemas.microsoft.com/office/drawing/2014/main" xmlns="" id="{00000000-0008-0000-0200-00009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01" name="Rectangle 445" descr="2">
          <a:extLst>
            <a:ext uri="{FF2B5EF4-FFF2-40B4-BE49-F238E27FC236}">
              <a16:creationId xmlns:a16="http://schemas.microsoft.com/office/drawing/2014/main" xmlns="" id="{00000000-0008-0000-0200-00009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02" name="Rectangle 446" descr="2">
          <a:extLst>
            <a:ext uri="{FF2B5EF4-FFF2-40B4-BE49-F238E27FC236}">
              <a16:creationId xmlns:a16="http://schemas.microsoft.com/office/drawing/2014/main" xmlns="" id="{00000000-0008-0000-0200-00009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03" name="Rectangle 447" descr="2">
          <a:extLst>
            <a:ext uri="{FF2B5EF4-FFF2-40B4-BE49-F238E27FC236}">
              <a16:creationId xmlns:a16="http://schemas.microsoft.com/office/drawing/2014/main" xmlns="" id="{00000000-0008-0000-0200-00009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04" name="Rectangle 448" descr="2">
          <a:extLst>
            <a:ext uri="{FF2B5EF4-FFF2-40B4-BE49-F238E27FC236}">
              <a16:creationId xmlns:a16="http://schemas.microsoft.com/office/drawing/2014/main" xmlns="" id="{00000000-0008-0000-0200-00009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05" name="Rectangle 449" descr="2">
          <a:extLst>
            <a:ext uri="{FF2B5EF4-FFF2-40B4-BE49-F238E27FC236}">
              <a16:creationId xmlns:a16="http://schemas.microsoft.com/office/drawing/2014/main" xmlns="" id="{00000000-0008-0000-0200-00009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06" name="Rectangle 450" descr="2">
          <a:extLst>
            <a:ext uri="{FF2B5EF4-FFF2-40B4-BE49-F238E27FC236}">
              <a16:creationId xmlns:a16="http://schemas.microsoft.com/office/drawing/2014/main" xmlns="" id="{00000000-0008-0000-0200-00009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07" name="Rectangle 451" descr="2">
          <a:extLst>
            <a:ext uri="{FF2B5EF4-FFF2-40B4-BE49-F238E27FC236}">
              <a16:creationId xmlns:a16="http://schemas.microsoft.com/office/drawing/2014/main" xmlns="" id="{00000000-0008-0000-0200-00009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08" name="Rectangle 452" descr="2">
          <a:extLst>
            <a:ext uri="{FF2B5EF4-FFF2-40B4-BE49-F238E27FC236}">
              <a16:creationId xmlns:a16="http://schemas.microsoft.com/office/drawing/2014/main" xmlns="" id="{00000000-0008-0000-0200-00009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09" name="Rectangle 453" descr="2">
          <a:extLst>
            <a:ext uri="{FF2B5EF4-FFF2-40B4-BE49-F238E27FC236}">
              <a16:creationId xmlns:a16="http://schemas.microsoft.com/office/drawing/2014/main" xmlns="" id="{00000000-0008-0000-0200-00009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10" name="Rectangle 454" descr="2">
          <a:extLst>
            <a:ext uri="{FF2B5EF4-FFF2-40B4-BE49-F238E27FC236}">
              <a16:creationId xmlns:a16="http://schemas.microsoft.com/office/drawing/2014/main" xmlns="" id="{00000000-0008-0000-0200-00009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11" name="Rectangle 455" descr="2">
          <a:extLst>
            <a:ext uri="{FF2B5EF4-FFF2-40B4-BE49-F238E27FC236}">
              <a16:creationId xmlns:a16="http://schemas.microsoft.com/office/drawing/2014/main" xmlns="" id="{00000000-0008-0000-0200-00009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12" name="Rectangle 456" descr="2">
          <a:extLst>
            <a:ext uri="{FF2B5EF4-FFF2-40B4-BE49-F238E27FC236}">
              <a16:creationId xmlns:a16="http://schemas.microsoft.com/office/drawing/2014/main" xmlns="" id="{00000000-0008-0000-0200-00009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13" name="Rectangle 457" descr="2">
          <a:extLst>
            <a:ext uri="{FF2B5EF4-FFF2-40B4-BE49-F238E27FC236}">
              <a16:creationId xmlns:a16="http://schemas.microsoft.com/office/drawing/2014/main" xmlns="" id="{00000000-0008-0000-0200-00009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14" name="Rectangle 458" descr="1">
          <a:extLst>
            <a:ext uri="{FF2B5EF4-FFF2-40B4-BE49-F238E27FC236}">
              <a16:creationId xmlns:a16="http://schemas.microsoft.com/office/drawing/2014/main" xmlns="" id="{00000000-0008-0000-0200-00009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15" name="Rectangle 444" descr="2">
          <a:extLst>
            <a:ext uri="{FF2B5EF4-FFF2-40B4-BE49-F238E27FC236}">
              <a16:creationId xmlns:a16="http://schemas.microsoft.com/office/drawing/2014/main" xmlns="" id="{00000000-0008-0000-0200-0000A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16" name="Rectangle 445" descr="2">
          <a:extLst>
            <a:ext uri="{FF2B5EF4-FFF2-40B4-BE49-F238E27FC236}">
              <a16:creationId xmlns:a16="http://schemas.microsoft.com/office/drawing/2014/main" xmlns="" id="{00000000-0008-0000-0200-0000A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17" name="Rectangle 446" descr="2">
          <a:extLst>
            <a:ext uri="{FF2B5EF4-FFF2-40B4-BE49-F238E27FC236}">
              <a16:creationId xmlns:a16="http://schemas.microsoft.com/office/drawing/2014/main" xmlns="" id="{00000000-0008-0000-0200-0000A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18" name="Rectangle 447" descr="2">
          <a:extLst>
            <a:ext uri="{FF2B5EF4-FFF2-40B4-BE49-F238E27FC236}">
              <a16:creationId xmlns:a16="http://schemas.microsoft.com/office/drawing/2014/main" xmlns="" id="{00000000-0008-0000-0200-0000A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19" name="Rectangle 448" descr="2">
          <a:extLst>
            <a:ext uri="{FF2B5EF4-FFF2-40B4-BE49-F238E27FC236}">
              <a16:creationId xmlns:a16="http://schemas.microsoft.com/office/drawing/2014/main" xmlns="" id="{00000000-0008-0000-0200-0000A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20" name="Rectangle 449" descr="2">
          <a:extLst>
            <a:ext uri="{FF2B5EF4-FFF2-40B4-BE49-F238E27FC236}">
              <a16:creationId xmlns:a16="http://schemas.microsoft.com/office/drawing/2014/main" xmlns="" id="{00000000-0008-0000-0200-0000A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21" name="Rectangle 450" descr="2">
          <a:extLst>
            <a:ext uri="{FF2B5EF4-FFF2-40B4-BE49-F238E27FC236}">
              <a16:creationId xmlns:a16="http://schemas.microsoft.com/office/drawing/2014/main" xmlns="" id="{00000000-0008-0000-0200-0000A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22" name="Rectangle 451" descr="2">
          <a:extLst>
            <a:ext uri="{FF2B5EF4-FFF2-40B4-BE49-F238E27FC236}">
              <a16:creationId xmlns:a16="http://schemas.microsoft.com/office/drawing/2014/main" xmlns="" id="{00000000-0008-0000-0200-0000A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23" name="Rectangle 452" descr="2">
          <a:extLst>
            <a:ext uri="{FF2B5EF4-FFF2-40B4-BE49-F238E27FC236}">
              <a16:creationId xmlns:a16="http://schemas.microsoft.com/office/drawing/2014/main" xmlns="" id="{00000000-0008-0000-0200-0000A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24" name="Rectangle 453" descr="2">
          <a:extLst>
            <a:ext uri="{FF2B5EF4-FFF2-40B4-BE49-F238E27FC236}">
              <a16:creationId xmlns:a16="http://schemas.microsoft.com/office/drawing/2014/main" xmlns="" id="{00000000-0008-0000-0200-0000A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25" name="Rectangle 454" descr="2">
          <a:extLst>
            <a:ext uri="{FF2B5EF4-FFF2-40B4-BE49-F238E27FC236}">
              <a16:creationId xmlns:a16="http://schemas.microsoft.com/office/drawing/2014/main" xmlns="" id="{00000000-0008-0000-0200-0000A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26" name="Rectangle 455" descr="2">
          <a:extLst>
            <a:ext uri="{FF2B5EF4-FFF2-40B4-BE49-F238E27FC236}">
              <a16:creationId xmlns:a16="http://schemas.microsoft.com/office/drawing/2014/main" xmlns="" id="{00000000-0008-0000-0200-0000A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27" name="Rectangle 456" descr="2">
          <a:extLst>
            <a:ext uri="{FF2B5EF4-FFF2-40B4-BE49-F238E27FC236}">
              <a16:creationId xmlns:a16="http://schemas.microsoft.com/office/drawing/2014/main" xmlns="" id="{00000000-0008-0000-0200-0000A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28" name="Rectangle 457" descr="2">
          <a:extLst>
            <a:ext uri="{FF2B5EF4-FFF2-40B4-BE49-F238E27FC236}">
              <a16:creationId xmlns:a16="http://schemas.microsoft.com/office/drawing/2014/main" xmlns="" id="{00000000-0008-0000-0200-0000A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29" name="Rectangle 458" descr="1">
          <a:extLst>
            <a:ext uri="{FF2B5EF4-FFF2-40B4-BE49-F238E27FC236}">
              <a16:creationId xmlns:a16="http://schemas.microsoft.com/office/drawing/2014/main" xmlns="" id="{00000000-0008-0000-0200-0000A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30" name="Rectangle 444" descr="2">
          <a:extLst>
            <a:ext uri="{FF2B5EF4-FFF2-40B4-BE49-F238E27FC236}">
              <a16:creationId xmlns:a16="http://schemas.microsoft.com/office/drawing/2014/main" xmlns="" id="{00000000-0008-0000-0200-0000A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31" name="Rectangle 445" descr="2">
          <a:extLst>
            <a:ext uri="{FF2B5EF4-FFF2-40B4-BE49-F238E27FC236}">
              <a16:creationId xmlns:a16="http://schemas.microsoft.com/office/drawing/2014/main" xmlns="" id="{00000000-0008-0000-0200-0000B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32" name="Rectangle 446" descr="2">
          <a:extLst>
            <a:ext uri="{FF2B5EF4-FFF2-40B4-BE49-F238E27FC236}">
              <a16:creationId xmlns:a16="http://schemas.microsoft.com/office/drawing/2014/main" xmlns="" id="{00000000-0008-0000-0200-0000B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33" name="Rectangle 447" descr="2">
          <a:extLst>
            <a:ext uri="{FF2B5EF4-FFF2-40B4-BE49-F238E27FC236}">
              <a16:creationId xmlns:a16="http://schemas.microsoft.com/office/drawing/2014/main" xmlns="" id="{00000000-0008-0000-0200-0000B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34" name="Rectangle 448" descr="2">
          <a:extLst>
            <a:ext uri="{FF2B5EF4-FFF2-40B4-BE49-F238E27FC236}">
              <a16:creationId xmlns:a16="http://schemas.microsoft.com/office/drawing/2014/main" xmlns="" id="{00000000-0008-0000-0200-0000B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35" name="Rectangle 449" descr="2">
          <a:extLst>
            <a:ext uri="{FF2B5EF4-FFF2-40B4-BE49-F238E27FC236}">
              <a16:creationId xmlns:a16="http://schemas.microsoft.com/office/drawing/2014/main" xmlns="" id="{00000000-0008-0000-0200-0000B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36" name="Rectangle 450" descr="2">
          <a:extLst>
            <a:ext uri="{FF2B5EF4-FFF2-40B4-BE49-F238E27FC236}">
              <a16:creationId xmlns:a16="http://schemas.microsoft.com/office/drawing/2014/main" xmlns="" id="{00000000-0008-0000-0200-0000B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37" name="Rectangle 451" descr="2">
          <a:extLst>
            <a:ext uri="{FF2B5EF4-FFF2-40B4-BE49-F238E27FC236}">
              <a16:creationId xmlns:a16="http://schemas.microsoft.com/office/drawing/2014/main" xmlns="" id="{00000000-0008-0000-0200-0000B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38" name="Rectangle 452" descr="2">
          <a:extLst>
            <a:ext uri="{FF2B5EF4-FFF2-40B4-BE49-F238E27FC236}">
              <a16:creationId xmlns:a16="http://schemas.microsoft.com/office/drawing/2014/main" xmlns="" id="{00000000-0008-0000-0200-0000B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39" name="Rectangle 453" descr="2">
          <a:extLst>
            <a:ext uri="{FF2B5EF4-FFF2-40B4-BE49-F238E27FC236}">
              <a16:creationId xmlns:a16="http://schemas.microsoft.com/office/drawing/2014/main" xmlns="" id="{00000000-0008-0000-0200-0000B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40" name="Rectangle 454" descr="2">
          <a:extLst>
            <a:ext uri="{FF2B5EF4-FFF2-40B4-BE49-F238E27FC236}">
              <a16:creationId xmlns:a16="http://schemas.microsoft.com/office/drawing/2014/main" xmlns="" id="{00000000-0008-0000-0200-0000B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41" name="Rectangle 455" descr="2">
          <a:extLst>
            <a:ext uri="{FF2B5EF4-FFF2-40B4-BE49-F238E27FC236}">
              <a16:creationId xmlns:a16="http://schemas.microsoft.com/office/drawing/2014/main" xmlns="" id="{00000000-0008-0000-0200-0000B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42" name="Rectangle 456" descr="2">
          <a:extLst>
            <a:ext uri="{FF2B5EF4-FFF2-40B4-BE49-F238E27FC236}">
              <a16:creationId xmlns:a16="http://schemas.microsoft.com/office/drawing/2014/main" xmlns="" id="{00000000-0008-0000-0200-0000B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43" name="Rectangle 457" descr="2">
          <a:extLst>
            <a:ext uri="{FF2B5EF4-FFF2-40B4-BE49-F238E27FC236}">
              <a16:creationId xmlns:a16="http://schemas.microsoft.com/office/drawing/2014/main" xmlns="" id="{00000000-0008-0000-0200-0000B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44" name="Rectangle 458" descr="1">
          <a:extLst>
            <a:ext uri="{FF2B5EF4-FFF2-40B4-BE49-F238E27FC236}">
              <a16:creationId xmlns:a16="http://schemas.microsoft.com/office/drawing/2014/main" xmlns="" id="{00000000-0008-0000-0200-0000B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45" name="Rectangle 444" descr="2">
          <a:extLst>
            <a:ext uri="{FF2B5EF4-FFF2-40B4-BE49-F238E27FC236}">
              <a16:creationId xmlns:a16="http://schemas.microsoft.com/office/drawing/2014/main" xmlns="" id="{00000000-0008-0000-0200-0000B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46" name="Rectangle 445" descr="2">
          <a:extLst>
            <a:ext uri="{FF2B5EF4-FFF2-40B4-BE49-F238E27FC236}">
              <a16:creationId xmlns:a16="http://schemas.microsoft.com/office/drawing/2014/main" xmlns="" id="{00000000-0008-0000-0200-0000B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47" name="Rectangle 446" descr="2">
          <a:extLst>
            <a:ext uri="{FF2B5EF4-FFF2-40B4-BE49-F238E27FC236}">
              <a16:creationId xmlns:a16="http://schemas.microsoft.com/office/drawing/2014/main" xmlns="" id="{00000000-0008-0000-0200-0000C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48" name="Rectangle 447" descr="2">
          <a:extLst>
            <a:ext uri="{FF2B5EF4-FFF2-40B4-BE49-F238E27FC236}">
              <a16:creationId xmlns:a16="http://schemas.microsoft.com/office/drawing/2014/main" xmlns="" id="{00000000-0008-0000-0200-0000C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49" name="Rectangle 448" descr="2">
          <a:extLst>
            <a:ext uri="{FF2B5EF4-FFF2-40B4-BE49-F238E27FC236}">
              <a16:creationId xmlns:a16="http://schemas.microsoft.com/office/drawing/2014/main" xmlns="" id="{00000000-0008-0000-0200-0000C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50" name="Rectangle 449" descr="2">
          <a:extLst>
            <a:ext uri="{FF2B5EF4-FFF2-40B4-BE49-F238E27FC236}">
              <a16:creationId xmlns:a16="http://schemas.microsoft.com/office/drawing/2014/main" xmlns="" id="{00000000-0008-0000-0200-0000C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51" name="Rectangle 450" descr="2">
          <a:extLst>
            <a:ext uri="{FF2B5EF4-FFF2-40B4-BE49-F238E27FC236}">
              <a16:creationId xmlns:a16="http://schemas.microsoft.com/office/drawing/2014/main" xmlns="" id="{00000000-0008-0000-0200-0000C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52" name="Rectangle 451" descr="2">
          <a:extLst>
            <a:ext uri="{FF2B5EF4-FFF2-40B4-BE49-F238E27FC236}">
              <a16:creationId xmlns:a16="http://schemas.microsoft.com/office/drawing/2014/main" xmlns="" id="{00000000-0008-0000-0200-0000C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53" name="Rectangle 452" descr="2">
          <a:extLst>
            <a:ext uri="{FF2B5EF4-FFF2-40B4-BE49-F238E27FC236}">
              <a16:creationId xmlns:a16="http://schemas.microsoft.com/office/drawing/2014/main" xmlns="" id="{00000000-0008-0000-0200-0000C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54" name="Rectangle 453" descr="2">
          <a:extLst>
            <a:ext uri="{FF2B5EF4-FFF2-40B4-BE49-F238E27FC236}">
              <a16:creationId xmlns:a16="http://schemas.microsoft.com/office/drawing/2014/main" xmlns="" id="{00000000-0008-0000-0200-0000C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55" name="Rectangle 454" descr="2">
          <a:extLst>
            <a:ext uri="{FF2B5EF4-FFF2-40B4-BE49-F238E27FC236}">
              <a16:creationId xmlns:a16="http://schemas.microsoft.com/office/drawing/2014/main" xmlns="" id="{00000000-0008-0000-0200-0000C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56" name="Rectangle 455" descr="2">
          <a:extLst>
            <a:ext uri="{FF2B5EF4-FFF2-40B4-BE49-F238E27FC236}">
              <a16:creationId xmlns:a16="http://schemas.microsoft.com/office/drawing/2014/main" xmlns="" id="{00000000-0008-0000-0200-0000C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57" name="Rectangle 456" descr="2">
          <a:extLst>
            <a:ext uri="{FF2B5EF4-FFF2-40B4-BE49-F238E27FC236}">
              <a16:creationId xmlns:a16="http://schemas.microsoft.com/office/drawing/2014/main" xmlns="" id="{00000000-0008-0000-0200-0000C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58" name="Rectangle 457" descr="2">
          <a:extLst>
            <a:ext uri="{FF2B5EF4-FFF2-40B4-BE49-F238E27FC236}">
              <a16:creationId xmlns:a16="http://schemas.microsoft.com/office/drawing/2014/main" xmlns="" id="{00000000-0008-0000-0200-0000C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59" name="Rectangle 458" descr="1">
          <a:extLst>
            <a:ext uri="{FF2B5EF4-FFF2-40B4-BE49-F238E27FC236}">
              <a16:creationId xmlns:a16="http://schemas.microsoft.com/office/drawing/2014/main" xmlns="" id="{00000000-0008-0000-0200-0000C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60" name="Rectangle 444" descr="2">
          <a:extLst>
            <a:ext uri="{FF2B5EF4-FFF2-40B4-BE49-F238E27FC236}">
              <a16:creationId xmlns:a16="http://schemas.microsoft.com/office/drawing/2014/main" xmlns="" id="{00000000-0008-0000-0200-0000C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61" name="Rectangle 445" descr="2">
          <a:extLst>
            <a:ext uri="{FF2B5EF4-FFF2-40B4-BE49-F238E27FC236}">
              <a16:creationId xmlns:a16="http://schemas.microsoft.com/office/drawing/2014/main" xmlns="" id="{00000000-0008-0000-0200-0000C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62" name="Rectangle 446" descr="2">
          <a:extLst>
            <a:ext uri="{FF2B5EF4-FFF2-40B4-BE49-F238E27FC236}">
              <a16:creationId xmlns:a16="http://schemas.microsoft.com/office/drawing/2014/main" xmlns="" id="{00000000-0008-0000-0200-0000C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63" name="Rectangle 447" descr="2">
          <a:extLst>
            <a:ext uri="{FF2B5EF4-FFF2-40B4-BE49-F238E27FC236}">
              <a16:creationId xmlns:a16="http://schemas.microsoft.com/office/drawing/2014/main" xmlns="" id="{00000000-0008-0000-0200-0000D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64" name="Rectangle 448" descr="2">
          <a:extLst>
            <a:ext uri="{FF2B5EF4-FFF2-40B4-BE49-F238E27FC236}">
              <a16:creationId xmlns:a16="http://schemas.microsoft.com/office/drawing/2014/main" xmlns="" id="{00000000-0008-0000-0200-0000D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65" name="Rectangle 449" descr="2">
          <a:extLst>
            <a:ext uri="{FF2B5EF4-FFF2-40B4-BE49-F238E27FC236}">
              <a16:creationId xmlns:a16="http://schemas.microsoft.com/office/drawing/2014/main" xmlns="" id="{00000000-0008-0000-0200-0000D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66" name="Rectangle 450" descr="2">
          <a:extLst>
            <a:ext uri="{FF2B5EF4-FFF2-40B4-BE49-F238E27FC236}">
              <a16:creationId xmlns:a16="http://schemas.microsoft.com/office/drawing/2014/main" xmlns="" id="{00000000-0008-0000-0200-0000D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67" name="Rectangle 451" descr="2">
          <a:extLst>
            <a:ext uri="{FF2B5EF4-FFF2-40B4-BE49-F238E27FC236}">
              <a16:creationId xmlns:a16="http://schemas.microsoft.com/office/drawing/2014/main" xmlns="" id="{00000000-0008-0000-0200-0000D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68" name="Rectangle 452" descr="2">
          <a:extLst>
            <a:ext uri="{FF2B5EF4-FFF2-40B4-BE49-F238E27FC236}">
              <a16:creationId xmlns:a16="http://schemas.microsoft.com/office/drawing/2014/main" xmlns="" id="{00000000-0008-0000-0200-0000D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69" name="Rectangle 453" descr="2">
          <a:extLst>
            <a:ext uri="{FF2B5EF4-FFF2-40B4-BE49-F238E27FC236}">
              <a16:creationId xmlns:a16="http://schemas.microsoft.com/office/drawing/2014/main" xmlns="" id="{00000000-0008-0000-0200-0000D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70" name="Rectangle 454" descr="2">
          <a:extLst>
            <a:ext uri="{FF2B5EF4-FFF2-40B4-BE49-F238E27FC236}">
              <a16:creationId xmlns:a16="http://schemas.microsoft.com/office/drawing/2014/main" xmlns="" id="{00000000-0008-0000-0200-0000D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71" name="Rectangle 455" descr="2">
          <a:extLst>
            <a:ext uri="{FF2B5EF4-FFF2-40B4-BE49-F238E27FC236}">
              <a16:creationId xmlns:a16="http://schemas.microsoft.com/office/drawing/2014/main" xmlns="" id="{00000000-0008-0000-0200-0000D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72" name="Rectangle 456" descr="2">
          <a:extLst>
            <a:ext uri="{FF2B5EF4-FFF2-40B4-BE49-F238E27FC236}">
              <a16:creationId xmlns:a16="http://schemas.microsoft.com/office/drawing/2014/main" xmlns="" id="{00000000-0008-0000-0200-0000D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73" name="Rectangle 457" descr="2">
          <a:extLst>
            <a:ext uri="{FF2B5EF4-FFF2-40B4-BE49-F238E27FC236}">
              <a16:creationId xmlns:a16="http://schemas.microsoft.com/office/drawing/2014/main" xmlns="" id="{00000000-0008-0000-0200-0000D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74" name="Rectangle 458" descr="1">
          <a:extLst>
            <a:ext uri="{FF2B5EF4-FFF2-40B4-BE49-F238E27FC236}">
              <a16:creationId xmlns:a16="http://schemas.microsoft.com/office/drawing/2014/main" xmlns="" id="{00000000-0008-0000-0200-0000D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75" name="Rectangle 444" descr="2">
          <a:extLst>
            <a:ext uri="{FF2B5EF4-FFF2-40B4-BE49-F238E27FC236}">
              <a16:creationId xmlns:a16="http://schemas.microsoft.com/office/drawing/2014/main" xmlns="" id="{00000000-0008-0000-0200-0000D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76" name="Rectangle 445" descr="2">
          <a:extLst>
            <a:ext uri="{FF2B5EF4-FFF2-40B4-BE49-F238E27FC236}">
              <a16:creationId xmlns:a16="http://schemas.microsoft.com/office/drawing/2014/main" xmlns="" id="{00000000-0008-0000-0200-0000D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77" name="Rectangle 446" descr="2">
          <a:extLst>
            <a:ext uri="{FF2B5EF4-FFF2-40B4-BE49-F238E27FC236}">
              <a16:creationId xmlns:a16="http://schemas.microsoft.com/office/drawing/2014/main" xmlns="" id="{00000000-0008-0000-0200-0000D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78" name="Rectangle 447" descr="2">
          <a:extLst>
            <a:ext uri="{FF2B5EF4-FFF2-40B4-BE49-F238E27FC236}">
              <a16:creationId xmlns:a16="http://schemas.microsoft.com/office/drawing/2014/main" xmlns="" id="{00000000-0008-0000-0200-0000D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79" name="Rectangle 448" descr="2">
          <a:extLst>
            <a:ext uri="{FF2B5EF4-FFF2-40B4-BE49-F238E27FC236}">
              <a16:creationId xmlns:a16="http://schemas.microsoft.com/office/drawing/2014/main" xmlns="" id="{00000000-0008-0000-0200-0000E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80" name="Rectangle 449" descr="2">
          <a:extLst>
            <a:ext uri="{FF2B5EF4-FFF2-40B4-BE49-F238E27FC236}">
              <a16:creationId xmlns:a16="http://schemas.microsoft.com/office/drawing/2014/main" xmlns="" id="{00000000-0008-0000-0200-0000E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81" name="Rectangle 450" descr="2">
          <a:extLst>
            <a:ext uri="{FF2B5EF4-FFF2-40B4-BE49-F238E27FC236}">
              <a16:creationId xmlns:a16="http://schemas.microsoft.com/office/drawing/2014/main" xmlns="" id="{00000000-0008-0000-0200-0000E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82" name="Rectangle 451" descr="2">
          <a:extLst>
            <a:ext uri="{FF2B5EF4-FFF2-40B4-BE49-F238E27FC236}">
              <a16:creationId xmlns:a16="http://schemas.microsoft.com/office/drawing/2014/main" xmlns="" id="{00000000-0008-0000-0200-0000E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83" name="Rectangle 452" descr="2">
          <a:extLst>
            <a:ext uri="{FF2B5EF4-FFF2-40B4-BE49-F238E27FC236}">
              <a16:creationId xmlns:a16="http://schemas.microsoft.com/office/drawing/2014/main" xmlns="" id="{00000000-0008-0000-0200-0000E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84" name="Rectangle 453" descr="2">
          <a:extLst>
            <a:ext uri="{FF2B5EF4-FFF2-40B4-BE49-F238E27FC236}">
              <a16:creationId xmlns:a16="http://schemas.microsoft.com/office/drawing/2014/main" xmlns="" id="{00000000-0008-0000-0200-0000E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85" name="Rectangle 454" descr="2">
          <a:extLst>
            <a:ext uri="{FF2B5EF4-FFF2-40B4-BE49-F238E27FC236}">
              <a16:creationId xmlns:a16="http://schemas.microsoft.com/office/drawing/2014/main" xmlns="" id="{00000000-0008-0000-0200-0000E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86" name="Rectangle 455" descr="2">
          <a:extLst>
            <a:ext uri="{FF2B5EF4-FFF2-40B4-BE49-F238E27FC236}">
              <a16:creationId xmlns:a16="http://schemas.microsoft.com/office/drawing/2014/main" xmlns="" id="{00000000-0008-0000-0200-0000E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87" name="Rectangle 456" descr="2">
          <a:extLst>
            <a:ext uri="{FF2B5EF4-FFF2-40B4-BE49-F238E27FC236}">
              <a16:creationId xmlns:a16="http://schemas.microsoft.com/office/drawing/2014/main" xmlns="" id="{00000000-0008-0000-0200-0000E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88" name="Rectangle 457" descr="2">
          <a:extLst>
            <a:ext uri="{FF2B5EF4-FFF2-40B4-BE49-F238E27FC236}">
              <a16:creationId xmlns:a16="http://schemas.microsoft.com/office/drawing/2014/main" xmlns="" id="{00000000-0008-0000-0200-0000E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89" name="Rectangle 458" descr="1">
          <a:extLst>
            <a:ext uri="{FF2B5EF4-FFF2-40B4-BE49-F238E27FC236}">
              <a16:creationId xmlns:a16="http://schemas.microsoft.com/office/drawing/2014/main" xmlns="" id="{00000000-0008-0000-0200-0000E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90" name="Rectangle 444" descr="2">
          <a:extLst>
            <a:ext uri="{FF2B5EF4-FFF2-40B4-BE49-F238E27FC236}">
              <a16:creationId xmlns:a16="http://schemas.microsoft.com/office/drawing/2014/main" xmlns="" id="{00000000-0008-0000-0200-0000E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91" name="Rectangle 445" descr="2">
          <a:extLst>
            <a:ext uri="{FF2B5EF4-FFF2-40B4-BE49-F238E27FC236}">
              <a16:creationId xmlns:a16="http://schemas.microsoft.com/office/drawing/2014/main" xmlns="" id="{00000000-0008-0000-0200-0000E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92" name="Rectangle 446" descr="2">
          <a:extLst>
            <a:ext uri="{FF2B5EF4-FFF2-40B4-BE49-F238E27FC236}">
              <a16:creationId xmlns:a16="http://schemas.microsoft.com/office/drawing/2014/main" xmlns="" id="{00000000-0008-0000-0200-0000E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93" name="Rectangle 447" descr="2">
          <a:extLst>
            <a:ext uri="{FF2B5EF4-FFF2-40B4-BE49-F238E27FC236}">
              <a16:creationId xmlns:a16="http://schemas.microsoft.com/office/drawing/2014/main" xmlns="" id="{00000000-0008-0000-0200-0000E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94" name="Rectangle 448" descr="2">
          <a:extLst>
            <a:ext uri="{FF2B5EF4-FFF2-40B4-BE49-F238E27FC236}">
              <a16:creationId xmlns:a16="http://schemas.microsoft.com/office/drawing/2014/main" xmlns="" id="{00000000-0008-0000-0200-0000E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95" name="Rectangle 449" descr="2">
          <a:extLst>
            <a:ext uri="{FF2B5EF4-FFF2-40B4-BE49-F238E27FC236}">
              <a16:creationId xmlns:a16="http://schemas.microsoft.com/office/drawing/2014/main" xmlns="" id="{00000000-0008-0000-0200-0000F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96" name="Rectangle 450" descr="2">
          <a:extLst>
            <a:ext uri="{FF2B5EF4-FFF2-40B4-BE49-F238E27FC236}">
              <a16:creationId xmlns:a16="http://schemas.microsoft.com/office/drawing/2014/main" xmlns="" id="{00000000-0008-0000-0200-0000F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97" name="Rectangle 451" descr="2">
          <a:extLst>
            <a:ext uri="{FF2B5EF4-FFF2-40B4-BE49-F238E27FC236}">
              <a16:creationId xmlns:a16="http://schemas.microsoft.com/office/drawing/2014/main" xmlns="" id="{00000000-0008-0000-0200-0000F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98" name="Rectangle 452" descr="2">
          <a:extLst>
            <a:ext uri="{FF2B5EF4-FFF2-40B4-BE49-F238E27FC236}">
              <a16:creationId xmlns:a16="http://schemas.microsoft.com/office/drawing/2014/main" xmlns="" id="{00000000-0008-0000-0200-0000F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499" name="Rectangle 453" descr="2">
          <a:extLst>
            <a:ext uri="{FF2B5EF4-FFF2-40B4-BE49-F238E27FC236}">
              <a16:creationId xmlns:a16="http://schemas.microsoft.com/office/drawing/2014/main" xmlns="" id="{00000000-0008-0000-0200-0000F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00" name="Rectangle 454" descr="2">
          <a:extLst>
            <a:ext uri="{FF2B5EF4-FFF2-40B4-BE49-F238E27FC236}">
              <a16:creationId xmlns:a16="http://schemas.microsoft.com/office/drawing/2014/main" xmlns="" id="{00000000-0008-0000-0200-0000F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01" name="Rectangle 455" descr="2">
          <a:extLst>
            <a:ext uri="{FF2B5EF4-FFF2-40B4-BE49-F238E27FC236}">
              <a16:creationId xmlns:a16="http://schemas.microsoft.com/office/drawing/2014/main" xmlns="" id="{00000000-0008-0000-0200-0000F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02" name="Rectangle 456" descr="2">
          <a:extLst>
            <a:ext uri="{FF2B5EF4-FFF2-40B4-BE49-F238E27FC236}">
              <a16:creationId xmlns:a16="http://schemas.microsoft.com/office/drawing/2014/main" xmlns="" id="{00000000-0008-0000-0200-0000F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03" name="Rectangle 457" descr="2">
          <a:extLst>
            <a:ext uri="{FF2B5EF4-FFF2-40B4-BE49-F238E27FC236}">
              <a16:creationId xmlns:a16="http://schemas.microsoft.com/office/drawing/2014/main" xmlns="" id="{00000000-0008-0000-0200-0000F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04" name="Rectangle 458" descr="1">
          <a:extLst>
            <a:ext uri="{FF2B5EF4-FFF2-40B4-BE49-F238E27FC236}">
              <a16:creationId xmlns:a16="http://schemas.microsoft.com/office/drawing/2014/main" xmlns="" id="{00000000-0008-0000-0200-0000F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05" name="Rectangle 444" descr="2">
          <a:extLst>
            <a:ext uri="{FF2B5EF4-FFF2-40B4-BE49-F238E27FC236}">
              <a16:creationId xmlns:a16="http://schemas.microsoft.com/office/drawing/2014/main" xmlns="" id="{00000000-0008-0000-0200-0000F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06" name="Rectangle 445" descr="2">
          <a:extLst>
            <a:ext uri="{FF2B5EF4-FFF2-40B4-BE49-F238E27FC236}">
              <a16:creationId xmlns:a16="http://schemas.microsoft.com/office/drawing/2014/main" xmlns="" id="{00000000-0008-0000-0200-0000F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07" name="Rectangle 446" descr="2">
          <a:extLst>
            <a:ext uri="{FF2B5EF4-FFF2-40B4-BE49-F238E27FC236}">
              <a16:creationId xmlns:a16="http://schemas.microsoft.com/office/drawing/2014/main" xmlns="" id="{00000000-0008-0000-0200-0000F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08" name="Rectangle 447" descr="2">
          <a:extLst>
            <a:ext uri="{FF2B5EF4-FFF2-40B4-BE49-F238E27FC236}">
              <a16:creationId xmlns:a16="http://schemas.microsoft.com/office/drawing/2014/main" xmlns="" id="{00000000-0008-0000-0200-0000F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09" name="Rectangle 448" descr="2">
          <a:extLst>
            <a:ext uri="{FF2B5EF4-FFF2-40B4-BE49-F238E27FC236}">
              <a16:creationId xmlns:a16="http://schemas.microsoft.com/office/drawing/2014/main" xmlns="" id="{00000000-0008-0000-0200-0000F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10" name="Rectangle 449" descr="2">
          <a:extLst>
            <a:ext uri="{FF2B5EF4-FFF2-40B4-BE49-F238E27FC236}">
              <a16:creationId xmlns:a16="http://schemas.microsoft.com/office/drawing/2014/main" xmlns="" id="{00000000-0008-0000-0200-0000F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11" name="Rectangle 450" descr="2">
          <a:extLst>
            <a:ext uri="{FF2B5EF4-FFF2-40B4-BE49-F238E27FC236}">
              <a16:creationId xmlns:a16="http://schemas.microsoft.com/office/drawing/2014/main" xmlns="" id="{00000000-0008-0000-0200-000000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12" name="Rectangle 451" descr="2">
          <a:extLst>
            <a:ext uri="{FF2B5EF4-FFF2-40B4-BE49-F238E27FC236}">
              <a16:creationId xmlns:a16="http://schemas.microsoft.com/office/drawing/2014/main" xmlns="" id="{00000000-0008-0000-0200-000001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13" name="Rectangle 452" descr="2">
          <a:extLst>
            <a:ext uri="{FF2B5EF4-FFF2-40B4-BE49-F238E27FC236}">
              <a16:creationId xmlns:a16="http://schemas.microsoft.com/office/drawing/2014/main" xmlns="" id="{00000000-0008-0000-0200-000002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14" name="Rectangle 453" descr="2">
          <a:extLst>
            <a:ext uri="{FF2B5EF4-FFF2-40B4-BE49-F238E27FC236}">
              <a16:creationId xmlns:a16="http://schemas.microsoft.com/office/drawing/2014/main" xmlns="" id="{00000000-0008-0000-0200-000003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15" name="Rectangle 454" descr="2">
          <a:extLst>
            <a:ext uri="{FF2B5EF4-FFF2-40B4-BE49-F238E27FC236}">
              <a16:creationId xmlns:a16="http://schemas.microsoft.com/office/drawing/2014/main" xmlns="" id="{00000000-0008-0000-0200-000004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16" name="Rectangle 455" descr="2">
          <a:extLst>
            <a:ext uri="{FF2B5EF4-FFF2-40B4-BE49-F238E27FC236}">
              <a16:creationId xmlns:a16="http://schemas.microsoft.com/office/drawing/2014/main" xmlns="" id="{00000000-0008-0000-0200-000005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17" name="Rectangle 456" descr="2">
          <a:extLst>
            <a:ext uri="{FF2B5EF4-FFF2-40B4-BE49-F238E27FC236}">
              <a16:creationId xmlns:a16="http://schemas.microsoft.com/office/drawing/2014/main" xmlns="" id="{00000000-0008-0000-0200-000006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18" name="Rectangle 457" descr="2">
          <a:extLst>
            <a:ext uri="{FF2B5EF4-FFF2-40B4-BE49-F238E27FC236}">
              <a16:creationId xmlns:a16="http://schemas.microsoft.com/office/drawing/2014/main" xmlns="" id="{00000000-0008-0000-0200-000007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19" name="Rectangle 458" descr="1">
          <a:extLst>
            <a:ext uri="{FF2B5EF4-FFF2-40B4-BE49-F238E27FC236}">
              <a16:creationId xmlns:a16="http://schemas.microsoft.com/office/drawing/2014/main" xmlns="" id="{00000000-0008-0000-0200-000008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20" name="Rectangle 444" descr="2">
          <a:extLst>
            <a:ext uri="{FF2B5EF4-FFF2-40B4-BE49-F238E27FC236}">
              <a16:creationId xmlns:a16="http://schemas.microsoft.com/office/drawing/2014/main" xmlns="" id="{00000000-0008-0000-0200-000009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21" name="Rectangle 445" descr="2">
          <a:extLst>
            <a:ext uri="{FF2B5EF4-FFF2-40B4-BE49-F238E27FC236}">
              <a16:creationId xmlns:a16="http://schemas.microsoft.com/office/drawing/2014/main" xmlns="" id="{00000000-0008-0000-0200-00000A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22" name="Rectangle 446" descr="2">
          <a:extLst>
            <a:ext uri="{FF2B5EF4-FFF2-40B4-BE49-F238E27FC236}">
              <a16:creationId xmlns:a16="http://schemas.microsoft.com/office/drawing/2014/main" xmlns="" id="{00000000-0008-0000-0200-00000B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23" name="Rectangle 447" descr="2">
          <a:extLst>
            <a:ext uri="{FF2B5EF4-FFF2-40B4-BE49-F238E27FC236}">
              <a16:creationId xmlns:a16="http://schemas.microsoft.com/office/drawing/2014/main" xmlns="" id="{00000000-0008-0000-0200-00000C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24" name="Rectangle 448" descr="2">
          <a:extLst>
            <a:ext uri="{FF2B5EF4-FFF2-40B4-BE49-F238E27FC236}">
              <a16:creationId xmlns:a16="http://schemas.microsoft.com/office/drawing/2014/main" xmlns="" id="{00000000-0008-0000-0200-00000D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25" name="Rectangle 449" descr="2">
          <a:extLst>
            <a:ext uri="{FF2B5EF4-FFF2-40B4-BE49-F238E27FC236}">
              <a16:creationId xmlns:a16="http://schemas.microsoft.com/office/drawing/2014/main" xmlns="" id="{00000000-0008-0000-0200-00000E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26" name="Rectangle 450" descr="2">
          <a:extLst>
            <a:ext uri="{FF2B5EF4-FFF2-40B4-BE49-F238E27FC236}">
              <a16:creationId xmlns:a16="http://schemas.microsoft.com/office/drawing/2014/main" xmlns="" id="{00000000-0008-0000-0200-00000F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27" name="Rectangle 451" descr="2">
          <a:extLst>
            <a:ext uri="{FF2B5EF4-FFF2-40B4-BE49-F238E27FC236}">
              <a16:creationId xmlns:a16="http://schemas.microsoft.com/office/drawing/2014/main" xmlns="" id="{00000000-0008-0000-0200-000010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28" name="Rectangle 452" descr="2">
          <a:extLst>
            <a:ext uri="{FF2B5EF4-FFF2-40B4-BE49-F238E27FC236}">
              <a16:creationId xmlns:a16="http://schemas.microsoft.com/office/drawing/2014/main" xmlns="" id="{00000000-0008-0000-0200-000011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29" name="Rectangle 453" descr="2">
          <a:extLst>
            <a:ext uri="{FF2B5EF4-FFF2-40B4-BE49-F238E27FC236}">
              <a16:creationId xmlns:a16="http://schemas.microsoft.com/office/drawing/2014/main" xmlns="" id="{00000000-0008-0000-0200-000012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30" name="Rectangle 454" descr="2">
          <a:extLst>
            <a:ext uri="{FF2B5EF4-FFF2-40B4-BE49-F238E27FC236}">
              <a16:creationId xmlns:a16="http://schemas.microsoft.com/office/drawing/2014/main" xmlns="" id="{00000000-0008-0000-0200-000013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31" name="Rectangle 455" descr="2">
          <a:extLst>
            <a:ext uri="{FF2B5EF4-FFF2-40B4-BE49-F238E27FC236}">
              <a16:creationId xmlns:a16="http://schemas.microsoft.com/office/drawing/2014/main" xmlns="" id="{00000000-0008-0000-0200-000014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32" name="Rectangle 456" descr="2">
          <a:extLst>
            <a:ext uri="{FF2B5EF4-FFF2-40B4-BE49-F238E27FC236}">
              <a16:creationId xmlns:a16="http://schemas.microsoft.com/office/drawing/2014/main" xmlns="" id="{00000000-0008-0000-0200-000015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33" name="Rectangle 457" descr="2">
          <a:extLst>
            <a:ext uri="{FF2B5EF4-FFF2-40B4-BE49-F238E27FC236}">
              <a16:creationId xmlns:a16="http://schemas.microsoft.com/office/drawing/2014/main" xmlns="" id="{00000000-0008-0000-0200-000016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34" name="Rectangle 458" descr="1">
          <a:extLst>
            <a:ext uri="{FF2B5EF4-FFF2-40B4-BE49-F238E27FC236}">
              <a16:creationId xmlns:a16="http://schemas.microsoft.com/office/drawing/2014/main" xmlns="" id="{00000000-0008-0000-0200-000017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35" name="Rectangle 444" descr="2">
          <a:extLst>
            <a:ext uri="{FF2B5EF4-FFF2-40B4-BE49-F238E27FC236}">
              <a16:creationId xmlns:a16="http://schemas.microsoft.com/office/drawing/2014/main" xmlns="" id="{00000000-0008-0000-0200-000018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36" name="Rectangle 445" descr="2">
          <a:extLst>
            <a:ext uri="{FF2B5EF4-FFF2-40B4-BE49-F238E27FC236}">
              <a16:creationId xmlns:a16="http://schemas.microsoft.com/office/drawing/2014/main" xmlns="" id="{00000000-0008-0000-0200-000019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37" name="Rectangle 446" descr="2">
          <a:extLst>
            <a:ext uri="{FF2B5EF4-FFF2-40B4-BE49-F238E27FC236}">
              <a16:creationId xmlns:a16="http://schemas.microsoft.com/office/drawing/2014/main" xmlns="" id="{00000000-0008-0000-0200-00001A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38" name="Rectangle 447" descr="2">
          <a:extLst>
            <a:ext uri="{FF2B5EF4-FFF2-40B4-BE49-F238E27FC236}">
              <a16:creationId xmlns:a16="http://schemas.microsoft.com/office/drawing/2014/main" xmlns="" id="{00000000-0008-0000-0200-00001B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39" name="Rectangle 448" descr="2">
          <a:extLst>
            <a:ext uri="{FF2B5EF4-FFF2-40B4-BE49-F238E27FC236}">
              <a16:creationId xmlns:a16="http://schemas.microsoft.com/office/drawing/2014/main" xmlns="" id="{00000000-0008-0000-0200-00001C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40" name="Rectangle 449" descr="2">
          <a:extLst>
            <a:ext uri="{FF2B5EF4-FFF2-40B4-BE49-F238E27FC236}">
              <a16:creationId xmlns:a16="http://schemas.microsoft.com/office/drawing/2014/main" xmlns="" id="{00000000-0008-0000-0200-00001D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41" name="Rectangle 450" descr="2">
          <a:extLst>
            <a:ext uri="{FF2B5EF4-FFF2-40B4-BE49-F238E27FC236}">
              <a16:creationId xmlns:a16="http://schemas.microsoft.com/office/drawing/2014/main" xmlns="" id="{00000000-0008-0000-0200-00001E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42" name="Rectangle 451" descr="2">
          <a:extLst>
            <a:ext uri="{FF2B5EF4-FFF2-40B4-BE49-F238E27FC236}">
              <a16:creationId xmlns:a16="http://schemas.microsoft.com/office/drawing/2014/main" xmlns="" id="{00000000-0008-0000-0200-00001F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43" name="Rectangle 452" descr="2">
          <a:extLst>
            <a:ext uri="{FF2B5EF4-FFF2-40B4-BE49-F238E27FC236}">
              <a16:creationId xmlns:a16="http://schemas.microsoft.com/office/drawing/2014/main" xmlns="" id="{00000000-0008-0000-0200-000020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44" name="Rectangle 453" descr="2">
          <a:extLst>
            <a:ext uri="{FF2B5EF4-FFF2-40B4-BE49-F238E27FC236}">
              <a16:creationId xmlns:a16="http://schemas.microsoft.com/office/drawing/2014/main" xmlns="" id="{00000000-0008-0000-0200-000021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45" name="Rectangle 454" descr="2">
          <a:extLst>
            <a:ext uri="{FF2B5EF4-FFF2-40B4-BE49-F238E27FC236}">
              <a16:creationId xmlns:a16="http://schemas.microsoft.com/office/drawing/2014/main" xmlns="" id="{00000000-0008-0000-0200-000022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46" name="Rectangle 455" descr="2">
          <a:extLst>
            <a:ext uri="{FF2B5EF4-FFF2-40B4-BE49-F238E27FC236}">
              <a16:creationId xmlns:a16="http://schemas.microsoft.com/office/drawing/2014/main" xmlns="" id="{00000000-0008-0000-0200-000023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47" name="Rectangle 456" descr="2">
          <a:extLst>
            <a:ext uri="{FF2B5EF4-FFF2-40B4-BE49-F238E27FC236}">
              <a16:creationId xmlns:a16="http://schemas.microsoft.com/office/drawing/2014/main" xmlns="" id="{00000000-0008-0000-0200-000024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48" name="Rectangle 457" descr="2">
          <a:extLst>
            <a:ext uri="{FF2B5EF4-FFF2-40B4-BE49-F238E27FC236}">
              <a16:creationId xmlns:a16="http://schemas.microsoft.com/office/drawing/2014/main" xmlns="" id="{00000000-0008-0000-0200-000025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49" name="Rectangle 458" descr="1">
          <a:extLst>
            <a:ext uri="{FF2B5EF4-FFF2-40B4-BE49-F238E27FC236}">
              <a16:creationId xmlns:a16="http://schemas.microsoft.com/office/drawing/2014/main" xmlns="" id="{00000000-0008-0000-0200-000026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50" name="Rectangle 444" descr="2">
          <a:extLst>
            <a:ext uri="{FF2B5EF4-FFF2-40B4-BE49-F238E27FC236}">
              <a16:creationId xmlns:a16="http://schemas.microsoft.com/office/drawing/2014/main" xmlns="" id="{00000000-0008-0000-0200-000027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51" name="Rectangle 445" descr="2">
          <a:extLst>
            <a:ext uri="{FF2B5EF4-FFF2-40B4-BE49-F238E27FC236}">
              <a16:creationId xmlns:a16="http://schemas.microsoft.com/office/drawing/2014/main" xmlns="" id="{00000000-0008-0000-0200-000028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52" name="Rectangle 446" descr="2">
          <a:extLst>
            <a:ext uri="{FF2B5EF4-FFF2-40B4-BE49-F238E27FC236}">
              <a16:creationId xmlns:a16="http://schemas.microsoft.com/office/drawing/2014/main" xmlns="" id="{00000000-0008-0000-0200-000029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53" name="Rectangle 447" descr="2">
          <a:extLst>
            <a:ext uri="{FF2B5EF4-FFF2-40B4-BE49-F238E27FC236}">
              <a16:creationId xmlns:a16="http://schemas.microsoft.com/office/drawing/2014/main" xmlns="" id="{00000000-0008-0000-0200-00002A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54" name="Rectangle 448" descr="2">
          <a:extLst>
            <a:ext uri="{FF2B5EF4-FFF2-40B4-BE49-F238E27FC236}">
              <a16:creationId xmlns:a16="http://schemas.microsoft.com/office/drawing/2014/main" xmlns="" id="{00000000-0008-0000-0200-00002B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55" name="Rectangle 449" descr="2">
          <a:extLst>
            <a:ext uri="{FF2B5EF4-FFF2-40B4-BE49-F238E27FC236}">
              <a16:creationId xmlns:a16="http://schemas.microsoft.com/office/drawing/2014/main" xmlns="" id="{00000000-0008-0000-0200-00002C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56" name="Rectangle 450" descr="2">
          <a:extLst>
            <a:ext uri="{FF2B5EF4-FFF2-40B4-BE49-F238E27FC236}">
              <a16:creationId xmlns:a16="http://schemas.microsoft.com/office/drawing/2014/main" xmlns="" id="{00000000-0008-0000-0200-00002D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57" name="Rectangle 451" descr="2">
          <a:extLst>
            <a:ext uri="{FF2B5EF4-FFF2-40B4-BE49-F238E27FC236}">
              <a16:creationId xmlns:a16="http://schemas.microsoft.com/office/drawing/2014/main" xmlns="" id="{00000000-0008-0000-0200-00002E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58" name="Rectangle 452" descr="2">
          <a:extLst>
            <a:ext uri="{FF2B5EF4-FFF2-40B4-BE49-F238E27FC236}">
              <a16:creationId xmlns:a16="http://schemas.microsoft.com/office/drawing/2014/main" xmlns="" id="{00000000-0008-0000-0200-00002F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59" name="Rectangle 453" descr="2">
          <a:extLst>
            <a:ext uri="{FF2B5EF4-FFF2-40B4-BE49-F238E27FC236}">
              <a16:creationId xmlns:a16="http://schemas.microsoft.com/office/drawing/2014/main" xmlns="" id="{00000000-0008-0000-0200-000030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60" name="Rectangle 454" descr="2">
          <a:extLst>
            <a:ext uri="{FF2B5EF4-FFF2-40B4-BE49-F238E27FC236}">
              <a16:creationId xmlns:a16="http://schemas.microsoft.com/office/drawing/2014/main" xmlns="" id="{00000000-0008-0000-0200-000031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61" name="Rectangle 455" descr="2">
          <a:extLst>
            <a:ext uri="{FF2B5EF4-FFF2-40B4-BE49-F238E27FC236}">
              <a16:creationId xmlns:a16="http://schemas.microsoft.com/office/drawing/2014/main" xmlns="" id="{00000000-0008-0000-0200-000032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62" name="Rectangle 456" descr="2">
          <a:extLst>
            <a:ext uri="{FF2B5EF4-FFF2-40B4-BE49-F238E27FC236}">
              <a16:creationId xmlns:a16="http://schemas.microsoft.com/office/drawing/2014/main" xmlns="" id="{00000000-0008-0000-0200-000033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63" name="Rectangle 457" descr="2">
          <a:extLst>
            <a:ext uri="{FF2B5EF4-FFF2-40B4-BE49-F238E27FC236}">
              <a16:creationId xmlns:a16="http://schemas.microsoft.com/office/drawing/2014/main" xmlns="" id="{00000000-0008-0000-0200-000034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155863</xdr:rowOff>
    </xdr:to>
    <xdr:sp macro="" textlink="">
      <xdr:nvSpPr>
        <xdr:cNvPr id="564" name="Rectangle 458" descr="1">
          <a:extLst>
            <a:ext uri="{FF2B5EF4-FFF2-40B4-BE49-F238E27FC236}">
              <a16:creationId xmlns:a16="http://schemas.microsoft.com/office/drawing/2014/main" xmlns="" id="{00000000-0008-0000-0200-000035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65" name="Rectangle 444" descr="2">
          <a:extLst>
            <a:ext uri="{FF2B5EF4-FFF2-40B4-BE49-F238E27FC236}">
              <a16:creationId xmlns:a16="http://schemas.microsoft.com/office/drawing/2014/main" xmlns="" id="{00000000-0008-0000-0200-00003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66" name="Rectangle 445" descr="2">
          <a:extLst>
            <a:ext uri="{FF2B5EF4-FFF2-40B4-BE49-F238E27FC236}">
              <a16:creationId xmlns:a16="http://schemas.microsoft.com/office/drawing/2014/main" xmlns="" id="{00000000-0008-0000-0200-00003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67" name="Rectangle 446" descr="2">
          <a:extLst>
            <a:ext uri="{FF2B5EF4-FFF2-40B4-BE49-F238E27FC236}">
              <a16:creationId xmlns:a16="http://schemas.microsoft.com/office/drawing/2014/main" xmlns="" id="{00000000-0008-0000-0200-00003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68" name="Rectangle 447" descr="2">
          <a:extLst>
            <a:ext uri="{FF2B5EF4-FFF2-40B4-BE49-F238E27FC236}">
              <a16:creationId xmlns:a16="http://schemas.microsoft.com/office/drawing/2014/main" xmlns="" id="{00000000-0008-0000-0200-00003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69" name="Rectangle 448" descr="2">
          <a:extLst>
            <a:ext uri="{FF2B5EF4-FFF2-40B4-BE49-F238E27FC236}">
              <a16:creationId xmlns:a16="http://schemas.microsoft.com/office/drawing/2014/main" xmlns="" id="{00000000-0008-0000-0200-00003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70" name="Rectangle 449" descr="2">
          <a:extLst>
            <a:ext uri="{FF2B5EF4-FFF2-40B4-BE49-F238E27FC236}">
              <a16:creationId xmlns:a16="http://schemas.microsoft.com/office/drawing/2014/main" xmlns="" id="{00000000-0008-0000-0200-00003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71" name="Rectangle 450" descr="2">
          <a:extLst>
            <a:ext uri="{FF2B5EF4-FFF2-40B4-BE49-F238E27FC236}">
              <a16:creationId xmlns:a16="http://schemas.microsoft.com/office/drawing/2014/main" xmlns="" id="{00000000-0008-0000-0200-00003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72" name="Rectangle 451" descr="2">
          <a:extLst>
            <a:ext uri="{FF2B5EF4-FFF2-40B4-BE49-F238E27FC236}">
              <a16:creationId xmlns:a16="http://schemas.microsoft.com/office/drawing/2014/main" xmlns="" id="{00000000-0008-0000-0200-00003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73" name="Rectangle 452" descr="2">
          <a:extLst>
            <a:ext uri="{FF2B5EF4-FFF2-40B4-BE49-F238E27FC236}">
              <a16:creationId xmlns:a16="http://schemas.microsoft.com/office/drawing/2014/main" xmlns="" id="{00000000-0008-0000-0200-00003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74" name="Rectangle 453" descr="2">
          <a:extLst>
            <a:ext uri="{FF2B5EF4-FFF2-40B4-BE49-F238E27FC236}">
              <a16:creationId xmlns:a16="http://schemas.microsoft.com/office/drawing/2014/main" xmlns="" id="{00000000-0008-0000-0200-00003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75" name="Rectangle 454" descr="2">
          <a:extLst>
            <a:ext uri="{FF2B5EF4-FFF2-40B4-BE49-F238E27FC236}">
              <a16:creationId xmlns:a16="http://schemas.microsoft.com/office/drawing/2014/main" xmlns="" id="{00000000-0008-0000-0200-00004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76" name="Rectangle 455" descr="2">
          <a:extLst>
            <a:ext uri="{FF2B5EF4-FFF2-40B4-BE49-F238E27FC236}">
              <a16:creationId xmlns:a16="http://schemas.microsoft.com/office/drawing/2014/main" xmlns="" id="{00000000-0008-0000-0200-00004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77" name="Rectangle 456" descr="2">
          <a:extLst>
            <a:ext uri="{FF2B5EF4-FFF2-40B4-BE49-F238E27FC236}">
              <a16:creationId xmlns:a16="http://schemas.microsoft.com/office/drawing/2014/main" xmlns="" id="{00000000-0008-0000-0200-00004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78" name="Rectangle 457" descr="2">
          <a:extLst>
            <a:ext uri="{FF2B5EF4-FFF2-40B4-BE49-F238E27FC236}">
              <a16:creationId xmlns:a16="http://schemas.microsoft.com/office/drawing/2014/main" xmlns="" id="{00000000-0008-0000-0200-00004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79" name="Rectangle 458" descr="1">
          <a:extLst>
            <a:ext uri="{FF2B5EF4-FFF2-40B4-BE49-F238E27FC236}">
              <a16:creationId xmlns:a16="http://schemas.microsoft.com/office/drawing/2014/main" xmlns="" id="{00000000-0008-0000-0200-00004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80" name="Rectangle 444" descr="2">
          <a:extLst>
            <a:ext uri="{FF2B5EF4-FFF2-40B4-BE49-F238E27FC236}">
              <a16:creationId xmlns:a16="http://schemas.microsoft.com/office/drawing/2014/main" xmlns="" id="{00000000-0008-0000-0200-00004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81" name="Rectangle 445" descr="2">
          <a:extLst>
            <a:ext uri="{FF2B5EF4-FFF2-40B4-BE49-F238E27FC236}">
              <a16:creationId xmlns:a16="http://schemas.microsoft.com/office/drawing/2014/main" xmlns="" id="{00000000-0008-0000-0200-00004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82" name="Rectangle 446" descr="2">
          <a:extLst>
            <a:ext uri="{FF2B5EF4-FFF2-40B4-BE49-F238E27FC236}">
              <a16:creationId xmlns:a16="http://schemas.microsoft.com/office/drawing/2014/main" xmlns="" id="{00000000-0008-0000-0200-00004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83" name="Rectangle 447" descr="2">
          <a:extLst>
            <a:ext uri="{FF2B5EF4-FFF2-40B4-BE49-F238E27FC236}">
              <a16:creationId xmlns:a16="http://schemas.microsoft.com/office/drawing/2014/main" xmlns="" id="{00000000-0008-0000-0200-00004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84" name="Rectangle 448" descr="2">
          <a:extLst>
            <a:ext uri="{FF2B5EF4-FFF2-40B4-BE49-F238E27FC236}">
              <a16:creationId xmlns:a16="http://schemas.microsoft.com/office/drawing/2014/main" xmlns="" id="{00000000-0008-0000-0200-00004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85" name="Rectangle 449" descr="2">
          <a:extLst>
            <a:ext uri="{FF2B5EF4-FFF2-40B4-BE49-F238E27FC236}">
              <a16:creationId xmlns:a16="http://schemas.microsoft.com/office/drawing/2014/main" xmlns="" id="{00000000-0008-0000-0200-00004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86" name="Rectangle 450" descr="2">
          <a:extLst>
            <a:ext uri="{FF2B5EF4-FFF2-40B4-BE49-F238E27FC236}">
              <a16:creationId xmlns:a16="http://schemas.microsoft.com/office/drawing/2014/main" xmlns="" id="{00000000-0008-0000-0200-00004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87" name="Rectangle 451" descr="2">
          <a:extLst>
            <a:ext uri="{FF2B5EF4-FFF2-40B4-BE49-F238E27FC236}">
              <a16:creationId xmlns:a16="http://schemas.microsoft.com/office/drawing/2014/main" xmlns="" id="{00000000-0008-0000-0200-00004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88" name="Rectangle 452" descr="2">
          <a:extLst>
            <a:ext uri="{FF2B5EF4-FFF2-40B4-BE49-F238E27FC236}">
              <a16:creationId xmlns:a16="http://schemas.microsoft.com/office/drawing/2014/main" xmlns="" id="{00000000-0008-0000-0200-00004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89" name="Rectangle 453" descr="2">
          <a:extLst>
            <a:ext uri="{FF2B5EF4-FFF2-40B4-BE49-F238E27FC236}">
              <a16:creationId xmlns:a16="http://schemas.microsoft.com/office/drawing/2014/main" xmlns="" id="{00000000-0008-0000-0200-00004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90" name="Rectangle 454" descr="2">
          <a:extLst>
            <a:ext uri="{FF2B5EF4-FFF2-40B4-BE49-F238E27FC236}">
              <a16:creationId xmlns:a16="http://schemas.microsoft.com/office/drawing/2014/main" xmlns="" id="{00000000-0008-0000-0200-00004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91" name="Rectangle 455" descr="2">
          <a:extLst>
            <a:ext uri="{FF2B5EF4-FFF2-40B4-BE49-F238E27FC236}">
              <a16:creationId xmlns:a16="http://schemas.microsoft.com/office/drawing/2014/main" xmlns="" id="{00000000-0008-0000-0200-00005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92" name="Rectangle 456" descr="2">
          <a:extLst>
            <a:ext uri="{FF2B5EF4-FFF2-40B4-BE49-F238E27FC236}">
              <a16:creationId xmlns:a16="http://schemas.microsoft.com/office/drawing/2014/main" xmlns="" id="{00000000-0008-0000-0200-00005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93" name="Rectangle 457" descr="2">
          <a:extLst>
            <a:ext uri="{FF2B5EF4-FFF2-40B4-BE49-F238E27FC236}">
              <a16:creationId xmlns:a16="http://schemas.microsoft.com/office/drawing/2014/main" xmlns="" id="{00000000-0008-0000-0200-00005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94" name="Rectangle 458" descr="1">
          <a:extLst>
            <a:ext uri="{FF2B5EF4-FFF2-40B4-BE49-F238E27FC236}">
              <a16:creationId xmlns:a16="http://schemas.microsoft.com/office/drawing/2014/main" xmlns="" id="{00000000-0008-0000-0200-00005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95" name="Rectangle 444" descr="2">
          <a:extLst>
            <a:ext uri="{FF2B5EF4-FFF2-40B4-BE49-F238E27FC236}">
              <a16:creationId xmlns:a16="http://schemas.microsoft.com/office/drawing/2014/main" xmlns="" id="{00000000-0008-0000-0200-00005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96" name="Rectangle 445" descr="2">
          <a:extLst>
            <a:ext uri="{FF2B5EF4-FFF2-40B4-BE49-F238E27FC236}">
              <a16:creationId xmlns:a16="http://schemas.microsoft.com/office/drawing/2014/main" xmlns="" id="{00000000-0008-0000-0200-00005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97" name="Rectangle 446" descr="2">
          <a:extLst>
            <a:ext uri="{FF2B5EF4-FFF2-40B4-BE49-F238E27FC236}">
              <a16:creationId xmlns:a16="http://schemas.microsoft.com/office/drawing/2014/main" xmlns="" id="{00000000-0008-0000-0200-00005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98" name="Rectangle 447" descr="2">
          <a:extLst>
            <a:ext uri="{FF2B5EF4-FFF2-40B4-BE49-F238E27FC236}">
              <a16:creationId xmlns:a16="http://schemas.microsoft.com/office/drawing/2014/main" xmlns="" id="{00000000-0008-0000-0200-00005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599" name="Rectangle 448" descr="2">
          <a:extLst>
            <a:ext uri="{FF2B5EF4-FFF2-40B4-BE49-F238E27FC236}">
              <a16:creationId xmlns:a16="http://schemas.microsoft.com/office/drawing/2014/main" xmlns="" id="{00000000-0008-0000-0200-00005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00" name="Rectangle 449" descr="2">
          <a:extLst>
            <a:ext uri="{FF2B5EF4-FFF2-40B4-BE49-F238E27FC236}">
              <a16:creationId xmlns:a16="http://schemas.microsoft.com/office/drawing/2014/main" xmlns="" id="{00000000-0008-0000-0200-00005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01" name="Rectangle 450" descr="2">
          <a:extLst>
            <a:ext uri="{FF2B5EF4-FFF2-40B4-BE49-F238E27FC236}">
              <a16:creationId xmlns:a16="http://schemas.microsoft.com/office/drawing/2014/main" xmlns="" id="{00000000-0008-0000-0200-00005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02" name="Rectangle 451" descr="2">
          <a:extLst>
            <a:ext uri="{FF2B5EF4-FFF2-40B4-BE49-F238E27FC236}">
              <a16:creationId xmlns:a16="http://schemas.microsoft.com/office/drawing/2014/main" xmlns="" id="{00000000-0008-0000-0200-00005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03" name="Rectangle 452" descr="2">
          <a:extLst>
            <a:ext uri="{FF2B5EF4-FFF2-40B4-BE49-F238E27FC236}">
              <a16:creationId xmlns:a16="http://schemas.microsoft.com/office/drawing/2014/main" xmlns="" id="{00000000-0008-0000-0200-00005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04" name="Rectangle 453" descr="2">
          <a:extLst>
            <a:ext uri="{FF2B5EF4-FFF2-40B4-BE49-F238E27FC236}">
              <a16:creationId xmlns:a16="http://schemas.microsoft.com/office/drawing/2014/main" xmlns="" id="{00000000-0008-0000-0200-00005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05" name="Rectangle 454" descr="2">
          <a:extLst>
            <a:ext uri="{FF2B5EF4-FFF2-40B4-BE49-F238E27FC236}">
              <a16:creationId xmlns:a16="http://schemas.microsoft.com/office/drawing/2014/main" xmlns="" id="{00000000-0008-0000-0200-00005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06" name="Rectangle 455" descr="2">
          <a:extLst>
            <a:ext uri="{FF2B5EF4-FFF2-40B4-BE49-F238E27FC236}">
              <a16:creationId xmlns:a16="http://schemas.microsoft.com/office/drawing/2014/main" xmlns="" id="{00000000-0008-0000-0200-00005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07" name="Rectangle 456" descr="2">
          <a:extLst>
            <a:ext uri="{FF2B5EF4-FFF2-40B4-BE49-F238E27FC236}">
              <a16:creationId xmlns:a16="http://schemas.microsoft.com/office/drawing/2014/main" xmlns="" id="{00000000-0008-0000-0200-00006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08" name="Rectangle 457" descr="2">
          <a:extLst>
            <a:ext uri="{FF2B5EF4-FFF2-40B4-BE49-F238E27FC236}">
              <a16:creationId xmlns:a16="http://schemas.microsoft.com/office/drawing/2014/main" xmlns="" id="{00000000-0008-0000-0200-00006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09" name="Rectangle 458" descr="1">
          <a:extLst>
            <a:ext uri="{FF2B5EF4-FFF2-40B4-BE49-F238E27FC236}">
              <a16:creationId xmlns:a16="http://schemas.microsoft.com/office/drawing/2014/main" xmlns="" id="{00000000-0008-0000-0200-00006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10" name="Rectangle 444" descr="2">
          <a:extLst>
            <a:ext uri="{FF2B5EF4-FFF2-40B4-BE49-F238E27FC236}">
              <a16:creationId xmlns:a16="http://schemas.microsoft.com/office/drawing/2014/main" xmlns="" id="{00000000-0008-0000-0200-00006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11" name="Rectangle 445" descr="2">
          <a:extLst>
            <a:ext uri="{FF2B5EF4-FFF2-40B4-BE49-F238E27FC236}">
              <a16:creationId xmlns:a16="http://schemas.microsoft.com/office/drawing/2014/main" xmlns="" id="{00000000-0008-0000-0200-00006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12" name="Rectangle 446" descr="2">
          <a:extLst>
            <a:ext uri="{FF2B5EF4-FFF2-40B4-BE49-F238E27FC236}">
              <a16:creationId xmlns:a16="http://schemas.microsoft.com/office/drawing/2014/main" xmlns="" id="{00000000-0008-0000-0200-00006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13" name="Rectangle 447" descr="2">
          <a:extLst>
            <a:ext uri="{FF2B5EF4-FFF2-40B4-BE49-F238E27FC236}">
              <a16:creationId xmlns:a16="http://schemas.microsoft.com/office/drawing/2014/main" xmlns="" id="{00000000-0008-0000-0200-00006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14" name="Rectangle 448" descr="2">
          <a:extLst>
            <a:ext uri="{FF2B5EF4-FFF2-40B4-BE49-F238E27FC236}">
              <a16:creationId xmlns:a16="http://schemas.microsoft.com/office/drawing/2014/main" xmlns="" id="{00000000-0008-0000-0200-00006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15" name="Rectangle 449" descr="2">
          <a:extLst>
            <a:ext uri="{FF2B5EF4-FFF2-40B4-BE49-F238E27FC236}">
              <a16:creationId xmlns:a16="http://schemas.microsoft.com/office/drawing/2014/main" xmlns="" id="{00000000-0008-0000-0200-00006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16" name="Rectangle 450" descr="2">
          <a:extLst>
            <a:ext uri="{FF2B5EF4-FFF2-40B4-BE49-F238E27FC236}">
              <a16:creationId xmlns:a16="http://schemas.microsoft.com/office/drawing/2014/main" xmlns="" id="{00000000-0008-0000-0200-00006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17" name="Rectangle 451" descr="2">
          <a:extLst>
            <a:ext uri="{FF2B5EF4-FFF2-40B4-BE49-F238E27FC236}">
              <a16:creationId xmlns:a16="http://schemas.microsoft.com/office/drawing/2014/main" xmlns="" id="{00000000-0008-0000-0200-00006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18" name="Rectangle 452" descr="2">
          <a:extLst>
            <a:ext uri="{FF2B5EF4-FFF2-40B4-BE49-F238E27FC236}">
              <a16:creationId xmlns:a16="http://schemas.microsoft.com/office/drawing/2014/main" xmlns="" id="{00000000-0008-0000-0200-00006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19" name="Rectangle 453" descr="2">
          <a:extLst>
            <a:ext uri="{FF2B5EF4-FFF2-40B4-BE49-F238E27FC236}">
              <a16:creationId xmlns:a16="http://schemas.microsoft.com/office/drawing/2014/main" xmlns="" id="{00000000-0008-0000-0200-00006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20" name="Rectangle 454" descr="2">
          <a:extLst>
            <a:ext uri="{FF2B5EF4-FFF2-40B4-BE49-F238E27FC236}">
              <a16:creationId xmlns:a16="http://schemas.microsoft.com/office/drawing/2014/main" xmlns="" id="{00000000-0008-0000-0200-00006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21" name="Rectangle 455" descr="2">
          <a:extLst>
            <a:ext uri="{FF2B5EF4-FFF2-40B4-BE49-F238E27FC236}">
              <a16:creationId xmlns:a16="http://schemas.microsoft.com/office/drawing/2014/main" xmlns="" id="{00000000-0008-0000-0200-00006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22" name="Rectangle 456" descr="2">
          <a:extLst>
            <a:ext uri="{FF2B5EF4-FFF2-40B4-BE49-F238E27FC236}">
              <a16:creationId xmlns:a16="http://schemas.microsoft.com/office/drawing/2014/main" xmlns="" id="{00000000-0008-0000-0200-00006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23" name="Rectangle 457" descr="2">
          <a:extLst>
            <a:ext uri="{FF2B5EF4-FFF2-40B4-BE49-F238E27FC236}">
              <a16:creationId xmlns:a16="http://schemas.microsoft.com/office/drawing/2014/main" xmlns="" id="{00000000-0008-0000-0200-00007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24" name="Rectangle 458" descr="1">
          <a:extLst>
            <a:ext uri="{FF2B5EF4-FFF2-40B4-BE49-F238E27FC236}">
              <a16:creationId xmlns:a16="http://schemas.microsoft.com/office/drawing/2014/main" xmlns="" id="{00000000-0008-0000-0200-00007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25" name="Rectangle 444" descr="2">
          <a:extLst>
            <a:ext uri="{FF2B5EF4-FFF2-40B4-BE49-F238E27FC236}">
              <a16:creationId xmlns:a16="http://schemas.microsoft.com/office/drawing/2014/main" xmlns="" id="{00000000-0008-0000-0200-00007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26" name="Rectangle 445" descr="2">
          <a:extLst>
            <a:ext uri="{FF2B5EF4-FFF2-40B4-BE49-F238E27FC236}">
              <a16:creationId xmlns:a16="http://schemas.microsoft.com/office/drawing/2014/main" xmlns="" id="{00000000-0008-0000-0200-00007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27" name="Rectangle 446" descr="2">
          <a:extLst>
            <a:ext uri="{FF2B5EF4-FFF2-40B4-BE49-F238E27FC236}">
              <a16:creationId xmlns:a16="http://schemas.microsoft.com/office/drawing/2014/main" xmlns="" id="{00000000-0008-0000-0200-00007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28" name="Rectangle 447" descr="2">
          <a:extLst>
            <a:ext uri="{FF2B5EF4-FFF2-40B4-BE49-F238E27FC236}">
              <a16:creationId xmlns:a16="http://schemas.microsoft.com/office/drawing/2014/main" xmlns="" id="{00000000-0008-0000-0200-00007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29" name="Rectangle 448" descr="2">
          <a:extLst>
            <a:ext uri="{FF2B5EF4-FFF2-40B4-BE49-F238E27FC236}">
              <a16:creationId xmlns:a16="http://schemas.microsoft.com/office/drawing/2014/main" xmlns="" id="{00000000-0008-0000-0200-00007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30" name="Rectangle 449" descr="2">
          <a:extLst>
            <a:ext uri="{FF2B5EF4-FFF2-40B4-BE49-F238E27FC236}">
              <a16:creationId xmlns:a16="http://schemas.microsoft.com/office/drawing/2014/main" xmlns="" id="{00000000-0008-0000-0200-00007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31" name="Rectangle 450" descr="2">
          <a:extLst>
            <a:ext uri="{FF2B5EF4-FFF2-40B4-BE49-F238E27FC236}">
              <a16:creationId xmlns:a16="http://schemas.microsoft.com/office/drawing/2014/main" xmlns="" id="{00000000-0008-0000-0200-00007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32" name="Rectangle 451" descr="2">
          <a:extLst>
            <a:ext uri="{FF2B5EF4-FFF2-40B4-BE49-F238E27FC236}">
              <a16:creationId xmlns:a16="http://schemas.microsoft.com/office/drawing/2014/main" xmlns="" id="{00000000-0008-0000-0200-00007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33" name="Rectangle 452" descr="2">
          <a:extLst>
            <a:ext uri="{FF2B5EF4-FFF2-40B4-BE49-F238E27FC236}">
              <a16:creationId xmlns:a16="http://schemas.microsoft.com/office/drawing/2014/main" xmlns="" id="{00000000-0008-0000-0200-00007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34" name="Rectangle 453" descr="2">
          <a:extLst>
            <a:ext uri="{FF2B5EF4-FFF2-40B4-BE49-F238E27FC236}">
              <a16:creationId xmlns:a16="http://schemas.microsoft.com/office/drawing/2014/main" xmlns="" id="{00000000-0008-0000-0200-00007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35" name="Rectangle 454" descr="2">
          <a:extLst>
            <a:ext uri="{FF2B5EF4-FFF2-40B4-BE49-F238E27FC236}">
              <a16:creationId xmlns:a16="http://schemas.microsoft.com/office/drawing/2014/main" xmlns="" id="{00000000-0008-0000-0200-00007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36" name="Rectangle 455" descr="2">
          <a:extLst>
            <a:ext uri="{FF2B5EF4-FFF2-40B4-BE49-F238E27FC236}">
              <a16:creationId xmlns:a16="http://schemas.microsoft.com/office/drawing/2014/main" xmlns="" id="{00000000-0008-0000-0200-00007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37" name="Rectangle 456" descr="2">
          <a:extLst>
            <a:ext uri="{FF2B5EF4-FFF2-40B4-BE49-F238E27FC236}">
              <a16:creationId xmlns:a16="http://schemas.microsoft.com/office/drawing/2014/main" xmlns="" id="{00000000-0008-0000-0200-00007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38" name="Rectangle 457" descr="2">
          <a:extLst>
            <a:ext uri="{FF2B5EF4-FFF2-40B4-BE49-F238E27FC236}">
              <a16:creationId xmlns:a16="http://schemas.microsoft.com/office/drawing/2014/main" xmlns="" id="{00000000-0008-0000-0200-00007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39" name="Rectangle 458" descr="1">
          <a:extLst>
            <a:ext uri="{FF2B5EF4-FFF2-40B4-BE49-F238E27FC236}">
              <a16:creationId xmlns:a16="http://schemas.microsoft.com/office/drawing/2014/main" xmlns="" id="{00000000-0008-0000-0200-00008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40" name="Rectangle 444" descr="2">
          <a:extLst>
            <a:ext uri="{FF2B5EF4-FFF2-40B4-BE49-F238E27FC236}">
              <a16:creationId xmlns:a16="http://schemas.microsoft.com/office/drawing/2014/main" xmlns="" id="{00000000-0008-0000-0200-00008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41" name="Rectangle 445" descr="2">
          <a:extLst>
            <a:ext uri="{FF2B5EF4-FFF2-40B4-BE49-F238E27FC236}">
              <a16:creationId xmlns:a16="http://schemas.microsoft.com/office/drawing/2014/main" xmlns="" id="{00000000-0008-0000-0200-00008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42" name="Rectangle 446" descr="2">
          <a:extLst>
            <a:ext uri="{FF2B5EF4-FFF2-40B4-BE49-F238E27FC236}">
              <a16:creationId xmlns:a16="http://schemas.microsoft.com/office/drawing/2014/main" xmlns="" id="{00000000-0008-0000-0200-00008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43" name="Rectangle 447" descr="2">
          <a:extLst>
            <a:ext uri="{FF2B5EF4-FFF2-40B4-BE49-F238E27FC236}">
              <a16:creationId xmlns:a16="http://schemas.microsoft.com/office/drawing/2014/main" xmlns="" id="{00000000-0008-0000-0200-00008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44" name="Rectangle 448" descr="2">
          <a:extLst>
            <a:ext uri="{FF2B5EF4-FFF2-40B4-BE49-F238E27FC236}">
              <a16:creationId xmlns:a16="http://schemas.microsoft.com/office/drawing/2014/main" xmlns="" id="{00000000-0008-0000-0200-00008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45" name="Rectangle 449" descr="2">
          <a:extLst>
            <a:ext uri="{FF2B5EF4-FFF2-40B4-BE49-F238E27FC236}">
              <a16:creationId xmlns:a16="http://schemas.microsoft.com/office/drawing/2014/main" xmlns="" id="{00000000-0008-0000-0200-00008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46" name="Rectangle 450" descr="2">
          <a:extLst>
            <a:ext uri="{FF2B5EF4-FFF2-40B4-BE49-F238E27FC236}">
              <a16:creationId xmlns:a16="http://schemas.microsoft.com/office/drawing/2014/main" xmlns="" id="{00000000-0008-0000-0200-00008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47" name="Rectangle 451" descr="2">
          <a:extLst>
            <a:ext uri="{FF2B5EF4-FFF2-40B4-BE49-F238E27FC236}">
              <a16:creationId xmlns:a16="http://schemas.microsoft.com/office/drawing/2014/main" xmlns="" id="{00000000-0008-0000-0200-00008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48" name="Rectangle 452" descr="2">
          <a:extLst>
            <a:ext uri="{FF2B5EF4-FFF2-40B4-BE49-F238E27FC236}">
              <a16:creationId xmlns:a16="http://schemas.microsoft.com/office/drawing/2014/main" xmlns="" id="{00000000-0008-0000-0200-00008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49" name="Rectangle 453" descr="2">
          <a:extLst>
            <a:ext uri="{FF2B5EF4-FFF2-40B4-BE49-F238E27FC236}">
              <a16:creationId xmlns:a16="http://schemas.microsoft.com/office/drawing/2014/main" xmlns="" id="{00000000-0008-0000-0200-00008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50" name="Rectangle 454" descr="2">
          <a:extLst>
            <a:ext uri="{FF2B5EF4-FFF2-40B4-BE49-F238E27FC236}">
              <a16:creationId xmlns:a16="http://schemas.microsoft.com/office/drawing/2014/main" xmlns="" id="{00000000-0008-0000-0200-00008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51" name="Rectangle 455" descr="2">
          <a:extLst>
            <a:ext uri="{FF2B5EF4-FFF2-40B4-BE49-F238E27FC236}">
              <a16:creationId xmlns:a16="http://schemas.microsoft.com/office/drawing/2014/main" xmlns="" id="{00000000-0008-0000-0200-00008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52" name="Rectangle 456" descr="2">
          <a:extLst>
            <a:ext uri="{FF2B5EF4-FFF2-40B4-BE49-F238E27FC236}">
              <a16:creationId xmlns:a16="http://schemas.microsoft.com/office/drawing/2014/main" xmlns="" id="{00000000-0008-0000-0200-00008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53" name="Rectangle 457" descr="2">
          <a:extLst>
            <a:ext uri="{FF2B5EF4-FFF2-40B4-BE49-F238E27FC236}">
              <a16:creationId xmlns:a16="http://schemas.microsoft.com/office/drawing/2014/main" xmlns="" id="{00000000-0008-0000-0200-00008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54" name="Rectangle 458" descr="1">
          <a:extLst>
            <a:ext uri="{FF2B5EF4-FFF2-40B4-BE49-F238E27FC236}">
              <a16:creationId xmlns:a16="http://schemas.microsoft.com/office/drawing/2014/main" xmlns="" id="{00000000-0008-0000-0200-00008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55" name="Rectangle 444" descr="2">
          <a:extLst>
            <a:ext uri="{FF2B5EF4-FFF2-40B4-BE49-F238E27FC236}">
              <a16:creationId xmlns:a16="http://schemas.microsoft.com/office/drawing/2014/main" xmlns="" id="{00000000-0008-0000-0200-00009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56" name="Rectangle 445" descr="2">
          <a:extLst>
            <a:ext uri="{FF2B5EF4-FFF2-40B4-BE49-F238E27FC236}">
              <a16:creationId xmlns:a16="http://schemas.microsoft.com/office/drawing/2014/main" xmlns="" id="{00000000-0008-0000-0200-00009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57" name="Rectangle 446" descr="2">
          <a:extLst>
            <a:ext uri="{FF2B5EF4-FFF2-40B4-BE49-F238E27FC236}">
              <a16:creationId xmlns:a16="http://schemas.microsoft.com/office/drawing/2014/main" xmlns="" id="{00000000-0008-0000-0200-00009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58" name="Rectangle 447" descr="2">
          <a:extLst>
            <a:ext uri="{FF2B5EF4-FFF2-40B4-BE49-F238E27FC236}">
              <a16:creationId xmlns:a16="http://schemas.microsoft.com/office/drawing/2014/main" xmlns="" id="{00000000-0008-0000-0200-00009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59" name="Rectangle 448" descr="2">
          <a:extLst>
            <a:ext uri="{FF2B5EF4-FFF2-40B4-BE49-F238E27FC236}">
              <a16:creationId xmlns:a16="http://schemas.microsoft.com/office/drawing/2014/main" xmlns="" id="{00000000-0008-0000-0200-00009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60" name="Rectangle 449" descr="2">
          <a:extLst>
            <a:ext uri="{FF2B5EF4-FFF2-40B4-BE49-F238E27FC236}">
              <a16:creationId xmlns:a16="http://schemas.microsoft.com/office/drawing/2014/main" xmlns="" id="{00000000-0008-0000-0200-00009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61" name="Rectangle 450" descr="2">
          <a:extLst>
            <a:ext uri="{FF2B5EF4-FFF2-40B4-BE49-F238E27FC236}">
              <a16:creationId xmlns:a16="http://schemas.microsoft.com/office/drawing/2014/main" xmlns="" id="{00000000-0008-0000-0200-00009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62" name="Rectangle 451" descr="2">
          <a:extLst>
            <a:ext uri="{FF2B5EF4-FFF2-40B4-BE49-F238E27FC236}">
              <a16:creationId xmlns:a16="http://schemas.microsoft.com/office/drawing/2014/main" xmlns="" id="{00000000-0008-0000-0200-00009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63" name="Rectangle 452" descr="2">
          <a:extLst>
            <a:ext uri="{FF2B5EF4-FFF2-40B4-BE49-F238E27FC236}">
              <a16:creationId xmlns:a16="http://schemas.microsoft.com/office/drawing/2014/main" xmlns="" id="{00000000-0008-0000-0200-00009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64" name="Rectangle 453" descr="2">
          <a:extLst>
            <a:ext uri="{FF2B5EF4-FFF2-40B4-BE49-F238E27FC236}">
              <a16:creationId xmlns:a16="http://schemas.microsoft.com/office/drawing/2014/main" xmlns="" id="{00000000-0008-0000-0200-00009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65" name="Rectangle 454" descr="2">
          <a:extLst>
            <a:ext uri="{FF2B5EF4-FFF2-40B4-BE49-F238E27FC236}">
              <a16:creationId xmlns:a16="http://schemas.microsoft.com/office/drawing/2014/main" xmlns="" id="{00000000-0008-0000-0200-00009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66" name="Rectangle 455" descr="2">
          <a:extLst>
            <a:ext uri="{FF2B5EF4-FFF2-40B4-BE49-F238E27FC236}">
              <a16:creationId xmlns:a16="http://schemas.microsoft.com/office/drawing/2014/main" xmlns="" id="{00000000-0008-0000-0200-00009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67" name="Rectangle 456" descr="2">
          <a:extLst>
            <a:ext uri="{FF2B5EF4-FFF2-40B4-BE49-F238E27FC236}">
              <a16:creationId xmlns:a16="http://schemas.microsoft.com/office/drawing/2014/main" xmlns="" id="{00000000-0008-0000-0200-00009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68" name="Rectangle 457" descr="2">
          <a:extLst>
            <a:ext uri="{FF2B5EF4-FFF2-40B4-BE49-F238E27FC236}">
              <a16:creationId xmlns:a16="http://schemas.microsoft.com/office/drawing/2014/main" xmlns="" id="{00000000-0008-0000-0200-00009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69" name="Rectangle 458" descr="1">
          <a:extLst>
            <a:ext uri="{FF2B5EF4-FFF2-40B4-BE49-F238E27FC236}">
              <a16:creationId xmlns:a16="http://schemas.microsoft.com/office/drawing/2014/main" xmlns="" id="{00000000-0008-0000-0200-00009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70" name="Rectangle 444" descr="2">
          <a:extLst>
            <a:ext uri="{FF2B5EF4-FFF2-40B4-BE49-F238E27FC236}">
              <a16:creationId xmlns:a16="http://schemas.microsoft.com/office/drawing/2014/main" xmlns="" id="{00000000-0008-0000-0200-00009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71" name="Rectangle 445" descr="2">
          <a:extLst>
            <a:ext uri="{FF2B5EF4-FFF2-40B4-BE49-F238E27FC236}">
              <a16:creationId xmlns:a16="http://schemas.microsoft.com/office/drawing/2014/main" xmlns="" id="{00000000-0008-0000-0200-0000A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72" name="Rectangle 446" descr="2">
          <a:extLst>
            <a:ext uri="{FF2B5EF4-FFF2-40B4-BE49-F238E27FC236}">
              <a16:creationId xmlns:a16="http://schemas.microsoft.com/office/drawing/2014/main" xmlns="" id="{00000000-0008-0000-0200-0000A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73" name="Rectangle 447" descr="2">
          <a:extLst>
            <a:ext uri="{FF2B5EF4-FFF2-40B4-BE49-F238E27FC236}">
              <a16:creationId xmlns:a16="http://schemas.microsoft.com/office/drawing/2014/main" xmlns="" id="{00000000-0008-0000-0200-0000A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74" name="Rectangle 448" descr="2">
          <a:extLst>
            <a:ext uri="{FF2B5EF4-FFF2-40B4-BE49-F238E27FC236}">
              <a16:creationId xmlns:a16="http://schemas.microsoft.com/office/drawing/2014/main" xmlns="" id="{00000000-0008-0000-0200-0000A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75" name="Rectangle 449" descr="2">
          <a:extLst>
            <a:ext uri="{FF2B5EF4-FFF2-40B4-BE49-F238E27FC236}">
              <a16:creationId xmlns:a16="http://schemas.microsoft.com/office/drawing/2014/main" xmlns="" id="{00000000-0008-0000-0200-0000A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76" name="Rectangle 450" descr="2">
          <a:extLst>
            <a:ext uri="{FF2B5EF4-FFF2-40B4-BE49-F238E27FC236}">
              <a16:creationId xmlns:a16="http://schemas.microsoft.com/office/drawing/2014/main" xmlns="" id="{00000000-0008-0000-0200-0000A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77" name="Rectangle 451" descr="2">
          <a:extLst>
            <a:ext uri="{FF2B5EF4-FFF2-40B4-BE49-F238E27FC236}">
              <a16:creationId xmlns:a16="http://schemas.microsoft.com/office/drawing/2014/main" xmlns="" id="{00000000-0008-0000-0200-0000A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78" name="Rectangle 452" descr="2">
          <a:extLst>
            <a:ext uri="{FF2B5EF4-FFF2-40B4-BE49-F238E27FC236}">
              <a16:creationId xmlns:a16="http://schemas.microsoft.com/office/drawing/2014/main" xmlns="" id="{00000000-0008-0000-0200-0000A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79" name="Rectangle 453" descr="2">
          <a:extLst>
            <a:ext uri="{FF2B5EF4-FFF2-40B4-BE49-F238E27FC236}">
              <a16:creationId xmlns:a16="http://schemas.microsoft.com/office/drawing/2014/main" xmlns="" id="{00000000-0008-0000-0200-0000A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80" name="Rectangle 454" descr="2">
          <a:extLst>
            <a:ext uri="{FF2B5EF4-FFF2-40B4-BE49-F238E27FC236}">
              <a16:creationId xmlns:a16="http://schemas.microsoft.com/office/drawing/2014/main" xmlns="" id="{00000000-0008-0000-0200-0000A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81" name="Rectangle 455" descr="2">
          <a:extLst>
            <a:ext uri="{FF2B5EF4-FFF2-40B4-BE49-F238E27FC236}">
              <a16:creationId xmlns:a16="http://schemas.microsoft.com/office/drawing/2014/main" xmlns="" id="{00000000-0008-0000-0200-0000A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82" name="Rectangle 456" descr="2">
          <a:extLst>
            <a:ext uri="{FF2B5EF4-FFF2-40B4-BE49-F238E27FC236}">
              <a16:creationId xmlns:a16="http://schemas.microsoft.com/office/drawing/2014/main" xmlns="" id="{00000000-0008-0000-0200-0000A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83" name="Rectangle 457" descr="2">
          <a:extLst>
            <a:ext uri="{FF2B5EF4-FFF2-40B4-BE49-F238E27FC236}">
              <a16:creationId xmlns:a16="http://schemas.microsoft.com/office/drawing/2014/main" xmlns="" id="{00000000-0008-0000-0200-0000A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84" name="Rectangle 458" descr="1">
          <a:extLst>
            <a:ext uri="{FF2B5EF4-FFF2-40B4-BE49-F238E27FC236}">
              <a16:creationId xmlns:a16="http://schemas.microsoft.com/office/drawing/2014/main" xmlns="" id="{00000000-0008-0000-0200-0000A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85" name="Rectangle 444" descr="2">
          <a:extLst>
            <a:ext uri="{FF2B5EF4-FFF2-40B4-BE49-F238E27FC236}">
              <a16:creationId xmlns:a16="http://schemas.microsoft.com/office/drawing/2014/main" xmlns="" id="{00000000-0008-0000-0200-0000A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86" name="Rectangle 445" descr="2">
          <a:extLst>
            <a:ext uri="{FF2B5EF4-FFF2-40B4-BE49-F238E27FC236}">
              <a16:creationId xmlns:a16="http://schemas.microsoft.com/office/drawing/2014/main" xmlns="" id="{00000000-0008-0000-0200-0000A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87" name="Rectangle 446" descr="2">
          <a:extLst>
            <a:ext uri="{FF2B5EF4-FFF2-40B4-BE49-F238E27FC236}">
              <a16:creationId xmlns:a16="http://schemas.microsoft.com/office/drawing/2014/main" xmlns="" id="{00000000-0008-0000-0200-0000B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88" name="Rectangle 447" descr="2">
          <a:extLst>
            <a:ext uri="{FF2B5EF4-FFF2-40B4-BE49-F238E27FC236}">
              <a16:creationId xmlns:a16="http://schemas.microsoft.com/office/drawing/2014/main" xmlns="" id="{00000000-0008-0000-0200-0000B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89" name="Rectangle 448" descr="2">
          <a:extLst>
            <a:ext uri="{FF2B5EF4-FFF2-40B4-BE49-F238E27FC236}">
              <a16:creationId xmlns:a16="http://schemas.microsoft.com/office/drawing/2014/main" xmlns="" id="{00000000-0008-0000-0200-0000B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90" name="Rectangle 449" descr="2">
          <a:extLst>
            <a:ext uri="{FF2B5EF4-FFF2-40B4-BE49-F238E27FC236}">
              <a16:creationId xmlns:a16="http://schemas.microsoft.com/office/drawing/2014/main" xmlns="" id="{00000000-0008-0000-0200-0000B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91" name="Rectangle 450" descr="2">
          <a:extLst>
            <a:ext uri="{FF2B5EF4-FFF2-40B4-BE49-F238E27FC236}">
              <a16:creationId xmlns:a16="http://schemas.microsoft.com/office/drawing/2014/main" xmlns="" id="{00000000-0008-0000-0200-0000B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92" name="Rectangle 451" descr="2">
          <a:extLst>
            <a:ext uri="{FF2B5EF4-FFF2-40B4-BE49-F238E27FC236}">
              <a16:creationId xmlns:a16="http://schemas.microsoft.com/office/drawing/2014/main" xmlns="" id="{00000000-0008-0000-0200-0000B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93" name="Rectangle 452" descr="2">
          <a:extLst>
            <a:ext uri="{FF2B5EF4-FFF2-40B4-BE49-F238E27FC236}">
              <a16:creationId xmlns:a16="http://schemas.microsoft.com/office/drawing/2014/main" xmlns="" id="{00000000-0008-0000-0200-0000B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94" name="Rectangle 453" descr="2">
          <a:extLst>
            <a:ext uri="{FF2B5EF4-FFF2-40B4-BE49-F238E27FC236}">
              <a16:creationId xmlns:a16="http://schemas.microsoft.com/office/drawing/2014/main" xmlns="" id="{00000000-0008-0000-0200-0000B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95" name="Rectangle 454" descr="2">
          <a:extLst>
            <a:ext uri="{FF2B5EF4-FFF2-40B4-BE49-F238E27FC236}">
              <a16:creationId xmlns:a16="http://schemas.microsoft.com/office/drawing/2014/main" xmlns="" id="{00000000-0008-0000-0200-0000B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96" name="Rectangle 455" descr="2">
          <a:extLst>
            <a:ext uri="{FF2B5EF4-FFF2-40B4-BE49-F238E27FC236}">
              <a16:creationId xmlns:a16="http://schemas.microsoft.com/office/drawing/2014/main" xmlns="" id="{00000000-0008-0000-0200-0000B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97" name="Rectangle 456" descr="2">
          <a:extLst>
            <a:ext uri="{FF2B5EF4-FFF2-40B4-BE49-F238E27FC236}">
              <a16:creationId xmlns:a16="http://schemas.microsoft.com/office/drawing/2014/main" xmlns="" id="{00000000-0008-0000-0200-0000B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98" name="Rectangle 457" descr="2">
          <a:extLst>
            <a:ext uri="{FF2B5EF4-FFF2-40B4-BE49-F238E27FC236}">
              <a16:creationId xmlns:a16="http://schemas.microsoft.com/office/drawing/2014/main" xmlns="" id="{00000000-0008-0000-0200-0000B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699" name="Rectangle 458" descr="1">
          <a:extLst>
            <a:ext uri="{FF2B5EF4-FFF2-40B4-BE49-F238E27FC236}">
              <a16:creationId xmlns:a16="http://schemas.microsoft.com/office/drawing/2014/main" xmlns="" id="{00000000-0008-0000-0200-0000B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00" name="Rectangle 444" descr="2">
          <a:extLst>
            <a:ext uri="{FF2B5EF4-FFF2-40B4-BE49-F238E27FC236}">
              <a16:creationId xmlns:a16="http://schemas.microsoft.com/office/drawing/2014/main" xmlns="" id="{00000000-0008-0000-0200-0000B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01" name="Rectangle 445" descr="2">
          <a:extLst>
            <a:ext uri="{FF2B5EF4-FFF2-40B4-BE49-F238E27FC236}">
              <a16:creationId xmlns:a16="http://schemas.microsoft.com/office/drawing/2014/main" xmlns="" id="{00000000-0008-0000-0200-0000B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02" name="Rectangle 446" descr="2">
          <a:extLst>
            <a:ext uri="{FF2B5EF4-FFF2-40B4-BE49-F238E27FC236}">
              <a16:creationId xmlns:a16="http://schemas.microsoft.com/office/drawing/2014/main" xmlns="" id="{00000000-0008-0000-0200-0000B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03" name="Rectangle 447" descr="2">
          <a:extLst>
            <a:ext uri="{FF2B5EF4-FFF2-40B4-BE49-F238E27FC236}">
              <a16:creationId xmlns:a16="http://schemas.microsoft.com/office/drawing/2014/main" xmlns="" id="{00000000-0008-0000-0200-0000C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04" name="Rectangle 448" descr="2">
          <a:extLst>
            <a:ext uri="{FF2B5EF4-FFF2-40B4-BE49-F238E27FC236}">
              <a16:creationId xmlns:a16="http://schemas.microsoft.com/office/drawing/2014/main" xmlns="" id="{00000000-0008-0000-0200-0000C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05" name="Rectangle 449" descr="2">
          <a:extLst>
            <a:ext uri="{FF2B5EF4-FFF2-40B4-BE49-F238E27FC236}">
              <a16:creationId xmlns:a16="http://schemas.microsoft.com/office/drawing/2014/main" xmlns="" id="{00000000-0008-0000-0200-0000C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06" name="Rectangle 450" descr="2">
          <a:extLst>
            <a:ext uri="{FF2B5EF4-FFF2-40B4-BE49-F238E27FC236}">
              <a16:creationId xmlns:a16="http://schemas.microsoft.com/office/drawing/2014/main" xmlns="" id="{00000000-0008-0000-0200-0000C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07" name="Rectangle 451" descr="2">
          <a:extLst>
            <a:ext uri="{FF2B5EF4-FFF2-40B4-BE49-F238E27FC236}">
              <a16:creationId xmlns:a16="http://schemas.microsoft.com/office/drawing/2014/main" xmlns="" id="{00000000-0008-0000-0200-0000C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08" name="Rectangle 452" descr="2">
          <a:extLst>
            <a:ext uri="{FF2B5EF4-FFF2-40B4-BE49-F238E27FC236}">
              <a16:creationId xmlns:a16="http://schemas.microsoft.com/office/drawing/2014/main" xmlns="" id="{00000000-0008-0000-0200-0000C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09" name="Rectangle 453" descr="2">
          <a:extLst>
            <a:ext uri="{FF2B5EF4-FFF2-40B4-BE49-F238E27FC236}">
              <a16:creationId xmlns:a16="http://schemas.microsoft.com/office/drawing/2014/main" xmlns="" id="{00000000-0008-0000-0200-0000C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10" name="Rectangle 454" descr="2">
          <a:extLst>
            <a:ext uri="{FF2B5EF4-FFF2-40B4-BE49-F238E27FC236}">
              <a16:creationId xmlns:a16="http://schemas.microsoft.com/office/drawing/2014/main" xmlns="" id="{00000000-0008-0000-0200-0000C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11" name="Rectangle 455" descr="2">
          <a:extLst>
            <a:ext uri="{FF2B5EF4-FFF2-40B4-BE49-F238E27FC236}">
              <a16:creationId xmlns:a16="http://schemas.microsoft.com/office/drawing/2014/main" xmlns="" id="{00000000-0008-0000-0200-0000C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12" name="Rectangle 456" descr="2">
          <a:extLst>
            <a:ext uri="{FF2B5EF4-FFF2-40B4-BE49-F238E27FC236}">
              <a16:creationId xmlns:a16="http://schemas.microsoft.com/office/drawing/2014/main" xmlns="" id="{00000000-0008-0000-0200-0000C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13" name="Rectangle 457" descr="2">
          <a:extLst>
            <a:ext uri="{FF2B5EF4-FFF2-40B4-BE49-F238E27FC236}">
              <a16:creationId xmlns:a16="http://schemas.microsoft.com/office/drawing/2014/main" xmlns="" id="{00000000-0008-0000-0200-0000C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14" name="Rectangle 458" descr="1">
          <a:extLst>
            <a:ext uri="{FF2B5EF4-FFF2-40B4-BE49-F238E27FC236}">
              <a16:creationId xmlns:a16="http://schemas.microsoft.com/office/drawing/2014/main" xmlns="" id="{00000000-0008-0000-0200-0000C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15" name="Rectangle 444" descr="2">
          <a:extLst>
            <a:ext uri="{FF2B5EF4-FFF2-40B4-BE49-F238E27FC236}">
              <a16:creationId xmlns:a16="http://schemas.microsoft.com/office/drawing/2014/main" xmlns="" id="{00000000-0008-0000-0200-0000C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16" name="Rectangle 445" descr="2">
          <a:extLst>
            <a:ext uri="{FF2B5EF4-FFF2-40B4-BE49-F238E27FC236}">
              <a16:creationId xmlns:a16="http://schemas.microsoft.com/office/drawing/2014/main" xmlns="" id="{00000000-0008-0000-0200-0000C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17" name="Rectangle 446" descr="2">
          <a:extLst>
            <a:ext uri="{FF2B5EF4-FFF2-40B4-BE49-F238E27FC236}">
              <a16:creationId xmlns:a16="http://schemas.microsoft.com/office/drawing/2014/main" xmlns="" id="{00000000-0008-0000-0200-0000C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18" name="Rectangle 447" descr="2">
          <a:extLst>
            <a:ext uri="{FF2B5EF4-FFF2-40B4-BE49-F238E27FC236}">
              <a16:creationId xmlns:a16="http://schemas.microsoft.com/office/drawing/2014/main" xmlns="" id="{00000000-0008-0000-0200-0000C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19" name="Rectangle 448" descr="2">
          <a:extLst>
            <a:ext uri="{FF2B5EF4-FFF2-40B4-BE49-F238E27FC236}">
              <a16:creationId xmlns:a16="http://schemas.microsoft.com/office/drawing/2014/main" xmlns="" id="{00000000-0008-0000-0200-0000D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20" name="Rectangle 449" descr="2">
          <a:extLst>
            <a:ext uri="{FF2B5EF4-FFF2-40B4-BE49-F238E27FC236}">
              <a16:creationId xmlns:a16="http://schemas.microsoft.com/office/drawing/2014/main" xmlns="" id="{00000000-0008-0000-0200-0000D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21" name="Rectangle 450" descr="2">
          <a:extLst>
            <a:ext uri="{FF2B5EF4-FFF2-40B4-BE49-F238E27FC236}">
              <a16:creationId xmlns:a16="http://schemas.microsoft.com/office/drawing/2014/main" xmlns="" id="{00000000-0008-0000-0200-0000D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22" name="Rectangle 451" descr="2">
          <a:extLst>
            <a:ext uri="{FF2B5EF4-FFF2-40B4-BE49-F238E27FC236}">
              <a16:creationId xmlns:a16="http://schemas.microsoft.com/office/drawing/2014/main" xmlns="" id="{00000000-0008-0000-0200-0000D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23" name="Rectangle 452" descr="2">
          <a:extLst>
            <a:ext uri="{FF2B5EF4-FFF2-40B4-BE49-F238E27FC236}">
              <a16:creationId xmlns:a16="http://schemas.microsoft.com/office/drawing/2014/main" xmlns="" id="{00000000-0008-0000-0200-0000D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24" name="Rectangle 453" descr="2">
          <a:extLst>
            <a:ext uri="{FF2B5EF4-FFF2-40B4-BE49-F238E27FC236}">
              <a16:creationId xmlns:a16="http://schemas.microsoft.com/office/drawing/2014/main" xmlns="" id="{00000000-0008-0000-0200-0000D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25" name="Rectangle 454" descr="2">
          <a:extLst>
            <a:ext uri="{FF2B5EF4-FFF2-40B4-BE49-F238E27FC236}">
              <a16:creationId xmlns:a16="http://schemas.microsoft.com/office/drawing/2014/main" xmlns="" id="{00000000-0008-0000-0200-0000D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26" name="Rectangle 455" descr="2">
          <a:extLst>
            <a:ext uri="{FF2B5EF4-FFF2-40B4-BE49-F238E27FC236}">
              <a16:creationId xmlns:a16="http://schemas.microsoft.com/office/drawing/2014/main" xmlns="" id="{00000000-0008-0000-0200-0000D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27" name="Rectangle 456" descr="2">
          <a:extLst>
            <a:ext uri="{FF2B5EF4-FFF2-40B4-BE49-F238E27FC236}">
              <a16:creationId xmlns:a16="http://schemas.microsoft.com/office/drawing/2014/main" xmlns="" id="{00000000-0008-0000-0200-0000D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28" name="Rectangle 457" descr="2">
          <a:extLst>
            <a:ext uri="{FF2B5EF4-FFF2-40B4-BE49-F238E27FC236}">
              <a16:creationId xmlns:a16="http://schemas.microsoft.com/office/drawing/2014/main" xmlns="" id="{00000000-0008-0000-0200-0000D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29" name="Rectangle 458" descr="1">
          <a:extLst>
            <a:ext uri="{FF2B5EF4-FFF2-40B4-BE49-F238E27FC236}">
              <a16:creationId xmlns:a16="http://schemas.microsoft.com/office/drawing/2014/main" xmlns="" id="{00000000-0008-0000-0200-0000D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30" name="Rectangle 444" descr="2">
          <a:extLst>
            <a:ext uri="{FF2B5EF4-FFF2-40B4-BE49-F238E27FC236}">
              <a16:creationId xmlns:a16="http://schemas.microsoft.com/office/drawing/2014/main" xmlns="" id="{00000000-0008-0000-0200-0000D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31" name="Rectangle 445" descr="2">
          <a:extLst>
            <a:ext uri="{FF2B5EF4-FFF2-40B4-BE49-F238E27FC236}">
              <a16:creationId xmlns:a16="http://schemas.microsoft.com/office/drawing/2014/main" xmlns="" id="{00000000-0008-0000-0200-0000D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32" name="Rectangle 446" descr="2">
          <a:extLst>
            <a:ext uri="{FF2B5EF4-FFF2-40B4-BE49-F238E27FC236}">
              <a16:creationId xmlns:a16="http://schemas.microsoft.com/office/drawing/2014/main" xmlns="" id="{00000000-0008-0000-0200-0000D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33" name="Rectangle 447" descr="2">
          <a:extLst>
            <a:ext uri="{FF2B5EF4-FFF2-40B4-BE49-F238E27FC236}">
              <a16:creationId xmlns:a16="http://schemas.microsoft.com/office/drawing/2014/main" xmlns="" id="{00000000-0008-0000-0200-0000D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34" name="Rectangle 448" descr="2">
          <a:extLst>
            <a:ext uri="{FF2B5EF4-FFF2-40B4-BE49-F238E27FC236}">
              <a16:creationId xmlns:a16="http://schemas.microsoft.com/office/drawing/2014/main" xmlns="" id="{00000000-0008-0000-0200-0000D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35" name="Rectangle 449" descr="2">
          <a:extLst>
            <a:ext uri="{FF2B5EF4-FFF2-40B4-BE49-F238E27FC236}">
              <a16:creationId xmlns:a16="http://schemas.microsoft.com/office/drawing/2014/main" xmlns="" id="{00000000-0008-0000-0200-0000E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36" name="Rectangle 450" descr="2">
          <a:extLst>
            <a:ext uri="{FF2B5EF4-FFF2-40B4-BE49-F238E27FC236}">
              <a16:creationId xmlns:a16="http://schemas.microsoft.com/office/drawing/2014/main" xmlns="" id="{00000000-0008-0000-0200-0000E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37" name="Rectangle 451" descr="2">
          <a:extLst>
            <a:ext uri="{FF2B5EF4-FFF2-40B4-BE49-F238E27FC236}">
              <a16:creationId xmlns:a16="http://schemas.microsoft.com/office/drawing/2014/main" xmlns="" id="{00000000-0008-0000-0200-0000E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38" name="Rectangle 452" descr="2">
          <a:extLst>
            <a:ext uri="{FF2B5EF4-FFF2-40B4-BE49-F238E27FC236}">
              <a16:creationId xmlns:a16="http://schemas.microsoft.com/office/drawing/2014/main" xmlns="" id="{00000000-0008-0000-0200-0000E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39" name="Rectangle 453" descr="2">
          <a:extLst>
            <a:ext uri="{FF2B5EF4-FFF2-40B4-BE49-F238E27FC236}">
              <a16:creationId xmlns:a16="http://schemas.microsoft.com/office/drawing/2014/main" xmlns="" id="{00000000-0008-0000-0200-0000E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40" name="Rectangle 454" descr="2">
          <a:extLst>
            <a:ext uri="{FF2B5EF4-FFF2-40B4-BE49-F238E27FC236}">
              <a16:creationId xmlns:a16="http://schemas.microsoft.com/office/drawing/2014/main" xmlns="" id="{00000000-0008-0000-0200-0000E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41" name="Rectangle 455" descr="2">
          <a:extLst>
            <a:ext uri="{FF2B5EF4-FFF2-40B4-BE49-F238E27FC236}">
              <a16:creationId xmlns:a16="http://schemas.microsoft.com/office/drawing/2014/main" xmlns="" id="{00000000-0008-0000-0200-0000E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42" name="Rectangle 456" descr="2">
          <a:extLst>
            <a:ext uri="{FF2B5EF4-FFF2-40B4-BE49-F238E27FC236}">
              <a16:creationId xmlns:a16="http://schemas.microsoft.com/office/drawing/2014/main" xmlns="" id="{00000000-0008-0000-0200-0000E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43" name="Rectangle 457" descr="2">
          <a:extLst>
            <a:ext uri="{FF2B5EF4-FFF2-40B4-BE49-F238E27FC236}">
              <a16:creationId xmlns:a16="http://schemas.microsoft.com/office/drawing/2014/main" xmlns="" id="{00000000-0008-0000-0200-0000E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44" name="Rectangle 458" descr="1">
          <a:extLst>
            <a:ext uri="{FF2B5EF4-FFF2-40B4-BE49-F238E27FC236}">
              <a16:creationId xmlns:a16="http://schemas.microsoft.com/office/drawing/2014/main" xmlns="" id="{00000000-0008-0000-0200-0000E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45" name="Rectangle 444" descr="2">
          <a:extLst>
            <a:ext uri="{FF2B5EF4-FFF2-40B4-BE49-F238E27FC236}">
              <a16:creationId xmlns:a16="http://schemas.microsoft.com/office/drawing/2014/main" xmlns="" id="{00000000-0008-0000-0200-0000E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46" name="Rectangle 445" descr="2">
          <a:extLst>
            <a:ext uri="{FF2B5EF4-FFF2-40B4-BE49-F238E27FC236}">
              <a16:creationId xmlns:a16="http://schemas.microsoft.com/office/drawing/2014/main" xmlns="" id="{00000000-0008-0000-0200-0000E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47" name="Rectangle 446" descr="2">
          <a:extLst>
            <a:ext uri="{FF2B5EF4-FFF2-40B4-BE49-F238E27FC236}">
              <a16:creationId xmlns:a16="http://schemas.microsoft.com/office/drawing/2014/main" xmlns="" id="{00000000-0008-0000-0200-0000E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48" name="Rectangle 447" descr="2">
          <a:extLst>
            <a:ext uri="{FF2B5EF4-FFF2-40B4-BE49-F238E27FC236}">
              <a16:creationId xmlns:a16="http://schemas.microsoft.com/office/drawing/2014/main" xmlns="" id="{00000000-0008-0000-0200-0000E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49" name="Rectangle 448" descr="2">
          <a:extLst>
            <a:ext uri="{FF2B5EF4-FFF2-40B4-BE49-F238E27FC236}">
              <a16:creationId xmlns:a16="http://schemas.microsoft.com/office/drawing/2014/main" xmlns="" id="{00000000-0008-0000-0200-0000E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50" name="Rectangle 449" descr="2">
          <a:extLst>
            <a:ext uri="{FF2B5EF4-FFF2-40B4-BE49-F238E27FC236}">
              <a16:creationId xmlns:a16="http://schemas.microsoft.com/office/drawing/2014/main" xmlns="" id="{00000000-0008-0000-0200-0000E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51" name="Rectangle 450" descr="2">
          <a:extLst>
            <a:ext uri="{FF2B5EF4-FFF2-40B4-BE49-F238E27FC236}">
              <a16:creationId xmlns:a16="http://schemas.microsoft.com/office/drawing/2014/main" xmlns="" id="{00000000-0008-0000-0200-0000F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52" name="Rectangle 451" descr="2">
          <a:extLst>
            <a:ext uri="{FF2B5EF4-FFF2-40B4-BE49-F238E27FC236}">
              <a16:creationId xmlns:a16="http://schemas.microsoft.com/office/drawing/2014/main" xmlns="" id="{00000000-0008-0000-0200-0000F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53" name="Rectangle 452" descr="2">
          <a:extLst>
            <a:ext uri="{FF2B5EF4-FFF2-40B4-BE49-F238E27FC236}">
              <a16:creationId xmlns:a16="http://schemas.microsoft.com/office/drawing/2014/main" xmlns="" id="{00000000-0008-0000-0200-0000F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54" name="Rectangle 453" descr="2">
          <a:extLst>
            <a:ext uri="{FF2B5EF4-FFF2-40B4-BE49-F238E27FC236}">
              <a16:creationId xmlns:a16="http://schemas.microsoft.com/office/drawing/2014/main" xmlns="" id="{00000000-0008-0000-0200-0000F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55" name="Rectangle 454" descr="2">
          <a:extLst>
            <a:ext uri="{FF2B5EF4-FFF2-40B4-BE49-F238E27FC236}">
              <a16:creationId xmlns:a16="http://schemas.microsoft.com/office/drawing/2014/main" xmlns="" id="{00000000-0008-0000-0200-0000F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56" name="Rectangle 455" descr="2">
          <a:extLst>
            <a:ext uri="{FF2B5EF4-FFF2-40B4-BE49-F238E27FC236}">
              <a16:creationId xmlns:a16="http://schemas.microsoft.com/office/drawing/2014/main" xmlns="" id="{00000000-0008-0000-0200-0000F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57" name="Rectangle 456" descr="2">
          <a:extLst>
            <a:ext uri="{FF2B5EF4-FFF2-40B4-BE49-F238E27FC236}">
              <a16:creationId xmlns:a16="http://schemas.microsoft.com/office/drawing/2014/main" xmlns="" id="{00000000-0008-0000-0200-0000F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58" name="Rectangle 457" descr="2">
          <a:extLst>
            <a:ext uri="{FF2B5EF4-FFF2-40B4-BE49-F238E27FC236}">
              <a16:creationId xmlns:a16="http://schemas.microsoft.com/office/drawing/2014/main" xmlns="" id="{00000000-0008-0000-0200-0000F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59" name="Rectangle 458" descr="1">
          <a:extLst>
            <a:ext uri="{FF2B5EF4-FFF2-40B4-BE49-F238E27FC236}">
              <a16:creationId xmlns:a16="http://schemas.microsoft.com/office/drawing/2014/main" xmlns="" id="{00000000-0008-0000-0200-0000F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60" name="Rectangle 444" descr="2">
          <a:extLst>
            <a:ext uri="{FF2B5EF4-FFF2-40B4-BE49-F238E27FC236}">
              <a16:creationId xmlns:a16="http://schemas.microsoft.com/office/drawing/2014/main" xmlns="" id="{00000000-0008-0000-0200-0000F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61" name="Rectangle 445" descr="2">
          <a:extLst>
            <a:ext uri="{FF2B5EF4-FFF2-40B4-BE49-F238E27FC236}">
              <a16:creationId xmlns:a16="http://schemas.microsoft.com/office/drawing/2014/main" xmlns="" id="{00000000-0008-0000-0200-0000F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62" name="Rectangle 446" descr="2">
          <a:extLst>
            <a:ext uri="{FF2B5EF4-FFF2-40B4-BE49-F238E27FC236}">
              <a16:creationId xmlns:a16="http://schemas.microsoft.com/office/drawing/2014/main" xmlns="" id="{00000000-0008-0000-0200-0000F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63" name="Rectangle 447" descr="2">
          <a:extLst>
            <a:ext uri="{FF2B5EF4-FFF2-40B4-BE49-F238E27FC236}">
              <a16:creationId xmlns:a16="http://schemas.microsoft.com/office/drawing/2014/main" xmlns="" id="{00000000-0008-0000-0200-0000F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64" name="Rectangle 448" descr="2">
          <a:extLst>
            <a:ext uri="{FF2B5EF4-FFF2-40B4-BE49-F238E27FC236}">
              <a16:creationId xmlns:a16="http://schemas.microsoft.com/office/drawing/2014/main" xmlns="" id="{00000000-0008-0000-0200-0000F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65" name="Rectangle 449" descr="2">
          <a:extLst>
            <a:ext uri="{FF2B5EF4-FFF2-40B4-BE49-F238E27FC236}">
              <a16:creationId xmlns:a16="http://schemas.microsoft.com/office/drawing/2014/main" xmlns="" id="{00000000-0008-0000-0200-0000F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66" name="Rectangle 450" descr="2">
          <a:extLst>
            <a:ext uri="{FF2B5EF4-FFF2-40B4-BE49-F238E27FC236}">
              <a16:creationId xmlns:a16="http://schemas.microsoft.com/office/drawing/2014/main" xmlns="" id="{00000000-0008-0000-0200-0000F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67" name="Rectangle 451" descr="2">
          <a:extLst>
            <a:ext uri="{FF2B5EF4-FFF2-40B4-BE49-F238E27FC236}">
              <a16:creationId xmlns:a16="http://schemas.microsoft.com/office/drawing/2014/main" xmlns="" id="{00000000-0008-0000-0200-00000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68" name="Rectangle 452" descr="2">
          <a:extLst>
            <a:ext uri="{FF2B5EF4-FFF2-40B4-BE49-F238E27FC236}">
              <a16:creationId xmlns:a16="http://schemas.microsoft.com/office/drawing/2014/main" xmlns="" id="{00000000-0008-0000-0200-00000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69" name="Rectangle 453" descr="2">
          <a:extLst>
            <a:ext uri="{FF2B5EF4-FFF2-40B4-BE49-F238E27FC236}">
              <a16:creationId xmlns:a16="http://schemas.microsoft.com/office/drawing/2014/main" xmlns="" id="{00000000-0008-0000-0200-00000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70" name="Rectangle 454" descr="2">
          <a:extLst>
            <a:ext uri="{FF2B5EF4-FFF2-40B4-BE49-F238E27FC236}">
              <a16:creationId xmlns:a16="http://schemas.microsoft.com/office/drawing/2014/main" xmlns="" id="{00000000-0008-0000-0200-00000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71" name="Rectangle 455" descr="2">
          <a:extLst>
            <a:ext uri="{FF2B5EF4-FFF2-40B4-BE49-F238E27FC236}">
              <a16:creationId xmlns:a16="http://schemas.microsoft.com/office/drawing/2014/main" xmlns="" id="{00000000-0008-0000-0200-00000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72" name="Rectangle 456" descr="2">
          <a:extLst>
            <a:ext uri="{FF2B5EF4-FFF2-40B4-BE49-F238E27FC236}">
              <a16:creationId xmlns:a16="http://schemas.microsoft.com/office/drawing/2014/main" xmlns="" id="{00000000-0008-0000-0200-00000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73" name="Rectangle 457" descr="2">
          <a:extLst>
            <a:ext uri="{FF2B5EF4-FFF2-40B4-BE49-F238E27FC236}">
              <a16:creationId xmlns:a16="http://schemas.microsoft.com/office/drawing/2014/main" xmlns="" id="{00000000-0008-0000-0200-00000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74" name="Rectangle 458" descr="1">
          <a:extLst>
            <a:ext uri="{FF2B5EF4-FFF2-40B4-BE49-F238E27FC236}">
              <a16:creationId xmlns:a16="http://schemas.microsoft.com/office/drawing/2014/main" xmlns="" id="{00000000-0008-0000-0200-00000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75" name="Rectangle 444" descr="2">
          <a:extLst>
            <a:ext uri="{FF2B5EF4-FFF2-40B4-BE49-F238E27FC236}">
              <a16:creationId xmlns:a16="http://schemas.microsoft.com/office/drawing/2014/main" xmlns="" id="{00000000-0008-0000-0200-00000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76" name="Rectangle 445" descr="2">
          <a:extLst>
            <a:ext uri="{FF2B5EF4-FFF2-40B4-BE49-F238E27FC236}">
              <a16:creationId xmlns:a16="http://schemas.microsoft.com/office/drawing/2014/main" xmlns="" id="{00000000-0008-0000-0200-00000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77" name="Rectangle 446" descr="2">
          <a:extLst>
            <a:ext uri="{FF2B5EF4-FFF2-40B4-BE49-F238E27FC236}">
              <a16:creationId xmlns:a16="http://schemas.microsoft.com/office/drawing/2014/main" xmlns="" id="{00000000-0008-0000-0200-00000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78" name="Rectangle 447" descr="2">
          <a:extLst>
            <a:ext uri="{FF2B5EF4-FFF2-40B4-BE49-F238E27FC236}">
              <a16:creationId xmlns:a16="http://schemas.microsoft.com/office/drawing/2014/main" xmlns="" id="{00000000-0008-0000-0200-00000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79" name="Rectangle 448" descr="2">
          <a:extLst>
            <a:ext uri="{FF2B5EF4-FFF2-40B4-BE49-F238E27FC236}">
              <a16:creationId xmlns:a16="http://schemas.microsoft.com/office/drawing/2014/main" xmlns="" id="{00000000-0008-0000-0200-00000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80" name="Rectangle 449" descr="2">
          <a:extLst>
            <a:ext uri="{FF2B5EF4-FFF2-40B4-BE49-F238E27FC236}">
              <a16:creationId xmlns:a16="http://schemas.microsoft.com/office/drawing/2014/main" xmlns="" id="{00000000-0008-0000-0200-00000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81" name="Rectangle 450" descr="2">
          <a:extLst>
            <a:ext uri="{FF2B5EF4-FFF2-40B4-BE49-F238E27FC236}">
              <a16:creationId xmlns:a16="http://schemas.microsoft.com/office/drawing/2014/main" xmlns="" id="{00000000-0008-0000-0200-00000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82" name="Rectangle 451" descr="2">
          <a:extLst>
            <a:ext uri="{FF2B5EF4-FFF2-40B4-BE49-F238E27FC236}">
              <a16:creationId xmlns:a16="http://schemas.microsoft.com/office/drawing/2014/main" xmlns="" id="{00000000-0008-0000-0200-00000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83" name="Rectangle 452" descr="2">
          <a:extLst>
            <a:ext uri="{FF2B5EF4-FFF2-40B4-BE49-F238E27FC236}">
              <a16:creationId xmlns:a16="http://schemas.microsoft.com/office/drawing/2014/main" xmlns="" id="{00000000-0008-0000-0200-00001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84" name="Rectangle 453" descr="2">
          <a:extLst>
            <a:ext uri="{FF2B5EF4-FFF2-40B4-BE49-F238E27FC236}">
              <a16:creationId xmlns:a16="http://schemas.microsoft.com/office/drawing/2014/main" xmlns="" id="{00000000-0008-0000-0200-00001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85" name="Rectangle 454" descr="2">
          <a:extLst>
            <a:ext uri="{FF2B5EF4-FFF2-40B4-BE49-F238E27FC236}">
              <a16:creationId xmlns:a16="http://schemas.microsoft.com/office/drawing/2014/main" xmlns="" id="{00000000-0008-0000-0200-00001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86" name="Rectangle 455" descr="2">
          <a:extLst>
            <a:ext uri="{FF2B5EF4-FFF2-40B4-BE49-F238E27FC236}">
              <a16:creationId xmlns:a16="http://schemas.microsoft.com/office/drawing/2014/main" xmlns="" id="{00000000-0008-0000-0200-00001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87" name="Rectangle 456" descr="2">
          <a:extLst>
            <a:ext uri="{FF2B5EF4-FFF2-40B4-BE49-F238E27FC236}">
              <a16:creationId xmlns:a16="http://schemas.microsoft.com/office/drawing/2014/main" xmlns="" id="{00000000-0008-0000-0200-00001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88" name="Rectangle 457" descr="2">
          <a:extLst>
            <a:ext uri="{FF2B5EF4-FFF2-40B4-BE49-F238E27FC236}">
              <a16:creationId xmlns:a16="http://schemas.microsoft.com/office/drawing/2014/main" xmlns="" id="{00000000-0008-0000-0200-00001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89" name="Rectangle 458" descr="1">
          <a:extLst>
            <a:ext uri="{FF2B5EF4-FFF2-40B4-BE49-F238E27FC236}">
              <a16:creationId xmlns:a16="http://schemas.microsoft.com/office/drawing/2014/main" xmlns="" id="{00000000-0008-0000-0200-00001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90" name="Rectangle 444" descr="2">
          <a:extLst>
            <a:ext uri="{FF2B5EF4-FFF2-40B4-BE49-F238E27FC236}">
              <a16:creationId xmlns:a16="http://schemas.microsoft.com/office/drawing/2014/main" xmlns="" id="{00000000-0008-0000-0200-00001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91" name="Rectangle 445" descr="2">
          <a:extLst>
            <a:ext uri="{FF2B5EF4-FFF2-40B4-BE49-F238E27FC236}">
              <a16:creationId xmlns:a16="http://schemas.microsoft.com/office/drawing/2014/main" xmlns="" id="{00000000-0008-0000-0200-00001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92" name="Rectangle 446" descr="2">
          <a:extLst>
            <a:ext uri="{FF2B5EF4-FFF2-40B4-BE49-F238E27FC236}">
              <a16:creationId xmlns:a16="http://schemas.microsoft.com/office/drawing/2014/main" xmlns="" id="{00000000-0008-0000-0200-00001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93" name="Rectangle 447" descr="2">
          <a:extLst>
            <a:ext uri="{FF2B5EF4-FFF2-40B4-BE49-F238E27FC236}">
              <a16:creationId xmlns:a16="http://schemas.microsoft.com/office/drawing/2014/main" xmlns="" id="{00000000-0008-0000-0200-00001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94" name="Rectangle 448" descr="2">
          <a:extLst>
            <a:ext uri="{FF2B5EF4-FFF2-40B4-BE49-F238E27FC236}">
              <a16:creationId xmlns:a16="http://schemas.microsoft.com/office/drawing/2014/main" xmlns="" id="{00000000-0008-0000-0200-00001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95" name="Rectangle 449" descr="2">
          <a:extLst>
            <a:ext uri="{FF2B5EF4-FFF2-40B4-BE49-F238E27FC236}">
              <a16:creationId xmlns:a16="http://schemas.microsoft.com/office/drawing/2014/main" xmlns="" id="{00000000-0008-0000-0200-00001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96" name="Rectangle 450" descr="2">
          <a:extLst>
            <a:ext uri="{FF2B5EF4-FFF2-40B4-BE49-F238E27FC236}">
              <a16:creationId xmlns:a16="http://schemas.microsoft.com/office/drawing/2014/main" xmlns="" id="{00000000-0008-0000-0200-00001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97" name="Rectangle 451" descr="2">
          <a:extLst>
            <a:ext uri="{FF2B5EF4-FFF2-40B4-BE49-F238E27FC236}">
              <a16:creationId xmlns:a16="http://schemas.microsoft.com/office/drawing/2014/main" xmlns="" id="{00000000-0008-0000-0200-00001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98" name="Rectangle 452" descr="2">
          <a:extLst>
            <a:ext uri="{FF2B5EF4-FFF2-40B4-BE49-F238E27FC236}">
              <a16:creationId xmlns:a16="http://schemas.microsoft.com/office/drawing/2014/main" xmlns="" id="{00000000-0008-0000-0200-00001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799" name="Rectangle 453" descr="2">
          <a:extLst>
            <a:ext uri="{FF2B5EF4-FFF2-40B4-BE49-F238E27FC236}">
              <a16:creationId xmlns:a16="http://schemas.microsoft.com/office/drawing/2014/main" xmlns="" id="{00000000-0008-0000-0200-00002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00" name="Rectangle 454" descr="2">
          <a:extLst>
            <a:ext uri="{FF2B5EF4-FFF2-40B4-BE49-F238E27FC236}">
              <a16:creationId xmlns:a16="http://schemas.microsoft.com/office/drawing/2014/main" xmlns="" id="{00000000-0008-0000-0200-00002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01" name="Rectangle 455" descr="2">
          <a:extLst>
            <a:ext uri="{FF2B5EF4-FFF2-40B4-BE49-F238E27FC236}">
              <a16:creationId xmlns:a16="http://schemas.microsoft.com/office/drawing/2014/main" xmlns="" id="{00000000-0008-0000-0200-00002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02" name="Rectangle 456" descr="2">
          <a:extLst>
            <a:ext uri="{FF2B5EF4-FFF2-40B4-BE49-F238E27FC236}">
              <a16:creationId xmlns:a16="http://schemas.microsoft.com/office/drawing/2014/main" xmlns="" id="{00000000-0008-0000-0200-00002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03" name="Rectangle 457" descr="2">
          <a:extLst>
            <a:ext uri="{FF2B5EF4-FFF2-40B4-BE49-F238E27FC236}">
              <a16:creationId xmlns:a16="http://schemas.microsoft.com/office/drawing/2014/main" xmlns="" id="{00000000-0008-0000-0200-00002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04" name="Rectangle 458" descr="1">
          <a:extLst>
            <a:ext uri="{FF2B5EF4-FFF2-40B4-BE49-F238E27FC236}">
              <a16:creationId xmlns:a16="http://schemas.microsoft.com/office/drawing/2014/main" xmlns="" id="{00000000-0008-0000-0200-00002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05" name="Rectangle 444" descr="2">
          <a:extLst>
            <a:ext uri="{FF2B5EF4-FFF2-40B4-BE49-F238E27FC236}">
              <a16:creationId xmlns:a16="http://schemas.microsoft.com/office/drawing/2014/main" xmlns="" id="{00000000-0008-0000-0200-00002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06" name="Rectangle 445" descr="2">
          <a:extLst>
            <a:ext uri="{FF2B5EF4-FFF2-40B4-BE49-F238E27FC236}">
              <a16:creationId xmlns:a16="http://schemas.microsoft.com/office/drawing/2014/main" xmlns="" id="{00000000-0008-0000-0200-00002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07" name="Rectangle 446" descr="2">
          <a:extLst>
            <a:ext uri="{FF2B5EF4-FFF2-40B4-BE49-F238E27FC236}">
              <a16:creationId xmlns:a16="http://schemas.microsoft.com/office/drawing/2014/main" xmlns="" id="{00000000-0008-0000-0200-00002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08" name="Rectangle 447" descr="2">
          <a:extLst>
            <a:ext uri="{FF2B5EF4-FFF2-40B4-BE49-F238E27FC236}">
              <a16:creationId xmlns:a16="http://schemas.microsoft.com/office/drawing/2014/main" xmlns="" id="{00000000-0008-0000-0200-00002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09" name="Rectangle 448" descr="2">
          <a:extLst>
            <a:ext uri="{FF2B5EF4-FFF2-40B4-BE49-F238E27FC236}">
              <a16:creationId xmlns:a16="http://schemas.microsoft.com/office/drawing/2014/main" xmlns="" id="{00000000-0008-0000-0200-00002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10" name="Rectangle 449" descr="2">
          <a:extLst>
            <a:ext uri="{FF2B5EF4-FFF2-40B4-BE49-F238E27FC236}">
              <a16:creationId xmlns:a16="http://schemas.microsoft.com/office/drawing/2014/main" xmlns="" id="{00000000-0008-0000-0200-00002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11" name="Rectangle 450" descr="2">
          <a:extLst>
            <a:ext uri="{FF2B5EF4-FFF2-40B4-BE49-F238E27FC236}">
              <a16:creationId xmlns:a16="http://schemas.microsoft.com/office/drawing/2014/main" xmlns="" id="{00000000-0008-0000-0200-00002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12" name="Rectangle 451" descr="2">
          <a:extLst>
            <a:ext uri="{FF2B5EF4-FFF2-40B4-BE49-F238E27FC236}">
              <a16:creationId xmlns:a16="http://schemas.microsoft.com/office/drawing/2014/main" xmlns="" id="{00000000-0008-0000-0200-00002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13" name="Rectangle 452" descr="2">
          <a:extLst>
            <a:ext uri="{FF2B5EF4-FFF2-40B4-BE49-F238E27FC236}">
              <a16:creationId xmlns:a16="http://schemas.microsoft.com/office/drawing/2014/main" xmlns="" id="{00000000-0008-0000-0200-00002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14" name="Rectangle 453" descr="2">
          <a:extLst>
            <a:ext uri="{FF2B5EF4-FFF2-40B4-BE49-F238E27FC236}">
              <a16:creationId xmlns:a16="http://schemas.microsoft.com/office/drawing/2014/main" xmlns="" id="{00000000-0008-0000-0200-00002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15" name="Rectangle 454" descr="2">
          <a:extLst>
            <a:ext uri="{FF2B5EF4-FFF2-40B4-BE49-F238E27FC236}">
              <a16:creationId xmlns:a16="http://schemas.microsoft.com/office/drawing/2014/main" xmlns="" id="{00000000-0008-0000-0200-00003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16" name="Rectangle 455" descr="2">
          <a:extLst>
            <a:ext uri="{FF2B5EF4-FFF2-40B4-BE49-F238E27FC236}">
              <a16:creationId xmlns:a16="http://schemas.microsoft.com/office/drawing/2014/main" xmlns="" id="{00000000-0008-0000-0200-00003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17" name="Rectangle 456" descr="2">
          <a:extLst>
            <a:ext uri="{FF2B5EF4-FFF2-40B4-BE49-F238E27FC236}">
              <a16:creationId xmlns:a16="http://schemas.microsoft.com/office/drawing/2014/main" xmlns="" id="{00000000-0008-0000-0200-00003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18" name="Rectangle 457" descr="2">
          <a:extLst>
            <a:ext uri="{FF2B5EF4-FFF2-40B4-BE49-F238E27FC236}">
              <a16:creationId xmlns:a16="http://schemas.microsoft.com/office/drawing/2014/main" xmlns="" id="{00000000-0008-0000-0200-00003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19" name="Rectangle 458" descr="1">
          <a:extLst>
            <a:ext uri="{FF2B5EF4-FFF2-40B4-BE49-F238E27FC236}">
              <a16:creationId xmlns:a16="http://schemas.microsoft.com/office/drawing/2014/main" xmlns="" id="{00000000-0008-0000-0200-00003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20" name="Rectangle 444" descr="2">
          <a:extLst>
            <a:ext uri="{FF2B5EF4-FFF2-40B4-BE49-F238E27FC236}">
              <a16:creationId xmlns:a16="http://schemas.microsoft.com/office/drawing/2014/main" xmlns="" id="{00000000-0008-0000-0200-00003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21" name="Rectangle 445" descr="2">
          <a:extLst>
            <a:ext uri="{FF2B5EF4-FFF2-40B4-BE49-F238E27FC236}">
              <a16:creationId xmlns:a16="http://schemas.microsoft.com/office/drawing/2014/main" xmlns="" id="{00000000-0008-0000-0200-00003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22" name="Rectangle 446" descr="2">
          <a:extLst>
            <a:ext uri="{FF2B5EF4-FFF2-40B4-BE49-F238E27FC236}">
              <a16:creationId xmlns:a16="http://schemas.microsoft.com/office/drawing/2014/main" xmlns="" id="{00000000-0008-0000-0200-00003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23" name="Rectangle 447" descr="2">
          <a:extLst>
            <a:ext uri="{FF2B5EF4-FFF2-40B4-BE49-F238E27FC236}">
              <a16:creationId xmlns:a16="http://schemas.microsoft.com/office/drawing/2014/main" xmlns="" id="{00000000-0008-0000-0200-00003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24" name="Rectangle 448" descr="2">
          <a:extLst>
            <a:ext uri="{FF2B5EF4-FFF2-40B4-BE49-F238E27FC236}">
              <a16:creationId xmlns:a16="http://schemas.microsoft.com/office/drawing/2014/main" xmlns="" id="{00000000-0008-0000-0200-00003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25" name="Rectangle 449" descr="2">
          <a:extLst>
            <a:ext uri="{FF2B5EF4-FFF2-40B4-BE49-F238E27FC236}">
              <a16:creationId xmlns:a16="http://schemas.microsoft.com/office/drawing/2014/main" xmlns="" id="{00000000-0008-0000-0200-00003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26" name="Rectangle 450" descr="2">
          <a:extLst>
            <a:ext uri="{FF2B5EF4-FFF2-40B4-BE49-F238E27FC236}">
              <a16:creationId xmlns:a16="http://schemas.microsoft.com/office/drawing/2014/main" xmlns="" id="{00000000-0008-0000-0200-00003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27" name="Rectangle 451" descr="2">
          <a:extLst>
            <a:ext uri="{FF2B5EF4-FFF2-40B4-BE49-F238E27FC236}">
              <a16:creationId xmlns:a16="http://schemas.microsoft.com/office/drawing/2014/main" xmlns="" id="{00000000-0008-0000-0200-00003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28" name="Rectangle 452" descr="2">
          <a:extLst>
            <a:ext uri="{FF2B5EF4-FFF2-40B4-BE49-F238E27FC236}">
              <a16:creationId xmlns:a16="http://schemas.microsoft.com/office/drawing/2014/main" xmlns="" id="{00000000-0008-0000-0200-00003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29" name="Rectangle 453" descr="2">
          <a:extLst>
            <a:ext uri="{FF2B5EF4-FFF2-40B4-BE49-F238E27FC236}">
              <a16:creationId xmlns:a16="http://schemas.microsoft.com/office/drawing/2014/main" xmlns="" id="{00000000-0008-0000-0200-00003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30" name="Rectangle 454" descr="2">
          <a:extLst>
            <a:ext uri="{FF2B5EF4-FFF2-40B4-BE49-F238E27FC236}">
              <a16:creationId xmlns:a16="http://schemas.microsoft.com/office/drawing/2014/main" xmlns="" id="{00000000-0008-0000-0200-00003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31" name="Rectangle 455" descr="2">
          <a:extLst>
            <a:ext uri="{FF2B5EF4-FFF2-40B4-BE49-F238E27FC236}">
              <a16:creationId xmlns:a16="http://schemas.microsoft.com/office/drawing/2014/main" xmlns="" id="{00000000-0008-0000-0200-00004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32" name="Rectangle 456" descr="2">
          <a:extLst>
            <a:ext uri="{FF2B5EF4-FFF2-40B4-BE49-F238E27FC236}">
              <a16:creationId xmlns:a16="http://schemas.microsoft.com/office/drawing/2014/main" xmlns="" id="{00000000-0008-0000-0200-00004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33" name="Rectangle 457" descr="2">
          <a:extLst>
            <a:ext uri="{FF2B5EF4-FFF2-40B4-BE49-F238E27FC236}">
              <a16:creationId xmlns:a16="http://schemas.microsoft.com/office/drawing/2014/main" xmlns="" id="{00000000-0008-0000-0200-00004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34" name="Rectangle 458" descr="1">
          <a:extLst>
            <a:ext uri="{FF2B5EF4-FFF2-40B4-BE49-F238E27FC236}">
              <a16:creationId xmlns:a16="http://schemas.microsoft.com/office/drawing/2014/main" xmlns="" id="{00000000-0008-0000-0200-00004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35" name="Rectangle 444" descr="2">
          <a:extLst>
            <a:ext uri="{FF2B5EF4-FFF2-40B4-BE49-F238E27FC236}">
              <a16:creationId xmlns:a16="http://schemas.microsoft.com/office/drawing/2014/main" xmlns="" id="{00000000-0008-0000-0200-00004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36" name="Rectangle 445" descr="2">
          <a:extLst>
            <a:ext uri="{FF2B5EF4-FFF2-40B4-BE49-F238E27FC236}">
              <a16:creationId xmlns:a16="http://schemas.microsoft.com/office/drawing/2014/main" xmlns="" id="{00000000-0008-0000-0200-00004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37" name="Rectangle 446" descr="2">
          <a:extLst>
            <a:ext uri="{FF2B5EF4-FFF2-40B4-BE49-F238E27FC236}">
              <a16:creationId xmlns:a16="http://schemas.microsoft.com/office/drawing/2014/main" xmlns="" id="{00000000-0008-0000-0200-00004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38" name="Rectangle 447" descr="2">
          <a:extLst>
            <a:ext uri="{FF2B5EF4-FFF2-40B4-BE49-F238E27FC236}">
              <a16:creationId xmlns:a16="http://schemas.microsoft.com/office/drawing/2014/main" xmlns="" id="{00000000-0008-0000-0200-00004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39" name="Rectangle 448" descr="2">
          <a:extLst>
            <a:ext uri="{FF2B5EF4-FFF2-40B4-BE49-F238E27FC236}">
              <a16:creationId xmlns:a16="http://schemas.microsoft.com/office/drawing/2014/main" xmlns="" id="{00000000-0008-0000-0200-00004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40" name="Rectangle 449" descr="2">
          <a:extLst>
            <a:ext uri="{FF2B5EF4-FFF2-40B4-BE49-F238E27FC236}">
              <a16:creationId xmlns:a16="http://schemas.microsoft.com/office/drawing/2014/main" xmlns="" id="{00000000-0008-0000-0200-00004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41" name="Rectangle 450" descr="2">
          <a:extLst>
            <a:ext uri="{FF2B5EF4-FFF2-40B4-BE49-F238E27FC236}">
              <a16:creationId xmlns:a16="http://schemas.microsoft.com/office/drawing/2014/main" xmlns="" id="{00000000-0008-0000-0200-00004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42" name="Rectangle 451" descr="2">
          <a:extLst>
            <a:ext uri="{FF2B5EF4-FFF2-40B4-BE49-F238E27FC236}">
              <a16:creationId xmlns:a16="http://schemas.microsoft.com/office/drawing/2014/main" xmlns="" id="{00000000-0008-0000-0200-00004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43" name="Rectangle 452" descr="2">
          <a:extLst>
            <a:ext uri="{FF2B5EF4-FFF2-40B4-BE49-F238E27FC236}">
              <a16:creationId xmlns:a16="http://schemas.microsoft.com/office/drawing/2014/main" xmlns="" id="{00000000-0008-0000-0200-00004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44" name="Rectangle 453" descr="2">
          <a:extLst>
            <a:ext uri="{FF2B5EF4-FFF2-40B4-BE49-F238E27FC236}">
              <a16:creationId xmlns:a16="http://schemas.microsoft.com/office/drawing/2014/main" xmlns="" id="{00000000-0008-0000-0200-00004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45" name="Rectangle 454" descr="2">
          <a:extLst>
            <a:ext uri="{FF2B5EF4-FFF2-40B4-BE49-F238E27FC236}">
              <a16:creationId xmlns:a16="http://schemas.microsoft.com/office/drawing/2014/main" xmlns="" id="{00000000-0008-0000-0200-00004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46" name="Rectangle 455" descr="2">
          <a:extLst>
            <a:ext uri="{FF2B5EF4-FFF2-40B4-BE49-F238E27FC236}">
              <a16:creationId xmlns:a16="http://schemas.microsoft.com/office/drawing/2014/main" xmlns="" id="{00000000-0008-0000-0200-00004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47" name="Rectangle 456" descr="2">
          <a:extLst>
            <a:ext uri="{FF2B5EF4-FFF2-40B4-BE49-F238E27FC236}">
              <a16:creationId xmlns:a16="http://schemas.microsoft.com/office/drawing/2014/main" xmlns="" id="{00000000-0008-0000-0200-00005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48" name="Rectangle 457" descr="2">
          <a:extLst>
            <a:ext uri="{FF2B5EF4-FFF2-40B4-BE49-F238E27FC236}">
              <a16:creationId xmlns:a16="http://schemas.microsoft.com/office/drawing/2014/main" xmlns="" id="{00000000-0008-0000-0200-00005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49" name="Rectangle 458" descr="1">
          <a:extLst>
            <a:ext uri="{FF2B5EF4-FFF2-40B4-BE49-F238E27FC236}">
              <a16:creationId xmlns:a16="http://schemas.microsoft.com/office/drawing/2014/main" xmlns="" id="{00000000-0008-0000-0200-00005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50" name="Rectangle 444" descr="2">
          <a:extLst>
            <a:ext uri="{FF2B5EF4-FFF2-40B4-BE49-F238E27FC236}">
              <a16:creationId xmlns:a16="http://schemas.microsoft.com/office/drawing/2014/main" xmlns="" id="{00000000-0008-0000-0200-00005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51" name="Rectangle 445" descr="2">
          <a:extLst>
            <a:ext uri="{FF2B5EF4-FFF2-40B4-BE49-F238E27FC236}">
              <a16:creationId xmlns:a16="http://schemas.microsoft.com/office/drawing/2014/main" xmlns="" id="{00000000-0008-0000-0200-00005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52" name="Rectangle 446" descr="2">
          <a:extLst>
            <a:ext uri="{FF2B5EF4-FFF2-40B4-BE49-F238E27FC236}">
              <a16:creationId xmlns:a16="http://schemas.microsoft.com/office/drawing/2014/main" xmlns="" id="{00000000-0008-0000-0200-00005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53" name="Rectangle 447" descr="2">
          <a:extLst>
            <a:ext uri="{FF2B5EF4-FFF2-40B4-BE49-F238E27FC236}">
              <a16:creationId xmlns:a16="http://schemas.microsoft.com/office/drawing/2014/main" xmlns="" id="{00000000-0008-0000-0200-00005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54" name="Rectangle 448" descr="2">
          <a:extLst>
            <a:ext uri="{FF2B5EF4-FFF2-40B4-BE49-F238E27FC236}">
              <a16:creationId xmlns:a16="http://schemas.microsoft.com/office/drawing/2014/main" xmlns="" id="{00000000-0008-0000-0200-00005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55" name="Rectangle 449" descr="2">
          <a:extLst>
            <a:ext uri="{FF2B5EF4-FFF2-40B4-BE49-F238E27FC236}">
              <a16:creationId xmlns:a16="http://schemas.microsoft.com/office/drawing/2014/main" xmlns="" id="{00000000-0008-0000-0200-00005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56" name="Rectangle 450" descr="2">
          <a:extLst>
            <a:ext uri="{FF2B5EF4-FFF2-40B4-BE49-F238E27FC236}">
              <a16:creationId xmlns:a16="http://schemas.microsoft.com/office/drawing/2014/main" xmlns="" id="{00000000-0008-0000-0200-00005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57" name="Rectangle 451" descr="2">
          <a:extLst>
            <a:ext uri="{FF2B5EF4-FFF2-40B4-BE49-F238E27FC236}">
              <a16:creationId xmlns:a16="http://schemas.microsoft.com/office/drawing/2014/main" xmlns="" id="{00000000-0008-0000-0200-00005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58" name="Rectangle 452" descr="2">
          <a:extLst>
            <a:ext uri="{FF2B5EF4-FFF2-40B4-BE49-F238E27FC236}">
              <a16:creationId xmlns:a16="http://schemas.microsoft.com/office/drawing/2014/main" xmlns="" id="{00000000-0008-0000-0200-00005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59" name="Rectangle 453" descr="2">
          <a:extLst>
            <a:ext uri="{FF2B5EF4-FFF2-40B4-BE49-F238E27FC236}">
              <a16:creationId xmlns:a16="http://schemas.microsoft.com/office/drawing/2014/main" xmlns="" id="{00000000-0008-0000-0200-00005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60" name="Rectangle 454" descr="2">
          <a:extLst>
            <a:ext uri="{FF2B5EF4-FFF2-40B4-BE49-F238E27FC236}">
              <a16:creationId xmlns:a16="http://schemas.microsoft.com/office/drawing/2014/main" xmlns="" id="{00000000-0008-0000-0200-00005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61" name="Rectangle 455" descr="2">
          <a:extLst>
            <a:ext uri="{FF2B5EF4-FFF2-40B4-BE49-F238E27FC236}">
              <a16:creationId xmlns:a16="http://schemas.microsoft.com/office/drawing/2014/main" xmlns="" id="{00000000-0008-0000-0200-00005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62" name="Rectangle 456" descr="2">
          <a:extLst>
            <a:ext uri="{FF2B5EF4-FFF2-40B4-BE49-F238E27FC236}">
              <a16:creationId xmlns:a16="http://schemas.microsoft.com/office/drawing/2014/main" xmlns="" id="{00000000-0008-0000-0200-00005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63" name="Rectangle 457" descr="2">
          <a:extLst>
            <a:ext uri="{FF2B5EF4-FFF2-40B4-BE49-F238E27FC236}">
              <a16:creationId xmlns:a16="http://schemas.microsoft.com/office/drawing/2014/main" xmlns="" id="{00000000-0008-0000-0200-00006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64" name="Rectangle 458" descr="1">
          <a:extLst>
            <a:ext uri="{FF2B5EF4-FFF2-40B4-BE49-F238E27FC236}">
              <a16:creationId xmlns:a16="http://schemas.microsoft.com/office/drawing/2014/main" xmlns="" id="{00000000-0008-0000-0200-00006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65" name="Rectangle 444" descr="2">
          <a:extLst>
            <a:ext uri="{FF2B5EF4-FFF2-40B4-BE49-F238E27FC236}">
              <a16:creationId xmlns:a16="http://schemas.microsoft.com/office/drawing/2014/main" xmlns="" id="{00000000-0008-0000-0200-00006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66" name="Rectangle 445" descr="2">
          <a:extLst>
            <a:ext uri="{FF2B5EF4-FFF2-40B4-BE49-F238E27FC236}">
              <a16:creationId xmlns:a16="http://schemas.microsoft.com/office/drawing/2014/main" xmlns="" id="{00000000-0008-0000-0200-00006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67" name="Rectangle 446" descr="2">
          <a:extLst>
            <a:ext uri="{FF2B5EF4-FFF2-40B4-BE49-F238E27FC236}">
              <a16:creationId xmlns:a16="http://schemas.microsoft.com/office/drawing/2014/main" xmlns="" id="{00000000-0008-0000-0200-00006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68" name="Rectangle 447" descr="2">
          <a:extLst>
            <a:ext uri="{FF2B5EF4-FFF2-40B4-BE49-F238E27FC236}">
              <a16:creationId xmlns:a16="http://schemas.microsoft.com/office/drawing/2014/main" xmlns="" id="{00000000-0008-0000-0200-00006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69" name="Rectangle 448" descr="2">
          <a:extLst>
            <a:ext uri="{FF2B5EF4-FFF2-40B4-BE49-F238E27FC236}">
              <a16:creationId xmlns:a16="http://schemas.microsoft.com/office/drawing/2014/main" xmlns="" id="{00000000-0008-0000-0200-00006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70" name="Rectangle 449" descr="2">
          <a:extLst>
            <a:ext uri="{FF2B5EF4-FFF2-40B4-BE49-F238E27FC236}">
              <a16:creationId xmlns:a16="http://schemas.microsoft.com/office/drawing/2014/main" xmlns="" id="{00000000-0008-0000-0200-00006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71" name="Rectangle 450" descr="2">
          <a:extLst>
            <a:ext uri="{FF2B5EF4-FFF2-40B4-BE49-F238E27FC236}">
              <a16:creationId xmlns:a16="http://schemas.microsoft.com/office/drawing/2014/main" xmlns="" id="{00000000-0008-0000-0200-00006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72" name="Rectangle 451" descr="2">
          <a:extLst>
            <a:ext uri="{FF2B5EF4-FFF2-40B4-BE49-F238E27FC236}">
              <a16:creationId xmlns:a16="http://schemas.microsoft.com/office/drawing/2014/main" xmlns="" id="{00000000-0008-0000-0200-00006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73" name="Rectangle 452" descr="2">
          <a:extLst>
            <a:ext uri="{FF2B5EF4-FFF2-40B4-BE49-F238E27FC236}">
              <a16:creationId xmlns:a16="http://schemas.microsoft.com/office/drawing/2014/main" xmlns="" id="{00000000-0008-0000-0200-00006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74" name="Rectangle 453" descr="2">
          <a:extLst>
            <a:ext uri="{FF2B5EF4-FFF2-40B4-BE49-F238E27FC236}">
              <a16:creationId xmlns:a16="http://schemas.microsoft.com/office/drawing/2014/main" xmlns="" id="{00000000-0008-0000-0200-00006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75" name="Rectangle 454" descr="2">
          <a:extLst>
            <a:ext uri="{FF2B5EF4-FFF2-40B4-BE49-F238E27FC236}">
              <a16:creationId xmlns:a16="http://schemas.microsoft.com/office/drawing/2014/main" xmlns="" id="{00000000-0008-0000-0200-00006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76" name="Rectangle 455" descr="2">
          <a:extLst>
            <a:ext uri="{FF2B5EF4-FFF2-40B4-BE49-F238E27FC236}">
              <a16:creationId xmlns:a16="http://schemas.microsoft.com/office/drawing/2014/main" xmlns="" id="{00000000-0008-0000-0200-00006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77" name="Rectangle 456" descr="2">
          <a:extLst>
            <a:ext uri="{FF2B5EF4-FFF2-40B4-BE49-F238E27FC236}">
              <a16:creationId xmlns:a16="http://schemas.microsoft.com/office/drawing/2014/main" xmlns="" id="{00000000-0008-0000-0200-00006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78" name="Rectangle 457" descr="2">
          <a:extLst>
            <a:ext uri="{FF2B5EF4-FFF2-40B4-BE49-F238E27FC236}">
              <a16:creationId xmlns:a16="http://schemas.microsoft.com/office/drawing/2014/main" xmlns="" id="{00000000-0008-0000-0200-00006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79" name="Rectangle 458" descr="1">
          <a:extLst>
            <a:ext uri="{FF2B5EF4-FFF2-40B4-BE49-F238E27FC236}">
              <a16:creationId xmlns:a16="http://schemas.microsoft.com/office/drawing/2014/main" xmlns="" id="{00000000-0008-0000-0200-00007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80" name="Rectangle 444" descr="2">
          <a:extLst>
            <a:ext uri="{FF2B5EF4-FFF2-40B4-BE49-F238E27FC236}">
              <a16:creationId xmlns:a16="http://schemas.microsoft.com/office/drawing/2014/main" xmlns="" id="{00000000-0008-0000-0200-00007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81" name="Rectangle 445" descr="2">
          <a:extLst>
            <a:ext uri="{FF2B5EF4-FFF2-40B4-BE49-F238E27FC236}">
              <a16:creationId xmlns:a16="http://schemas.microsoft.com/office/drawing/2014/main" xmlns="" id="{00000000-0008-0000-0200-00007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82" name="Rectangle 446" descr="2">
          <a:extLst>
            <a:ext uri="{FF2B5EF4-FFF2-40B4-BE49-F238E27FC236}">
              <a16:creationId xmlns:a16="http://schemas.microsoft.com/office/drawing/2014/main" xmlns="" id="{00000000-0008-0000-0200-00007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83" name="Rectangle 447" descr="2">
          <a:extLst>
            <a:ext uri="{FF2B5EF4-FFF2-40B4-BE49-F238E27FC236}">
              <a16:creationId xmlns:a16="http://schemas.microsoft.com/office/drawing/2014/main" xmlns="" id="{00000000-0008-0000-0200-00007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84" name="Rectangle 448" descr="2">
          <a:extLst>
            <a:ext uri="{FF2B5EF4-FFF2-40B4-BE49-F238E27FC236}">
              <a16:creationId xmlns:a16="http://schemas.microsoft.com/office/drawing/2014/main" xmlns="" id="{00000000-0008-0000-0200-00007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85" name="Rectangle 449" descr="2">
          <a:extLst>
            <a:ext uri="{FF2B5EF4-FFF2-40B4-BE49-F238E27FC236}">
              <a16:creationId xmlns:a16="http://schemas.microsoft.com/office/drawing/2014/main" xmlns="" id="{00000000-0008-0000-0200-00007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86" name="Rectangle 450" descr="2">
          <a:extLst>
            <a:ext uri="{FF2B5EF4-FFF2-40B4-BE49-F238E27FC236}">
              <a16:creationId xmlns:a16="http://schemas.microsoft.com/office/drawing/2014/main" xmlns="" id="{00000000-0008-0000-0200-00007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87" name="Rectangle 451" descr="2">
          <a:extLst>
            <a:ext uri="{FF2B5EF4-FFF2-40B4-BE49-F238E27FC236}">
              <a16:creationId xmlns:a16="http://schemas.microsoft.com/office/drawing/2014/main" xmlns="" id="{00000000-0008-0000-0200-00007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88" name="Rectangle 452" descr="2">
          <a:extLst>
            <a:ext uri="{FF2B5EF4-FFF2-40B4-BE49-F238E27FC236}">
              <a16:creationId xmlns:a16="http://schemas.microsoft.com/office/drawing/2014/main" xmlns="" id="{00000000-0008-0000-0200-00007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89" name="Rectangle 453" descr="2">
          <a:extLst>
            <a:ext uri="{FF2B5EF4-FFF2-40B4-BE49-F238E27FC236}">
              <a16:creationId xmlns:a16="http://schemas.microsoft.com/office/drawing/2014/main" xmlns="" id="{00000000-0008-0000-0200-00007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90" name="Rectangle 454" descr="2">
          <a:extLst>
            <a:ext uri="{FF2B5EF4-FFF2-40B4-BE49-F238E27FC236}">
              <a16:creationId xmlns:a16="http://schemas.microsoft.com/office/drawing/2014/main" xmlns="" id="{00000000-0008-0000-0200-00007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91" name="Rectangle 455" descr="2">
          <a:extLst>
            <a:ext uri="{FF2B5EF4-FFF2-40B4-BE49-F238E27FC236}">
              <a16:creationId xmlns:a16="http://schemas.microsoft.com/office/drawing/2014/main" xmlns="" id="{00000000-0008-0000-0200-00007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92" name="Rectangle 456" descr="2">
          <a:extLst>
            <a:ext uri="{FF2B5EF4-FFF2-40B4-BE49-F238E27FC236}">
              <a16:creationId xmlns:a16="http://schemas.microsoft.com/office/drawing/2014/main" xmlns="" id="{00000000-0008-0000-0200-00007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93" name="Rectangle 457" descr="2">
          <a:extLst>
            <a:ext uri="{FF2B5EF4-FFF2-40B4-BE49-F238E27FC236}">
              <a16:creationId xmlns:a16="http://schemas.microsoft.com/office/drawing/2014/main" xmlns="" id="{00000000-0008-0000-0200-00007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94" name="Rectangle 458" descr="1">
          <a:extLst>
            <a:ext uri="{FF2B5EF4-FFF2-40B4-BE49-F238E27FC236}">
              <a16:creationId xmlns:a16="http://schemas.microsoft.com/office/drawing/2014/main" xmlns="" id="{00000000-0008-0000-0200-00007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95" name="Rectangle 444" descr="2">
          <a:extLst>
            <a:ext uri="{FF2B5EF4-FFF2-40B4-BE49-F238E27FC236}">
              <a16:creationId xmlns:a16="http://schemas.microsoft.com/office/drawing/2014/main" xmlns="" id="{00000000-0008-0000-0200-00008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96" name="Rectangle 445" descr="2">
          <a:extLst>
            <a:ext uri="{FF2B5EF4-FFF2-40B4-BE49-F238E27FC236}">
              <a16:creationId xmlns:a16="http://schemas.microsoft.com/office/drawing/2014/main" xmlns="" id="{00000000-0008-0000-0200-00008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97" name="Rectangle 446" descr="2">
          <a:extLst>
            <a:ext uri="{FF2B5EF4-FFF2-40B4-BE49-F238E27FC236}">
              <a16:creationId xmlns:a16="http://schemas.microsoft.com/office/drawing/2014/main" xmlns="" id="{00000000-0008-0000-0200-00008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98" name="Rectangle 447" descr="2">
          <a:extLst>
            <a:ext uri="{FF2B5EF4-FFF2-40B4-BE49-F238E27FC236}">
              <a16:creationId xmlns:a16="http://schemas.microsoft.com/office/drawing/2014/main" xmlns="" id="{00000000-0008-0000-0200-00008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899" name="Rectangle 448" descr="2">
          <a:extLst>
            <a:ext uri="{FF2B5EF4-FFF2-40B4-BE49-F238E27FC236}">
              <a16:creationId xmlns:a16="http://schemas.microsoft.com/office/drawing/2014/main" xmlns="" id="{00000000-0008-0000-0200-00008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00" name="Rectangle 449" descr="2">
          <a:extLst>
            <a:ext uri="{FF2B5EF4-FFF2-40B4-BE49-F238E27FC236}">
              <a16:creationId xmlns:a16="http://schemas.microsoft.com/office/drawing/2014/main" xmlns="" id="{00000000-0008-0000-0200-00008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01" name="Rectangle 450" descr="2">
          <a:extLst>
            <a:ext uri="{FF2B5EF4-FFF2-40B4-BE49-F238E27FC236}">
              <a16:creationId xmlns:a16="http://schemas.microsoft.com/office/drawing/2014/main" xmlns="" id="{00000000-0008-0000-0200-00008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02" name="Rectangle 451" descr="2">
          <a:extLst>
            <a:ext uri="{FF2B5EF4-FFF2-40B4-BE49-F238E27FC236}">
              <a16:creationId xmlns:a16="http://schemas.microsoft.com/office/drawing/2014/main" xmlns="" id="{00000000-0008-0000-0200-00008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03" name="Rectangle 452" descr="2">
          <a:extLst>
            <a:ext uri="{FF2B5EF4-FFF2-40B4-BE49-F238E27FC236}">
              <a16:creationId xmlns:a16="http://schemas.microsoft.com/office/drawing/2014/main" xmlns="" id="{00000000-0008-0000-0200-00008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04" name="Rectangle 453" descr="2">
          <a:extLst>
            <a:ext uri="{FF2B5EF4-FFF2-40B4-BE49-F238E27FC236}">
              <a16:creationId xmlns:a16="http://schemas.microsoft.com/office/drawing/2014/main" xmlns="" id="{00000000-0008-0000-0200-00008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05" name="Rectangle 454" descr="2">
          <a:extLst>
            <a:ext uri="{FF2B5EF4-FFF2-40B4-BE49-F238E27FC236}">
              <a16:creationId xmlns:a16="http://schemas.microsoft.com/office/drawing/2014/main" xmlns="" id="{00000000-0008-0000-0200-00008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06" name="Rectangle 455" descr="2">
          <a:extLst>
            <a:ext uri="{FF2B5EF4-FFF2-40B4-BE49-F238E27FC236}">
              <a16:creationId xmlns:a16="http://schemas.microsoft.com/office/drawing/2014/main" xmlns="" id="{00000000-0008-0000-0200-00008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07" name="Rectangle 456" descr="2">
          <a:extLst>
            <a:ext uri="{FF2B5EF4-FFF2-40B4-BE49-F238E27FC236}">
              <a16:creationId xmlns:a16="http://schemas.microsoft.com/office/drawing/2014/main" xmlns="" id="{00000000-0008-0000-0200-00008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08" name="Rectangle 457" descr="2">
          <a:extLst>
            <a:ext uri="{FF2B5EF4-FFF2-40B4-BE49-F238E27FC236}">
              <a16:creationId xmlns:a16="http://schemas.microsoft.com/office/drawing/2014/main" xmlns="" id="{00000000-0008-0000-0200-00008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09" name="Rectangle 458" descr="1">
          <a:extLst>
            <a:ext uri="{FF2B5EF4-FFF2-40B4-BE49-F238E27FC236}">
              <a16:creationId xmlns:a16="http://schemas.microsoft.com/office/drawing/2014/main" xmlns="" id="{00000000-0008-0000-0200-00008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10" name="Rectangle 444" descr="2">
          <a:extLst>
            <a:ext uri="{FF2B5EF4-FFF2-40B4-BE49-F238E27FC236}">
              <a16:creationId xmlns:a16="http://schemas.microsoft.com/office/drawing/2014/main" xmlns="" id="{00000000-0008-0000-0200-00008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11" name="Rectangle 445" descr="2">
          <a:extLst>
            <a:ext uri="{FF2B5EF4-FFF2-40B4-BE49-F238E27FC236}">
              <a16:creationId xmlns:a16="http://schemas.microsoft.com/office/drawing/2014/main" xmlns="" id="{00000000-0008-0000-0200-00009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12" name="Rectangle 446" descr="2">
          <a:extLst>
            <a:ext uri="{FF2B5EF4-FFF2-40B4-BE49-F238E27FC236}">
              <a16:creationId xmlns:a16="http://schemas.microsoft.com/office/drawing/2014/main" xmlns="" id="{00000000-0008-0000-0200-00009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13" name="Rectangle 447" descr="2">
          <a:extLst>
            <a:ext uri="{FF2B5EF4-FFF2-40B4-BE49-F238E27FC236}">
              <a16:creationId xmlns:a16="http://schemas.microsoft.com/office/drawing/2014/main" xmlns="" id="{00000000-0008-0000-0200-00009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14" name="Rectangle 448" descr="2">
          <a:extLst>
            <a:ext uri="{FF2B5EF4-FFF2-40B4-BE49-F238E27FC236}">
              <a16:creationId xmlns:a16="http://schemas.microsoft.com/office/drawing/2014/main" xmlns="" id="{00000000-0008-0000-0200-00009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15" name="Rectangle 449" descr="2">
          <a:extLst>
            <a:ext uri="{FF2B5EF4-FFF2-40B4-BE49-F238E27FC236}">
              <a16:creationId xmlns:a16="http://schemas.microsoft.com/office/drawing/2014/main" xmlns="" id="{00000000-0008-0000-0200-00009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16" name="Rectangle 450" descr="2">
          <a:extLst>
            <a:ext uri="{FF2B5EF4-FFF2-40B4-BE49-F238E27FC236}">
              <a16:creationId xmlns:a16="http://schemas.microsoft.com/office/drawing/2014/main" xmlns="" id="{00000000-0008-0000-0200-00009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17" name="Rectangle 451" descr="2">
          <a:extLst>
            <a:ext uri="{FF2B5EF4-FFF2-40B4-BE49-F238E27FC236}">
              <a16:creationId xmlns:a16="http://schemas.microsoft.com/office/drawing/2014/main" xmlns="" id="{00000000-0008-0000-0200-00009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18" name="Rectangle 452" descr="2">
          <a:extLst>
            <a:ext uri="{FF2B5EF4-FFF2-40B4-BE49-F238E27FC236}">
              <a16:creationId xmlns:a16="http://schemas.microsoft.com/office/drawing/2014/main" xmlns="" id="{00000000-0008-0000-0200-00009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19" name="Rectangle 453" descr="2">
          <a:extLst>
            <a:ext uri="{FF2B5EF4-FFF2-40B4-BE49-F238E27FC236}">
              <a16:creationId xmlns:a16="http://schemas.microsoft.com/office/drawing/2014/main" xmlns="" id="{00000000-0008-0000-0200-00009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20" name="Rectangle 454" descr="2">
          <a:extLst>
            <a:ext uri="{FF2B5EF4-FFF2-40B4-BE49-F238E27FC236}">
              <a16:creationId xmlns:a16="http://schemas.microsoft.com/office/drawing/2014/main" xmlns="" id="{00000000-0008-0000-0200-00009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21" name="Rectangle 455" descr="2">
          <a:extLst>
            <a:ext uri="{FF2B5EF4-FFF2-40B4-BE49-F238E27FC236}">
              <a16:creationId xmlns:a16="http://schemas.microsoft.com/office/drawing/2014/main" xmlns="" id="{00000000-0008-0000-0200-00009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22" name="Rectangle 456" descr="2">
          <a:extLst>
            <a:ext uri="{FF2B5EF4-FFF2-40B4-BE49-F238E27FC236}">
              <a16:creationId xmlns:a16="http://schemas.microsoft.com/office/drawing/2014/main" xmlns="" id="{00000000-0008-0000-0200-00009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23" name="Rectangle 457" descr="2">
          <a:extLst>
            <a:ext uri="{FF2B5EF4-FFF2-40B4-BE49-F238E27FC236}">
              <a16:creationId xmlns:a16="http://schemas.microsoft.com/office/drawing/2014/main" xmlns="" id="{00000000-0008-0000-0200-00009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24" name="Rectangle 458" descr="1">
          <a:extLst>
            <a:ext uri="{FF2B5EF4-FFF2-40B4-BE49-F238E27FC236}">
              <a16:creationId xmlns:a16="http://schemas.microsoft.com/office/drawing/2014/main" xmlns="" id="{00000000-0008-0000-0200-00009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25" name="Rectangle 444" descr="2">
          <a:extLst>
            <a:ext uri="{FF2B5EF4-FFF2-40B4-BE49-F238E27FC236}">
              <a16:creationId xmlns:a16="http://schemas.microsoft.com/office/drawing/2014/main" xmlns="" id="{00000000-0008-0000-0200-00009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26" name="Rectangle 445" descr="2">
          <a:extLst>
            <a:ext uri="{FF2B5EF4-FFF2-40B4-BE49-F238E27FC236}">
              <a16:creationId xmlns:a16="http://schemas.microsoft.com/office/drawing/2014/main" xmlns="" id="{00000000-0008-0000-0200-00009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27" name="Rectangle 446" descr="2">
          <a:extLst>
            <a:ext uri="{FF2B5EF4-FFF2-40B4-BE49-F238E27FC236}">
              <a16:creationId xmlns:a16="http://schemas.microsoft.com/office/drawing/2014/main" xmlns="" id="{00000000-0008-0000-0200-0000A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28" name="Rectangle 447" descr="2">
          <a:extLst>
            <a:ext uri="{FF2B5EF4-FFF2-40B4-BE49-F238E27FC236}">
              <a16:creationId xmlns:a16="http://schemas.microsoft.com/office/drawing/2014/main" xmlns="" id="{00000000-0008-0000-0200-0000A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29" name="Rectangle 448" descr="2">
          <a:extLst>
            <a:ext uri="{FF2B5EF4-FFF2-40B4-BE49-F238E27FC236}">
              <a16:creationId xmlns:a16="http://schemas.microsoft.com/office/drawing/2014/main" xmlns="" id="{00000000-0008-0000-0200-0000A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30" name="Rectangle 449" descr="2">
          <a:extLst>
            <a:ext uri="{FF2B5EF4-FFF2-40B4-BE49-F238E27FC236}">
              <a16:creationId xmlns:a16="http://schemas.microsoft.com/office/drawing/2014/main" xmlns="" id="{00000000-0008-0000-0200-0000A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31" name="Rectangle 450" descr="2">
          <a:extLst>
            <a:ext uri="{FF2B5EF4-FFF2-40B4-BE49-F238E27FC236}">
              <a16:creationId xmlns:a16="http://schemas.microsoft.com/office/drawing/2014/main" xmlns="" id="{00000000-0008-0000-0200-0000A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32" name="Rectangle 451" descr="2">
          <a:extLst>
            <a:ext uri="{FF2B5EF4-FFF2-40B4-BE49-F238E27FC236}">
              <a16:creationId xmlns:a16="http://schemas.microsoft.com/office/drawing/2014/main" xmlns="" id="{00000000-0008-0000-0200-0000A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33" name="Rectangle 452" descr="2">
          <a:extLst>
            <a:ext uri="{FF2B5EF4-FFF2-40B4-BE49-F238E27FC236}">
              <a16:creationId xmlns:a16="http://schemas.microsoft.com/office/drawing/2014/main" xmlns="" id="{00000000-0008-0000-0200-0000A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34" name="Rectangle 453" descr="2">
          <a:extLst>
            <a:ext uri="{FF2B5EF4-FFF2-40B4-BE49-F238E27FC236}">
              <a16:creationId xmlns:a16="http://schemas.microsoft.com/office/drawing/2014/main" xmlns="" id="{00000000-0008-0000-0200-0000A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35" name="Rectangle 454" descr="2">
          <a:extLst>
            <a:ext uri="{FF2B5EF4-FFF2-40B4-BE49-F238E27FC236}">
              <a16:creationId xmlns:a16="http://schemas.microsoft.com/office/drawing/2014/main" xmlns="" id="{00000000-0008-0000-0200-0000A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36" name="Rectangle 455" descr="2">
          <a:extLst>
            <a:ext uri="{FF2B5EF4-FFF2-40B4-BE49-F238E27FC236}">
              <a16:creationId xmlns:a16="http://schemas.microsoft.com/office/drawing/2014/main" xmlns="" id="{00000000-0008-0000-0200-0000A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37" name="Rectangle 456" descr="2">
          <a:extLst>
            <a:ext uri="{FF2B5EF4-FFF2-40B4-BE49-F238E27FC236}">
              <a16:creationId xmlns:a16="http://schemas.microsoft.com/office/drawing/2014/main" xmlns="" id="{00000000-0008-0000-0200-0000A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38" name="Rectangle 457" descr="2">
          <a:extLst>
            <a:ext uri="{FF2B5EF4-FFF2-40B4-BE49-F238E27FC236}">
              <a16:creationId xmlns:a16="http://schemas.microsoft.com/office/drawing/2014/main" xmlns="" id="{00000000-0008-0000-0200-0000A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39" name="Rectangle 458" descr="1">
          <a:extLst>
            <a:ext uri="{FF2B5EF4-FFF2-40B4-BE49-F238E27FC236}">
              <a16:creationId xmlns:a16="http://schemas.microsoft.com/office/drawing/2014/main" xmlns="" id="{00000000-0008-0000-0200-0000A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40" name="Rectangle 444" descr="2">
          <a:extLst>
            <a:ext uri="{FF2B5EF4-FFF2-40B4-BE49-F238E27FC236}">
              <a16:creationId xmlns:a16="http://schemas.microsoft.com/office/drawing/2014/main" xmlns="" id="{00000000-0008-0000-0200-0000A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41" name="Rectangle 445" descr="2">
          <a:extLst>
            <a:ext uri="{FF2B5EF4-FFF2-40B4-BE49-F238E27FC236}">
              <a16:creationId xmlns:a16="http://schemas.microsoft.com/office/drawing/2014/main" xmlns="" id="{00000000-0008-0000-0200-0000A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42" name="Rectangle 446" descr="2">
          <a:extLst>
            <a:ext uri="{FF2B5EF4-FFF2-40B4-BE49-F238E27FC236}">
              <a16:creationId xmlns:a16="http://schemas.microsoft.com/office/drawing/2014/main" xmlns="" id="{00000000-0008-0000-0200-0000A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43" name="Rectangle 447" descr="2">
          <a:extLst>
            <a:ext uri="{FF2B5EF4-FFF2-40B4-BE49-F238E27FC236}">
              <a16:creationId xmlns:a16="http://schemas.microsoft.com/office/drawing/2014/main" xmlns="" id="{00000000-0008-0000-0200-0000B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44" name="Rectangle 448" descr="2">
          <a:extLst>
            <a:ext uri="{FF2B5EF4-FFF2-40B4-BE49-F238E27FC236}">
              <a16:creationId xmlns:a16="http://schemas.microsoft.com/office/drawing/2014/main" xmlns="" id="{00000000-0008-0000-0200-0000B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45" name="Rectangle 449" descr="2">
          <a:extLst>
            <a:ext uri="{FF2B5EF4-FFF2-40B4-BE49-F238E27FC236}">
              <a16:creationId xmlns:a16="http://schemas.microsoft.com/office/drawing/2014/main" xmlns="" id="{00000000-0008-0000-0200-0000B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46" name="Rectangle 450" descr="2">
          <a:extLst>
            <a:ext uri="{FF2B5EF4-FFF2-40B4-BE49-F238E27FC236}">
              <a16:creationId xmlns:a16="http://schemas.microsoft.com/office/drawing/2014/main" xmlns="" id="{00000000-0008-0000-0200-0000B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47" name="Rectangle 451" descr="2">
          <a:extLst>
            <a:ext uri="{FF2B5EF4-FFF2-40B4-BE49-F238E27FC236}">
              <a16:creationId xmlns:a16="http://schemas.microsoft.com/office/drawing/2014/main" xmlns="" id="{00000000-0008-0000-0200-0000B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48" name="Rectangle 452" descr="2">
          <a:extLst>
            <a:ext uri="{FF2B5EF4-FFF2-40B4-BE49-F238E27FC236}">
              <a16:creationId xmlns:a16="http://schemas.microsoft.com/office/drawing/2014/main" xmlns="" id="{00000000-0008-0000-0200-0000B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49" name="Rectangle 453" descr="2">
          <a:extLst>
            <a:ext uri="{FF2B5EF4-FFF2-40B4-BE49-F238E27FC236}">
              <a16:creationId xmlns:a16="http://schemas.microsoft.com/office/drawing/2014/main" xmlns="" id="{00000000-0008-0000-0200-0000B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50" name="Rectangle 454" descr="2">
          <a:extLst>
            <a:ext uri="{FF2B5EF4-FFF2-40B4-BE49-F238E27FC236}">
              <a16:creationId xmlns:a16="http://schemas.microsoft.com/office/drawing/2014/main" xmlns="" id="{00000000-0008-0000-0200-0000B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51" name="Rectangle 455" descr="2">
          <a:extLst>
            <a:ext uri="{FF2B5EF4-FFF2-40B4-BE49-F238E27FC236}">
              <a16:creationId xmlns:a16="http://schemas.microsoft.com/office/drawing/2014/main" xmlns="" id="{00000000-0008-0000-0200-0000B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52" name="Rectangle 456" descr="2">
          <a:extLst>
            <a:ext uri="{FF2B5EF4-FFF2-40B4-BE49-F238E27FC236}">
              <a16:creationId xmlns:a16="http://schemas.microsoft.com/office/drawing/2014/main" xmlns="" id="{00000000-0008-0000-0200-0000B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53" name="Rectangle 457" descr="2">
          <a:extLst>
            <a:ext uri="{FF2B5EF4-FFF2-40B4-BE49-F238E27FC236}">
              <a16:creationId xmlns:a16="http://schemas.microsoft.com/office/drawing/2014/main" xmlns="" id="{00000000-0008-0000-0200-0000B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54" name="Rectangle 458" descr="1">
          <a:extLst>
            <a:ext uri="{FF2B5EF4-FFF2-40B4-BE49-F238E27FC236}">
              <a16:creationId xmlns:a16="http://schemas.microsoft.com/office/drawing/2014/main" xmlns="" id="{00000000-0008-0000-0200-0000B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55" name="Rectangle 444" descr="2">
          <a:extLst>
            <a:ext uri="{FF2B5EF4-FFF2-40B4-BE49-F238E27FC236}">
              <a16:creationId xmlns:a16="http://schemas.microsoft.com/office/drawing/2014/main" xmlns="" id="{00000000-0008-0000-0200-0000B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56" name="Rectangle 445" descr="2">
          <a:extLst>
            <a:ext uri="{FF2B5EF4-FFF2-40B4-BE49-F238E27FC236}">
              <a16:creationId xmlns:a16="http://schemas.microsoft.com/office/drawing/2014/main" xmlns="" id="{00000000-0008-0000-0200-0000B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57" name="Rectangle 446" descr="2">
          <a:extLst>
            <a:ext uri="{FF2B5EF4-FFF2-40B4-BE49-F238E27FC236}">
              <a16:creationId xmlns:a16="http://schemas.microsoft.com/office/drawing/2014/main" xmlns="" id="{00000000-0008-0000-0200-0000B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58" name="Rectangle 447" descr="2">
          <a:extLst>
            <a:ext uri="{FF2B5EF4-FFF2-40B4-BE49-F238E27FC236}">
              <a16:creationId xmlns:a16="http://schemas.microsoft.com/office/drawing/2014/main" xmlns="" id="{00000000-0008-0000-0200-0000B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59" name="Rectangle 448" descr="2">
          <a:extLst>
            <a:ext uri="{FF2B5EF4-FFF2-40B4-BE49-F238E27FC236}">
              <a16:creationId xmlns:a16="http://schemas.microsoft.com/office/drawing/2014/main" xmlns="" id="{00000000-0008-0000-0200-0000C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60" name="Rectangle 449" descr="2">
          <a:extLst>
            <a:ext uri="{FF2B5EF4-FFF2-40B4-BE49-F238E27FC236}">
              <a16:creationId xmlns:a16="http://schemas.microsoft.com/office/drawing/2014/main" xmlns="" id="{00000000-0008-0000-0200-0000C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61" name="Rectangle 450" descr="2">
          <a:extLst>
            <a:ext uri="{FF2B5EF4-FFF2-40B4-BE49-F238E27FC236}">
              <a16:creationId xmlns:a16="http://schemas.microsoft.com/office/drawing/2014/main" xmlns="" id="{00000000-0008-0000-0200-0000C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62" name="Rectangle 451" descr="2">
          <a:extLst>
            <a:ext uri="{FF2B5EF4-FFF2-40B4-BE49-F238E27FC236}">
              <a16:creationId xmlns:a16="http://schemas.microsoft.com/office/drawing/2014/main" xmlns="" id="{00000000-0008-0000-0200-0000C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63" name="Rectangle 452" descr="2">
          <a:extLst>
            <a:ext uri="{FF2B5EF4-FFF2-40B4-BE49-F238E27FC236}">
              <a16:creationId xmlns:a16="http://schemas.microsoft.com/office/drawing/2014/main" xmlns="" id="{00000000-0008-0000-0200-0000C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64" name="Rectangle 453" descr="2">
          <a:extLst>
            <a:ext uri="{FF2B5EF4-FFF2-40B4-BE49-F238E27FC236}">
              <a16:creationId xmlns:a16="http://schemas.microsoft.com/office/drawing/2014/main" xmlns="" id="{00000000-0008-0000-0200-0000C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65" name="Rectangle 454" descr="2">
          <a:extLst>
            <a:ext uri="{FF2B5EF4-FFF2-40B4-BE49-F238E27FC236}">
              <a16:creationId xmlns:a16="http://schemas.microsoft.com/office/drawing/2014/main" xmlns="" id="{00000000-0008-0000-0200-0000C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66" name="Rectangle 455" descr="2">
          <a:extLst>
            <a:ext uri="{FF2B5EF4-FFF2-40B4-BE49-F238E27FC236}">
              <a16:creationId xmlns:a16="http://schemas.microsoft.com/office/drawing/2014/main" xmlns="" id="{00000000-0008-0000-0200-0000C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67" name="Rectangle 456" descr="2">
          <a:extLst>
            <a:ext uri="{FF2B5EF4-FFF2-40B4-BE49-F238E27FC236}">
              <a16:creationId xmlns:a16="http://schemas.microsoft.com/office/drawing/2014/main" xmlns="" id="{00000000-0008-0000-0200-0000C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68" name="Rectangle 457" descr="2">
          <a:extLst>
            <a:ext uri="{FF2B5EF4-FFF2-40B4-BE49-F238E27FC236}">
              <a16:creationId xmlns:a16="http://schemas.microsoft.com/office/drawing/2014/main" xmlns="" id="{00000000-0008-0000-0200-0000C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69" name="Rectangle 458" descr="1">
          <a:extLst>
            <a:ext uri="{FF2B5EF4-FFF2-40B4-BE49-F238E27FC236}">
              <a16:creationId xmlns:a16="http://schemas.microsoft.com/office/drawing/2014/main" xmlns="" id="{00000000-0008-0000-0200-0000C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70" name="Rectangle 444" descr="2">
          <a:extLst>
            <a:ext uri="{FF2B5EF4-FFF2-40B4-BE49-F238E27FC236}">
              <a16:creationId xmlns:a16="http://schemas.microsoft.com/office/drawing/2014/main" xmlns="" id="{00000000-0008-0000-0200-0000C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71" name="Rectangle 445" descr="2">
          <a:extLst>
            <a:ext uri="{FF2B5EF4-FFF2-40B4-BE49-F238E27FC236}">
              <a16:creationId xmlns:a16="http://schemas.microsoft.com/office/drawing/2014/main" xmlns="" id="{00000000-0008-0000-0200-0000C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72" name="Rectangle 446" descr="2">
          <a:extLst>
            <a:ext uri="{FF2B5EF4-FFF2-40B4-BE49-F238E27FC236}">
              <a16:creationId xmlns:a16="http://schemas.microsoft.com/office/drawing/2014/main" xmlns="" id="{00000000-0008-0000-0200-0000C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73" name="Rectangle 447" descr="2">
          <a:extLst>
            <a:ext uri="{FF2B5EF4-FFF2-40B4-BE49-F238E27FC236}">
              <a16:creationId xmlns:a16="http://schemas.microsoft.com/office/drawing/2014/main" xmlns="" id="{00000000-0008-0000-0200-0000C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74" name="Rectangle 448" descr="2">
          <a:extLst>
            <a:ext uri="{FF2B5EF4-FFF2-40B4-BE49-F238E27FC236}">
              <a16:creationId xmlns:a16="http://schemas.microsoft.com/office/drawing/2014/main" xmlns="" id="{00000000-0008-0000-0200-0000C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75" name="Rectangle 449" descr="2">
          <a:extLst>
            <a:ext uri="{FF2B5EF4-FFF2-40B4-BE49-F238E27FC236}">
              <a16:creationId xmlns:a16="http://schemas.microsoft.com/office/drawing/2014/main" xmlns="" id="{00000000-0008-0000-0200-0000D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76" name="Rectangle 450" descr="2">
          <a:extLst>
            <a:ext uri="{FF2B5EF4-FFF2-40B4-BE49-F238E27FC236}">
              <a16:creationId xmlns:a16="http://schemas.microsoft.com/office/drawing/2014/main" xmlns="" id="{00000000-0008-0000-0200-0000D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77" name="Rectangle 451" descr="2">
          <a:extLst>
            <a:ext uri="{FF2B5EF4-FFF2-40B4-BE49-F238E27FC236}">
              <a16:creationId xmlns:a16="http://schemas.microsoft.com/office/drawing/2014/main" xmlns="" id="{00000000-0008-0000-0200-0000D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78" name="Rectangle 452" descr="2">
          <a:extLst>
            <a:ext uri="{FF2B5EF4-FFF2-40B4-BE49-F238E27FC236}">
              <a16:creationId xmlns:a16="http://schemas.microsoft.com/office/drawing/2014/main" xmlns="" id="{00000000-0008-0000-0200-0000D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79" name="Rectangle 453" descr="2">
          <a:extLst>
            <a:ext uri="{FF2B5EF4-FFF2-40B4-BE49-F238E27FC236}">
              <a16:creationId xmlns:a16="http://schemas.microsoft.com/office/drawing/2014/main" xmlns="" id="{00000000-0008-0000-0200-0000D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80" name="Rectangle 454" descr="2">
          <a:extLst>
            <a:ext uri="{FF2B5EF4-FFF2-40B4-BE49-F238E27FC236}">
              <a16:creationId xmlns:a16="http://schemas.microsoft.com/office/drawing/2014/main" xmlns="" id="{00000000-0008-0000-0200-0000D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81" name="Rectangle 455" descr="2">
          <a:extLst>
            <a:ext uri="{FF2B5EF4-FFF2-40B4-BE49-F238E27FC236}">
              <a16:creationId xmlns:a16="http://schemas.microsoft.com/office/drawing/2014/main" xmlns="" id="{00000000-0008-0000-0200-0000D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82" name="Rectangle 456" descr="2">
          <a:extLst>
            <a:ext uri="{FF2B5EF4-FFF2-40B4-BE49-F238E27FC236}">
              <a16:creationId xmlns:a16="http://schemas.microsoft.com/office/drawing/2014/main" xmlns="" id="{00000000-0008-0000-0200-0000D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83" name="Rectangle 457" descr="2">
          <a:extLst>
            <a:ext uri="{FF2B5EF4-FFF2-40B4-BE49-F238E27FC236}">
              <a16:creationId xmlns:a16="http://schemas.microsoft.com/office/drawing/2014/main" xmlns="" id="{00000000-0008-0000-0200-0000D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84" name="Rectangle 458" descr="1">
          <a:extLst>
            <a:ext uri="{FF2B5EF4-FFF2-40B4-BE49-F238E27FC236}">
              <a16:creationId xmlns:a16="http://schemas.microsoft.com/office/drawing/2014/main" xmlns="" id="{00000000-0008-0000-0200-0000D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85" name="Rectangle 444" descr="2">
          <a:extLst>
            <a:ext uri="{FF2B5EF4-FFF2-40B4-BE49-F238E27FC236}">
              <a16:creationId xmlns:a16="http://schemas.microsoft.com/office/drawing/2014/main" xmlns="" id="{00000000-0008-0000-0200-0000D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86" name="Rectangle 445" descr="2">
          <a:extLst>
            <a:ext uri="{FF2B5EF4-FFF2-40B4-BE49-F238E27FC236}">
              <a16:creationId xmlns:a16="http://schemas.microsoft.com/office/drawing/2014/main" xmlns="" id="{00000000-0008-0000-0200-0000D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87" name="Rectangle 446" descr="2">
          <a:extLst>
            <a:ext uri="{FF2B5EF4-FFF2-40B4-BE49-F238E27FC236}">
              <a16:creationId xmlns:a16="http://schemas.microsoft.com/office/drawing/2014/main" xmlns="" id="{00000000-0008-0000-0200-0000D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88" name="Rectangle 447" descr="2">
          <a:extLst>
            <a:ext uri="{FF2B5EF4-FFF2-40B4-BE49-F238E27FC236}">
              <a16:creationId xmlns:a16="http://schemas.microsoft.com/office/drawing/2014/main" xmlns="" id="{00000000-0008-0000-0200-0000D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89" name="Rectangle 448" descr="2">
          <a:extLst>
            <a:ext uri="{FF2B5EF4-FFF2-40B4-BE49-F238E27FC236}">
              <a16:creationId xmlns:a16="http://schemas.microsoft.com/office/drawing/2014/main" xmlns="" id="{00000000-0008-0000-0200-0000D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90" name="Rectangle 449" descr="2">
          <a:extLst>
            <a:ext uri="{FF2B5EF4-FFF2-40B4-BE49-F238E27FC236}">
              <a16:creationId xmlns:a16="http://schemas.microsoft.com/office/drawing/2014/main" xmlns="" id="{00000000-0008-0000-0200-0000D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91" name="Rectangle 450" descr="2">
          <a:extLst>
            <a:ext uri="{FF2B5EF4-FFF2-40B4-BE49-F238E27FC236}">
              <a16:creationId xmlns:a16="http://schemas.microsoft.com/office/drawing/2014/main" xmlns="" id="{00000000-0008-0000-0200-0000E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92" name="Rectangle 451" descr="2">
          <a:extLst>
            <a:ext uri="{FF2B5EF4-FFF2-40B4-BE49-F238E27FC236}">
              <a16:creationId xmlns:a16="http://schemas.microsoft.com/office/drawing/2014/main" xmlns="" id="{00000000-0008-0000-0200-0000E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93" name="Rectangle 452" descr="2">
          <a:extLst>
            <a:ext uri="{FF2B5EF4-FFF2-40B4-BE49-F238E27FC236}">
              <a16:creationId xmlns:a16="http://schemas.microsoft.com/office/drawing/2014/main" xmlns="" id="{00000000-0008-0000-0200-0000E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94" name="Rectangle 453" descr="2">
          <a:extLst>
            <a:ext uri="{FF2B5EF4-FFF2-40B4-BE49-F238E27FC236}">
              <a16:creationId xmlns:a16="http://schemas.microsoft.com/office/drawing/2014/main" xmlns="" id="{00000000-0008-0000-0200-0000E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95" name="Rectangle 454" descr="2">
          <a:extLst>
            <a:ext uri="{FF2B5EF4-FFF2-40B4-BE49-F238E27FC236}">
              <a16:creationId xmlns:a16="http://schemas.microsoft.com/office/drawing/2014/main" xmlns="" id="{00000000-0008-0000-0200-0000E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96" name="Rectangle 455" descr="2">
          <a:extLst>
            <a:ext uri="{FF2B5EF4-FFF2-40B4-BE49-F238E27FC236}">
              <a16:creationId xmlns:a16="http://schemas.microsoft.com/office/drawing/2014/main" xmlns="" id="{00000000-0008-0000-0200-0000E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97" name="Rectangle 456" descr="2">
          <a:extLst>
            <a:ext uri="{FF2B5EF4-FFF2-40B4-BE49-F238E27FC236}">
              <a16:creationId xmlns:a16="http://schemas.microsoft.com/office/drawing/2014/main" xmlns="" id="{00000000-0008-0000-0200-0000E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98" name="Rectangle 457" descr="2">
          <a:extLst>
            <a:ext uri="{FF2B5EF4-FFF2-40B4-BE49-F238E27FC236}">
              <a16:creationId xmlns:a16="http://schemas.microsoft.com/office/drawing/2014/main" xmlns="" id="{00000000-0008-0000-0200-0000E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999" name="Rectangle 458" descr="1">
          <a:extLst>
            <a:ext uri="{FF2B5EF4-FFF2-40B4-BE49-F238E27FC236}">
              <a16:creationId xmlns:a16="http://schemas.microsoft.com/office/drawing/2014/main" xmlns="" id="{00000000-0008-0000-0200-0000E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1000" name="Rectangle 444" descr="2">
          <a:extLst>
            <a:ext uri="{FF2B5EF4-FFF2-40B4-BE49-F238E27FC236}">
              <a16:creationId xmlns:a16="http://schemas.microsoft.com/office/drawing/2014/main" xmlns="" id="{00000000-0008-0000-0200-0000E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1001" name="Rectangle 445" descr="2">
          <a:extLst>
            <a:ext uri="{FF2B5EF4-FFF2-40B4-BE49-F238E27FC236}">
              <a16:creationId xmlns:a16="http://schemas.microsoft.com/office/drawing/2014/main" xmlns="" id="{00000000-0008-0000-0200-0000E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1002" name="Rectangle 446" descr="2">
          <a:extLst>
            <a:ext uri="{FF2B5EF4-FFF2-40B4-BE49-F238E27FC236}">
              <a16:creationId xmlns:a16="http://schemas.microsoft.com/office/drawing/2014/main" xmlns="" id="{00000000-0008-0000-0200-0000E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1003" name="Rectangle 447" descr="2">
          <a:extLst>
            <a:ext uri="{FF2B5EF4-FFF2-40B4-BE49-F238E27FC236}">
              <a16:creationId xmlns:a16="http://schemas.microsoft.com/office/drawing/2014/main" xmlns="" id="{00000000-0008-0000-0200-0000E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1004" name="Rectangle 448" descr="2">
          <a:extLst>
            <a:ext uri="{FF2B5EF4-FFF2-40B4-BE49-F238E27FC236}">
              <a16:creationId xmlns:a16="http://schemas.microsoft.com/office/drawing/2014/main" xmlns="" id="{00000000-0008-0000-0200-0000E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1005" name="Rectangle 449" descr="2">
          <a:extLst>
            <a:ext uri="{FF2B5EF4-FFF2-40B4-BE49-F238E27FC236}">
              <a16:creationId xmlns:a16="http://schemas.microsoft.com/office/drawing/2014/main" xmlns="" id="{00000000-0008-0000-0200-0000E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1006" name="Rectangle 450" descr="2">
          <a:extLst>
            <a:ext uri="{FF2B5EF4-FFF2-40B4-BE49-F238E27FC236}">
              <a16:creationId xmlns:a16="http://schemas.microsoft.com/office/drawing/2014/main" xmlns="" id="{00000000-0008-0000-0200-0000E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1007" name="Rectangle 451" descr="2">
          <a:extLst>
            <a:ext uri="{FF2B5EF4-FFF2-40B4-BE49-F238E27FC236}">
              <a16:creationId xmlns:a16="http://schemas.microsoft.com/office/drawing/2014/main" xmlns="" id="{00000000-0008-0000-0200-0000F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1008" name="Rectangle 452" descr="2">
          <a:extLst>
            <a:ext uri="{FF2B5EF4-FFF2-40B4-BE49-F238E27FC236}">
              <a16:creationId xmlns:a16="http://schemas.microsoft.com/office/drawing/2014/main" xmlns="" id="{00000000-0008-0000-0200-0000F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1009" name="Rectangle 453" descr="2">
          <a:extLst>
            <a:ext uri="{FF2B5EF4-FFF2-40B4-BE49-F238E27FC236}">
              <a16:creationId xmlns:a16="http://schemas.microsoft.com/office/drawing/2014/main" xmlns="" id="{00000000-0008-0000-0200-0000F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1010" name="Rectangle 454" descr="2">
          <a:extLst>
            <a:ext uri="{FF2B5EF4-FFF2-40B4-BE49-F238E27FC236}">
              <a16:creationId xmlns:a16="http://schemas.microsoft.com/office/drawing/2014/main" xmlns="" id="{00000000-0008-0000-0200-0000F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1011" name="Rectangle 455" descr="2">
          <a:extLst>
            <a:ext uri="{FF2B5EF4-FFF2-40B4-BE49-F238E27FC236}">
              <a16:creationId xmlns:a16="http://schemas.microsoft.com/office/drawing/2014/main" xmlns="" id="{00000000-0008-0000-0200-0000F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1012" name="Rectangle 456" descr="2">
          <a:extLst>
            <a:ext uri="{FF2B5EF4-FFF2-40B4-BE49-F238E27FC236}">
              <a16:creationId xmlns:a16="http://schemas.microsoft.com/office/drawing/2014/main" xmlns="" id="{00000000-0008-0000-0200-0000F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1013" name="Rectangle 457" descr="2">
          <a:extLst>
            <a:ext uri="{FF2B5EF4-FFF2-40B4-BE49-F238E27FC236}">
              <a16:creationId xmlns:a16="http://schemas.microsoft.com/office/drawing/2014/main" xmlns="" id="{00000000-0008-0000-0200-0000F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155863</xdr:rowOff>
    </xdr:to>
    <xdr:sp macro="" textlink="">
      <xdr:nvSpPr>
        <xdr:cNvPr id="1014" name="Rectangle 458" descr="1">
          <a:extLst>
            <a:ext uri="{FF2B5EF4-FFF2-40B4-BE49-F238E27FC236}">
              <a16:creationId xmlns:a16="http://schemas.microsoft.com/office/drawing/2014/main" xmlns="" id="{00000000-0008-0000-0200-0000F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15" name="Rectangle 444" descr="2">
          <a:extLst>
            <a:ext uri="{FF2B5EF4-FFF2-40B4-BE49-F238E27FC236}">
              <a16:creationId xmlns:a16="http://schemas.microsoft.com/office/drawing/2014/main" xmlns="" id="{00000000-0008-0000-0200-0000F803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16" name="Rectangle 445" descr="2">
          <a:extLst>
            <a:ext uri="{FF2B5EF4-FFF2-40B4-BE49-F238E27FC236}">
              <a16:creationId xmlns:a16="http://schemas.microsoft.com/office/drawing/2014/main" xmlns="" id="{00000000-0008-0000-0200-0000F903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17" name="Rectangle 446" descr="2">
          <a:extLst>
            <a:ext uri="{FF2B5EF4-FFF2-40B4-BE49-F238E27FC236}">
              <a16:creationId xmlns:a16="http://schemas.microsoft.com/office/drawing/2014/main" xmlns="" id="{00000000-0008-0000-0200-0000FA03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18" name="Rectangle 447" descr="2">
          <a:extLst>
            <a:ext uri="{FF2B5EF4-FFF2-40B4-BE49-F238E27FC236}">
              <a16:creationId xmlns:a16="http://schemas.microsoft.com/office/drawing/2014/main" xmlns="" id="{00000000-0008-0000-0200-0000FB03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19" name="Rectangle 448" descr="2">
          <a:extLst>
            <a:ext uri="{FF2B5EF4-FFF2-40B4-BE49-F238E27FC236}">
              <a16:creationId xmlns:a16="http://schemas.microsoft.com/office/drawing/2014/main" xmlns="" id="{00000000-0008-0000-0200-0000FC03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20" name="Rectangle 449" descr="2">
          <a:extLst>
            <a:ext uri="{FF2B5EF4-FFF2-40B4-BE49-F238E27FC236}">
              <a16:creationId xmlns:a16="http://schemas.microsoft.com/office/drawing/2014/main" xmlns="" id="{00000000-0008-0000-0200-0000FD03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21" name="Rectangle 450" descr="2">
          <a:extLst>
            <a:ext uri="{FF2B5EF4-FFF2-40B4-BE49-F238E27FC236}">
              <a16:creationId xmlns:a16="http://schemas.microsoft.com/office/drawing/2014/main" xmlns="" id="{00000000-0008-0000-0200-0000FE03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22" name="Rectangle 451" descr="2">
          <a:extLst>
            <a:ext uri="{FF2B5EF4-FFF2-40B4-BE49-F238E27FC236}">
              <a16:creationId xmlns:a16="http://schemas.microsoft.com/office/drawing/2014/main" xmlns="" id="{00000000-0008-0000-0200-0000FF03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23" name="Rectangle 452" descr="2">
          <a:extLst>
            <a:ext uri="{FF2B5EF4-FFF2-40B4-BE49-F238E27FC236}">
              <a16:creationId xmlns:a16="http://schemas.microsoft.com/office/drawing/2014/main" xmlns="" id="{00000000-0008-0000-0200-00000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24" name="Rectangle 453" descr="2">
          <a:extLst>
            <a:ext uri="{FF2B5EF4-FFF2-40B4-BE49-F238E27FC236}">
              <a16:creationId xmlns:a16="http://schemas.microsoft.com/office/drawing/2014/main" xmlns="" id="{00000000-0008-0000-0200-00000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25" name="Rectangle 454" descr="2">
          <a:extLst>
            <a:ext uri="{FF2B5EF4-FFF2-40B4-BE49-F238E27FC236}">
              <a16:creationId xmlns:a16="http://schemas.microsoft.com/office/drawing/2014/main" xmlns="" id="{00000000-0008-0000-0200-00000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26" name="Rectangle 455" descr="2">
          <a:extLst>
            <a:ext uri="{FF2B5EF4-FFF2-40B4-BE49-F238E27FC236}">
              <a16:creationId xmlns:a16="http://schemas.microsoft.com/office/drawing/2014/main" xmlns="" id="{00000000-0008-0000-0200-00000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27" name="Rectangle 456" descr="2">
          <a:extLst>
            <a:ext uri="{FF2B5EF4-FFF2-40B4-BE49-F238E27FC236}">
              <a16:creationId xmlns:a16="http://schemas.microsoft.com/office/drawing/2014/main" xmlns="" id="{00000000-0008-0000-0200-00000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28" name="Rectangle 457" descr="2">
          <a:extLst>
            <a:ext uri="{FF2B5EF4-FFF2-40B4-BE49-F238E27FC236}">
              <a16:creationId xmlns:a16="http://schemas.microsoft.com/office/drawing/2014/main" xmlns="" id="{00000000-0008-0000-0200-00000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29" name="Rectangle 458" descr="1">
          <a:extLst>
            <a:ext uri="{FF2B5EF4-FFF2-40B4-BE49-F238E27FC236}">
              <a16:creationId xmlns:a16="http://schemas.microsoft.com/office/drawing/2014/main" xmlns="" id="{00000000-0008-0000-0200-00000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30" name="Rectangle 444" descr="2">
          <a:extLst>
            <a:ext uri="{FF2B5EF4-FFF2-40B4-BE49-F238E27FC236}">
              <a16:creationId xmlns:a16="http://schemas.microsoft.com/office/drawing/2014/main" xmlns="" id="{00000000-0008-0000-0200-00000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31" name="Rectangle 445" descr="2">
          <a:extLst>
            <a:ext uri="{FF2B5EF4-FFF2-40B4-BE49-F238E27FC236}">
              <a16:creationId xmlns:a16="http://schemas.microsoft.com/office/drawing/2014/main" xmlns="" id="{00000000-0008-0000-0200-00000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32" name="Rectangle 446" descr="2">
          <a:extLst>
            <a:ext uri="{FF2B5EF4-FFF2-40B4-BE49-F238E27FC236}">
              <a16:creationId xmlns:a16="http://schemas.microsoft.com/office/drawing/2014/main" xmlns="" id="{00000000-0008-0000-0200-00000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33" name="Rectangle 447" descr="2">
          <a:extLst>
            <a:ext uri="{FF2B5EF4-FFF2-40B4-BE49-F238E27FC236}">
              <a16:creationId xmlns:a16="http://schemas.microsoft.com/office/drawing/2014/main" xmlns="" id="{00000000-0008-0000-0200-00000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34" name="Rectangle 448" descr="2">
          <a:extLst>
            <a:ext uri="{FF2B5EF4-FFF2-40B4-BE49-F238E27FC236}">
              <a16:creationId xmlns:a16="http://schemas.microsoft.com/office/drawing/2014/main" xmlns="" id="{00000000-0008-0000-0200-00000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35" name="Rectangle 449" descr="2">
          <a:extLst>
            <a:ext uri="{FF2B5EF4-FFF2-40B4-BE49-F238E27FC236}">
              <a16:creationId xmlns:a16="http://schemas.microsoft.com/office/drawing/2014/main" xmlns="" id="{00000000-0008-0000-0200-00000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36" name="Rectangle 450" descr="2">
          <a:extLst>
            <a:ext uri="{FF2B5EF4-FFF2-40B4-BE49-F238E27FC236}">
              <a16:creationId xmlns:a16="http://schemas.microsoft.com/office/drawing/2014/main" xmlns="" id="{00000000-0008-0000-0200-00000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37" name="Rectangle 451" descr="2">
          <a:extLst>
            <a:ext uri="{FF2B5EF4-FFF2-40B4-BE49-F238E27FC236}">
              <a16:creationId xmlns:a16="http://schemas.microsoft.com/office/drawing/2014/main" xmlns="" id="{00000000-0008-0000-0200-00000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38" name="Rectangle 452" descr="2">
          <a:extLst>
            <a:ext uri="{FF2B5EF4-FFF2-40B4-BE49-F238E27FC236}">
              <a16:creationId xmlns:a16="http://schemas.microsoft.com/office/drawing/2014/main" xmlns="" id="{00000000-0008-0000-0200-00000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39" name="Rectangle 453" descr="2">
          <a:extLst>
            <a:ext uri="{FF2B5EF4-FFF2-40B4-BE49-F238E27FC236}">
              <a16:creationId xmlns:a16="http://schemas.microsoft.com/office/drawing/2014/main" xmlns="" id="{00000000-0008-0000-0200-00001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40" name="Rectangle 454" descr="2">
          <a:extLst>
            <a:ext uri="{FF2B5EF4-FFF2-40B4-BE49-F238E27FC236}">
              <a16:creationId xmlns:a16="http://schemas.microsoft.com/office/drawing/2014/main" xmlns="" id="{00000000-0008-0000-0200-00001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41" name="Rectangle 455" descr="2">
          <a:extLst>
            <a:ext uri="{FF2B5EF4-FFF2-40B4-BE49-F238E27FC236}">
              <a16:creationId xmlns:a16="http://schemas.microsoft.com/office/drawing/2014/main" xmlns="" id="{00000000-0008-0000-0200-00001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42" name="Rectangle 456" descr="2">
          <a:extLst>
            <a:ext uri="{FF2B5EF4-FFF2-40B4-BE49-F238E27FC236}">
              <a16:creationId xmlns:a16="http://schemas.microsoft.com/office/drawing/2014/main" xmlns="" id="{00000000-0008-0000-0200-00001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43" name="Rectangle 457" descr="2">
          <a:extLst>
            <a:ext uri="{FF2B5EF4-FFF2-40B4-BE49-F238E27FC236}">
              <a16:creationId xmlns:a16="http://schemas.microsoft.com/office/drawing/2014/main" xmlns="" id="{00000000-0008-0000-0200-00001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44" name="Rectangle 458" descr="1">
          <a:extLst>
            <a:ext uri="{FF2B5EF4-FFF2-40B4-BE49-F238E27FC236}">
              <a16:creationId xmlns:a16="http://schemas.microsoft.com/office/drawing/2014/main" xmlns="" id="{00000000-0008-0000-0200-00001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45" name="Rectangle 444" descr="2">
          <a:extLst>
            <a:ext uri="{FF2B5EF4-FFF2-40B4-BE49-F238E27FC236}">
              <a16:creationId xmlns:a16="http://schemas.microsoft.com/office/drawing/2014/main" xmlns="" id="{00000000-0008-0000-0200-00001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46" name="Rectangle 445" descr="2">
          <a:extLst>
            <a:ext uri="{FF2B5EF4-FFF2-40B4-BE49-F238E27FC236}">
              <a16:creationId xmlns:a16="http://schemas.microsoft.com/office/drawing/2014/main" xmlns="" id="{00000000-0008-0000-0200-00001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47" name="Rectangle 446" descr="2">
          <a:extLst>
            <a:ext uri="{FF2B5EF4-FFF2-40B4-BE49-F238E27FC236}">
              <a16:creationId xmlns:a16="http://schemas.microsoft.com/office/drawing/2014/main" xmlns="" id="{00000000-0008-0000-0200-00001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48" name="Rectangle 447" descr="2">
          <a:extLst>
            <a:ext uri="{FF2B5EF4-FFF2-40B4-BE49-F238E27FC236}">
              <a16:creationId xmlns:a16="http://schemas.microsoft.com/office/drawing/2014/main" xmlns="" id="{00000000-0008-0000-0200-00001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49" name="Rectangle 448" descr="2">
          <a:extLst>
            <a:ext uri="{FF2B5EF4-FFF2-40B4-BE49-F238E27FC236}">
              <a16:creationId xmlns:a16="http://schemas.microsoft.com/office/drawing/2014/main" xmlns="" id="{00000000-0008-0000-0200-00001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50" name="Rectangle 449" descr="2">
          <a:extLst>
            <a:ext uri="{FF2B5EF4-FFF2-40B4-BE49-F238E27FC236}">
              <a16:creationId xmlns:a16="http://schemas.microsoft.com/office/drawing/2014/main" xmlns="" id="{00000000-0008-0000-0200-00001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51" name="Rectangle 450" descr="2">
          <a:extLst>
            <a:ext uri="{FF2B5EF4-FFF2-40B4-BE49-F238E27FC236}">
              <a16:creationId xmlns:a16="http://schemas.microsoft.com/office/drawing/2014/main" xmlns="" id="{00000000-0008-0000-0200-00001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52" name="Rectangle 451" descr="2">
          <a:extLst>
            <a:ext uri="{FF2B5EF4-FFF2-40B4-BE49-F238E27FC236}">
              <a16:creationId xmlns:a16="http://schemas.microsoft.com/office/drawing/2014/main" xmlns="" id="{00000000-0008-0000-0200-00001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53" name="Rectangle 452" descr="2">
          <a:extLst>
            <a:ext uri="{FF2B5EF4-FFF2-40B4-BE49-F238E27FC236}">
              <a16:creationId xmlns:a16="http://schemas.microsoft.com/office/drawing/2014/main" xmlns="" id="{00000000-0008-0000-0200-00001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54" name="Rectangle 453" descr="2">
          <a:extLst>
            <a:ext uri="{FF2B5EF4-FFF2-40B4-BE49-F238E27FC236}">
              <a16:creationId xmlns:a16="http://schemas.microsoft.com/office/drawing/2014/main" xmlns="" id="{00000000-0008-0000-0200-00001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55" name="Rectangle 454" descr="2">
          <a:extLst>
            <a:ext uri="{FF2B5EF4-FFF2-40B4-BE49-F238E27FC236}">
              <a16:creationId xmlns:a16="http://schemas.microsoft.com/office/drawing/2014/main" xmlns="" id="{00000000-0008-0000-0200-00002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56" name="Rectangle 455" descr="2">
          <a:extLst>
            <a:ext uri="{FF2B5EF4-FFF2-40B4-BE49-F238E27FC236}">
              <a16:creationId xmlns:a16="http://schemas.microsoft.com/office/drawing/2014/main" xmlns="" id="{00000000-0008-0000-0200-00002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57" name="Rectangle 456" descr="2">
          <a:extLst>
            <a:ext uri="{FF2B5EF4-FFF2-40B4-BE49-F238E27FC236}">
              <a16:creationId xmlns:a16="http://schemas.microsoft.com/office/drawing/2014/main" xmlns="" id="{00000000-0008-0000-0200-00002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58" name="Rectangle 457" descr="2">
          <a:extLst>
            <a:ext uri="{FF2B5EF4-FFF2-40B4-BE49-F238E27FC236}">
              <a16:creationId xmlns:a16="http://schemas.microsoft.com/office/drawing/2014/main" xmlns="" id="{00000000-0008-0000-0200-00002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59" name="Rectangle 458" descr="1">
          <a:extLst>
            <a:ext uri="{FF2B5EF4-FFF2-40B4-BE49-F238E27FC236}">
              <a16:creationId xmlns:a16="http://schemas.microsoft.com/office/drawing/2014/main" xmlns="" id="{00000000-0008-0000-0200-00002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60" name="Rectangle 444" descr="2">
          <a:extLst>
            <a:ext uri="{FF2B5EF4-FFF2-40B4-BE49-F238E27FC236}">
              <a16:creationId xmlns:a16="http://schemas.microsoft.com/office/drawing/2014/main" xmlns="" id="{00000000-0008-0000-0200-00002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61" name="Rectangle 445" descr="2">
          <a:extLst>
            <a:ext uri="{FF2B5EF4-FFF2-40B4-BE49-F238E27FC236}">
              <a16:creationId xmlns:a16="http://schemas.microsoft.com/office/drawing/2014/main" xmlns="" id="{00000000-0008-0000-0200-00002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62" name="Rectangle 446" descr="2">
          <a:extLst>
            <a:ext uri="{FF2B5EF4-FFF2-40B4-BE49-F238E27FC236}">
              <a16:creationId xmlns:a16="http://schemas.microsoft.com/office/drawing/2014/main" xmlns="" id="{00000000-0008-0000-0200-00002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63" name="Rectangle 447" descr="2">
          <a:extLst>
            <a:ext uri="{FF2B5EF4-FFF2-40B4-BE49-F238E27FC236}">
              <a16:creationId xmlns:a16="http://schemas.microsoft.com/office/drawing/2014/main" xmlns="" id="{00000000-0008-0000-0200-00002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64" name="Rectangle 448" descr="2">
          <a:extLst>
            <a:ext uri="{FF2B5EF4-FFF2-40B4-BE49-F238E27FC236}">
              <a16:creationId xmlns:a16="http://schemas.microsoft.com/office/drawing/2014/main" xmlns="" id="{00000000-0008-0000-0200-00002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65" name="Rectangle 449" descr="2">
          <a:extLst>
            <a:ext uri="{FF2B5EF4-FFF2-40B4-BE49-F238E27FC236}">
              <a16:creationId xmlns:a16="http://schemas.microsoft.com/office/drawing/2014/main" xmlns="" id="{00000000-0008-0000-0200-00002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66" name="Rectangle 450" descr="2">
          <a:extLst>
            <a:ext uri="{FF2B5EF4-FFF2-40B4-BE49-F238E27FC236}">
              <a16:creationId xmlns:a16="http://schemas.microsoft.com/office/drawing/2014/main" xmlns="" id="{00000000-0008-0000-0200-00002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67" name="Rectangle 451" descr="2">
          <a:extLst>
            <a:ext uri="{FF2B5EF4-FFF2-40B4-BE49-F238E27FC236}">
              <a16:creationId xmlns:a16="http://schemas.microsoft.com/office/drawing/2014/main" xmlns="" id="{00000000-0008-0000-0200-00002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68" name="Rectangle 452" descr="2">
          <a:extLst>
            <a:ext uri="{FF2B5EF4-FFF2-40B4-BE49-F238E27FC236}">
              <a16:creationId xmlns:a16="http://schemas.microsoft.com/office/drawing/2014/main" xmlns="" id="{00000000-0008-0000-0200-00002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69" name="Rectangle 453" descr="2">
          <a:extLst>
            <a:ext uri="{FF2B5EF4-FFF2-40B4-BE49-F238E27FC236}">
              <a16:creationId xmlns:a16="http://schemas.microsoft.com/office/drawing/2014/main" xmlns="" id="{00000000-0008-0000-0200-00002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70" name="Rectangle 454" descr="2">
          <a:extLst>
            <a:ext uri="{FF2B5EF4-FFF2-40B4-BE49-F238E27FC236}">
              <a16:creationId xmlns:a16="http://schemas.microsoft.com/office/drawing/2014/main" xmlns="" id="{00000000-0008-0000-0200-00002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71" name="Rectangle 455" descr="2">
          <a:extLst>
            <a:ext uri="{FF2B5EF4-FFF2-40B4-BE49-F238E27FC236}">
              <a16:creationId xmlns:a16="http://schemas.microsoft.com/office/drawing/2014/main" xmlns="" id="{00000000-0008-0000-0200-00003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72" name="Rectangle 456" descr="2">
          <a:extLst>
            <a:ext uri="{FF2B5EF4-FFF2-40B4-BE49-F238E27FC236}">
              <a16:creationId xmlns:a16="http://schemas.microsoft.com/office/drawing/2014/main" xmlns="" id="{00000000-0008-0000-0200-00003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73" name="Rectangle 457" descr="2">
          <a:extLst>
            <a:ext uri="{FF2B5EF4-FFF2-40B4-BE49-F238E27FC236}">
              <a16:creationId xmlns:a16="http://schemas.microsoft.com/office/drawing/2014/main" xmlns="" id="{00000000-0008-0000-0200-00003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74" name="Rectangle 458" descr="1">
          <a:extLst>
            <a:ext uri="{FF2B5EF4-FFF2-40B4-BE49-F238E27FC236}">
              <a16:creationId xmlns:a16="http://schemas.microsoft.com/office/drawing/2014/main" xmlns="" id="{00000000-0008-0000-0200-00003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75" name="Rectangle 444" descr="2">
          <a:extLst>
            <a:ext uri="{FF2B5EF4-FFF2-40B4-BE49-F238E27FC236}">
              <a16:creationId xmlns:a16="http://schemas.microsoft.com/office/drawing/2014/main" xmlns="" id="{00000000-0008-0000-0200-00003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76" name="Rectangle 445" descr="2">
          <a:extLst>
            <a:ext uri="{FF2B5EF4-FFF2-40B4-BE49-F238E27FC236}">
              <a16:creationId xmlns:a16="http://schemas.microsoft.com/office/drawing/2014/main" xmlns="" id="{00000000-0008-0000-0200-00003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77" name="Rectangle 446" descr="2">
          <a:extLst>
            <a:ext uri="{FF2B5EF4-FFF2-40B4-BE49-F238E27FC236}">
              <a16:creationId xmlns:a16="http://schemas.microsoft.com/office/drawing/2014/main" xmlns="" id="{00000000-0008-0000-0200-00003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78" name="Rectangle 447" descr="2">
          <a:extLst>
            <a:ext uri="{FF2B5EF4-FFF2-40B4-BE49-F238E27FC236}">
              <a16:creationId xmlns:a16="http://schemas.microsoft.com/office/drawing/2014/main" xmlns="" id="{00000000-0008-0000-0200-00003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79" name="Rectangle 448" descr="2">
          <a:extLst>
            <a:ext uri="{FF2B5EF4-FFF2-40B4-BE49-F238E27FC236}">
              <a16:creationId xmlns:a16="http://schemas.microsoft.com/office/drawing/2014/main" xmlns="" id="{00000000-0008-0000-0200-00003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80" name="Rectangle 449" descr="2">
          <a:extLst>
            <a:ext uri="{FF2B5EF4-FFF2-40B4-BE49-F238E27FC236}">
              <a16:creationId xmlns:a16="http://schemas.microsoft.com/office/drawing/2014/main" xmlns="" id="{00000000-0008-0000-0200-00003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81" name="Rectangle 450" descr="2">
          <a:extLst>
            <a:ext uri="{FF2B5EF4-FFF2-40B4-BE49-F238E27FC236}">
              <a16:creationId xmlns:a16="http://schemas.microsoft.com/office/drawing/2014/main" xmlns="" id="{00000000-0008-0000-0200-00003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82" name="Rectangle 451" descr="2">
          <a:extLst>
            <a:ext uri="{FF2B5EF4-FFF2-40B4-BE49-F238E27FC236}">
              <a16:creationId xmlns:a16="http://schemas.microsoft.com/office/drawing/2014/main" xmlns="" id="{00000000-0008-0000-0200-00003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83" name="Rectangle 452" descr="2">
          <a:extLst>
            <a:ext uri="{FF2B5EF4-FFF2-40B4-BE49-F238E27FC236}">
              <a16:creationId xmlns:a16="http://schemas.microsoft.com/office/drawing/2014/main" xmlns="" id="{00000000-0008-0000-0200-00003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84" name="Rectangle 453" descr="2">
          <a:extLst>
            <a:ext uri="{FF2B5EF4-FFF2-40B4-BE49-F238E27FC236}">
              <a16:creationId xmlns:a16="http://schemas.microsoft.com/office/drawing/2014/main" xmlns="" id="{00000000-0008-0000-0200-00003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85" name="Rectangle 454" descr="2">
          <a:extLst>
            <a:ext uri="{FF2B5EF4-FFF2-40B4-BE49-F238E27FC236}">
              <a16:creationId xmlns:a16="http://schemas.microsoft.com/office/drawing/2014/main" xmlns="" id="{00000000-0008-0000-0200-00003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86" name="Rectangle 455" descr="2">
          <a:extLst>
            <a:ext uri="{FF2B5EF4-FFF2-40B4-BE49-F238E27FC236}">
              <a16:creationId xmlns:a16="http://schemas.microsoft.com/office/drawing/2014/main" xmlns="" id="{00000000-0008-0000-0200-00003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87" name="Rectangle 456" descr="2">
          <a:extLst>
            <a:ext uri="{FF2B5EF4-FFF2-40B4-BE49-F238E27FC236}">
              <a16:creationId xmlns:a16="http://schemas.microsoft.com/office/drawing/2014/main" xmlns="" id="{00000000-0008-0000-0200-00004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88" name="Rectangle 457" descr="2">
          <a:extLst>
            <a:ext uri="{FF2B5EF4-FFF2-40B4-BE49-F238E27FC236}">
              <a16:creationId xmlns:a16="http://schemas.microsoft.com/office/drawing/2014/main" xmlns="" id="{00000000-0008-0000-0200-00004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89" name="Rectangle 458" descr="1">
          <a:extLst>
            <a:ext uri="{FF2B5EF4-FFF2-40B4-BE49-F238E27FC236}">
              <a16:creationId xmlns:a16="http://schemas.microsoft.com/office/drawing/2014/main" xmlns="" id="{00000000-0008-0000-0200-00004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90" name="Rectangle 444" descr="2">
          <a:extLst>
            <a:ext uri="{FF2B5EF4-FFF2-40B4-BE49-F238E27FC236}">
              <a16:creationId xmlns:a16="http://schemas.microsoft.com/office/drawing/2014/main" xmlns="" id="{00000000-0008-0000-0200-00004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91" name="Rectangle 445" descr="2">
          <a:extLst>
            <a:ext uri="{FF2B5EF4-FFF2-40B4-BE49-F238E27FC236}">
              <a16:creationId xmlns:a16="http://schemas.microsoft.com/office/drawing/2014/main" xmlns="" id="{00000000-0008-0000-0200-00004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92" name="Rectangle 446" descr="2">
          <a:extLst>
            <a:ext uri="{FF2B5EF4-FFF2-40B4-BE49-F238E27FC236}">
              <a16:creationId xmlns:a16="http://schemas.microsoft.com/office/drawing/2014/main" xmlns="" id="{00000000-0008-0000-0200-00004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93" name="Rectangle 447" descr="2">
          <a:extLst>
            <a:ext uri="{FF2B5EF4-FFF2-40B4-BE49-F238E27FC236}">
              <a16:creationId xmlns:a16="http://schemas.microsoft.com/office/drawing/2014/main" xmlns="" id="{00000000-0008-0000-0200-00004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94" name="Rectangle 448" descr="2">
          <a:extLst>
            <a:ext uri="{FF2B5EF4-FFF2-40B4-BE49-F238E27FC236}">
              <a16:creationId xmlns:a16="http://schemas.microsoft.com/office/drawing/2014/main" xmlns="" id="{00000000-0008-0000-0200-00004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95" name="Rectangle 449" descr="2">
          <a:extLst>
            <a:ext uri="{FF2B5EF4-FFF2-40B4-BE49-F238E27FC236}">
              <a16:creationId xmlns:a16="http://schemas.microsoft.com/office/drawing/2014/main" xmlns="" id="{00000000-0008-0000-0200-00004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96" name="Rectangle 450" descr="2">
          <a:extLst>
            <a:ext uri="{FF2B5EF4-FFF2-40B4-BE49-F238E27FC236}">
              <a16:creationId xmlns:a16="http://schemas.microsoft.com/office/drawing/2014/main" xmlns="" id="{00000000-0008-0000-0200-00004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97" name="Rectangle 451" descr="2">
          <a:extLst>
            <a:ext uri="{FF2B5EF4-FFF2-40B4-BE49-F238E27FC236}">
              <a16:creationId xmlns:a16="http://schemas.microsoft.com/office/drawing/2014/main" xmlns="" id="{00000000-0008-0000-0200-00004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98" name="Rectangle 452" descr="2">
          <a:extLst>
            <a:ext uri="{FF2B5EF4-FFF2-40B4-BE49-F238E27FC236}">
              <a16:creationId xmlns:a16="http://schemas.microsoft.com/office/drawing/2014/main" xmlns="" id="{00000000-0008-0000-0200-00004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099" name="Rectangle 453" descr="2">
          <a:extLst>
            <a:ext uri="{FF2B5EF4-FFF2-40B4-BE49-F238E27FC236}">
              <a16:creationId xmlns:a16="http://schemas.microsoft.com/office/drawing/2014/main" xmlns="" id="{00000000-0008-0000-0200-00004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00" name="Rectangle 454" descr="2">
          <a:extLst>
            <a:ext uri="{FF2B5EF4-FFF2-40B4-BE49-F238E27FC236}">
              <a16:creationId xmlns:a16="http://schemas.microsoft.com/office/drawing/2014/main" xmlns="" id="{00000000-0008-0000-0200-00004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01" name="Rectangle 455" descr="2">
          <a:extLst>
            <a:ext uri="{FF2B5EF4-FFF2-40B4-BE49-F238E27FC236}">
              <a16:creationId xmlns:a16="http://schemas.microsoft.com/office/drawing/2014/main" xmlns="" id="{00000000-0008-0000-0200-00004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02" name="Rectangle 456" descr="2">
          <a:extLst>
            <a:ext uri="{FF2B5EF4-FFF2-40B4-BE49-F238E27FC236}">
              <a16:creationId xmlns:a16="http://schemas.microsoft.com/office/drawing/2014/main" xmlns="" id="{00000000-0008-0000-0200-00004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03" name="Rectangle 457" descr="2">
          <a:extLst>
            <a:ext uri="{FF2B5EF4-FFF2-40B4-BE49-F238E27FC236}">
              <a16:creationId xmlns:a16="http://schemas.microsoft.com/office/drawing/2014/main" xmlns="" id="{00000000-0008-0000-0200-00005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04" name="Rectangle 458" descr="1">
          <a:extLst>
            <a:ext uri="{FF2B5EF4-FFF2-40B4-BE49-F238E27FC236}">
              <a16:creationId xmlns:a16="http://schemas.microsoft.com/office/drawing/2014/main" xmlns="" id="{00000000-0008-0000-0200-00005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05" name="Rectangle 444" descr="2">
          <a:extLst>
            <a:ext uri="{FF2B5EF4-FFF2-40B4-BE49-F238E27FC236}">
              <a16:creationId xmlns:a16="http://schemas.microsoft.com/office/drawing/2014/main" xmlns="" id="{00000000-0008-0000-0200-00005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06" name="Rectangle 445" descr="2">
          <a:extLst>
            <a:ext uri="{FF2B5EF4-FFF2-40B4-BE49-F238E27FC236}">
              <a16:creationId xmlns:a16="http://schemas.microsoft.com/office/drawing/2014/main" xmlns="" id="{00000000-0008-0000-0200-00005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07" name="Rectangle 446" descr="2">
          <a:extLst>
            <a:ext uri="{FF2B5EF4-FFF2-40B4-BE49-F238E27FC236}">
              <a16:creationId xmlns:a16="http://schemas.microsoft.com/office/drawing/2014/main" xmlns="" id="{00000000-0008-0000-0200-00005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08" name="Rectangle 447" descr="2">
          <a:extLst>
            <a:ext uri="{FF2B5EF4-FFF2-40B4-BE49-F238E27FC236}">
              <a16:creationId xmlns:a16="http://schemas.microsoft.com/office/drawing/2014/main" xmlns="" id="{00000000-0008-0000-0200-00005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09" name="Rectangle 448" descr="2">
          <a:extLst>
            <a:ext uri="{FF2B5EF4-FFF2-40B4-BE49-F238E27FC236}">
              <a16:creationId xmlns:a16="http://schemas.microsoft.com/office/drawing/2014/main" xmlns="" id="{00000000-0008-0000-0200-00005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10" name="Rectangle 449" descr="2">
          <a:extLst>
            <a:ext uri="{FF2B5EF4-FFF2-40B4-BE49-F238E27FC236}">
              <a16:creationId xmlns:a16="http://schemas.microsoft.com/office/drawing/2014/main" xmlns="" id="{00000000-0008-0000-0200-00005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11" name="Rectangle 450" descr="2">
          <a:extLst>
            <a:ext uri="{FF2B5EF4-FFF2-40B4-BE49-F238E27FC236}">
              <a16:creationId xmlns:a16="http://schemas.microsoft.com/office/drawing/2014/main" xmlns="" id="{00000000-0008-0000-0200-00005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12" name="Rectangle 451" descr="2">
          <a:extLst>
            <a:ext uri="{FF2B5EF4-FFF2-40B4-BE49-F238E27FC236}">
              <a16:creationId xmlns:a16="http://schemas.microsoft.com/office/drawing/2014/main" xmlns="" id="{00000000-0008-0000-0200-00005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13" name="Rectangle 452" descr="2">
          <a:extLst>
            <a:ext uri="{FF2B5EF4-FFF2-40B4-BE49-F238E27FC236}">
              <a16:creationId xmlns:a16="http://schemas.microsoft.com/office/drawing/2014/main" xmlns="" id="{00000000-0008-0000-0200-00005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14" name="Rectangle 453" descr="2">
          <a:extLst>
            <a:ext uri="{FF2B5EF4-FFF2-40B4-BE49-F238E27FC236}">
              <a16:creationId xmlns:a16="http://schemas.microsoft.com/office/drawing/2014/main" xmlns="" id="{00000000-0008-0000-0200-00005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15" name="Rectangle 454" descr="2">
          <a:extLst>
            <a:ext uri="{FF2B5EF4-FFF2-40B4-BE49-F238E27FC236}">
              <a16:creationId xmlns:a16="http://schemas.microsoft.com/office/drawing/2014/main" xmlns="" id="{00000000-0008-0000-0200-00005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16" name="Rectangle 455" descr="2">
          <a:extLst>
            <a:ext uri="{FF2B5EF4-FFF2-40B4-BE49-F238E27FC236}">
              <a16:creationId xmlns:a16="http://schemas.microsoft.com/office/drawing/2014/main" xmlns="" id="{00000000-0008-0000-0200-00005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17" name="Rectangle 456" descr="2">
          <a:extLst>
            <a:ext uri="{FF2B5EF4-FFF2-40B4-BE49-F238E27FC236}">
              <a16:creationId xmlns:a16="http://schemas.microsoft.com/office/drawing/2014/main" xmlns="" id="{00000000-0008-0000-0200-00005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18" name="Rectangle 457" descr="2">
          <a:extLst>
            <a:ext uri="{FF2B5EF4-FFF2-40B4-BE49-F238E27FC236}">
              <a16:creationId xmlns:a16="http://schemas.microsoft.com/office/drawing/2014/main" xmlns="" id="{00000000-0008-0000-0200-00005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19" name="Rectangle 458" descr="1">
          <a:extLst>
            <a:ext uri="{FF2B5EF4-FFF2-40B4-BE49-F238E27FC236}">
              <a16:creationId xmlns:a16="http://schemas.microsoft.com/office/drawing/2014/main" xmlns="" id="{00000000-0008-0000-0200-00006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20" name="Rectangle 444" descr="2">
          <a:extLst>
            <a:ext uri="{FF2B5EF4-FFF2-40B4-BE49-F238E27FC236}">
              <a16:creationId xmlns:a16="http://schemas.microsoft.com/office/drawing/2014/main" xmlns="" id="{00000000-0008-0000-0200-00006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21" name="Rectangle 445" descr="2">
          <a:extLst>
            <a:ext uri="{FF2B5EF4-FFF2-40B4-BE49-F238E27FC236}">
              <a16:creationId xmlns:a16="http://schemas.microsoft.com/office/drawing/2014/main" xmlns="" id="{00000000-0008-0000-0200-00006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22" name="Rectangle 446" descr="2">
          <a:extLst>
            <a:ext uri="{FF2B5EF4-FFF2-40B4-BE49-F238E27FC236}">
              <a16:creationId xmlns:a16="http://schemas.microsoft.com/office/drawing/2014/main" xmlns="" id="{00000000-0008-0000-0200-00006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23" name="Rectangle 447" descr="2">
          <a:extLst>
            <a:ext uri="{FF2B5EF4-FFF2-40B4-BE49-F238E27FC236}">
              <a16:creationId xmlns:a16="http://schemas.microsoft.com/office/drawing/2014/main" xmlns="" id="{00000000-0008-0000-0200-00006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24" name="Rectangle 448" descr="2">
          <a:extLst>
            <a:ext uri="{FF2B5EF4-FFF2-40B4-BE49-F238E27FC236}">
              <a16:creationId xmlns:a16="http://schemas.microsoft.com/office/drawing/2014/main" xmlns="" id="{00000000-0008-0000-0200-00006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25" name="Rectangle 449" descr="2">
          <a:extLst>
            <a:ext uri="{FF2B5EF4-FFF2-40B4-BE49-F238E27FC236}">
              <a16:creationId xmlns:a16="http://schemas.microsoft.com/office/drawing/2014/main" xmlns="" id="{00000000-0008-0000-0200-00006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26" name="Rectangle 450" descr="2">
          <a:extLst>
            <a:ext uri="{FF2B5EF4-FFF2-40B4-BE49-F238E27FC236}">
              <a16:creationId xmlns:a16="http://schemas.microsoft.com/office/drawing/2014/main" xmlns="" id="{00000000-0008-0000-0200-00006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27" name="Rectangle 451" descr="2">
          <a:extLst>
            <a:ext uri="{FF2B5EF4-FFF2-40B4-BE49-F238E27FC236}">
              <a16:creationId xmlns:a16="http://schemas.microsoft.com/office/drawing/2014/main" xmlns="" id="{00000000-0008-0000-0200-00006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28" name="Rectangle 452" descr="2">
          <a:extLst>
            <a:ext uri="{FF2B5EF4-FFF2-40B4-BE49-F238E27FC236}">
              <a16:creationId xmlns:a16="http://schemas.microsoft.com/office/drawing/2014/main" xmlns="" id="{00000000-0008-0000-0200-00006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29" name="Rectangle 453" descr="2">
          <a:extLst>
            <a:ext uri="{FF2B5EF4-FFF2-40B4-BE49-F238E27FC236}">
              <a16:creationId xmlns:a16="http://schemas.microsoft.com/office/drawing/2014/main" xmlns="" id="{00000000-0008-0000-0200-00006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30" name="Rectangle 454" descr="2">
          <a:extLst>
            <a:ext uri="{FF2B5EF4-FFF2-40B4-BE49-F238E27FC236}">
              <a16:creationId xmlns:a16="http://schemas.microsoft.com/office/drawing/2014/main" xmlns="" id="{00000000-0008-0000-0200-00006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31" name="Rectangle 455" descr="2">
          <a:extLst>
            <a:ext uri="{FF2B5EF4-FFF2-40B4-BE49-F238E27FC236}">
              <a16:creationId xmlns:a16="http://schemas.microsoft.com/office/drawing/2014/main" xmlns="" id="{00000000-0008-0000-0200-00006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32" name="Rectangle 456" descr="2">
          <a:extLst>
            <a:ext uri="{FF2B5EF4-FFF2-40B4-BE49-F238E27FC236}">
              <a16:creationId xmlns:a16="http://schemas.microsoft.com/office/drawing/2014/main" xmlns="" id="{00000000-0008-0000-0200-00006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33" name="Rectangle 457" descr="2">
          <a:extLst>
            <a:ext uri="{FF2B5EF4-FFF2-40B4-BE49-F238E27FC236}">
              <a16:creationId xmlns:a16="http://schemas.microsoft.com/office/drawing/2014/main" xmlns="" id="{00000000-0008-0000-0200-00006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34" name="Rectangle 458" descr="1">
          <a:extLst>
            <a:ext uri="{FF2B5EF4-FFF2-40B4-BE49-F238E27FC236}">
              <a16:creationId xmlns:a16="http://schemas.microsoft.com/office/drawing/2014/main" xmlns="" id="{00000000-0008-0000-0200-00006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35" name="Rectangle 444" descr="2">
          <a:extLst>
            <a:ext uri="{FF2B5EF4-FFF2-40B4-BE49-F238E27FC236}">
              <a16:creationId xmlns:a16="http://schemas.microsoft.com/office/drawing/2014/main" xmlns="" id="{00000000-0008-0000-0200-00007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36" name="Rectangle 445" descr="2">
          <a:extLst>
            <a:ext uri="{FF2B5EF4-FFF2-40B4-BE49-F238E27FC236}">
              <a16:creationId xmlns:a16="http://schemas.microsoft.com/office/drawing/2014/main" xmlns="" id="{00000000-0008-0000-0200-00007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37" name="Rectangle 446" descr="2">
          <a:extLst>
            <a:ext uri="{FF2B5EF4-FFF2-40B4-BE49-F238E27FC236}">
              <a16:creationId xmlns:a16="http://schemas.microsoft.com/office/drawing/2014/main" xmlns="" id="{00000000-0008-0000-0200-00007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38" name="Rectangle 447" descr="2">
          <a:extLst>
            <a:ext uri="{FF2B5EF4-FFF2-40B4-BE49-F238E27FC236}">
              <a16:creationId xmlns:a16="http://schemas.microsoft.com/office/drawing/2014/main" xmlns="" id="{00000000-0008-0000-0200-00007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39" name="Rectangle 448" descr="2">
          <a:extLst>
            <a:ext uri="{FF2B5EF4-FFF2-40B4-BE49-F238E27FC236}">
              <a16:creationId xmlns:a16="http://schemas.microsoft.com/office/drawing/2014/main" xmlns="" id="{00000000-0008-0000-0200-00007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40" name="Rectangle 449" descr="2">
          <a:extLst>
            <a:ext uri="{FF2B5EF4-FFF2-40B4-BE49-F238E27FC236}">
              <a16:creationId xmlns:a16="http://schemas.microsoft.com/office/drawing/2014/main" xmlns="" id="{00000000-0008-0000-0200-00007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41" name="Rectangle 450" descr="2">
          <a:extLst>
            <a:ext uri="{FF2B5EF4-FFF2-40B4-BE49-F238E27FC236}">
              <a16:creationId xmlns:a16="http://schemas.microsoft.com/office/drawing/2014/main" xmlns="" id="{00000000-0008-0000-0200-00007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42" name="Rectangle 451" descr="2">
          <a:extLst>
            <a:ext uri="{FF2B5EF4-FFF2-40B4-BE49-F238E27FC236}">
              <a16:creationId xmlns:a16="http://schemas.microsoft.com/office/drawing/2014/main" xmlns="" id="{00000000-0008-0000-0200-00007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43" name="Rectangle 452" descr="2">
          <a:extLst>
            <a:ext uri="{FF2B5EF4-FFF2-40B4-BE49-F238E27FC236}">
              <a16:creationId xmlns:a16="http://schemas.microsoft.com/office/drawing/2014/main" xmlns="" id="{00000000-0008-0000-0200-00007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44" name="Rectangle 453" descr="2">
          <a:extLst>
            <a:ext uri="{FF2B5EF4-FFF2-40B4-BE49-F238E27FC236}">
              <a16:creationId xmlns:a16="http://schemas.microsoft.com/office/drawing/2014/main" xmlns="" id="{00000000-0008-0000-0200-00007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45" name="Rectangle 454" descr="2">
          <a:extLst>
            <a:ext uri="{FF2B5EF4-FFF2-40B4-BE49-F238E27FC236}">
              <a16:creationId xmlns:a16="http://schemas.microsoft.com/office/drawing/2014/main" xmlns="" id="{00000000-0008-0000-0200-00007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46" name="Rectangle 455" descr="2">
          <a:extLst>
            <a:ext uri="{FF2B5EF4-FFF2-40B4-BE49-F238E27FC236}">
              <a16:creationId xmlns:a16="http://schemas.microsoft.com/office/drawing/2014/main" xmlns="" id="{00000000-0008-0000-0200-00007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47" name="Rectangle 456" descr="2">
          <a:extLst>
            <a:ext uri="{FF2B5EF4-FFF2-40B4-BE49-F238E27FC236}">
              <a16:creationId xmlns:a16="http://schemas.microsoft.com/office/drawing/2014/main" xmlns="" id="{00000000-0008-0000-0200-00007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48" name="Rectangle 457" descr="2">
          <a:extLst>
            <a:ext uri="{FF2B5EF4-FFF2-40B4-BE49-F238E27FC236}">
              <a16:creationId xmlns:a16="http://schemas.microsoft.com/office/drawing/2014/main" xmlns="" id="{00000000-0008-0000-0200-00007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49" name="Rectangle 458" descr="1">
          <a:extLst>
            <a:ext uri="{FF2B5EF4-FFF2-40B4-BE49-F238E27FC236}">
              <a16:creationId xmlns:a16="http://schemas.microsoft.com/office/drawing/2014/main" xmlns="" id="{00000000-0008-0000-0200-00007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50" name="Rectangle 444" descr="2">
          <a:extLst>
            <a:ext uri="{FF2B5EF4-FFF2-40B4-BE49-F238E27FC236}">
              <a16:creationId xmlns:a16="http://schemas.microsoft.com/office/drawing/2014/main" xmlns="" id="{00000000-0008-0000-0200-00007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51" name="Rectangle 445" descr="2">
          <a:extLst>
            <a:ext uri="{FF2B5EF4-FFF2-40B4-BE49-F238E27FC236}">
              <a16:creationId xmlns:a16="http://schemas.microsoft.com/office/drawing/2014/main" xmlns="" id="{00000000-0008-0000-0200-00008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52" name="Rectangle 446" descr="2">
          <a:extLst>
            <a:ext uri="{FF2B5EF4-FFF2-40B4-BE49-F238E27FC236}">
              <a16:creationId xmlns:a16="http://schemas.microsoft.com/office/drawing/2014/main" xmlns="" id="{00000000-0008-0000-0200-00008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53" name="Rectangle 447" descr="2">
          <a:extLst>
            <a:ext uri="{FF2B5EF4-FFF2-40B4-BE49-F238E27FC236}">
              <a16:creationId xmlns:a16="http://schemas.microsoft.com/office/drawing/2014/main" xmlns="" id="{00000000-0008-0000-0200-00008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54" name="Rectangle 448" descr="2">
          <a:extLst>
            <a:ext uri="{FF2B5EF4-FFF2-40B4-BE49-F238E27FC236}">
              <a16:creationId xmlns:a16="http://schemas.microsoft.com/office/drawing/2014/main" xmlns="" id="{00000000-0008-0000-0200-00008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55" name="Rectangle 449" descr="2">
          <a:extLst>
            <a:ext uri="{FF2B5EF4-FFF2-40B4-BE49-F238E27FC236}">
              <a16:creationId xmlns:a16="http://schemas.microsoft.com/office/drawing/2014/main" xmlns="" id="{00000000-0008-0000-0200-00008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56" name="Rectangle 450" descr="2">
          <a:extLst>
            <a:ext uri="{FF2B5EF4-FFF2-40B4-BE49-F238E27FC236}">
              <a16:creationId xmlns:a16="http://schemas.microsoft.com/office/drawing/2014/main" xmlns="" id="{00000000-0008-0000-0200-00008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57" name="Rectangle 451" descr="2">
          <a:extLst>
            <a:ext uri="{FF2B5EF4-FFF2-40B4-BE49-F238E27FC236}">
              <a16:creationId xmlns:a16="http://schemas.microsoft.com/office/drawing/2014/main" xmlns="" id="{00000000-0008-0000-0200-00008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58" name="Rectangle 452" descr="2">
          <a:extLst>
            <a:ext uri="{FF2B5EF4-FFF2-40B4-BE49-F238E27FC236}">
              <a16:creationId xmlns:a16="http://schemas.microsoft.com/office/drawing/2014/main" xmlns="" id="{00000000-0008-0000-0200-00008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59" name="Rectangle 453" descr="2">
          <a:extLst>
            <a:ext uri="{FF2B5EF4-FFF2-40B4-BE49-F238E27FC236}">
              <a16:creationId xmlns:a16="http://schemas.microsoft.com/office/drawing/2014/main" xmlns="" id="{00000000-0008-0000-0200-00008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60" name="Rectangle 454" descr="2">
          <a:extLst>
            <a:ext uri="{FF2B5EF4-FFF2-40B4-BE49-F238E27FC236}">
              <a16:creationId xmlns:a16="http://schemas.microsoft.com/office/drawing/2014/main" xmlns="" id="{00000000-0008-0000-0200-00008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61" name="Rectangle 455" descr="2">
          <a:extLst>
            <a:ext uri="{FF2B5EF4-FFF2-40B4-BE49-F238E27FC236}">
              <a16:creationId xmlns:a16="http://schemas.microsoft.com/office/drawing/2014/main" xmlns="" id="{00000000-0008-0000-0200-00008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62" name="Rectangle 456" descr="2">
          <a:extLst>
            <a:ext uri="{FF2B5EF4-FFF2-40B4-BE49-F238E27FC236}">
              <a16:creationId xmlns:a16="http://schemas.microsoft.com/office/drawing/2014/main" xmlns="" id="{00000000-0008-0000-0200-00008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63" name="Rectangle 457" descr="2">
          <a:extLst>
            <a:ext uri="{FF2B5EF4-FFF2-40B4-BE49-F238E27FC236}">
              <a16:creationId xmlns:a16="http://schemas.microsoft.com/office/drawing/2014/main" xmlns="" id="{00000000-0008-0000-0200-00008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64" name="Rectangle 458" descr="1">
          <a:extLst>
            <a:ext uri="{FF2B5EF4-FFF2-40B4-BE49-F238E27FC236}">
              <a16:creationId xmlns:a16="http://schemas.microsoft.com/office/drawing/2014/main" xmlns="" id="{00000000-0008-0000-0200-00008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65" name="Rectangle 444" descr="2">
          <a:extLst>
            <a:ext uri="{FF2B5EF4-FFF2-40B4-BE49-F238E27FC236}">
              <a16:creationId xmlns:a16="http://schemas.microsoft.com/office/drawing/2014/main" xmlns="" id="{00000000-0008-0000-0200-00008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66" name="Rectangle 445" descr="2">
          <a:extLst>
            <a:ext uri="{FF2B5EF4-FFF2-40B4-BE49-F238E27FC236}">
              <a16:creationId xmlns:a16="http://schemas.microsoft.com/office/drawing/2014/main" xmlns="" id="{00000000-0008-0000-0200-00008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67" name="Rectangle 446" descr="2">
          <a:extLst>
            <a:ext uri="{FF2B5EF4-FFF2-40B4-BE49-F238E27FC236}">
              <a16:creationId xmlns:a16="http://schemas.microsoft.com/office/drawing/2014/main" xmlns="" id="{00000000-0008-0000-0200-00009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68" name="Rectangle 447" descr="2">
          <a:extLst>
            <a:ext uri="{FF2B5EF4-FFF2-40B4-BE49-F238E27FC236}">
              <a16:creationId xmlns:a16="http://schemas.microsoft.com/office/drawing/2014/main" xmlns="" id="{00000000-0008-0000-0200-00009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69" name="Rectangle 448" descr="2">
          <a:extLst>
            <a:ext uri="{FF2B5EF4-FFF2-40B4-BE49-F238E27FC236}">
              <a16:creationId xmlns:a16="http://schemas.microsoft.com/office/drawing/2014/main" xmlns="" id="{00000000-0008-0000-0200-00009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70" name="Rectangle 449" descr="2">
          <a:extLst>
            <a:ext uri="{FF2B5EF4-FFF2-40B4-BE49-F238E27FC236}">
              <a16:creationId xmlns:a16="http://schemas.microsoft.com/office/drawing/2014/main" xmlns="" id="{00000000-0008-0000-0200-00009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71" name="Rectangle 450" descr="2">
          <a:extLst>
            <a:ext uri="{FF2B5EF4-FFF2-40B4-BE49-F238E27FC236}">
              <a16:creationId xmlns:a16="http://schemas.microsoft.com/office/drawing/2014/main" xmlns="" id="{00000000-0008-0000-0200-00009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72" name="Rectangle 451" descr="2">
          <a:extLst>
            <a:ext uri="{FF2B5EF4-FFF2-40B4-BE49-F238E27FC236}">
              <a16:creationId xmlns:a16="http://schemas.microsoft.com/office/drawing/2014/main" xmlns="" id="{00000000-0008-0000-0200-00009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73" name="Rectangle 452" descr="2">
          <a:extLst>
            <a:ext uri="{FF2B5EF4-FFF2-40B4-BE49-F238E27FC236}">
              <a16:creationId xmlns:a16="http://schemas.microsoft.com/office/drawing/2014/main" xmlns="" id="{00000000-0008-0000-0200-00009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74" name="Rectangle 453" descr="2">
          <a:extLst>
            <a:ext uri="{FF2B5EF4-FFF2-40B4-BE49-F238E27FC236}">
              <a16:creationId xmlns:a16="http://schemas.microsoft.com/office/drawing/2014/main" xmlns="" id="{00000000-0008-0000-0200-00009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75" name="Rectangle 454" descr="2">
          <a:extLst>
            <a:ext uri="{FF2B5EF4-FFF2-40B4-BE49-F238E27FC236}">
              <a16:creationId xmlns:a16="http://schemas.microsoft.com/office/drawing/2014/main" xmlns="" id="{00000000-0008-0000-0200-00009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76" name="Rectangle 455" descr="2">
          <a:extLst>
            <a:ext uri="{FF2B5EF4-FFF2-40B4-BE49-F238E27FC236}">
              <a16:creationId xmlns:a16="http://schemas.microsoft.com/office/drawing/2014/main" xmlns="" id="{00000000-0008-0000-0200-00009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77" name="Rectangle 456" descr="2">
          <a:extLst>
            <a:ext uri="{FF2B5EF4-FFF2-40B4-BE49-F238E27FC236}">
              <a16:creationId xmlns:a16="http://schemas.microsoft.com/office/drawing/2014/main" xmlns="" id="{00000000-0008-0000-0200-00009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78" name="Rectangle 457" descr="2">
          <a:extLst>
            <a:ext uri="{FF2B5EF4-FFF2-40B4-BE49-F238E27FC236}">
              <a16:creationId xmlns:a16="http://schemas.microsoft.com/office/drawing/2014/main" xmlns="" id="{00000000-0008-0000-0200-00009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79" name="Rectangle 458" descr="1">
          <a:extLst>
            <a:ext uri="{FF2B5EF4-FFF2-40B4-BE49-F238E27FC236}">
              <a16:creationId xmlns:a16="http://schemas.microsoft.com/office/drawing/2014/main" xmlns="" id="{00000000-0008-0000-0200-00009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80" name="Rectangle 444" descr="2">
          <a:extLst>
            <a:ext uri="{FF2B5EF4-FFF2-40B4-BE49-F238E27FC236}">
              <a16:creationId xmlns:a16="http://schemas.microsoft.com/office/drawing/2014/main" xmlns="" id="{00000000-0008-0000-0200-00009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81" name="Rectangle 445" descr="2">
          <a:extLst>
            <a:ext uri="{FF2B5EF4-FFF2-40B4-BE49-F238E27FC236}">
              <a16:creationId xmlns:a16="http://schemas.microsoft.com/office/drawing/2014/main" xmlns="" id="{00000000-0008-0000-0200-00009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82" name="Rectangle 446" descr="2">
          <a:extLst>
            <a:ext uri="{FF2B5EF4-FFF2-40B4-BE49-F238E27FC236}">
              <a16:creationId xmlns:a16="http://schemas.microsoft.com/office/drawing/2014/main" xmlns="" id="{00000000-0008-0000-0200-00009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83" name="Rectangle 447" descr="2">
          <a:extLst>
            <a:ext uri="{FF2B5EF4-FFF2-40B4-BE49-F238E27FC236}">
              <a16:creationId xmlns:a16="http://schemas.microsoft.com/office/drawing/2014/main" xmlns="" id="{00000000-0008-0000-0200-0000A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84" name="Rectangle 448" descr="2">
          <a:extLst>
            <a:ext uri="{FF2B5EF4-FFF2-40B4-BE49-F238E27FC236}">
              <a16:creationId xmlns:a16="http://schemas.microsoft.com/office/drawing/2014/main" xmlns="" id="{00000000-0008-0000-0200-0000A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85" name="Rectangle 449" descr="2">
          <a:extLst>
            <a:ext uri="{FF2B5EF4-FFF2-40B4-BE49-F238E27FC236}">
              <a16:creationId xmlns:a16="http://schemas.microsoft.com/office/drawing/2014/main" xmlns="" id="{00000000-0008-0000-0200-0000A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86" name="Rectangle 450" descr="2">
          <a:extLst>
            <a:ext uri="{FF2B5EF4-FFF2-40B4-BE49-F238E27FC236}">
              <a16:creationId xmlns:a16="http://schemas.microsoft.com/office/drawing/2014/main" xmlns="" id="{00000000-0008-0000-0200-0000A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87" name="Rectangle 451" descr="2">
          <a:extLst>
            <a:ext uri="{FF2B5EF4-FFF2-40B4-BE49-F238E27FC236}">
              <a16:creationId xmlns:a16="http://schemas.microsoft.com/office/drawing/2014/main" xmlns="" id="{00000000-0008-0000-0200-0000A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88" name="Rectangle 452" descr="2">
          <a:extLst>
            <a:ext uri="{FF2B5EF4-FFF2-40B4-BE49-F238E27FC236}">
              <a16:creationId xmlns:a16="http://schemas.microsoft.com/office/drawing/2014/main" xmlns="" id="{00000000-0008-0000-0200-0000A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89" name="Rectangle 453" descr="2">
          <a:extLst>
            <a:ext uri="{FF2B5EF4-FFF2-40B4-BE49-F238E27FC236}">
              <a16:creationId xmlns:a16="http://schemas.microsoft.com/office/drawing/2014/main" xmlns="" id="{00000000-0008-0000-0200-0000A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90" name="Rectangle 454" descr="2">
          <a:extLst>
            <a:ext uri="{FF2B5EF4-FFF2-40B4-BE49-F238E27FC236}">
              <a16:creationId xmlns:a16="http://schemas.microsoft.com/office/drawing/2014/main" xmlns="" id="{00000000-0008-0000-0200-0000A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91" name="Rectangle 455" descr="2">
          <a:extLst>
            <a:ext uri="{FF2B5EF4-FFF2-40B4-BE49-F238E27FC236}">
              <a16:creationId xmlns:a16="http://schemas.microsoft.com/office/drawing/2014/main" xmlns="" id="{00000000-0008-0000-0200-0000A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92" name="Rectangle 456" descr="2">
          <a:extLst>
            <a:ext uri="{FF2B5EF4-FFF2-40B4-BE49-F238E27FC236}">
              <a16:creationId xmlns:a16="http://schemas.microsoft.com/office/drawing/2014/main" xmlns="" id="{00000000-0008-0000-0200-0000A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93" name="Rectangle 457" descr="2">
          <a:extLst>
            <a:ext uri="{FF2B5EF4-FFF2-40B4-BE49-F238E27FC236}">
              <a16:creationId xmlns:a16="http://schemas.microsoft.com/office/drawing/2014/main" xmlns="" id="{00000000-0008-0000-0200-0000A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94" name="Rectangle 458" descr="1">
          <a:extLst>
            <a:ext uri="{FF2B5EF4-FFF2-40B4-BE49-F238E27FC236}">
              <a16:creationId xmlns:a16="http://schemas.microsoft.com/office/drawing/2014/main" xmlns="" id="{00000000-0008-0000-0200-0000A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95" name="Rectangle 444" descr="2">
          <a:extLst>
            <a:ext uri="{FF2B5EF4-FFF2-40B4-BE49-F238E27FC236}">
              <a16:creationId xmlns:a16="http://schemas.microsoft.com/office/drawing/2014/main" xmlns="" id="{00000000-0008-0000-0200-0000A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96" name="Rectangle 445" descr="2">
          <a:extLst>
            <a:ext uri="{FF2B5EF4-FFF2-40B4-BE49-F238E27FC236}">
              <a16:creationId xmlns:a16="http://schemas.microsoft.com/office/drawing/2014/main" xmlns="" id="{00000000-0008-0000-0200-0000A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97" name="Rectangle 446" descr="2">
          <a:extLst>
            <a:ext uri="{FF2B5EF4-FFF2-40B4-BE49-F238E27FC236}">
              <a16:creationId xmlns:a16="http://schemas.microsoft.com/office/drawing/2014/main" xmlns="" id="{00000000-0008-0000-0200-0000A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98" name="Rectangle 447" descr="2">
          <a:extLst>
            <a:ext uri="{FF2B5EF4-FFF2-40B4-BE49-F238E27FC236}">
              <a16:creationId xmlns:a16="http://schemas.microsoft.com/office/drawing/2014/main" xmlns="" id="{00000000-0008-0000-0200-0000A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199" name="Rectangle 448" descr="2">
          <a:extLst>
            <a:ext uri="{FF2B5EF4-FFF2-40B4-BE49-F238E27FC236}">
              <a16:creationId xmlns:a16="http://schemas.microsoft.com/office/drawing/2014/main" xmlns="" id="{00000000-0008-0000-0200-0000B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00" name="Rectangle 449" descr="2">
          <a:extLst>
            <a:ext uri="{FF2B5EF4-FFF2-40B4-BE49-F238E27FC236}">
              <a16:creationId xmlns:a16="http://schemas.microsoft.com/office/drawing/2014/main" xmlns="" id="{00000000-0008-0000-0200-0000B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01" name="Rectangle 450" descr="2">
          <a:extLst>
            <a:ext uri="{FF2B5EF4-FFF2-40B4-BE49-F238E27FC236}">
              <a16:creationId xmlns:a16="http://schemas.microsoft.com/office/drawing/2014/main" xmlns="" id="{00000000-0008-0000-0200-0000B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02" name="Rectangle 451" descr="2">
          <a:extLst>
            <a:ext uri="{FF2B5EF4-FFF2-40B4-BE49-F238E27FC236}">
              <a16:creationId xmlns:a16="http://schemas.microsoft.com/office/drawing/2014/main" xmlns="" id="{00000000-0008-0000-0200-0000B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03" name="Rectangle 452" descr="2">
          <a:extLst>
            <a:ext uri="{FF2B5EF4-FFF2-40B4-BE49-F238E27FC236}">
              <a16:creationId xmlns:a16="http://schemas.microsoft.com/office/drawing/2014/main" xmlns="" id="{00000000-0008-0000-0200-0000B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04" name="Rectangle 453" descr="2">
          <a:extLst>
            <a:ext uri="{FF2B5EF4-FFF2-40B4-BE49-F238E27FC236}">
              <a16:creationId xmlns:a16="http://schemas.microsoft.com/office/drawing/2014/main" xmlns="" id="{00000000-0008-0000-0200-0000B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05" name="Rectangle 454" descr="2">
          <a:extLst>
            <a:ext uri="{FF2B5EF4-FFF2-40B4-BE49-F238E27FC236}">
              <a16:creationId xmlns:a16="http://schemas.microsoft.com/office/drawing/2014/main" xmlns="" id="{00000000-0008-0000-0200-0000B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06" name="Rectangle 455" descr="2">
          <a:extLst>
            <a:ext uri="{FF2B5EF4-FFF2-40B4-BE49-F238E27FC236}">
              <a16:creationId xmlns:a16="http://schemas.microsoft.com/office/drawing/2014/main" xmlns="" id="{00000000-0008-0000-0200-0000B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07" name="Rectangle 456" descr="2">
          <a:extLst>
            <a:ext uri="{FF2B5EF4-FFF2-40B4-BE49-F238E27FC236}">
              <a16:creationId xmlns:a16="http://schemas.microsoft.com/office/drawing/2014/main" xmlns="" id="{00000000-0008-0000-0200-0000B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08" name="Rectangle 457" descr="2">
          <a:extLst>
            <a:ext uri="{FF2B5EF4-FFF2-40B4-BE49-F238E27FC236}">
              <a16:creationId xmlns:a16="http://schemas.microsoft.com/office/drawing/2014/main" xmlns="" id="{00000000-0008-0000-0200-0000B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09" name="Rectangle 458" descr="1">
          <a:extLst>
            <a:ext uri="{FF2B5EF4-FFF2-40B4-BE49-F238E27FC236}">
              <a16:creationId xmlns:a16="http://schemas.microsoft.com/office/drawing/2014/main" xmlns="" id="{00000000-0008-0000-0200-0000B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10" name="Rectangle 444" descr="2">
          <a:extLst>
            <a:ext uri="{FF2B5EF4-FFF2-40B4-BE49-F238E27FC236}">
              <a16:creationId xmlns:a16="http://schemas.microsoft.com/office/drawing/2014/main" xmlns="" id="{00000000-0008-0000-0200-0000B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11" name="Rectangle 445" descr="2">
          <a:extLst>
            <a:ext uri="{FF2B5EF4-FFF2-40B4-BE49-F238E27FC236}">
              <a16:creationId xmlns:a16="http://schemas.microsoft.com/office/drawing/2014/main" xmlns="" id="{00000000-0008-0000-0200-0000B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12" name="Rectangle 446" descr="2">
          <a:extLst>
            <a:ext uri="{FF2B5EF4-FFF2-40B4-BE49-F238E27FC236}">
              <a16:creationId xmlns:a16="http://schemas.microsoft.com/office/drawing/2014/main" xmlns="" id="{00000000-0008-0000-0200-0000B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13" name="Rectangle 447" descr="2">
          <a:extLst>
            <a:ext uri="{FF2B5EF4-FFF2-40B4-BE49-F238E27FC236}">
              <a16:creationId xmlns:a16="http://schemas.microsoft.com/office/drawing/2014/main" xmlns="" id="{00000000-0008-0000-0200-0000B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14" name="Rectangle 448" descr="2">
          <a:extLst>
            <a:ext uri="{FF2B5EF4-FFF2-40B4-BE49-F238E27FC236}">
              <a16:creationId xmlns:a16="http://schemas.microsoft.com/office/drawing/2014/main" xmlns="" id="{00000000-0008-0000-0200-0000B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15" name="Rectangle 449" descr="2">
          <a:extLst>
            <a:ext uri="{FF2B5EF4-FFF2-40B4-BE49-F238E27FC236}">
              <a16:creationId xmlns:a16="http://schemas.microsoft.com/office/drawing/2014/main" xmlns="" id="{00000000-0008-0000-0200-0000C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16" name="Rectangle 450" descr="2">
          <a:extLst>
            <a:ext uri="{FF2B5EF4-FFF2-40B4-BE49-F238E27FC236}">
              <a16:creationId xmlns:a16="http://schemas.microsoft.com/office/drawing/2014/main" xmlns="" id="{00000000-0008-0000-0200-0000C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17" name="Rectangle 451" descr="2">
          <a:extLst>
            <a:ext uri="{FF2B5EF4-FFF2-40B4-BE49-F238E27FC236}">
              <a16:creationId xmlns:a16="http://schemas.microsoft.com/office/drawing/2014/main" xmlns="" id="{00000000-0008-0000-0200-0000C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18" name="Rectangle 452" descr="2">
          <a:extLst>
            <a:ext uri="{FF2B5EF4-FFF2-40B4-BE49-F238E27FC236}">
              <a16:creationId xmlns:a16="http://schemas.microsoft.com/office/drawing/2014/main" xmlns="" id="{00000000-0008-0000-0200-0000C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19" name="Rectangle 453" descr="2">
          <a:extLst>
            <a:ext uri="{FF2B5EF4-FFF2-40B4-BE49-F238E27FC236}">
              <a16:creationId xmlns:a16="http://schemas.microsoft.com/office/drawing/2014/main" xmlns="" id="{00000000-0008-0000-0200-0000C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20" name="Rectangle 454" descr="2">
          <a:extLst>
            <a:ext uri="{FF2B5EF4-FFF2-40B4-BE49-F238E27FC236}">
              <a16:creationId xmlns:a16="http://schemas.microsoft.com/office/drawing/2014/main" xmlns="" id="{00000000-0008-0000-0200-0000C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21" name="Rectangle 455" descr="2">
          <a:extLst>
            <a:ext uri="{FF2B5EF4-FFF2-40B4-BE49-F238E27FC236}">
              <a16:creationId xmlns:a16="http://schemas.microsoft.com/office/drawing/2014/main" xmlns="" id="{00000000-0008-0000-0200-0000C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22" name="Rectangle 456" descr="2">
          <a:extLst>
            <a:ext uri="{FF2B5EF4-FFF2-40B4-BE49-F238E27FC236}">
              <a16:creationId xmlns:a16="http://schemas.microsoft.com/office/drawing/2014/main" xmlns="" id="{00000000-0008-0000-0200-0000C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23" name="Rectangle 457" descr="2">
          <a:extLst>
            <a:ext uri="{FF2B5EF4-FFF2-40B4-BE49-F238E27FC236}">
              <a16:creationId xmlns:a16="http://schemas.microsoft.com/office/drawing/2014/main" xmlns="" id="{00000000-0008-0000-0200-0000C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24" name="Rectangle 458" descr="1">
          <a:extLst>
            <a:ext uri="{FF2B5EF4-FFF2-40B4-BE49-F238E27FC236}">
              <a16:creationId xmlns:a16="http://schemas.microsoft.com/office/drawing/2014/main" xmlns="" id="{00000000-0008-0000-0200-0000C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25" name="Rectangle 444" descr="2">
          <a:extLst>
            <a:ext uri="{FF2B5EF4-FFF2-40B4-BE49-F238E27FC236}">
              <a16:creationId xmlns:a16="http://schemas.microsoft.com/office/drawing/2014/main" xmlns="" id="{00000000-0008-0000-0200-0000C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26" name="Rectangle 445" descr="2">
          <a:extLst>
            <a:ext uri="{FF2B5EF4-FFF2-40B4-BE49-F238E27FC236}">
              <a16:creationId xmlns:a16="http://schemas.microsoft.com/office/drawing/2014/main" xmlns="" id="{00000000-0008-0000-0200-0000C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27" name="Rectangle 446" descr="2">
          <a:extLst>
            <a:ext uri="{FF2B5EF4-FFF2-40B4-BE49-F238E27FC236}">
              <a16:creationId xmlns:a16="http://schemas.microsoft.com/office/drawing/2014/main" xmlns="" id="{00000000-0008-0000-0200-0000C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28" name="Rectangle 447" descr="2">
          <a:extLst>
            <a:ext uri="{FF2B5EF4-FFF2-40B4-BE49-F238E27FC236}">
              <a16:creationId xmlns:a16="http://schemas.microsoft.com/office/drawing/2014/main" xmlns="" id="{00000000-0008-0000-0200-0000C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29" name="Rectangle 448" descr="2">
          <a:extLst>
            <a:ext uri="{FF2B5EF4-FFF2-40B4-BE49-F238E27FC236}">
              <a16:creationId xmlns:a16="http://schemas.microsoft.com/office/drawing/2014/main" xmlns="" id="{00000000-0008-0000-0200-0000C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30" name="Rectangle 449" descr="2">
          <a:extLst>
            <a:ext uri="{FF2B5EF4-FFF2-40B4-BE49-F238E27FC236}">
              <a16:creationId xmlns:a16="http://schemas.microsoft.com/office/drawing/2014/main" xmlns="" id="{00000000-0008-0000-0200-0000C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31" name="Rectangle 450" descr="2">
          <a:extLst>
            <a:ext uri="{FF2B5EF4-FFF2-40B4-BE49-F238E27FC236}">
              <a16:creationId xmlns:a16="http://schemas.microsoft.com/office/drawing/2014/main" xmlns="" id="{00000000-0008-0000-0200-0000D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32" name="Rectangle 451" descr="2">
          <a:extLst>
            <a:ext uri="{FF2B5EF4-FFF2-40B4-BE49-F238E27FC236}">
              <a16:creationId xmlns:a16="http://schemas.microsoft.com/office/drawing/2014/main" xmlns="" id="{00000000-0008-0000-0200-0000D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33" name="Rectangle 452" descr="2">
          <a:extLst>
            <a:ext uri="{FF2B5EF4-FFF2-40B4-BE49-F238E27FC236}">
              <a16:creationId xmlns:a16="http://schemas.microsoft.com/office/drawing/2014/main" xmlns="" id="{00000000-0008-0000-0200-0000D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34" name="Rectangle 453" descr="2">
          <a:extLst>
            <a:ext uri="{FF2B5EF4-FFF2-40B4-BE49-F238E27FC236}">
              <a16:creationId xmlns:a16="http://schemas.microsoft.com/office/drawing/2014/main" xmlns="" id="{00000000-0008-0000-0200-0000D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35" name="Rectangle 454" descr="2">
          <a:extLst>
            <a:ext uri="{FF2B5EF4-FFF2-40B4-BE49-F238E27FC236}">
              <a16:creationId xmlns:a16="http://schemas.microsoft.com/office/drawing/2014/main" xmlns="" id="{00000000-0008-0000-0200-0000D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36" name="Rectangle 455" descr="2">
          <a:extLst>
            <a:ext uri="{FF2B5EF4-FFF2-40B4-BE49-F238E27FC236}">
              <a16:creationId xmlns:a16="http://schemas.microsoft.com/office/drawing/2014/main" xmlns="" id="{00000000-0008-0000-0200-0000D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37" name="Rectangle 456" descr="2">
          <a:extLst>
            <a:ext uri="{FF2B5EF4-FFF2-40B4-BE49-F238E27FC236}">
              <a16:creationId xmlns:a16="http://schemas.microsoft.com/office/drawing/2014/main" xmlns="" id="{00000000-0008-0000-0200-0000D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38" name="Rectangle 457" descr="2">
          <a:extLst>
            <a:ext uri="{FF2B5EF4-FFF2-40B4-BE49-F238E27FC236}">
              <a16:creationId xmlns:a16="http://schemas.microsoft.com/office/drawing/2014/main" xmlns="" id="{00000000-0008-0000-0200-0000D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39" name="Rectangle 458" descr="1">
          <a:extLst>
            <a:ext uri="{FF2B5EF4-FFF2-40B4-BE49-F238E27FC236}">
              <a16:creationId xmlns:a16="http://schemas.microsoft.com/office/drawing/2014/main" xmlns="" id="{00000000-0008-0000-0200-0000D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40" name="Rectangle 444" descr="2">
          <a:extLst>
            <a:ext uri="{FF2B5EF4-FFF2-40B4-BE49-F238E27FC236}">
              <a16:creationId xmlns:a16="http://schemas.microsoft.com/office/drawing/2014/main" xmlns="" id="{00000000-0008-0000-0200-0000D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41" name="Rectangle 445" descr="2">
          <a:extLst>
            <a:ext uri="{FF2B5EF4-FFF2-40B4-BE49-F238E27FC236}">
              <a16:creationId xmlns:a16="http://schemas.microsoft.com/office/drawing/2014/main" xmlns="" id="{00000000-0008-0000-0200-0000D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42" name="Rectangle 446" descr="2">
          <a:extLst>
            <a:ext uri="{FF2B5EF4-FFF2-40B4-BE49-F238E27FC236}">
              <a16:creationId xmlns:a16="http://schemas.microsoft.com/office/drawing/2014/main" xmlns="" id="{00000000-0008-0000-0200-0000D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43" name="Rectangle 447" descr="2">
          <a:extLst>
            <a:ext uri="{FF2B5EF4-FFF2-40B4-BE49-F238E27FC236}">
              <a16:creationId xmlns:a16="http://schemas.microsoft.com/office/drawing/2014/main" xmlns="" id="{00000000-0008-0000-0200-0000D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44" name="Rectangle 448" descr="2">
          <a:extLst>
            <a:ext uri="{FF2B5EF4-FFF2-40B4-BE49-F238E27FC236}">
              <a16:creationId xmlns:a16="http://schemas.microsoft.com/office/drawing/2014/main" xmlns="" id="{00000000-0008-0000-0200-0000D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45" name="Rectangle 449" descr="2">
          <a:extLst>
            <a:ext uri="{FF2B5EF4-FFF2-40B4-BE49-F238E27FC236}">
              <a16:creationId xmlns:a16="http://schemas.microsoft.com/office/drawing/2014/main" xmlns="" id="{00000000-0008-0000-0200-0000D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46" name="Rectangle 450" descr="2">
          <a:extLst>
            <a:ext uri="{FF2B5EF4-FFF2-40B4-BE49-F238E27FC236}">
              <a16:creationId xmlns:a16="http://schemas.microsoft.com/office/drawing/2014/main" xmlns="" id="{00000000-0008-0000-0200-0000D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47" name="Rectangle 451" descr="2">
          <a:extLst>
            <a:ext uri="{FF2B5EF4-FFF2-40B4-BE49-F238E27FC236}">
              <a16:creationId xmlns:a16="http://schemas.microsoft.com/office/drawing/2014/main" xmlns="" id="{00000000-0008-0000-0200-0000E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48" name="Rectangle 452" descr="2">
          <a:extLst>
            <a:ext uri="{FF2B5EF4-FFF2-40B4-BE49-F238E27FC236}">
              <a16:creationId xmlns:a16="http://schemas.microsoft.com/office/drawing/2014/main" xmlns="" id="{00000000-0008-0000-0200-0000E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49" name="Rectangle 453" descr="2">
          <a:extLst>
            <a:ext uri="{FF2B5EF4-FFF2-40B4-BE49-F238E27FC236}">
              <a16:creationId xmlns:a16="http://schemas.microsoft.com/office/drawing/2014/main" xmlns="" id="{00000000-0008-0000-0200-0000E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50" name="Rectangle 454" descr="2">
          <a:extLst>
            <a:ext uri="{FF2B5EF4-FFF2-40B4-BE49-F238E27FC236}">
              <a16:creationId xmlns:a16="http://schemas.microsoft.com/office/drawing/2014/main" xmlns="" id="{00000000-0008-0000-0200-0000E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51" name="Rectangle 455" descr="2">
          <a:extLst>
            <a:ext uri="{FF2B5EF4-FFF2-40B4-BE49-F238E27FC236}">
              <a16:creationId xmlns:a16="http://schemas.microsoft.com/office/drawing/2014/main" xmlns="" id="{00000000-0008-0000-0200-0000E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52" name="Rectangle 456" descr="2">
          <a:extLst>
            <a:ext uri="{FF2B5EF4-FFF2-40B4-BE49-F238E27FC236}">
              <a16:creationId xmlns:a16="http://schemas.microsoft.com/office/drawing/2014/main" xmlns="" id="{00000000-0008-0000-0200-0000E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53" name="Rectangle 457" descr="2">
          <a:extLst>
            <a:ext uri="{FF2B5EF4-FFF2-40B4-BE49-F238E27FC236}">
              <a16:creationId xmlns:a16="http://schemas.microsoft.com/office/drawing/2014/main" xmlns="" id="{00000000-0008-0000-0200-0000E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54" name="Rectangle 458" descr="1">
          <a:extLst>
            <a:ext uri="{FF2B5EF4-FFF2-40B4-BE49-F238E27FC236}">
              <a16:creationId xmlns:a16="http://schemas.microsoft.com/office/drawing/2014/main" xmlns="" id="{00000000-0008-0000-0200-0000E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55" name="Rectangle 444" descr="2">
          <a:extLst>
            <a:ext uri="{FF2B5EF4-FFF2-40B4-BE49-F238E27FC236}">
              <a16:creationId xmlns:a16="http://schemas.microsoft.com/office/drawing/2014/main" xmlns="" id="{00000000-0008-0000-0200-0000E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56" name="Rectangle 445" descr="2">
          <a:extLst>
            <a:ext uri="{FF2B5EF4-FFF2-40B4-BE49-F238E27FC236}">
              <a16:creationId xmlns:a16="http://schemas.microsoft.com/office/drawing/2014/main" xmlns="" id="{00000000-0008-0000-0200-0000E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57" name="Rectangle 446" descr="2">
          <a:extLst>
            <a:ext uri="{FF2B5EF4-FFF2-40B4-BE49-F238E27FC236}">
              <a16:creationId xmlns:a16="http://schemas.microsoft.com/office/drawing/2014/main" xmlns="" id="{00000000-0008-0000-0200-0000E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58" name="Rectangle 447" descr="2">
          <a:extLst>
            <a:ext uri="{FF2B5EF4-FFF2-40B4-BE49-F238E27FC236}">
              <a16:creationId xmlns:a16="http://schemas.microsoft.com/office/drawing/2014/main" xmlns="" id="{00000000-0008-0000-0200-0000E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59" name="Rectangle 448" descr="2">
          <a:extLst>
            <a:ext uri="{FF2B5EF4-FFF2-40B4-BE49-F238E27FC236}">
              <a16:creationId xmlns:a16="http://schemas.microsoft.com/office/drawing/2014/main" xmlns="" id="{00000000-0008-0000-0200-0000E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60" name="Rectangle 449" descr="2">
          <a:extLst>
            <a:ext uri="{FF2B5EF4-FFF2-40B4-BE49-F238E27FC236}">
              <a16:creationId xmlns:a16="http://schemas.microsoft.com/office/drawing/2014/main" xmlns="" id="{00000000-0008-0000-0200-0000E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61" name="Rectangle 450" descr="2">
          <a:extLst>
            <a:ext uri="{FF2B5EF4-FFF2-40B4-BE49-F238E27FC236}">
              <a16:creationId xmlns:a16="http://schemas.microsoft.com/office/drawing/2014/main" xmlns="" id="{00000000-0008-0000-0200-0000E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62" name="Rectangle 451" descr="2">
          <a:extLst>
            <a:ext uri="{FF2B5EF4-FFF2-40B4-BE49-F238E27FC236}">
              <a16:creationId xmlns:a16="http://schemas.microsoft.com/office/drawing/2014/main" xmlns="" id="{00000000-0008-0000-0200-0000E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63" name="Rectangle 452" descr="2">
          <a:extLst>
            <a:ext uri="{FF2B5EF4-FFF2-40B4-BE49-F238E27FC236}">
              <a16:creationId xmlns:a16="http://schemas.microsoft.com/office/drawing/2014/main" xmlns="" id="{00000000-0008-0000-0200-0000F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64" name="Rectangle 453" descr="2">
          <a:extLst>
            <a:ext uri="{FF2B5EF4-FFF2-40B4-BE49-F238E27FC236}">
              <a16:creationId xmlns:a16="http://schemas.microsoft.com/office/drawing/2014/main" xmlns="" id="{00000000-0008-0000-0200-0000F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65" name="Rectangle 454" descr="2">
          <a:extLst>
            <a:ext uri="{FF2B5EF4-FFF2-40B4-BE49-F238E27FC236}">
              <a16:creationId xmlns:a16="http://schemas.microsoft.com/office/drawing/2014/main" xmlns="" id="{00000000-0008-0000-0200-0000F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66" name="Rectangle 455" descr="2">
          <a:extLst>
            <a:ext uri="{FF2B5EF4-FFF2-40B4-BE49-F238E27FC236}">
              <a16:creationId xmlns:a16="http://schemas.microsoft.com/office/drawing/2014/main" xmlns="" id="{00000000-0008-0000-0200-0000F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67" name="Rectangle 456" descr="2">
          <a:extLst>
            <a:ext uri="{FF2B5EF4-FFF2-40B4-BE49-F238E27FC236}">
              <a16:creationId xmlns:a16="http://schemas.microsoft.com/office/drawing/2014/main" xmlns="" id="{00000000-0008-0000-0200-0000F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68" name="Rectangle 457" descr="2">
          <a:extLst>
            <a:ext uri="{FF2B5EF4-FFF2-40B4-BE49-F238E27FC236}">
              <a16:creationId xmlns:a16="http://schemas.microsoft.com/office/drawing/2014/main" xmlns="" id="{00000000-0008-0000-0200-0000F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69" name="Rectangle 458" descr="1">
          <a:extLst>
            <a:ext uri="{FF2B5EF4-FFF2-40B4-BE49-F238E27FC236}">
              <a16:creationId xmlns:a16="http://schemas.microsoft.com/office/drawing/2014/main" xmlns="" id="{00000000-0008-0000-0200-0000F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70" name="Rectangle 444" descr="2">
          <a:extLst>
            <a:ext uri="{FF2B5EF4-FFF2-40B4-BE49-F238E27FC236}">
              <a16:creationId xmlns:a16="http://schemas.microsoft.com/office/drawing/2014/main" xmlns="" id="{00000000-0008-0000-0200-0000F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71" name="Rectangle 445" descr="2">
          <a:extLst>
            <a:ext uri="{FF2B5EF4-FFF2-40B4-BE49-F238E27FC236}">
              <a16:creationId xmlns:a16="http://schemas.microsoft.com/office/drawing/2014/main" xmlns="" id="{00000000-0008-0000-0200-0000F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72" name="Rectangle 446" descr="2">
          <a:extLst>
            <a:ext uri="{FF2B5EF4-FFF2-40B4-BE49-F238E27FC236}">
              <a16:creationId xmlns:a16="http://schemas.microsoft.com/office/drawing/2014/main" xmlns="" id="{00000000-0008-0000-0200-0000F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73" name="Rectangle 447" descr="2">
          <a:extLst>
            <a:ext uri="{FF2B5EF4-FFF2-40B4-BE49-F238E27FC236}">
              <a16:creationId xmlns:a16="http://schemas.microsoft.com/office/drawing/2014/main" xmlns="" id="{00000000-0008-0000-0200-0000F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74" name="Rectangle 448" descr="2">
          <a:extLst>
            <a:ext uri="{FF2B5EF4-FFF2-40B4-BE49-F238E27FC236}">
              <a16:creationId xmlns:a16="http://schemas.microsoft.com/office/drawing/2014/main" xmlns="" id="{00000000-0008-0000-0200-0000F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75" name="Rectangle 449" descr="2">
          <a:extLst>
            <a:ext uri="{FF2B5EF4-FFF2-40B4-BE49-F238E27FC236}">
              <a16:creationId xmlns:a16="http://schemas.microsoft.com/office/drawing/2014/main" xmlns="" id="{00000000-0008-0000-0200-0000F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76" name="Rectangle 450" descr="2">
          <a:extLst>
            <a:ext uri="{FF2B5EF4-FFF2-40B4-BE49-F238E27FC236}">
              <a16:creationId xmlns:a16="http://schemas.microsoft.com/office/drawing/2014/main" xmlns="" id="{00000000-0008-0000-0200-0000F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77" name="Rectangle 451" descr="2">
          <a:extLst>
            <a:ext uri="{FF2B5EF4-FFF2-40B4-BE49-F238E27FC236}">
              <a16:creationId xmlns:a16="http://schemas.microsoft.com/office/drawing/2014/main" xmlns="" id="{00000000-0008-0000-0200-0000F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78" name="Rectangle 452" descr="2">
          <a:extLst>
            <a:ext uri="{FF2B5EF4-FFF2-40B4-BE49-F238E27FC236}">
              <a16:creationId xmlns:a16="http://schemas.microsoft.com/office/drawing/2014/main" xmlns="" id="{00000000-0008-0000-0200-0000F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79" name="Rectangle 453" descr="2">
          <a:extLst>
            <a:ext uri="{FF2B5EF4-FFF2-40B4-BE49-F238E27FC236}">
              <a16:creationId xmlns:a16="http://schemas.microsoft.com/office/drawing/2014/main" xmlns="" id="{00000000-0008-0000-0200-00000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80" name="Rectangle 454" descr="2">
          <a:extLst>
            <a:ext uri="{FF2B5EF4-FFF2-40B4-BE49-F238E27FC236}">
              <a16:creationId xmlns:a16="http://schemas.microsoft.com/office/drawing/2014/main" xmlns="" id="{00000000-0008-0000-0200-00000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81" name="Rectangle 455" descr="2">
          <a:extLst>
            <a:ext uri="{FF2B5EF4-FFF2-40B4-BE49-F238E27FC236}">
              <a16:creationId xmlns:a16="http://schemas.microsoft.com/office/drawing/2014/main" xmlns="" id="{00000000-0008-0000-0200-00000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82" name="Rectangle 456" descr="2">
          <a:extLst>
            <a:ext uri="{FF2B5EF4-FFF2-40B4-BE49-F238E27FC236}">
              <a16:creationId xmlns:a16="http://schemas.microsoft.com/office/drawing/2014/main" xmlns="" id="{00000000-0008-0000-0200-00000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83" name="Rectangle 457" descr="2">
          <a:extLst>
            <a:ext uri="{FF2B5EF4-FFF2-40B4-BE49-F238E27FC236}">
              <a16:creationId xmlns:a16="http://schemas.microsoft.com/office/drawing/2014/main" xmlns="" id="{00000000-0008-0000-0200-00000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84" name="Rectangle 458" descr="1">
          <a:extLst>
            <a:ext uri="{FF2B5EF4-FFF2-40B4-BE49-F238E27FC236}">
              <a16:creationId xmlns:a16="http://schemas.microsoft.com/office/drawing/2014/main" xmlns="" id="{00000000-0008-0000-0200-00000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85" name="Rectangle 444" descr="2">
          <a:extLst>
            <a:ext uri="{FF2B5EF4-FFF2-40B4-BE49-F238E27FC236}">
              <a16:creationId xmlns:a16="http://schemas.microsoft.com/office/drawing/2014/main" xmlns="" id="{00000000-0008-0000-0200-00000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86" name="Rectangle 445" descr="2">
          <a:extLst>
            <a:ext uri="{FF2B5EF4-FFF2-40B4-BE49-F238E27FC236}">
              <a16:creationId xmlns:a16="http://schemas.microsoft.com/office/drawing/2014/main" xmlns="" id="{00000000-0008-0000-0200-00000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87" name="Rectangle 446" descr="2">
          <a:extLst>
            <a:ext uri="{FF2B5EF4-FFF2-40B4-BE49-F238E27FC236}">
              <a16:creationId xmlns:a16="http://schemas.microsoft.com/office/drawing/2014/main" xmlns="" id="{00000000-0008-0000-0200-00000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88" name="Rectangle 447" descr="2">
          <a:extLst>
            <a:ext uri="{FF2B5EF4-FFF2-40B4-BE49-F238E27FC236}">
              <a16:creationId xmlns:a16="http://schemas.microsoft.com/office/drawing/2014/main" xmlns="" id="{00000000-0008-0000-0200-00000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89" name="Rectangle 448" descr="2">
          <a:extLst>
            <a:ext uri="{FF2B5EF4-FFF2-40B4-BE49-F238E27FC236}">
              <a16:creationId xmlns:a16="http://schemas.microsoft.com/office/drawing/2014/main" xmlns="" id="{00000000-0008-0000-0200-00000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90" name="Rectangle 449" descr="2">
          <a:extLst>
            <a:ext uri="{FF2B5EF4-FFF2-40B4-BE49-F238E27FC236}">
              <a16:creationId xmlns:a16="http://schemas.microsoft.com/office/drawing/2014/main" xmlns="" id="{00000000-0008-0000-0200-00000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91" name="Rectangle 450" descr="2">
          <a:extLst>
            <a:ext uri="{FF2B5EF4-FFF2-40B4-BE49-F238E27FC236}">
              <a16:creationId xmlns:a16="http://schemas.microsoft.com/office/drawing/2014/main" xmlns="" id="{00000000-0008-0000-0200-00000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92" name="Rectangle 451" descr="2">
          <a:extLst>
            <a:ext uri="{FF2B5EF4-FFF2-40B4-BE49-F238E27FC236}">
              <a16:creationId xmlns:a16="http://schemas.microsoft.com/office/drawing/2014/main" xmlns="" id="{00000000-0008-0000-0200-00000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93" name="Rectangle 452" descr="2">
          <a:extLst>
            <a:ext uri="{FF2B5EF4-FFF2-40B4-BE49-F238E27FC236}">
              <a16:creationId xmlns:a16="http://schemas.microsoft.com/office/drawing/2014/main" xmlns="" id="{00000000-0008-0000-0200-00000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94" name="Rectangle 453" descr="2">
          <a:extLst>
            <a:ext uri="{FF2B5EF4-FFF2-40B4-BE49-F238E27FC236}">
              <a16:creationId xmlns:a16="http://schemas.microsoft.com/office/drawing/2014/main" xmlns="" id="{00000000-0008-0000-0200-00000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95" name="Rectangle 454" descr="2">
          <a:extLst>
            <a:ext uri="{FF2B5EF4-FFF2-40B4-BE49-F238E27FC236}">
              <a16:creationId xmlns:a16="http://schemas.microsoft.com/office/drawing/2014/main" xmlns="" id="{00000000-0008-0000-0200-00001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96" name="Rectangle 455" descr="2">
          <a:extLst>
            <a:ext uri="{FF2B5EF4-FFF2-40B4-BE49-F238E27FC236}">
              <a16:creationId xmlns:a16="http://schemas.microsoft.com/office/drawing/2014/main" xmlns="" id="{00000000-0008-0000-0200-00001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97" name="Rectangle 456" descr="2">
          <a:extLst>
            <a:ext uri="{FF2B5EF4-FFF2-40B4-BE49-F238E27FC236}">
              <a16:creationId xmlns:a16="http://schemas.microsoft.com/office/drawing/2014/main" xmlns="" id="{00000000-0008-0000-0200-00001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98" name="Rectangle 457" descr="2">
          <a:extLst>
            <a:ext uri="{FF2B5EF4-FFF2-40B4-BE49-F238E27FC236}">
              <a16:creationId xmlns:a16="http://schemas.microsoft.com/office/drawing/2014/main" xmlns="" id="{00000000-0008-0000-0200-00001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299" name="Rectangle 458" descr="1">
          <a:extLst>
            <a:ext uri="{FF2B5EF4-FFF2-40B4-BE49-F238E27FC236}">
              <a16:creationId xmlns:a16="http://schemas.microsoft.com/office/drawing/2014/main" xmlns="" id="{00000000-0008-0000-0200-00001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00" name="Rectangle 444" descr="2">
          <a:extLst>
            <a:ext uri="{FF2B5EF4-FFF2-40B4-BE49-F238E27FC236}">
              <a16:creationId xmlns:a16="http://schemas.microsoft.com/office/drawing/2014/main" xmlns="" id="{00000000-0008-0000-0200-00001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01" name="Rectangle 445" descr="2">
          <a:extLst>
            <a:ext uri="{FF2B5EF4-FFF2-40B4-BE49-F238E27FC236}">
              <a16:creationId xmlns:a16="http://schemas.microsoft.com/office/drawing/2014/main" xmlns="" id="{00000000-0008-0000-0200-00001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02" name="Rectangle 446" descr="2">
          <a:extLst>
            <a:ext uri="{FF2B5EF4-FFF2-40B4-BE49-F238E27FC236}">
              <a16:creationId xmlns:a16="http://schemas.microsoft.com/office/drawing/2014/main" xmlns="" id="{00000000-0008-0000-0200-00001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03" name="Rectangle 447" descr="2">
          <a:extLst>
            <a:ext uri="{FF2B5EF4-FFF2-40B4-BE49-F238E27FC236}">
              <a16:creationId xmlns:a16="http://schemas.microsoft.com/office/drawing/2014/main" xmlns="" id="{00000000-0008-0000-0200-00001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04" name="Rectangle 448" descr="2">
          <a:extLst>
            <a:ext uri="{FF2B5EF4-FFF2-40B4-BE49-F238E27FC236}">
              <a16:creationId xmlns:a16="http://schemas.microsoft.com/office/drawing/2014/main" xmlns="" id="{00000000-0008-0000-0200-00001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05" name="Rectangle 449" descr="2">
          <a:extLst>
            <a:ext uri="{FF2B5EF4-FFF2-40B4-BE49-F238E27FC236}">
              <a16:creationId xmlns:a16="http://schemas.microsoft.com/office/drawing/2014/main" xmlns="" id="{00000000-0008-0000-0200-00001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06" name="Rectangle 450" descr="2">
          <a:extLst>
            <a:ext uri="{FF2B5EF4-FFF2-40B4-BE49-F238E27FC236}">
              <a16:creationId xmlns:a16="http://schemas.microsoft.com/office/drawing/2014/main" xmlns="" id="{00000000-0008-0000-0200-00001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07" name="Rectangle 451" descr="2">
          <a:extLst>
            <a:ext uri="{FF2B5EF4-FFF2-40B4-BE49-F238E27FC236}">
              <a16:creationId xmlns:a16="http://schemas.microsoft.com/office/drawing/2014/main" xmlns="" id="{00000000-0008-0000-0200-00001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08" name="Rectangle 452" descr="2">
          <a:extLst>
            <a:ext uri="{FF2B5EF4-FFF2-40B4-BE49-F238E27FC236}">
              <a16:creationId xmlns:a16="http://schemas.microsoft.com/office/drawing/2014/main" xmlns="" id="{00000000-0008-0000-0200-00001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09" name="Rectangle 453" descr="2">
          <a:extLst>
            <a:ext uri="{FF2B5EF4-FFF2-40B4-BE49-F238E27FC236}">
              <a16:creationId xmlns:a16="http://schemas.microsoft.com/office/drawing/2014/main" xmlns="" id="{00000000-0008-0000-0200-00001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10" name="Rectangle 454" descr="2">
          <a:extLst>
            <a:ext uri="{FF2B5EF4-FFF2-40B4-BE49-F238E27FC236}">
              <a16:creationId xmlns:a16="http://schemas.microsoft.com/office/drawing/2014/main" xmlns="" id="{00000000-0008-0000-0200-00001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11" name="Rectangle 455" descr="2">
          <a:extLst>
            <a:ext uri="{FF2B5EF4-FFF2-40B4-BE49-F238E27FC236}">
              <a16:creationId xmlns:a16="http://schemas.microsoft.com/office/drawing/2014/main" xmlns="" id="{00000000-0008-0000-0200-00002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12" name="Rectangle 456" descr="2">
          <a:extLst>
            <a:ext uri="{FF2B5EF4-FFF2-40B4-BE49-F238E27FC236}">
              <a16:creationId xmlns:a16="http://schemas.microsoft.com/office/drawing/2014/main" xmlns="" id="{00000000-0008-0000-0200-00002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13" name="Rectangle 457" descr="2">
          <a:extLst>
            <a:ext uri="{FF2B5EF4-FFF2-40B4-BE49-F238E27FC236}">
              <a16:creationId xmlns:a16="http://schemas.microsoft.com/office/drawing/2014/main" xmlns="" id="{00000000-0008-0000-0200-00002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14" name="Rectangle 458" descr="1">
          <a:extLst>
            <a:ext uri="{FF2B5EF4-FFF2-40B4-BE49-F238E27FC236}">
              <a16:creationId xmlns:a16="http://schemas.microsoft.com/office/drawing/2014/main" xmlns="" id="{00000000-0008-0000-0200-00002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15" name="Rectangle 444" descr="2">
          <a:extLst>
            <a:ext uri="{FF2B5EF4-FFF2-40B4-BE49-F238E27FC236}">
              <a16:creationId xmlns:a16="http://schemas.microsoft.com/office/drawing/2014/main" xmlns="" id="{00000000-0008-0000-0200-00002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16" name="Rectangle 445" descr="2">
          <a:extLst>
            <a:ext uri="{FF2B5EF4-FFF2-40B4-BE49-F238E27FC236}">
              <a16:creationId xmlns:a16="http://schemas.microsoft.com/office/drawing/2014/main" xmlns="" id="{00000000-0008-0000-0200-00002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17" name="Rectangle 446" descr="2">
          <a:extLst>
            <a:ext uri="{FF2B5EF4-FFF2-40B4-BE49-F238E27FC236}">
              <a16:creationId xmlns:a16="http://schemas.microsoft.com/office/drawing/2014/main" xmlns="" id="{00000000-0008-0000-0200-00002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18" name="Rectangle 447" descr="2">
          <a:extLst>
            <a:ext uri="{FF2B5EF4-FFF2-40B4-BE49-F238E27FC236}">
              <a16:creationId xmlns:a16="http://schemas.microsoft.com/office/drawing/2014/main" xmlns="" id="{00000000-0008-0000-0200-00002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19" name="Rectangle 448" descr="2">
          <a:extLst>
            <a:ext uri="{FF2B5EF4-FFF2-40B4-BE49-F238E27FC236}">
              <a16:creationId xmlns:a16="http://schemas.microsoft.com/office/drawing/2014/main" xmlns="" id="{00000000-0008-0000-0200-00002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20" name="Rectangle 449" descr="2">
          <a:extLst>
            <a:ext uri="{FF2B5EF4-FFF2-40B4-BE49-F238E27FC236}">
              <a16:creationId xmlns:a16="http://schemas.microsoft.com/office/drawing/2014/main" xmlns="" id="{00000000-0008-0000-0200-00002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21" name="Rectangle 450" descr="2">
          <a:extLst>
            <a:ext uri="{FF2B5EF4-FFF2-40B4-BE49-F238E27FC236}">
              <a16:creationId xmlns:a16="http://schemas.microsoft.com/office/drawing/2014/main" xmlns="" id="{00000000-0008-0000-0200-00002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22" name="Rectangle 451" descr="2">
          <a:extLst>
            <a:ext uri="{FF2B5EF4-FFF2-40B4-BE49-F238E27FC236}">
              <a16:creationId xmlns:a16="http://schemas.microsoft.com/office/drawing/2014/main" xmlns="" id="{00000000-0008-0000-0200-00002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23" name="Rectangle 452" descr="2">
          <a:extLst>
            <a:ext uri="{FF2B5EF4-FFF2-40B4-BE49-F238E27FC236}">
              <a16:creationId xmlns:a16="http://schemas.microsoft.com/office/drawing/2014/main" xmlns="" id="{00000000-0008-0000-0200-00002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24" name="Rectangle 453" descr="2">
          <a:extLst>
            <a:ext uri="{FF2B5EF4-FFF2-40B4-BE49-F238E27FC236}">
              <a16:creationId xmlns:a16="http://schemas.microsoft.com/office/drawing/2014/main" xmlns="" id="{00000000-0008-0000-0200-00002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25" name="Rectangle 454" descr="2">
          <a:extLst>
            <a:ext uri="{FF2B5EF4-FFF2-40B4-BE49-F238E27FC236}">
              <a16:creationId xmlns:a16="http://schemas.microsoft.com/office/drawing/2014/main" xmlns="" id="{00000000-0008-0000-0200-00002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26" name="Rectangle 455" descr="2">
          <a:extLst>
            <a:ext uri="{FF2B5EF4-FFF2-40B4-BE49-F238E27FC236}">
              <a16:creationId xmlns:a16="http://schemas.microsoft.com/office/drawing/2014/main" xmlns="" id="{00000000-0008-0000-0200-00002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27" name="Rectangle 456" descr="2">
          <a:extLst>
            <a:ext uri="{FF2B5EF4-FFF2-40B4-BE49-F238E27FC236}">
              <a16:creationId xmlns:a16="http://schemas.microsoft.com/office/drawing/2014/main" xmlns="" id="{00000000-0008-0000-0200-00003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28" name="Rectangle 457" descr="2">
          <a:extLst>
            <a:ext uri="{FF2B5EF4-FFF2-40B4-BE49-F238E27FC236}">
              <a16:creationId xmlns:a16="http://schemas.microsoft.com/office/drawing/2014/main" xmlns="" id="{00000000-0008-0000-0200-00003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29" name="Rectangle 458" descr="1">
          <a:extLst>
            <a:ext uri="{FF2B5EF4-FFF2-40B4-BE49-F238E27FC236}">
              <a16:creationId xmlns:a16="http://schemas.microsoft.com/office/drawing/2014/main" xmlns="" id="{00000000-0008-0000-0200-00003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30" name="Rectangle 444" descr="2">
          <a:extLst>
            <a:ext uri="{FF2B5EF4-FFF2-40B4-BE49-F238E27FC236}">
              <a16:creationId xmlns:a16="http://schemas.microsoft.com/office/drawing/2014/main" xmlns="" id="{00000000-0008-0000-0200-00003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31" name="Rectangle 445" descr="2">
          <a:extLst>
            <a:ext uri="{FF2B5EF4-FFF2-40B4-BE49-F238E27FC236}">
              <a16:creationId xmlns:a16="http://schemas.microsoft.com/office/drawing/2014/main" xmlns="" id="{00000000-0008-0000-0200-00003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32" name="Rectangle 446" descr="2">
          <a:extLst>
            <a:ext uri="{FF2B5EF4-FFF2-40B4-BE49-F238E27FC236}">
              <a16:creationId xmlns:a16="http://schemas.microsoft.com/office/drawing/2014/main" xmlns="" id="{00000000-0008-0000-0200-00003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33" name="Rectangle 447" descr="2">
          <a:extLst>
            <a:ext uri="{FF2B5EF4-FFF2-40B4-BE49-F238E27FC236}">
              <a16:creationId xmlns:a16="http://schemas.microsoft.com/office/drawing/2014/main" xmlns="" id="{00000000-0008-0000-0200-00003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34" name="Rectangle 448" descr="2">
          <a:extLst>
            <a:ext uri="{FF2B5EF4-FFF2-40B4-BE49-F238E27FC236}">
              <a16:creationId xmlns:a16="http://schemas.microsoft.com/office/drawing/2014/main" xmlns="" id="{00000000-0008-0000-0200-00003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35" name="Rectangle 449" descr="2">
          <a:extLst>
            <a:ext uri="{FF2B5EF4-FFF2-40B4-BE49-F238E27FC236}">
              <a16:creationId xmlns:a16="http://schemas.microsoft.com/office/drawing/2014/main" xmlns="" id="{00000000-0008-0000-0200-00003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36" name="Rectangle 450" descr="2">
          <a:extLst>
            <a:ext uri="{FF2B5EF4-FFF2-40B4-BE49-F238E27FC236}">
              <a16:creationId xmlns:a16="http://schemas.microsoft.com/office/drawing/2014/main" xmlns="" id="{00000000-0008-0000-0200-00003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37" name="Rectangle 451" descr="2">
          <a:extLst>
            <a:ext uri="{FF2B5EF4-FFF2-40B4-BE49-F238E27FC236}">
              <a16:creationId xmlns:a16="http://schemas.microsoft.com/office/drawing/2014/main" xmlns="" id="{00000000-0008-0000-0200-00003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38" name="Rectangle 452" descr="2">
          <a:extLst>
            <a:ext uri="{FF2B5EF4-FFF2-40B4-BE49-F238E27FC236}">
              <a16:creationId xmlns:a16="http://schemas.microsoft.com/office/drawing/2014/main" xmlns="" id="{00000000-0008-0000-0200-00003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39" name="Rectangle 453" descr="2">
          <a:extLst>
            <a:ext uri="{FF2B5EF4-FFF2-40B4-BE49-F238E27FC236}">
              <a16:creationId xmlns:a16="http://schemas.microsoft.com/office/drawing/2014/main" xmlns="" id="{00000000-0008-0000-0200-00003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40" name="Rectangle 454" descr="2">
          <a:extLst>
            <a:ext uri="{FF2B5EF4-FFF2-40B4-BE49-F238E27FC236}">
              <a16:creationId xmlns:a16="http://schemas.microsoft.com/office/drawing/2014/main" xmlns="" id="{00000000-0008-0000-0200-00003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41" name="Rectangle 455" descr="2">
          <a:extLst>
            <a:ext uri="{FF2B5EF4-FFF2-40B4-BE49-F238E27FC236}">
              <a16:creationId xmlns:a16="http://schemas.microsoft.com/office/drawing/2014/main" xmlns="" id="{00000000-0008-0000-0200-00003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42" name="Rectangle 456" descr="2">
          <a:extLst>
            <a:ext uri="{FF2B5EF4-FFF2-40B4-BE49-F238E27FC236}">
              <a16:creationId xmlns:a16="http://schemas.microsoft.com/office/drawing/2014/main" xmlns="" id="{00000000-0008-0000-0200-00003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43" name="Rectangle 457" descr="2">
          <a:extLst>
            <a:ext uri="{FF2B5EF4-FFF2-40B4-BE49-F238E27FC236}">
              <a16:creationId xmlns:a16="http://schemas.microsoft.com/office/drawing/2014/main" xmlns="" id="{00000000-0008-0000-0200-00004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44" name="Rectangle 458" descr="1">
          <a:extLst>
            <a:ext uri="{FF2B5EF4-FFF2-40B4-BE49-F238E27FC236}">
              <a16:creationId xmlns:a16="http://schemas.microsoft.com/office/drawing/2014/main" xmlns="" id="{00000000-0008-0000-0200-00004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45" name="Rectangle 444" descr="2">
          <a:extLst>
            <a:ext uri="{FF2B5EF4-FFF2-40B4-BE49-F238E27FC236}">
              <a16:creationId xmlns:a16="http://schemas.microsoft.com/office/drawing/2014/main" xmlns="" id="{00000000-0008-0000-0200-00004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46" name="Rectangle 445" descr="2">
          <a:extLst>
            <a:ext uri="{FF2B5EF4-FFF2-40B4-BE49-F238E27FC236}">
              <a16:creationId xmlns:a16="http://schemas.microsoft.com/office/drawing/2014/main" xmlns="" id="{00000000-0008-0000-0200-00004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47" name="Rectangle 446" descr="2">
          <a:extLst>
            <a:ext uri="{FF2B5EF4-FFF2-40B4-BE49-F238E27FC236}">
              <a16:creationId xmlns:a16="http://schemas.microsoft.com/office/drawing/2014/main" xmlns="" id="{00000000-0008-0000-0200-00004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48" name="Rectangle 447" descr="2">
          <a:extLst>
            <a:ext uri="{FF2B5EF4-FFF2-40B4-BE49-F238E27FC236}">
              <a16:creationId xmlns:a16="http://schemas.microsoft.com/office/drawing/2014/main" xmlns="" id="{00000000-0008-0000-0200-00004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49" name="Rectangle 448" descr="2">
          <a:extLst>
            <a:ext uri="{FF2B5EF4-FFF2-40B4-BE49-F238E27FC236}">
              <a16:creationId xmlns:a16="http://schemas.microsoft.com/office/drawing/2014/main" xmlns="" id="{00000000-0008-0000-0200-00004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50" name="Rectangle 449" descr="2">
          <a:extLst>
            <a:ext uri="{FF2B5EF4-FFF2-40B4-BE49-F238E27FC236}">
              <a16:creationId xmlns:a16="http://schemas.microsoft.com/office/drawing/2014/main" xmlns="" id="{00000000-0008-0000-0200-00004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51" name="Rectangle 450" descr="2">
          <a:extLst>
            <a:ext uri="{FF2B5EF4-FFF2-40B4-BE49-F238E27FC236}">
              <a16:creationId xmlns:a16="http://schemas.microsoft.com/office/drawing/2014/main" xmlns="" id="{00000000-0008-0000-0200-00004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52" name="Rectangle 451" descr="2">
          <a:extLst>
            <a:ext uri="{FF2B5EF4-FFF2-40B4-BE49-F238E27FC236}">
              <a16:creationId xmlns:a16="http://schemas.microsoft.com/office/drawing/2014/main" xmlns="" id="{00000000-0008-0000-0200-00004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53" name="Rectangle 452" descr="2">
          <a:extLst>
            <a:ext uri="{FF2B5EF4-FFF2-40B4-BE49-F238E27FC236}">
              <a16:creationId xmlns:a16="http://schemas.microsoft.com/office/drawing/2014/main" xmlns="" id="{00000000-0008-0000-0200-00004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54" name="Rectangle 453" descr="2">
          <a:extLst>
            <a:ext uri="{FF2B5EF4-FFF2-40B4-BE49-F238E27FC236}">
              <a16:creationId xmlns:a16="http://schemas.microsoft.com/office/drawing/2014/main" xmlns="" id="{00000000-0008-0000-0200-00004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55" name="Rectangle 454" descr="2">
          <a:extLst>
            <a:ext uri="{FF2B5EF4-FFF2-40B4-BE49-F238E27FC236}">
              <a16:creationId xmlns:a16="http://schemas.microsoft.com/office/drawing/2014/main" xmlns="" id="{00000000-0008-0000-0200-00004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56" name="Rectangle 455" descr="2">
          <a:extLst>
            <a:ext uri="{FF2B5EF4-FFF2-40B4-BE49-F238E27FC236}">
              <a16:creationId xmlns:a16="http://schemas.microsoft.com/office/drawing/2014/main" xmlns="" id="{00000000-0008-0000-0200-00004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57" name="Rectangle 456" descr="2">
          <a:extLst>
            <a:ext uri="{FF2B5EF4-FFF2-40B4-BE49-F238E27FC236}">
              <a16:creationId xmlns:a16="http://schemas.microsoft.com/office/drawing/2014/main" xmlns="" id="{00000000-0008-0000-0200-00004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58" name="Rectangle 457" descr="2">
          <a:extLst>
            <a:ext uri="{FF2B5EF4-FFF2-40B4-BE49-F238E27FC236}">
              <a16:creationId xmlns:a16="http://schemas.microsoft.com/office/drawing/2014/main" xmlns="" id="{00000000-0008-0000-0200-00004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59" name="Rectangle 458" descr="1">
          <a:extLst>
            <a:ext uri="{FF2B5EF4-FFF2-40B4-BE49-F238E27FC236}">
              <a16:creationId xmlns:a16="http://schemas.microsoft.com/office/drawing/2014/main" xmlns="" id="{00000000-0008-0000-0200-00005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60" name="Rectangle 444" descr="2">
          <a:extLst>
            <a:ext uri="{FF2B5EF4-FFF2-40B4-BE49-F238E27FC236}">
              <a16:creationId xmlns:a16="http://schemas.microsoft.com/office/drawing/2014/main" xmlns="" id="{00000000-0008-0000-0200-00005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61" name="Rectangle 445" descr="2">
          <a:extLst>
            <a:ext uri="{FF2B5EF4-FFF2-40B4-BE49-F238E27FC236}">
              <a16:creationId xmlns:a16="http://schemas.microsoft.com/office/drawing/2014/main" xmlns="" id="{00000000-0008-0000-0200-00005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62" name="Rectangle 446" descr="2">
          <a:extLst>
            <a:ext uri="{FF2B5EF4-FFF2-40B4-BE49-F238E27FC236}">
              <a16:creationId xmlns:a16="http://schemas.microsoft.com/office/drawing/2014/main" xmlns="" id="{00000000-0008-0000-0200-00005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63" name="Rectangle 447" descr="2">
          <a:extLst>
            <a:ext uri="{FF2B5EF4-FFF2-40B4-BE49-F238E27FC236}">
              <a16:creationId xmlns:a16="http://schemas.microsoft.com/office/drawing/2014/main" xmlns="" id="{00000000-0008-0000-0200-00005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64" name="Rectangle 448" descr="2">
          <a:extLst>
            <a:ext uri="{FF2B5EF4-FFF2-40B4-BE49-F238E27FC236}">
              <a16:creationId xmlns:a16="http://schemas.microsoft.com/office/drawing/2014/main" xmlns="" id="{00000000-0008-0000-0200-00005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65" name="Rectangle 449" descr="2">
          <a:extLst>
            <a:ext uri="{FF2B5EF4-FFF2-40B4-BE49-F238E27FC236}">
              <a16:creationId xmlns:a16="http://schemas.microsoft.com/office/drawing/2014/main" xmlns="" id="{00000000-0008-0000-0200-00005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66" name="Rectangle 450" descr="2">
          <a:extLst>
            <a:ext uri="{FF2B5EF4-FFF2-40B4-BE49-F238E27FC236}">
              <a16:creationId xmlns:a16="http://schemas.microsoft.com/office/drawing/2014/main" xmlns="" id="{00000000-0008-0000-0200-00005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67" name="Rectangle 451" descr="2">
          <a:extLst>
            <a:ext uri="{FF2B5EF4-FFF2-40B4-BE49-F238E27FC236}">
              <a16:creationId xmlns:a16="http://schemas.microsoft.com/office/drawing/2014/main" xmlns="" id="{00000000-0008-0000-0200-00005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68" name="Rectangle 452" descr="2">
          <a:extLst>
            <a:ext uri="{FF2B5EF4-FFF2-40B4-BE49-F238E27FC236}">
              <a16:creationId xmlns:a16="http://schemas.microsoft.com/office/drawing/2014/main" xmlns="" id="{00000000-0008-0000-0200-00005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69" name="Rectangle 453" descr="2">
          <a:extLst>
            <a:ext uri="{FF2B5EF4-FFF2-40B4-BE49-F238E27FC236}">
              <a16:creationId xmlns:a16="http://schemas.microsoft.com/office/drawing/2014/main" xmlns="" id="{00000000-0008-0000-0200-00005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70" name="Rectangle 454" descr="2">
          <a:extLst>
            <a:ext uri="{FF2B5EF4-FFF2-40B4-BE49-F238E27FC236}">
              <a16:creationId xmlns:a16="http://schemas.microsoft.com/office/drawing/2014/main" xmlns="" id="{00000000-0008-0000-0200-00005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71" name="Rectangle 455" descr="2">
          <a:extLst>
            <a:ext uri="{FF2B5EF4-FFF2-40B4-BE49-F238E27FC236}">
              <a16:creationId xmlns:a16="http://schemas.microsoft.com/office/drawing/2014/main" xmlns="" id="{00000000-0008-0000-0200-00005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72" name="Rectangle 456" descr="2">
          <a:extLst>
            <a:ext uri="{FF2B5EF4-FFF2-40B4-BE49-F238E27FC236}">
              <a16:creationId xmlns:a16="http://schemas.microsoft.com/office/drawing/2014/main" xmlns="" id="{00000000-0008-0000-0200-00005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73" name="Rectangle 457" descr="2">
          <a:extLst>
            <a:ext uri="{FF2B5EF4-FFF2-40B4-BE49-F238E27FC236}">
              <a16:creationId xmlns:a16="http://schemas.microsoft.com/office/drawing/2014/main" xmlns="" id="{00000000-0008-0000-0200-00005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74" name="Rectangle 458" descr="1">
          <a:extLst>
            <a:ext uri="{FF2B5EF4-FFF2-40B4-BE49-F238E27FC236}">
              <a16:creationId xmlns:a16="http://schemas.microsoft.com/office/drawing/2014/main" xmlns="" id="{00000000-0008-0000-0200-00005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75" name="Rectangle 444" descr="2">
          <a:extLst>
            <a:ext uri="{FF2B5EF4-FFF2-40B4-BE49-F238E27FC236}">
              <a16:creationId xmlns:a16="http://schemas.microsoft.com/office/drawing/2014/main" xmlns="" id="{00000000-0008-0000-0200-00006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76" name="Rectangle 445" descr="2">
          <a:extLst>
            <a:ext uri="{FF2B5EF4-FFF2-40B4-BE49-F238E27FC236}">
              <a16:creationId xmlns:a16="http://schemas.microsoft.com/office/drawing/2014/main" xmlns="" id="{00000000-0008-0000-0200-00006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77" name="Rectangle 446" descr="2">
          <a:extLst>
            <a:ext uri="{FF2B5EF4-FFF2-40B4-BE49-F238E27FC236}">
              <a16:creationId xmlns:a16="http://schemas.microsoft.com/office/drawing/2014/main" xmlns="" id="{00000000-0008-0000-0200-00006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78" name="Rectangle 447" descr="2">
          <a:extLst>
            <a:ext uri="{FF2B5EF4-FFF2-40B4-BE49-F238E27FC236}">
              <a16:creationId xmlns:a16="http://schemas.microsoft.com/office/drawing/2014/main" xmlns="" id="{00000000-0008-0000-0200-00006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79" name="Rectangle 448" descr="2">
          <a:extLst>
            <a:ext uri="{FF2B5EF4-FFF2-40B4-BE49-F238E27FC236}">
              <a16:creationId xmlns:a16="http://schemas.microsoft.com/office/drawing/2014/main" xmlns="" id="{00000000-0008-0000-0200-00006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80" name="Rectangle 449" descr="2">
          <a:extLst>
            <a:ext uri="{FF2B5EF4-FFF2-40B4-BE49-F238E27FC236}">
              <a16:creationId xmlns:a16="http://schemas.microsoft.com/office/drawing/2014/main" xmlns="" id="{00000000-0008-0000-0200-00006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81" name="Rectangle 450" descr="2">
          <a:extLst>
            <a:ext uri="{FF2B5EF4-FFF2-40B4-BE49-F238E27FC236}">
              <a16:creationId xmlns:a16="http://schemas.microsoft.com/office/drawing/2014/main" xmlns="" id="{00000000-0008-0000-0200-00006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82" name="Rectangle 451" descr="2">
          <a:extLst>
            <a:ext uri="{FF2B5EF4-FFF2-40B4-BE49-F238E27FC236}">
              <a16:creationId xmlns:a16="http://schemas.microsoft.com/office/drawing/2014/main" xmlns="" id="{00000000-0008-0000-0200-00006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83" name="Rectangle 452" descr="2">
          <a:extLst>
            <a:ext uri="{FF2B5EF4-FFF2-40B4-BE49-F238E27FC236}">
              <a16:creationId xmlns:a16="http://schemas.microsoft.com/office/drawing/2014/main" xmlns="" id="{00000000-0008-0000-0200-00006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84" name="Rectangle 453" descr="2">
          <a:extLst>
            <a:ext uri="{FF2B5EF4-FFF2-40B4-BE49-F238E27FC236}">
              <a16:creationId xmlns:a16="http://schemas.microsoft.com/office/drawing/2014/main" xmlns="" id="{00000000-0008-0000-0200-00006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85" name="Rectangle 454" descr="2">
          <a:extLst>
            <a:ext uri="{FF2B5EF4-FFF2-40B4-BE49-F238E27FC236}">
              <a16:creationId xmlns:a16="http://schemas.microsoft.com/office/drawing/2014/main" xmlns="" id="{00000000-0008-0000-0200-00006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86" name="Rectangle 455" descr="2">
          <a:extLst>
            <a:ext uri="{FF2B5EF4-FFF2-40B4-BE49-F238E27FC236}">
              <a16:creationId xmlns:a16="http://schemas.microsoft.com/office/drawing/2014/main" xmlns="" id="{00000000-0008-0000-0200-00006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87" name="Rectangle 456" descr="2">
          <a:extLst>
            <a:ext uri="{FF2B5EF4-FFF2-40B4-BE49-F238E27FC236}">
              <a16:creationId xmlns:a16="http://schemas.microsoft.com/office/drawing/2014/main" xmlns="" id="{00000000-0008-0000-0200-00006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88" name="Rectangle 457" descr="2">
          <a:extLst>
            <a:ext uri="{FF2B5EF4-FFF2-40B4-BE49-F238E27FC236}">
              <a16:creationId xmlns:a16="http://schemas.microsoft.com/office/drawing/2014/main" xmlns="" id="{00000000-0008-0000-0200-00006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89" name="Rectangle 458" descr="1">
          <a:extLst>
            <a:ext uri="{FF2B5EF4-FFF2-40B4-BE49-F238E27FC236}">
              <a16:creationId xmlns:a16="http://schemas.microsoft.com/office/drawing/2014/main" xmlns="" id="{00000000-0008-0000-0200-00006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90" name="Rectangle 444" descr="2">
          <a:extLst>
            <a:ext uri="{FF2B5EF4-FFF2-40B4-BE49-F238E27FC236}">
              <a16:creationId xmlns:a16="http://schemas.microsoft.com/office/drawing/2014/main" xmlns="" id="{00000000-0008-0000-0200-00006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91" name="Rectangle 445" descr="2">
          <a:extLst>
            <a:ext uri="{FF2B5EF4-FFF2-40B4-BE49-F238E27FC236}">
              <a16:creationId xmlns:a16="http://schemas.microsoft.com/office/drawing/2014/main" xmlns="" id="{00000000-0008-0000-0200-00007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92" name="Rectangle 446" descr="2">
          <a:extLst>
            <a:ext uri="{FF2B5EF4-FFF2-40B4-BE49-F238E27FC236}">
              <a16:creationId xmlns:a16="http://schemas.microsoft.com/office/drawing/2014/main" xmlns="" id="{00000000-0008-0000-0200-00007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93" name="Rectangle 447" descr="2">
          <a:extLst>
            <a:ext uri="{FF2B5EF4-FFF2-40B4-BE49-F238E27FC236}">
              <a16:creationId xmlns:a16="http://schemas.microsoft.com/office/drawing/2014/main" xmlns="" id="{00000000-0008-0000-0200-00007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94" name="Rectangle 448" descr="2">
          <a:extLst>
            <a:ext uri="{FF2B5EF4-FFF2-40B4-BE49-F238E27FC236}">
              <a16:creationId xmlns:a16="http://schemas.microsoft.com/office/drawing/2014/main" xmlns="" id="{00000000-0008-0000-0200-00007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95" name="Rectangle 449" descr="2">
          <a:extLst>
            <a:ext uri="{FF2B5EF4-FFF2-40B4-BE49-F238E27FC236}">
              <a16:creationId xmlns:a16="http://schemas.microsoft.com/office/drawing/2014/main" xmlns="" id="{00000000-0008-0000-0200-00007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96" name="Rectangle 450" descr="2">
          <a:extLst>
            <a:ext uri="{FF2B5EF4-FFF2-40B4-BE49-F238E27FC236}">
              <a16:creationId xmlns:a16="http://schemas.microsoft.com/office/drawing/2014/main" xmlns="" id="{00000000-0008-0000-0200-00007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97" name="Rectangle 451" descr="2">
          <a:extLst>
            <a:ext uri="{FF2B5EF4-FFF2-40B4-BE49-F238E27FC236}">
              <a16:creationId xmlns:a16="http://schemas.microsoft.com/office/drawing/2014/main" xmlns="" id="{00000000-0008-0000-0200-00007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98" name="Rectangle 452" descr="2">
          <a:extLst>
            <a:ext uri="{FF2B5EF4-FFF2-40B4-BE49-F238E27FC236}">
              <a16:creationId xmlns:a16="http://schemas.microsoft.com/office/drawing/2014/main" xmlns="" id="{00000000-0008-0000-0200-00007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399" name="Rectangle 453" descr="2">
          <a:extLst>
            <a:ext uri="{FF2B5EF4-FFF2-40B4-BE49-F238E27FC236}">
              <a16:creationId xmlns:a16="http://schemas.microsoft.com/office/drawing/2014/main" xmlns="" id="{00000000-0008-0000-0200-00007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00" name="Rectangle 454" descr="2">
          <a:extLst>
            <a:ext uri="{FF2B5EF4-FFF2-40B4-BE49-F238E27FC236}">
              <a16:creationId xmlns:a16="http://schemas.microsoft.com/office/drawing/2014/main" xmlns="" id="{00000000-0008-0000-0200-00007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01" name="Rectangle 455" descr="2">
          <a:extLst>
            <a:ext uri="{FF2B5EF4-FFF2-40B4-BE49-F238E27FC236}">
              <a16:creationId xmlns:a16="http://schemas.microsoft.com/office/drawing/2014/main" xmlns="" id="{00000000-0008-0000-0200-00007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02" name="Rectangle 456" descr="2">
          <a:extLst>
            <a:ext uri="{FF2B5EF4-FFF2-40B4-BE49-F238E27FC236}">
              <a16:creationId xmlns:a16="http://schemas.microsoft.com/office/drawing/2014/main" xmlns="" id="{00000000-0008-0000-0200-00007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03" name="Rectangle 457" descr="2">
          <a:extLst>
            <a:ext uri="{FF2B5EF4-FFF2-40B4-BE49-F238E27FC236}">
              <a16:creationId xmlns:a16="http://schemas.microsoft.com/office/drawing/2014/main" xmlns="" id="{00000000-0008-0000-0200-00007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04" name="Rectangle 458" descr="1">
          <a:extLst>
            <a:ext uri="{FF2B5EF4-FFF2-40B4-BE49-F238E27FC236}">
              <a16:creationId xmlns:a16="http://schemas.microsoft.com/office/drawing/2014/main" xmlns="" id="{00000000-0008-0000-0200-00007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05" name="Rectangle 444" descr="2">
          <a:extLst>
            <a:ext uri="{FF2B5EF4-FFF2-40B4-BE49-F238E27FC236}">
              <a16:creationId xmlns:a16="http://schemas.microsoft.com/office/drawing/2014/main" xmlns="" id="{00000000-0008-0000-0200-00007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06" name="Rectangle 445" descr="2">
          <a:extLst>
            <a:ext uri="{FF2B5EF4-FFF2-40B4-BE49-F238E27FC236}">
              <a16:creationId xmlns:a16="http://schemas.microsoft.com/office/drawing/2014/main" xmlns="" id="{00000000-0008-0000-0200-00007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07" name="Rectangle 446" descr="2">
          <a:extLst>
            <a:ext uri="{FF2B5EF4-FFF2-40B4-BE49-F238E27FC236}">
              <a16:creationId xmlns:a16="http://schemas.microsoft.com/office/drawing/2014/main" xmlns="" id="{00000000-0008-0000-0200-00008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08" name="Rectangle 447" descr="2">
          <a:extLst>
            <a:ext uri="{FF2B5EF4-FFF2-40B4-BE49-F238E27FC236}">
              <a16:creationId xmlns:a16="http://schemas.microsoft.com/office/drawing/2014/main" xmlns="" id="{00000000-0008-0000-0200-00008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09" name="Rectangle 448" descr="2">
          <a:extLst>
            <a:ext uri="{FF2B5EF4-FFF2-40B4-BE49-F238E27FC236}">
              <a16:creationId xmlns:a16="http://schemas.microsoft.com/office/drawing/2014/main" xmlns="" id="{00000000-0008-0000-0200-00008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10" name="Rectangle 449" descr="2">
          <a:extLst>
            <a:ext uri="{FF2B5EF4-FFF2-40B4-BE49-F238E27FC236}">
              <a16:creationId xmlns:a16="http://schemas.microsoft.com/office/drawing/2014/main" xmlns="" id="{00000000-0008-0000-0200-00008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11" name="Rectangle 450" descr="2">
          <a:extLst>
            <a:ext uri="{FF2B5EF4-FFF2-40B4-BE49-F238E27FC236}">
              <a16:creationId xmlns:a16="http://schemas.microsoft.com/office/drawing/2014/main" xmlns="" id="{00000000-0008-0000-0200-00008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12" name="Rectangle 451" descr="2">
          <a:extLst>
            <a:ext uri="{FF2B5EF4-FFF2-40B4-BE49-F238E27FC236}">
              <a16:creationId xmlns:a16="http://schemas.microsoft.com/office/drawing/2014/main" xmlns="" id="{00000000-0008-0000-0200-00008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13" name="Rectangle 452" descr="2">
          <a:extLst>
            <a:ext uri="{FF2B5EF4-FFF2-40B4-BE49-F238E27FC236}">
              <a16:creationId xmlns:a16="http://schemas.microsoft.com/office/drawing/2014/main" xmlns="" id="{00000000-0008-0000-0200-00008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14" name="Rectangle 453" descr="2">
          <a:extLst>
            <a:ext uri="{FF2B5EF4-FFF2-40B4-BE49-F238E27FC236}">
              <a16:creationId xmlns:a16="http://schemas.microsoft.com/office/drawing/2014/main" xmlns="" id="{00000000-0008-0000-0200-00008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15" name="Rectangle 454" descr="2">
          <a:extLst>
            <a:ext uri="{FF2B5EF4-FFF2-40B4-BE49-F238E27FC236}">
              <a16:creationId xmlns:a16="http://schemas.microsoft.com/office/drawing/2014/main" xmlns="" id="{00000000-0008-0000-0200-00008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16" name="Rectangle 455" descr="2">
          <a:extLst>
            <a:ext uri="{FF2B5EF4-FFF2-40B4-BE49-F238E27FC236}">
              <a16:creationId xmlns:a16="http://schemas.microsoft.com/office/drawing/2014/main" xmlns="" id="{00000000-0008-0000-0200-00008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17" name="Rectangle 456" descr="2">
          <a:extLst>
            <a:ext uri="{FF2B5EF4-FFF2-40B4-BE49-F238E27FC236}">
              <a16:creationId xmlns:a16="http://schemas.microsoft.com/office/drawing/2014/main" xmlns="" id="{00000000-0008-0000-0200-00008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18" name="Rectangle 457" descr="2">
          <a:extLst>
            <a:ext uri="{FF2B5EF4-FFF2-40B4-BE49-F238E27FC236}">
              <a16:creationId xmlns:a16="http://schemas.microsoft.com/office/drawing/2014/main" xmlns="" id="{00000000-0008-0000-0200-00008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19" name="Rectangle 458" descr="1">
          <a:extLst>
            <a:ext uri="{FF2B5EF4-FFF2-40B4-BE49-F238E27FC236}">
              <a16:creationId xmlns:a16="http://schemas.microsoft.com/office/drawing/2014/main" xmlns="" id="{00000000-0008-0000-0200-00008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20" name="Rectangle 444" descr="2">
          <a:extLst>
            <a:ext uri="{FF2B5EF4-FFF2-40B4-BE49-F238E27FC236}">
              <a16:creationId xmlns:a16="http://schemas.microsoft.com/office/drawing/2014/main" xmlns="" id="{00000000-0008-0000-0200-00008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21" name="Rectangle 445" descr="2">
          <a:extLst>
            <a:ext uri="{FF2B5EF4-FFF2-40B4-BE49-F238E27FC236}">
              <a16:creationId xmlns:a16="http://schemas.microsoft.com/office/drawing/2014/main" xmlns="" id="{00000000-0008-0000-0200-00008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22" name="Rectangle 446" descr="2">
          <a:extLst>
            <a:ext uri="{FF2B5EF4-FFF2-40B4-BE49-F238E27FC236}">
              <a16:creationId xmlns:a16="http://schemas.microsoft.com/office/drawing/2014/main" xmlns="" id="{00000000-0008-0000-0200-00008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23" name="Rectangle 447" descr="2">
          <a:extLst>
            <a:ext uri="{FF2B5EF4-FFF2-40B4-BE49-F238E27FC236}">
              <a16:creationId xmlns:a16="http://schemas.microsoft.com/office/drawing/2014/main" xmlns="" id="{00000000-0008-0000-0200-00009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24" name="Rectangle 448" descr="2">
          <a:extLst>
            <a:ext uri="{FF2B5EF4-FFF2-40B4-BE49-F238E27FC236}">
              <a16:creationId xmlns:a16="http://schemas.microsoft.com/office/drawing/2014/main" xmlns="" id="{00000000-0008-0000-0200-00009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25" name="Rectangle 449" descr="2">
          <a:extLst>
            <a:ext uri="{FF2B5EF4-FFF2-40B4-BE49-F238E27FC236}">
              <a16:creationId xmlns:a16="http://schemas.microsoft.com/office/drawing/2014/main" xmlns="" id="{00000000-0008-0000-0200-00009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26" name="Rectangle 450" descr="2">
          <a:extLst>
            <a:ext uri="{FF2B5EF4-FFF2-40B4-BE49-F238E27FC236}">
              <a16:creationId xmlns:a16="http://schemas.microsoft.com/office/drawing/2014/main" xmlns="" id="{00000000-0008-0000-0200-00009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27" name="Rectangle 451" descr="2">
          <a:extLst>
            <a:ext uri="{FF2B5EF4-FFF2-40B4-BE49-F238E27FC236}">
              <a16:creationId xmlns:a16="http://schemas.microsoft.com/office/drawing/2014/main" xmlns="" id="{00000000-0008-0000-0200-00009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28" name="Rectangle 452" descr="2">
          <a:extLst>
            <a:ext uri="{FF2B5EF4-FFF2-40B4-BE49-F238E27FC236}">
              <a16:creationId xmlns:a16="http://schemas.microsoft.com/office/drawing/2014/main" xmlns="" id="{00000000-0008-0000-0200-00009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29" name="Rectangle 453" descr="2">
          <a:extLst>
            <a:ext uri="{FF2B5EF4-FFF2-40B4-BE49-F238E27FC236}">
              <a16:creationId xmlns:a16="http://schemas.microsoft.com/office/drawing/2014/main" xmlns="" id="{00000000-0008-0000-0200-00009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30" name="Rectangle 454" descr="2">
          <a:extLst>
            <a:ext uri="{FF2B5EF4-FFF2-40B4-BE49-F238E27FC236}">
              <a16:creationId xmlns:a16="http://schemas.microsoft.com/office/drawing/2014/main" xmlns="" id="{00000000-0008-0000-0200-00009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31" name="Rectangle 455" descr="2">
          <a:extLst>
            <a:ext uri="{FF2B5EF4-FFF2-40B4-BE49-F238E27FC236}">
              <a16:creationId xmlns:a16="http://schemas.microsoft.com/office/drawing/2014/main" xmlns="" id="{00000000-0008-0000-0200-00009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32" name="Rectangle 456" descr="2">
          <a:extLst>
            <a:ext uri="{FF2B5EF4-FFF2-40B4-BE49-F238E27FC236}">
              <a16:creationId xmlns:a16="http://schemas.microsoft.com/office/drawing/2014/main" xmlns="" id="{00000000-0008-0000-0200-00009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33" name="Rectangle 457" descr="2">
          <a:extLst>
            <a:ext uri="{FF2B5EF4-FFF2-40B4-BE49-F238E27FC236}">
              <a16:creationId xmlns:a16="http://schemas.microsoft.com/office/drawing/2014/main" xmlns="" id="{00000000-0008-0000-0200-00009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34" name="Rectangle 458" descr="1">
          <a:extLst>
            <a:ext uri="{FF2B5EF4-FFF2-40B4-BE49-F238E27FC236}">
              <a16:creationId xmlns:a16="http://schemas.microsoft.com/office/drawing/2014/main" xmlns="" id="{00000000-0008-0000-0200-00009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35" name="Rectangle 444" descr="2">
          <a:extLst>
            <a:ext uri="{FF2B5EF4-FFF2-40B4-BE49-F238E27FC236}">
              <a16:creationId xmlns:a16="http://schemas.microsoft.com/office/drawing/2014/main" xmlns="" id="{00000000-0008-0000-0200-00009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36" name="Rectangle 445" descr="2">
          <a:extLst>
            <a:ext uri="{FF2B5EF4-FFF2-40B4-BE49-F238E27FC236}">
              <a16:creationId xmlns:a16="http://schemas.microsoft.com/office/drawing/2014/main" xmlns="" id="{00000000-0008-0000-0200-00009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37" name="Rectangle 446" descr="2">
          <a:extLst>
            <a:ext uri="{FF2B5EF4-FFF2-40B4-BE49-F238E27FC236}">
              <a16:creationId xmlns:a16="http://schemas.microsoft.com/office/drawing/2014/main" xmlns="" id="{00000000-0008-0000-0200-00009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38" name="Rectangle 447" descr="2">
          <a:extLst>
            <a:ext uri="{FF2B5EF4-FFF2-40B4-BE49-F238E27FC236}">
              <a16:creationId xmlns:a16="http://schemas.microsoft.com/office/drawing/2014/main" xmlns="" id="{00000000-0008-0000-0200-00009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39" name="Rectangle 448" descr="2">
          <a:extLst>
            <a:ext uri="{FF2B5EF4-FFF2-40B4-BE49-F238E27FC236}">
              <a16:creationId xmlns:a16="http://schemas.microsoft.com/office/drawing/2014/main" xmlns="" id="{00000000-0008-0000-0200-0000A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40" name="Rectangle 449" descr="2">
          <a:extLst>
            <a:ext uri="{FF2B5EF4-FFF2-40B4-BE49-F238E27FC236}">
              <a16:creationId xmlns:a16="http://schemas.microsoft.com/office/drawing/2014/main" xmlns="" id="{00000000-0008-0000-0200-0000A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41" name="Rectangle 450" descr="2">
          <a:extLst>
            <a:ext uri="{FF2B5EF4-FFF2-40B4-BE49-F238E27FC236}">
              <a16:creationId xmlns:a16="http://schemas.microsoft.com/office/drawing/2014/main" xmlns="" id="{00000000-0008-0000-0200-0000A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42" name="Rectangle 451" descr="2">
          <a:extLst>
            <a:ext uri="{FF2B5EF4-FFF2-40B4-BE49-F238E27FC236}">
              <a16:creationId xmlns:a16="http://schemas.microsoft.com/office/drawing/2014/main" xmlns="" id="{00000000-0008-0000-0200-0000A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43" name="Rectangle 452" descr="2">
          <a:extLst>
            <a:ext uri="{FF2B5EF4-FFF2-40B4-BE49-F238E27FC236}">
              <a16:creationId xmlns:a16="http://schemas.microsoft.com/office/drawing/2014/main" xmlns="" id="{00000000-0008-0000-0200-0000A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44" name="Rectangle 453" descr="2">
          <a:extLst>
            <a:ext uri="{FF2B5EF4-FFF2-40B4-BE49-F238E27FC236}">
              <a16:creationId xmlns:a16="http://schemas.microsoft.com/office/drawing/2014/main" xmlns="" id="{00000000-0008-0000-0200-0000A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45" name="Rectangle 454" descr="2">
          <a:extLst>
            <a:ext uri="{FF2B5EF4-FFF2-40B4-BE49-F238E27FC236}">
              <a16:creationId xmlns:a16="http://schemas.microsoft.com/office/drawing/2014/main" xmlns="" id="{00000000-0008-0000-0200-0000A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46" name="Rectangle 455" descr="2">
          <a:extLst>
            <a:ext uri="{FF2B5EF4-FFF2-40B4-BE49-F238E27FC236}">
              <a16:creationId xmlns:a16="http://schemas.microsoft.com/office/drawing/2014/main" xmlns="" id="{00000000-0008-0000-0200-0000A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47" name="Rectangle 456" descr="2">
          <a:extLst>
            <a:ext uri="{FF2B5EF4-FFF2-40B4-BE49-F238E27FC236}">
              <a16:creationId xmlns:a16="http://schemas.microsoft.com/office/drawing/2014/main" xmlns="" id="{00000000-0008-0000-0200-0000A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48" name="Rectangle 457" descr="2">
          <a:extLst>
            <a:ext uri="{FF2B5EF4-FFF2-40B4-BE49-F238E27FC236}">
              <a16:creationId xmlns:a16="http://schemas.microsoft.com/office/drawing/2014/main" xmlns="" id="{00000000-0008-0000-0200-0000A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49" name="Rectangle 458" descr="1">
          <a:extLst>
            <a:ext uri="{FF2B5EF4-FFF2-40B4-BE49-F238E27FC236}">
              <a16:creationId xmlns:a16="http://schemas.microsoft.com/office/drawing/2014/main" xmlns="" id="{00000000-0008-0000-0200-0000A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50" name="Rectangle 444" descr="2">
          <a:extLst>
            <a:ext uri="{FF2B5EF4-FFF2-40B4-BE49-F238E27FC236}">
              <a16:creationId xmlns:a16="http://schemas.microsoft.com/office/drawing/2014/main" xmlns="" id="{00000000-0008-0000-0200-0000A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51" name="Rectangle 445" descr="2">
          <a:extLst>
            <a:ext uri="{FF2B5EF4-FFF2-40B4-BE49-F238E27FC236}">
              <a16:creationId xmlns:a16="http://schemas.microsoft.com/office/drawing/2014/main" xmlns="" id="{00000000-0008-0000-0200-0000A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52" name="Rectangle 446" descr="2">
          <a:extLst>
            <a:ext uri="{FF2B5EF4-FFF2-40B4-BE49-F238E27FC236}">
              <a16:creationId xmlns:a16="http://schemas.microsoft.com/office/drawing/2014/main" xmlns="" id="{00000000-0008-0000-0200-0000A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53" name="Rectangle 447" descr="2">
          <a:extLst>
            <a:ext uri="{FF2B5EF4-FFF2-40B4-BE49-F238E27FC236}">
              <a16:creationId xmlns:a16="http://schemas.microsoft.com/office/drawing/2014/main" xmlns="" id="{00000000-0008-0000-0200-0000A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54" name="Rectangle 448" descr="2">
          <a:extLst>
            <a:ext uri="{FF2B5EF4-FFF2-40B4-BE49-F238E27FC236}">
              <a16:creationId xmlns:a16="http://schemas.microsoft.com/office/drawing/2014/main" xmlns="" id="{00000000-0008-0000-0200-0000A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55" name="Rectangle 449" descr="2">
          <a:extLst>
            <a:ext uri="{FF2B5EF4-FFF2-40B4-BE49-F238E27FC236}">
              <a16:creationId xmlns:a16="http://schemas.microsoft.com/office/drawing/2014/main" xmlns="" id="{00000000-0008-0000-0200-0000B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56" name="Rectangle 450" descr="2">
          <a:extLst>
            <a:ext uri="{FF2B5EF4-FFF2-40B4-BE49-F238E27FC236}">
              <a16:creationId xmlns:a16="http://schemas.microsoft.com/office/drawing/2014/main" xmlns="" id="{00000000-0008-0000-0200-0000B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57" name="Rectangle 451" descr="2">
          <a:extLst>
            <a:ext uri="{FF2B5EF4-FFF2-40B4-BE49-F238E27FC236}">
              <a16:creationId xmlns:a16="http://schemas.microsoft.com/office/drawing/2014/main" xmlns="" id="{00000000-0008-0000-0200-0000B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58" name="Rectangle 452" descr="2">
          <a:extLst>
            <a:ext uri="{FF2B5EF4-FFF2-40B4-BE49-F238E27FC236}">
              <a16:creationId xmlns:a16="http://schemas.microsoft.com/office/drawing/2014/main" xmlns="" id="{00000000-0008-0000-0200-0000B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59" name="Rectangle 453" descr="2">
          <a:extLst>
            <a:ext uri="{FF2B5EF4-FFF2-40B4-BE49-F238E27FC236}">
              <a16:creationId xmlns:a16="http://schemas.microsoft.com/office/drawing/2014/main" xmlns="" id="{00000000-0008-0000-0200-0000B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60" name="Rectangle 454" descr="2">
          <a:extLst>
            <a:ext uri="{FF2B5EF4-FFF2-40B4-BE49-F238E27FC236}">
              <a16:creationId xmlns:a16="http://schemas.microsoft.com/office/drawing/2014/main" xmlns="" id="{00000000-0008-0000-0200-0000B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215900</xdr:colOff>
      <xdr:row>25</xdr:row>
      <xdr:rowOff>153958</xdr:rowOff>
    </xdr:to>
    <xdr:sp macro="" textlink="">
      <xdr:nvSpPr>
        <xdr:cNvPr id="1461" name="Rectangle 455" descr="2">
          <a:extLst>
            <a:ext uri="{FF2B5EF4-FFF2-40B4-BE49-F238E27FC236}">
              <a16:creationId xmlns:a16="http://schemas.microsoft.com/office/drawing/2014/main" xmlns="" id="{00000000-0008-0000-0200-0000B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62" name="Rectangle 444" descr="2">
          <a:extLst>
            <a:ext uri="{FF2B5EF4-FFF2-40B4-BE49-F238E27FC236}">
              <a16:creationId xmlns:a16="http://schemas.microsoft.com/office/drawing/2014/main" xmlns="" id="{00000000-0008-0000-0200-0000BA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63" name="Rectangle 445" descr="2">
          <a:extLst>
            <a:ext uri="{FF2B5EF4-FFF2-40B4-BE49-F238E27FC236}">
              <a16:creationId xmlns:a16="http://schemas.microsoft.com/office/drawing/2014/main" xmlns="" id="{00000000-0008-0000-0200-0000BB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64" name="Rectangle 446" descr="2">
          <a:extLst>
            <a:ext uri="{FF2B5EF4-FFF2-40B4-BE49-F238E27FC236}">
              <a16:creationId xmlns:a16="http://schemas.microsoft.com/office/drawing/2014/main" xmlns="" id="{00000000-0008-0000-0200-0000BC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65" name="Rectangle 447" descr="2">
          <a:extLst>
            <a:ext uri="{FF2B5EF4-FFF2-40B4-BE49-F238E27FC236}">
              <a16:creationId xmlns:a16="http://schemas.microsoft.com/office/drawing/2014/main" xmlns="" id="{00000000-0008-0000-0200-0000BD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66" name="Rectangle 448" descr="2">
          <a:extLst>
            <a:ext uri="{FF2B5EF4-FFF2-40B4-BE49-F238E27FC236}">
              <a16:creationId xmlns:a16="http://schemas.microsoft.com/office/drawing/2014/main" xmlns="" id="{00000000-0008-0000-0200-0000BE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67" name="Rectangle 449" descr="2">
          <a:extLst>
            <a:ext uri="{FF2B5EF4-FFF2-40B4-BE49-F238E27FC236}">
              <a16:creationId xmlns:a16="http://schemas.microsoft.com/office/drawing/2014/main" xmlns="" id="{00000000-0008-0000-0200-0000BF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68" name="Rectangle 457" descr="2">
          <a:extLst>
            <a:ext uri="{FF2B5EF4-FFF2-40B4-BE49-F238E27FC236}">
              <a16:creationId xmlns:a16="http://schemas.microsoft.com/office/drawing/2014/main" xmlns="" id="{00000000-0008-0000-0200-0000C0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69" name="Rectangle 458" descr="1">
          <a:extLst>
            <a:ext uri="{FF2B5EF4-FFF2-40B4-BE49-F238E27FC236}">
              <a16:creationId xmlns:a16="http://schemas.microsoft.com/office/drawing/2014/main" xmlns="" id="{00000000-0008-0000-0200-0000C1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70" name="Rectangle 444" descr="2">
          <a:extLst>
            <a:ext uri="{FF2B5EF4-FFF2-40B4-BE49-F238E27FC236}">
              <a16:creationId xmlns:a16="http://schemas.microsoft.com/office/drawing/2014/main" xmlns="" id="{00000000-0008-0000-0200-0000C2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71" name="Rectangle 445" descr="2">
          <a:extLst>
            <a:ext uri="{FF2B5EF4-FFF2-40B4-BE49-F238E27FC236}">
              <a16:creationId xmlns:a16="http://schemas.microsoft.com/office/drawing/2014/main" xmlns="" id="{00000000-0008-0000-0200-0000C3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72" name="Rectangle 446" descr="2">
          <a:extLst>
            <a:ext uri="{FF2B5EF4-FFF2-40B4-BE49-F238E27FC236}">
              <a16:creationId xmlns:a16="http://schemas.microsoft.com/office/drawing/2014/main" xmlns="" id="{00000000-0008-0000-0200-0000C4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73" name="Rectangle 447" descr="2">
          <a:extLst>
            <a:ext uri="{FF2B5EF4-FFF2-40B4-BE49-F238E27FC236}">
              <a16:creationId xmlns:a16="http://schemas.microsoft.com/office/drawing/2014/main" xmlns="" id="{00000000-0008-0000-0200-0000C5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74" name="Rectangle 448" descr="2">
          <a:extLst>
            <a:ext uri="{FF2B5EF4-FFF2-40B4-BE49-F238E27FC236}">
              <a16:creationId xmlns:a16="http://schemas.microsoft.com/office/drawing/2014/main" xmlns="" id="{00000000-0008-0000-0200-0000C6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75" name="Rectangle 449" descr="2">
          <a:extLst>
            <a:ext uri="{FF2B5EF4-FFF2-40B4-BE49-F238E27FC236}">
              <a16:creationId xmlns:a16="http://schemas.microsoft.com/office/drawing/2014/main" xmlns="" id="{00000000-0008-0000-0200-0000C7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76" name="Rectangle 450" descr="2">
          <a:extLst>
            <a:ext uri="{FF2B5EF4-FFF2-40B4-BE49-F238E27FC236}">
              <a16:creationId xmlns:a16="http://schemas.microsoft.com/office/drawing/2014/main" xmlns="" id="{00000000-0008-0000-0200-0000C8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77" name="Rectangle 451" descr="2">
          <a:extLst>
            <a:ext uri="{FF2B5EF4-FFF2-40B4-BE49-F238E27FC236}">
              <a16:creationId xmlns:a16="http://schemas.microsoft.com/office/drawing/2014/main" xmlns="" id="{00000000-0008-0000-0200-0000C9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78" name="Rectangle 452" descr="2">
          <a:extLst>
            <a:ext uri="{FF2B5EF4-FFF2-40B4-BE49-F238E27FC236}">
              <a16:creationId xmlns:a16="http://schemas.microsoft.com/office/drawing/2014/main" xmlns="" id="{00000000-0008-0000-0200-0000CA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79" name="Rectangle 453" descr="2">
          <a:extLst>
            <a:ext uri="{FF2B5EF4-FFF2-40B4-BE49-F238E27FC236}">
              <a16:creationId xmlns:a16="http://schemas.microsoft.com/office/drawing/2014/main" xmlns="" id="{00000000-0008-0000-0200-0000CB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80" name="Rectangle 454" descr="2">
          <a:extLst>
            <a:ext uri="{FF2B5EF4-FFF2-40B4-BE49-F238E27FC236}">
              <a16:creationId xmlns:a16="http://schemas.microsoft.com/office/drawing/2014/main" xmlns="" id="{00000000-0008-0000-0200-0000CC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81" name="Rectangle 455" descr="2">
          <a:extLst>
            <a:ext uri="{FF2B5EF4-FFF2-40B4-BE49-F238E27FC236}">
              <a16:creationId xmlns:a16="http://schemas.microsoft.com/office/drawing/2014/main" xmlns="" id="{00000000-0008-0000-0200-0000CD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82" name="Rectangle 456" descr="2">
          <a:extLst>
            <a:ext uri="{FF2B5EF4-FFF2-40B4-BE49-F238E27FC236}">
              <a16:creationId xmlns:a16="http://schemas.microsoft.com/office/drawing/2014/main" xmlns="" id="{00000000-0008-0000-0200-0000CE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83" name="Rectangle 457" descr="2">
          <a:extLst>
            <a:ext uri="{FF2B5EF4-FFF2-40B4-BE49-F238E27FC236}">
              <a16:creationId xmlns:a16="http://schemas.microsoft.com/office/drawing/2014/main" xmlns="" id="{00000000-0008-0000-0200-0000CF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84" name="Rectangle 458" descr="1">
          <a:extLst>
            <a:ext uri="{FF2B5EF4-FFF2-40B4-BE49-F238E27FC236}">
              <a16:creationId xmlns:a16="http://schemas.microsoft.com/office/drawing/2014/main" xmlns="" id="{00000000-0008-0000-0200-0000D0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85" name="Rectangle 444" descr="2">
          <a:extLst>
            <a:ext uri="{FF2B5EF4-FFF2-40B4-BE49-F238E27FC236}">
              <a16:creationId xmlns:a16="http://schemas.microsoft.com/office/drawing/2014/main" xmlns="" id="{00000000-0008-0000-0200-0000D1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86" name="Rectangle 445" descr="2">
          <a:extLst>
            <a:ext uri="{FF2B5EF4-FFF2-40B4-BE49-F238E27FC236}">
              <a16:creationId xmlns:a16="http://schemas.microsoft.com/office/drawing/2014/main" xmlns="" id="{00000000-0008-0000-0200-0000D2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87" name="Rectangle 446" descr="2">
          <a:extLst>
            <a:ext uri="{FF2B5EF4-FFF2-40B4-BE49-F238E27FC236}">
              <a16:creationId xmlns:a16="http://schemas.microsoft.com/office/drawing/2014/main" xmlns="" id="{00000000-0008-0000-0200-0000D3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88" name="Rectangle 447" descr="2">
          <a:extLst>
            <a:ext uri="{FF2B5EF4-FFF2-40B4-BE49-F238E27FC236}">
              <a16:creationId xmlns:a16="http://schemas.microsoft.com/office/drawing/2014/main" xmlns="" id="{00000000-0008-0000-0200-0000D4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89" name="Rectangle 448" descr="2">
          <a:extLst>
            <a:ext uri="{FF2B5EF4-FFF2-40B4-BE49-F238E27FC236}">
              <a16:creationId xmlns:a16="http://schemas.microsoft.com/office/drawing/2014/main" xmlns="" id="{00000000-0008-0000-0200-0000D5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90" name="Rectangle 449" descr="2">
          <a:extLst>
            <a:ext uri="{FF2B5EF4-FFF2-40B4-BE49-F238E27FC236}">
              <a16:creationId xmlns:a16="http://schemas.microsoft.com/office/drawing/2014/main" xmlns="" id="{00000000-0008-0000-0200-0000D6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91" name="Rectangle 450" descr="2">
          <a:extLst>
            <a:ext uri="{FF2B5EF4-FFF2-40B4-BE49-F238E27FC236}">
              <a16:creationId xmlns:a16="http://schemas.microsoft.com/office/drawing/2014/main" xmlns="" id="{00000000-0008-0000-0200-0000D7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92" name="Rectangle 451" descr="2">
          <a:extLst>
            <a:ext uri="{FF2B5EF4-FFF2-40B4-BE49-F238E27FC236}">
              <a16:creationId xmlns:a16="http://schemas.microsoft.com/office/drawing/2014/main" xmlns="" id="{00000000-0008-0000-0200-0000D8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93" name="Rectangle 452" descr="2">
          <a:extLst>
            <a:ext uri="{FF2B5EF4-FFF2-40B4-BE49-F238E27FC236}">
              <a16:creationId xmlns:a16="http://schemas.microsoft.com/office/drawing/2014/main" xmlns="" id="{00000000-0008-0000-0200-0000D9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94" name="Rectangle 453" descr="2">
          <a:extLst>
            <a:ext uri="{FF2B5EF4-FFF2-40B4-BE49-F238E27FC236}">
              <a16:creationId xmlns:a16="http://schemas.microsoft.com/office/drawing/2014/main" xmlns="" id="{00000000-0008-0000-0200-0000DA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95" name="Rectangle 454" descr="2">
          <a:extLst>
            <a:ext uri="{FF2B5EF4-FFF2-40B4-BE49-F238E27FC236}">
              <a16:creationId xmlns:a16="http://schemas.microsoft.com/office/drawing/2014/main" xmlns="" id="{00000000-0008-0000-0200-0000DB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96" name="Rectangle 455" descr="2">
          <a:extLst>
            <a:ext uri="{FF2B5EF4-FFF2-40B4-BE49-F238E27FC236}">
              <a16:creationId xmlns:a16="http://schemas.microsoft.com/office/drawing/2014/main" xmlns="" id="{00000000-0008-0000-0200-0000DC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97" name="Rectangle 456" descr="2">
          <a:extLst>
            <a:ext uri="{FF2B5EF4-FFF2-40B4-BE49-F238E27FC236}">
              <a16:creationId xmlns:a16="http://schemas.microsoft.com/office/drawing/2014/main" xmlns="" id="{00000000-0008-0000-0200-0000DD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98" name="Rectangle 457" descr="2">
          <a:extLst>
            <a:ext uri="{FF2B5EF4-FFF2-40B4-BE49-F238E27FC236}">
              <a16:creationId xmlns:a16="http://schemas.microsoft.com/office/drawing/2014/main" xmlns="" id="{00000000-0008-0000-0200-0000DE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499" name="Rectangle 458" descr="1">
          <a:extLst>
            <a:ext uri="{FF2B5EF4-FFF2-40B4-BE49-F238E27FC236}">
              <a16:creationId xmlns:a16="http://schemas.microsoft.com/office/drawing/2014/main" xmlns="" id="{00000000-0008-0000-0200-0000DF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00" name="Rectangle 444" descr="2">
          <a:extLst>
            <a:ext uri="{FF2B5EF4-FFF2-40B4-BE49-F238E27FC236}">
              <a16:creationId xmlns:a16="http://schemas.microsoft.com/office/drawing/2014/main" xmlns="" id="{00000000-0008-0000-0200-0000E0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01" name="Rectangle 445" descr="2">
          <a:extLst>
            <a:ext uri="{FF2B5EF4-FFF2-40B4-BE49-F238E27FC236}">
              <a16:creationId xmlns:a16="http://schemas.microsoft.com/office/drawing/2014/main" xmlns="" id="{00000000-0008-0000-0200-0000E1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02" name="Rectangle 446" descr="2">
          <a:extLst>
            <a:ext uri="{FF2B5EF4-FFF2-40B4-BE49-F238E27FC236}">
              <a16:creationId xmlns:a16="http://schemas.microsoft.com/office/drawing/2014/main" xmlns="" id="{00000000-0008-0000-0200-0000E2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03" name="Rectangle 447" descr="2">
          <a:extLst>
            <a:ext uri="{FF2B5EF4-FFF2-40B4-BE49-F238E27FC236}">
              <a16:creationId xmlns:a16="http://schemas.microsoft.com/office/drawing/2014/main" xmlns="" id="{00000000-0008-0000-0200-0000E3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04" name="Rectangle 448" descr="2">
          <a:extLst>
            <a:ext uri="{FF2B5EF4-FFF2-40B4-BE49-F238E27FC236}">
              <a16:creationId xmlns:a16="http://schemas.microsoft.com/office/drawing/2014/main" xmlns="" id="{00000000-0008-0000-0200-0000E4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05" name="Rectangle 449" descr="2">
          <a:extLst>
            <a:ext uri="{FF2B5EF4-FFF2-40B4-BE49-F238E27FC236}">
              <a16:creationId xmlns:a16="http://schemas.microsoft.com/office/drawing/2014/main" xmlns="" id="{00000000-0008-0000-0200-0000E5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06" name="Rectangle 450" descr="2">
          <a:extLst>
            <a:ext uri="{FF2B5EF4-FFF2-40B4-BE49-F238E27FC236}">
              <a16:creationId xmlns:a16="http://schemas.microsoft.com/office/drawing/2014/main" xmlns="" id="{00000000-0008-0000-0200-0000E6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07" name="Rectangle 451" descr="2">
          <a:extLst>
            <a:ext uri="{FF2B5EF4-FFF2-40B4-BE49-F238E27FC236}">
              <a16:creationId xmlns:a16="http://schemas.microsoft.com/office/drawing/2014/main" xmlns="" id="{00000000-0008-0000-0200-0000E7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08" name="Rectangle 452" descr="2">
          <a:extLst>
            <a:ext uri="{FF2B5EF4-FFF2-40B4-BE49-F238E27FC236}">
              <a16:creationId xmlns:a16="http://schemas.microsoft.com/office/drawing/2014/main" xmlns="" id="{00000000-0008-0000-0200-0000E8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09" name="Rectangle 453" descr="2">
          <a:extLst>
            <a:ext uri="{FF2B5EF4-FFF2-40B4-BE49-F238E27FC236}">
              <a16:creationId xmlns:a16="http://schemas.microsoft.com/office/drawing/2014/main" xmlns="" id="{00000000-0008-0000-0200-0000E9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10" name="Rectangle 454" descr="2">
          <a:extLst>
            <a:ext uri="{FF2B5EF4-FFF2-40B4-BE49-F238E27FC236}">
              <a16:creationId xmlns:a16="http://schemas.microsoft.com/office/drawing/2014/main" xmlns="" id="{00000000-0008-0000-0200-0000EA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11" name="Rectangle 455" descr="2">
          <a:extLst>
            <a:ext uri="{FF2B5EF4-FFF2-40B4-BE49-F238E27FC236}">
              <a16:creationId xmlns:a16="http://schemas.microsoft.com/office/drawing/2014/main" xmlns="" id="{00000000-0008-0000-0200-0000EB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12" name="Rectangle 456" descr="2">
          <a:extLst>
            <a:ext uri="{FF2B5EF4-FFF2-40B4-BE49-F238E27FC236}">
              <a16:creationId xmlns:a16="http://schemas.microsoft.com/office/drawing/2014/main" xmlns="" id="{00000000-0008-0000-0200-0000EC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13" name="Rectangle 457" descr="2">
          <a:extLst>
            <a:ext uri="{FF2B5EF4-FFF2-40B4-BE49-F238E27FC236}">
              <a16:creationId xmlns:a16="http://schemas.microsoft.com/office/drawing/2014/main" xmlns="" id="{00000000-0008-0000-0200-0000ED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14" name="Rectangle 458" descr="1">
          <a:extLst>
            <a:ext uri="{FF2B5EF4-FFF2-40B4-BE49-F238E27FC236}">
              <a16:creationId xmlns:a16="http://schemas.microsoft.com/office/drawing/2014/main" xmlns="" id="{00000000-0008-0000-0200-0000EE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15" name="Rectangle 444" descr="2">
          <a:extLst>
            <a:ext uri="{FF2B5EF4-FFF2-40B4-BE49-F238E27FC236}">
              <a16:creationId xmlns:a16="http://schemas.microsoft.com/office/drawing/2014/main" xmlns="" id="{00000000-0008-0000-0200-0000EF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16" name="Rectangle 445" descr="2">
          <a:extLst>
            <a:ext uri="{FF2B5EF4-FFF2-40B4-BE49-F238E27FC236}">
              <a16:creationId xmlns:a16="http://schemas.microsoft.com/office/drawing/2014/main" xmlns="" id="{00000000-0008-0000-0200-0000F0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17" name="Rectangle 446" descr="2">
          <a:extLst>
            <a:ext uri="{FF2B5EF4-FFF2-40B4-BE49-F238E27FC236}">
              <a16:creationId xmlns:a16="http://schemas.microsoft.com/office/drawing/2014/main" xmlns="" id="{00000000-0008-0000-0200-0000F1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18" name="Rectangle 447" descr="2">
          <a:extLst>
            <a:ext uri="{FF2B5EF4-FFF2-40B4-BE49-F238E27FC236}">
              <a16:creationId xmlns:a16="http://schemas.microsoft.com/office/drawing/2014/main" xmlns="" id="{00000000-0008-0000-0200-0000F2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19" name="Rectangle 448" descr="2">
          <a:extLst>
            <a:ext uri="{FF2B5EF4-FFF2-40B4-BE49-F238E27FC236}">
              <a16:creationId xmlns:a16="http://schemas.microsoft.com/office/drawing/2014/main" xmlns="" id="{00000000-0008-0000-0200-0000F3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20" name="Rectangle 449" descr="2">
          <a:extLst>
            <a:ext uri="{FF2B5EF4-FFF2-40B4-BE49-F238E27FC236}">
              <a16:creationId xmlns:a16="http://schemas.microsoft.com/office/drawing/2014/main" xmlns="" id="{00000000-0008-0000-0200-0000F4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21" name="Rectangle 450" descr="2">
          <a:extLst>
            <a:ext uri="{FF2B5EF4-FFF2-40B4-BE49-F238E27FC236}">
              <a16:creationId xmlns:a16="http://schemas.microsoft.com/office/drawing/2014/main" xmlns="" id="{00000000-0008-0000-0200-0000F5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22" name="Rectangle 451" descr="2">
          <a:extLst>
            <a:ext uri="{FF2B5EF4-FFF2-40B4-BE49-F238E27FC236}">
              <a16:creationId xmlns:a16="http://schemas.microsoft.com/office/drawing/2014/main" xmlns="" id="{00000000-0008-0000-0200-0000F6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23" name="Rectangle 452" descr="2">
          <a:extLst>
            <a:ext uri="{FF2B5EF4-FFF2-40B4-BE49-F238E27FC236}">
              <a16:creationId xmlns:a16="http://schemas.microsoft.com/office/drawing/2014/main" xmlns="" id="{00000000-0008-0000-0200-0000F7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24" name="Rectangle 453" descr="2">
          <a:extLst>
            <a:ext uri="{FF2B5EF4-FFF2-40B4-BE49-F238E27FC236}">
              <a16:creationId xmlns:a16="http://schemas.microsoft.com/office/drawing/2014/main" xmlns="" id="{00000000-0008-0000-0200-0000F8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25" name="Rectangle 454" descr="2">
          <a:extLst>
            <a:ext uri="{FF2B5EF4-FFF2-40B4-BE49-F238E27FC236}">
              <a16:creationId xmlns:a16="http://schemas.microsoft.com/office/drawing/2014/main" xmlns="" id="{00000000-0008-0000-0200-0000F9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26" name="Rectangle 455" descr="2">
          <a:extLst>
            <a:ext uri="{FF2B5EF4-FFF2-40B4-BE49-F238E27FC236}">
              <a16:creationId xmlns:a16="http://schemas.microsoft.com/office/drawing/2014/main" xmlns="" id="{00000000-0008-0000-0200-0000FA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27" name="Rectangle 456" descr="2">
          <a:extLst>
            <a:ext uri="{FF2B5EF4-FFF2-40B4-BE49-F238E27FC236}">
              <a16:creationId xmlns:a16="http://schemas.microsoft.com/office/drawing/2014/main" xmlns="" id="{00000000-0008-0000-0200-0000FB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28" name="Rectangle 457" descr="2">
          <a:extLst>
            <a:ext uri="{FF2B5EF4-FFF2-40B4-BE49-F238E27FC236}">
              <a16:creationId xmlns:a16="http://schemas.microsoft.com/office/drawing/2014/main" xmlns="" id="{00000000-0008-0000-0200-0000FC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29" name="Rectangle 458" descr="1">
          <a:extLst>
            <a:ext uri="{FF2B5EF4-FFF2-40B4-BE49-F238E27FC236}">
              <a16:creationId xmlns:a16="http://schemas.microsoft.com/office/drawing/2014/main" xmlns="" id="{00000000-0008-0000-0200-0000FD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30" name="Rectangle 444" descr="2">
          <a:extLst>
            <a:ext uri="{FF2B5EF4-FFF2-40B4-BE49-F238E27FC236}">
              <a16:creationId xmlns:a16="http://schemas.microsoft.com/office/drawing/2014/main" xmlns="" id="{00000000-0008-0000-0200-0000FE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31" name="Rectangle 445" descr="2">
          <a:extLst>
            <a:ext uri="{FF2B5EF4-FFF2-40B4-BE49-F238E27FC236}">
              <a16:creationId xmlns:a16="http://schemas.microsoft.com/office/drawing/2014/main" xmlns="" id="{00000000-0008-0000-0200-0000FF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32" name="Rectangle 446" descr="2">
          <a:extLst>
            <a:ext uri="{FF2B5EF4-FFF2-40B4-BE49-F238E27FC236}">
              <a16:creationId xmlns:a16="http://schemas.microsoft.com/office/drawing/2014/main" xmlns="" id="{00000000-0008-0000-0200-00000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33" name="Rectangle 447" descr="2">
          <a:extLst>
            <a:ext uri="{FF2B5EF4-FFF2-40B4-BE49-F238E27FC236}">
              <a16:creationId xmlns:a16="http://schemas.microsoft.com/office/drawing/2014/main" xmlns="" id="{00000000-0008-0000-0200-00000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34" name="Rectangle 448" descr="2">
          <a:extLst>
            <a:ext uri="{FF2B5EF4-FFF2-40B4-BE49-F238E27FC236}">
              <a16:creationId xmlns:a16="http://schemas.microsoft.com/office/drawing/2014/main" xmlns="" id="{00000000-0008-0000-0200-00000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35" name="Rectangle 449" descr="2">
          <a:extLst>
            <a:ext uri="{FF2B5EF4-FFF2-40B4-BE49-F238E27FC236}">
              <a16:creationId xmlns:a16="http://schemas.microsoft.com/office/drawing/2014/main" xmlns="" id="{00000000-0008-0000-0200-00000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36" name="Rectangle 450" descr="2">
          <a:extLst>
            <a:ext uri="{FF2B5EF4-FFF2-40B4-BE49-F238E27FC236}">
              <a16:creationId xmlns:a16="http://schemas.microsoft.com/office/drawing/2014/main" xmlns="" id="{00000000-0008-0000-0200-00000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37" name="Rectangle 451" descr="2">
          <a:extLst>
            <a:ext uri="{FF2B5EF4-FFF2-40B4-BE49-F238E27FC236}">
              <a16:creationId xmlns:a16="http://schemas.microsoft.com/office/drawing/2014/main" xmlns="" id="{00000000-0008-0000-0200-00000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38" name="Rectangle 452" descr="2">
          <a:extLst>
            <a:ext uri="{FF2B5EF4-FFF2-40B4-BE49-F238E27FC236}">
              <a16:creationId xmlns:a16="http://schemas.microsoft.com/office/drawing/2014/main" xmlns="" id="{00000000-0008-0000-0200-00000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39" name="Rectangle 453" descr="2">
          <a:extLst>
            <a:ext uri="{FF2B5EF4-FFF2-40B4-BE49-F238E27FC236}">
              <a16:creationId xmlns:a16="http://schemas.microsoft.com/office/drawing/2014/main" xmlns="" id="{00000000-0008-0000-0200-00000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40" name="Rectangle 454" descr="2">
          <a:extLst>
            <a:ext uri="{FF2B5EF4-FFF2-40B4-BE49-F238E27FC236}">
              <a16:creationId xmlns:a16="http://schemas.microsoft.com/office/drawing/2014/main" xmlns="" id="{00000000-0008-0000-0200-00000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41" name="Rectangle 455" descr="2">
          <a:extLst>
            <a:ext uri="{FF2B5EF4-FFF2-40B4-BE49-F238E27FC236}">
              <a16:creationId xmlns:a16="http://schemas.microsoft.com/office/drawing/2014/main" xmlns="" id="{00000000-0008-0000-0200-00000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42" name="Rectangle 456" descr="2">
          <a:extLst>
            <a:ext uri="{FF2B5EF4-FFF2-40B4-BE49-F238E27FC236}">
              <a16:creationId xmlns:a16="http://schemas.microsoft.com/office/drawing/2014/main" xmlns="" id="{00000000-0008-0000-0200-00000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43" name="Rectangle 457" descr="2">
          <a:extLst>
            <a:ext uri="{FF2B5EF4-FFF2-40B4-BE49-F238E27FC236}">
              <a16:creationId xmlns:a16="http://schemas.microsoft.com/office/drawing/2014/main" xmlns="" id="{00000000-0008-0000-0200-00000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44" name="Rectangle 458" descr="1">
          <a:extLst>
            <a:ext uri="{FF2B5EF4-FFF2-40B4-BE49-F238E27FC236}">
              <a16:creationId xmlns:a16="http://schemas.microsoft.com/office/drawing/2014/main" xmlns="" id="{00000000-0008-0000-0200-00000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45" name="Rectangle 444" descr="2">
          <a:extLst>
            <a:ext uri="{FF2B5EF4-FFF2-40B4-BE49-F238E27FC236}">
              <a16:creationId xmlns:a16="http://schemas.microsoft.com/office/drawing/2014/main" xmlns="" id="{00000000-0008-0000-0200-00000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46" name="Rectangle 445" descr="2">
          <a:extLst>
            <a:ext uri="{FF2B5EF4-FFF2-40B4-BE49-F238E27FC236}">
              <a16:creationId xmlns:a16="http://schemas.microsoft.com/office/drawing/2014/main" xmlns="" id="{00000000-0008-0000-0200-00000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47" name="Rectangle 446" descr="2">
          <a:extLst>
            <a:ext uri="{FF2B5EF4-FFF2-40B4-BE49-F238E27FC236}">
              <a16:creationId xmlns:a16="http://schemas.microsoft.com/office/drawing/2014/main" xmlns="" id="{00000000-0008-0000-0200-00000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48" name="Rectangle 447" descr="2">
          <a:extLst>
            <a:ext uri="{FF2B5EF4-FFF2-40B4-BE49-F238E27FC236}">
              <a16:creationId xmlns:a16="http://schemas.microsoft.com/office/drawing/2014/main" xmlns="" id="{00000000-0008-0000-0200-00001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49" name="Rectangle 448" descr="2">
          <a:extLst>
            <a:ext uri="{FF2B5EF4-FFF2-40B4-BE49-F238E27FC236}">
              <a16:creationId xmlns:a16="http://schemas.microsoft.com/office/drawing/2014/main" xmlns="" id="{00000000-0008-0000-0200-00001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50" name="Rectangle 449" descr="2">
          <a:extLst>
            <a:ext uri="{FF2B5EF4-FFF2-40B4-BE49-F238E27FC236}">
              <a16:creationId xmlns:a16="http://schemas.microsoft.com/office/drawing/2014/main" xmlns="" id="{00000000-0008-0000-0200-00001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51" name="Rectangle 450" descr="2">
          <a:extLst>
            <a:ext uri="{FF2B5EF4-FFF2-40B4-BE49-F238E27FC236}">
              <a16:creationId xmlns:a16="http://schemas.microsoft.com/office/drawing/2014/main" xmlns="" id="{00000000-0008-0000-0200-00001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52" name="Rectangle 451" descr="2">
          <a:extLst>
            <a:ext uri="{FF2B5EF4-FFF2-40B4-BE49-F238E27FC236}">
              <a16:creationId xmlns:a16="http://schemas.microsoft.com/office/drawing/2014/main" xmlns="" id="{00000000-0008-0000-0200-00001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53" name="Rectangle 452" descr="2">
          <a:extLst>
            <a:ext uri="{FF2B5EF4-FFF2-40B4-BE49-F238E27FC236}">
              <a16:creationId xmlns:a16="http://schemas.microsoft.com/office/drawing/2014/main" xmlns="" id="{00000000-0008-0000-0200-00001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54" name="Rectangle 453" descr="2">
          <a:extLst>
            <a:ext uri="{FF2B5EF4-FFF2-40B4-BE49-F238E27FC236}">
              <a16:creationId xmlns:a16="http://schemas.microsoft.com/office/drawing/2014/main" xmlns="" id="{00000000-0008-0000-0200-00001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55" name="Rectangle 454" descr="2">
          <a:extLst>
            <a:ext uri="{FF2B5EF4-FFF2-40B4-BE49-F238E27FC236}">
              <a16:creationId xmlns:a16="http://schemas.microsoft.com/office/drawing/2014/main" xmlns="" id="{00000000-0008-0000-0200-00001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56" name="Rectangle 455" descr="2">
          <a:extLst>
            <a:ext uri="{FF2B5EF4-FFF2-40B4-BE49-F238E27FC236}">
              <a16:creationId xmlns:a16="http://schemas.microsoft.com/office/drawing/2014/main" xmlns="" id="{00000000-0008-0000-0200-00001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57" name="Rectangle 456" descr="2">
          <a:extLst>
            <a:ext uri="{FF2B5EF4-FFF2-40B4-BE49-F238E27FC236}">
              <a16:creationId xmlns:a16="http://schemas.microsoft.com/office/drawing/2014/main" xmlns="" id="{00000000-0008-0000-0200-00001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58" name="Rectangle 457" descr="2">
          <a:extLst>
            <a:ext uri="{FF2B5EF4-FFF2-40B4-BE49-F238E27FC236}">
              <a16:creationId xmlns:a16="http://schemas.microsoft.com/office/drawing/2014/main" xmlns="" id="{00000000-0008-0000-0200-00001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59" name="Rectangle 458" descr="1">
          <a:extLst>
            <a:ext uri="{FF2B5EF4-FFF2-40B4-BE49-F238E27FC236}">
              <a16:creationId xmlns:a16="http://schemas.microsoft.com/office/drawing/2014/main" xmlns="" id="{00000000-0008-0000-0200-00001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60" name="Rectangle 444" descr="2">
          <a:extLst>
            <a:ext uri="{FF2B5EF4-FFF2-40B4-BE49-F238E27FC236}">
              <a16:creationId xmlns:a16="http://schemas.microsoft.com/office/drawing/2014/main" xmlns="" id="{00000000-0008-0000-0200-00001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61" name="Rectangle 445" descr="2">
          <a:extLst>
            <a:ext uri="{FF2B5EF4-FFF2-40B4-BE49-F238E27FC236}">
              <a16:creationId xmlns:a16="http://schemas.microsoft.com/office/drawing/2014/main" xmlns="" id="{00000000-0008-0000-0200-00001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62" name="Rectangle 446" descr="2">
          <a:extLst>
            <a:ext uri="{FF2B5EF4-FFF2-40B4-BE49-F238E27FC236}">
              <a16:creationId xmlns:a16="http://schemas.microsoft.com/office/drawing/2014/main" xmlns="" id="{00000000-0008-0000-0200-00001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63" name="Rectangle 447" descr="2">
          <a:extLst>
            <a:ext uri="{FF2B5EF4-FFF2-40B4-BE49-F238E27FC236}">
              <a16:creationId xmlns:a16="http://schemas.microsoft.com/office/drawing/2014/main" xmlns="" id="{00000000-0008-0000-0200-00001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64" name="Rectangle 448" descr="2">
          <a:extLst>
            <a:ext uri="{FF2B5EF4-FFF2-40B4-BE49-F238E27FC236}">
              <a16:creationId xmlns:a16="http://schemas.microsoft.com/office/drawing/2014/main" xmlns="" id="{00000000-0008-0000-0200-00002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65" name="Rectangle 449" descr="2">
          <a:extLst>
            <a:ext uri="{FF2B5EF4-FFF2-40B4-BE49-F238E27FC236}">
              <a16:creationId xmlns:a16="http://schemas.microsoft.com/office/drawing/2014/main" xmlns="" id="{00000000-0008-0000-0200-00002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66" name="Rectangle 450" descr="2">
          <a:extLst>
            <a:ext uri="{FF2B5EF4-FFF2-40B4-BE49-F238E27FC236}">
              <a16:creationId xmlns:a16="http://schemas.microsoft.com/office/drawing/2014/main" xmlns="" id="{00000000-0008-0000-0200-00002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67" name="Rectangle 451" descr="2">
          <a:extLst>
            <a:ext uri="{FF2B5EF4-FFF2-40B4-BE49-F238E27FC236}">
              <a16:creationId xmlns:a16="http://schemas.microsoft.com/office/drawing/2014/main" xmlns="" id="{00000000-0008-0000-0200-00002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68" name="Rectangle 452" descr="2">
          <a:extLst>
            <a:ext uri="{FF2B5EF4-FFF2-40B4-BE49-F238E27FC236}">
              <a16:creationId xmlns:a16="http://schemas.microsoft.com/office/drawing/2014/main" xmlns="" id="{00000000-0008-0000-0200-00002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69" name="Rectangle 453" descr="2">
          <a:extLst>
            <a:ext uri="{FF2B5EF4-FFF2-40B4-BE49-F238E27FC236}">
              <a16:creationId xmlns:a16="http://schemas.microsoft.com/office/drawing/2014/main" xmlns="" id="{00000000-0008-0000-0200-00002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70" name="Rectangle 454" descr="2">
          <a:extLst>
            <a:ext uri="{FF2B5EF4-FFF2-40B4-BE49-F238E27FC236}">
              <a16:creationId xmlns:a16="http://schemas.microsoft.com/office/drawing/2014/main" xmlns="" id="{00000000-0008-0000-0200-00002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71" name="Rectangle 455" descr="2">
          <a:extLst>
            <a:ext uri="{FF2B5EF4-FFF2-40B4-BE49-F238E27FC236}">
              <a16:creationId xmlns:a16="http://schemas.microsoft.com/office/drawing/2014/main" xmlns="" id="{00000000-0008-0000-0200-00002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72" name="Rectangle 456" descr="2">
          <a:extLst>
            <a:ext uri="{FF2B5EF4-FFF2-40B4-BE49-F238E27FC236}">
              <a16:creationId xmlns:a16="http://schemas.microsoft.com/office/drawing/2014/main" xmlns="" id="{00000000-0008-0000-0200-00002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73" name="Rectangle 457" descr="2">
          <a:extLst>
            <a:ext uri="{FF2B5EF4-FFF2-40B4-BE49-F238E27FC236}">
              <a16:creationId xmlns:a16="http://schemas.microsoft.com/office/drawing/2014/main" xmlns="" id="{00000000-0008-0000-0200-00002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74" name="Rectangle 458" descr="1">
          <a:extLst>
            <a:ext uri="{FF2B5EF4-FFF2-40B4-BE49-F238E27FC236}">
              <a16:creationId xmlns:a16="http://schemas.microsoft.com/office/drawing/2014/main" xmlns="" id="{00000000-0008-0000-0200-00002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75" name="Rectangle 444" descr="2">
          <a:extLst>
            <a:ext uri="{FF2B5EF4-FFF2-40B4-BE49-F238E27FC236}">
              <a16:creationId xmlns:a16="http://schemas.microsoft.com/office/drawing/2014/main" xmlns="" id="{00000000-0008-0000-0200-00002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76" name="Rectangle 445" descr="2">
          <a:extLst>
            <a:ext uri="{FF2B5EF4-FFF2-40B4-BE49-F238E27FC236}">
              <a16:creationId xmlns:a16="http://schemas.microsoft.com/office/drawing/2014/main" xmlns="" id="{00000000-0008-0000-0200-00002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77" name="Rectangle 446" descr="2">
          <a:extLst>
            <a:ext uri="{FF2B5EF4-FFF2-40B4-BE49-F238E27FC236}">
              <a16:creationId xmlns:a16="http://schemas.microsoft.com/office/drawing/2014/main" xmlns="" id="{00000000-0008-0000-0200-00002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78" name="Rectangle 447" descr="2">
          <a:extLst>
            <a:ext uri="{FF2B5EF4-FFF2-40B4-BE49-F238E27FC236}">
              <a16:creationId xmlns:a16="http://schemas.microsoft.com/office/drawing/2014/main" xmlns="" id="{00000000-0008-0000-0200-00002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79" name="Rectangle 448" descr="2">
          <a:extLst>
            <a:ext uri="{FF2B5EF4-FFF2-40B4-BE49-F238E27FC236}">
              <a16:creationId xmlns:a16="http://schemas.microsoft.com/office/drawing/2014/main" xmlns="" id="{00000000-0008-0000-0200-00002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80" name="Rectangle 449" descr="2">
          <a:extLst>
            <a:ext uri="{FF2B5EF4-FFF2-40B4-BE49-F238E27FC236}">
              <a16:creationId xmlns:a16="http://schemas.microsoft.com/office/drawing/2014/main" xmlns="" id="{00000000-0008-0000-0200-00003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81" name="Rectangle 450" descr="2">
          <a:extLst>
            <a:ext uri="{FF2B5EF4-FFF2-40B4-BE49-F238E27FC236}">
              <a16:creationId xmlns:a16="http://schemas.microsoft.com/office/drawing/2014/main" xmlns="" id="{00000000-0008-0000-0200-00003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82" name="Rectangle 451" descr="2">
          <a:extLst>
            <a:ext uri="{FF2B5EF4-FFF2-40B4-BE49-F238E27FC236}">
              <a16:creationId xmlns:a16="http://schemas.microsoft.com/office/drawing/2014/main" xmlns="" id="{00000000-0008-0000-0200-00003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83" name="Rectangle 452" descr="2">
          <a:extLst>
            <a:ext uri="{FF2B5EF4-FFF2-40B4-BE49-F238E27FC236}">
              <a16:creationId xmlns:a16="http://schemas.microsoft.com/office/drawing/2014/main" xmlns="" id="{00000000-0008-0000-0200-00003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84" name="Rectangle 453" descr="2">
          <a:extLst>
            <a:ext uri="{FF2B5EF4-FFF2-40B4-BE49-F238E27FC236}">
              <a16:creationId xmlns:a16="http://schemas.microsoft.com/office/drawing/2014/main" xmlns="" id="{00000000-0008-0000-0200-00003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85" name="Rectangle 454" descr="2">
          <a:extLst>
            <a:ext uri="{FF2B5EF4-FFF2-40B4-BE49-F238E27FC236}">
              <a16:creationId xmlns:a16="http://schemas.microsoft.com/office/drawing/2014/main" xmlns="" id="{00000000-0008-0000-0200-00003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86" name="Rectangle 455" descr="2">
          <a:extLst>
            <a:ext uri="{FF2B5EF4-FFF2-40B4-BE49-F238E27FC236}">
              <a16:creationId xmlns:a16="http://schemas.microsoft.com/office/drawing/2014/main" xmlns="" id="{00000000-0008-0000-0200-00003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87" name="Rectangle 456" descr="2">
          <a:extLst>
            <a:ext uri="{FF2B5EF4-FFF2-40B4-BE49-F238E27FC236}">
              <a16:creationId xmlns:a16="http://schemas.microsoft.com/office/drawing/2014/main" xmlns="" id="{00000000-0008-0000-0200-00003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88" name="Rectangle 457" descr="2">
          <a:extLst>
            <a:ext uri="{FF2B5EF4-FFF2-40B4-BE49-F238E27FC236}">
              <a16:creationId xmlns:a16="http://schemas.microsoft.com/office/drawing/2014/main" xmlns="" id="{00000000-0008-0000-0200-00003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89" name="Rectangle 458" descr="1">
          <a:extLst>
            <a:ext uri="{FF2B5EF4-FFF2-40B4-BE49-F238E27FC236}">
              <a16:creationId xmlns:a16="http://schemas.microsoft.com/office/drawing/2014/main" xmlns="" id="{00000000-0008-0000-0200-00003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90" name="Rectangle 444" descr="2">
          <a:extLst>
            <a:ext uri="{FF2B5EF4-FFF2-40B4-BE49-F238E27FC236}">
              <a16:creationId xmlns:a16="http://schemas.microsoft.com/office/drawing/2014/main" xmlns="" id="{00000000-0008-0000-0200-00003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91" name="Rectangle 445" descr="2">
          <a:extLst>
            <a:ext uri="{FF2B5EF4-FFF2-40B4-BE49-F238E27FC236}">
              <a16:creationId xmlns:a16="http://schemas.microsoft.com/office/drawing/2014/main" xmlns="" id="{00000000-0008-0000-0200-00003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92" name="Rectangle 446" descr="2">
          <a:extLst>
            <a:ext uri="{FF2B5EF4-FFF2-40B4-BE49-F238E27FC236}">
              <a16:creationId xmlns:a16="http://schemas.microsoft.com/office/drawing/2014/main" xmlns="" id="{00000000-0008-0000-0200-00003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93" name="Rectangle 447" descr="2">
          <a:extLst>
            <a:ext uri="{FF2B5EF4-FFF2-40B4-BE49-F238E27FC236}">
              <a16:creationId xmlns:a16="http://schemas.microsoft.com/office/drawing/2014/main" xmlns="" id="{00000000-0008-0000-0200-00003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94" name="Rectangle 448" descr="2">
          <a:extLst>
            <a:ext uri="{FF2B5EF4-FFF2-40B4-BE49-F238E27FC236}">
              <a16:creationId xmlns:a16="http://schemas.microsoft.com/office/drawing/2014/main" xmlns="" id="{00000000-0008-0000-0200-00003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95" name="Rectangle 449" descr="2">
          <a:extLst>
            <a:ext uri="{FF2B5EF4-FFF2-40B4-BE49-F238E27FC236}">
              <a16:creationId xmlns:a16="http://schemas.microsoft.com/office/drawing/2014/main" xmlns="" id="{00000000-0008-0000-0200-00003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96" name="Rectangle 450" descr="2">
          <a:extLst>
            <a:ext uri="{FF2B5EF4-FFF2-40B4-BE49-F238E27FC236}">
              <a16:creationId xmlns:a16="http://schemas.microsoft.com/office/drawing/2014/main" xmlns="" id="{00000000-0008-0000-0200-00004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97" name="Rectangle 451" descr="2">
          <a:extLst>
            <a:ext uri="{FF2B5EF4-FFF2-40B4-BE49-F238E27FC236}">
              <a16:creationId xmlns:a16="http://schemas.microsoft.com/office/drawing/2014/main" xmlns="" id="{00000000-0008-0000-0200-00004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98" name="Rectangle 452" descr="2">
          <a:extLst>
            <a:ext uri="{FF2B5EF4-FFF2-40B4-BE49-F238E27FC236}">
              <a16:creationId xmlns:a16="http://schemas.microsoft.com/office/drawing/2014/main" xmlns="" id="{00000000-0008-0000-0200-00004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599" name="Rectangle 453" descr="2">
          <a:extLst>
            <a:ext uri="{FF2B5EF4-FFF2-40B4-BE49-F238E27FC236}">
              <a16:creationId xmlns:a16="http://schemas.microsoft.com/office/drawing/2014/main" xmlns="" id="{00000000-0008-0000-0200-00004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00" name="Rectangle 454" descr="2">
          <a:extLst>
            <a:ext uri="{FF2B5EF4-FFF2-40B4-BE49-F238E27FC236}">
              <a16:creationId xmlns:a16="http://schemas.microsoft.com/office/drawing/2014/main" xmlns="" id="{00000000-0008-0000-0200-00004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01" name="Rectangle 455" descr="2">
          <a:extLst>
            <a:ext uri="{FF2B5EF4-FFF2-40B4-BE49-F238E27FC236}">
              <a16:creationId xmlns:a16="http://schemas.microsoft.com/office/drawing/2014/main" xmlns="" id="{00000000-0008-0000-0200-00004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02" name="Rectangle 456" descr="2">
          <a:extLst>
            <a:ext uri="{FF2B5EF4-FFF2-40B4-BE49-F238E27FC236}">
              <a16:creationId xmlns:a16="http://schemas.microsoft.com/office/drawing/2014/main" xmlns="" id="{00000000-0008-0000-0200-00004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03" name="Rectangle 457" descr="2">
          <a:extLst>
            <a:ext uri="{FF2B5EF4-FFF2-40B4-BE49-F238E27FC236}">
              <a16:creationId xmlns:a16="http://schemas.microsoft.com/office/drawing/2014/main" xmlns="" id="{00000000-0008-0000-0200-00004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04" name="Rectangle 458" descr="1">
          <a:extLst>
            <a:ext uri="{FF2B5EF4-FFF2-40B4-BE49-F238E27FC236}">
              <a16:creationId xmlns:a16="http://schemas.microsoft.com/office/drawing/2014/main" xmlns="" id="{00000000-0008-0000-0200-00004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05" name="Rectangle 444" descr="2">
          <a:extLst>
            <a:ext uri="{FF2B5EF4-FFF2-40B4-BE49-F238E27FC236}">
              <a16:creationId xmlns:a16="http://schemas.microsoft.com/office/drawing/2014/main" xmlns="" id="{00000000-0008-0000-0200-00004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06" name="Rectangle 445" descr="2">
          <a:extLst>
            <a:ext uri="{FF2B5EF4-FFF2-40B4-BE49-F238E27FC236}">
              <a16:creationId xmlns:a16="http://schemas.microsoft.com/office/drawing/2014/main" xmlns="" id="{00000000-0008-0000-0200-00004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07" name="Rectangle 446" descr="2">
          <a:extLst>
            <a:ext uri="{FF2B5EF4-FFF2-40B4-BE49-F238E27FC236}">
              <a16:creationId xmlns:a16="http://schemas.microsoft.com/office/drawing/2014/main" xmlns="" id="{00000000-0008-0000-0200-00004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08" name="Rectangle 447" descr="2">
          <a:extLst>
            <a:ext uri="{FF2B5EF4-FFF2-40B4-BE49-F238E27FC236}">
              <a16:creationId xmlns:a16="http://schemas.microsoft.com/office/drawing/2014/main" xmlns="" id="{00000000-0008-0000-0200-00004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09" name="Rectangle 448" descr="2">
          <a:extLst>
            <a:ext uri="{FF2B5EF4-FFF2-40B4-BE49-F238E27FC236}">
              <a16:creationId xmlns:a16="http://schemas.microsoft.com/office/drawing/2014/main" xmlns="" id="{00000000-0008-0000-0200-00004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10" name="Rectangle 449" descr="2">
          <a:extLst>
            <a:ext uri="{FF2B5EF4-FFF2-40B4-BE49-F238E27FC236}">
              <a16:creationId xmlns:a16="http://schemas.microsoft.com/office/drawing/2014/main" xmlns="" id="{00000000-0008-0000-0200-00004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11" name="Rectangle 450" descr="2">
          <a:extLst>
            <a:ext uri="{FF2B5EF4-FFF2-40B4-BE49-F238E27FC236}">
              <a16:creationId xmlns:a16="http://schemas.microsoft.com/office/drawing/2014/main" xmlns="" id="{00000000-0008-0000-0200-00004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12" name="Rectangle 451" descr="2">
          <a:extLst>
            <a:ext uri="{FF2B5EF4-FFF2-40B4-BE49-F238E27FC236}">
              <a16:creationId xmlns:a16="http://schemas.microsoft.com/office/drawing/2014/main" xmlns="" id="{00000000-0008-0000-0200-00005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13" name="Rectangle 452" descr="2">
          <a:extLst>
            <a:ext uri="{FF2B5EF4-FFF2-40B4-BE49-F238E27FC236}">
              <a16:creationId xmlns:a16="http://schemas.microsoft.com/office/drawing/2014/main" xmlns="" id="{00000000-0008-0000-0200-00005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14" name="Rectangle 453" descr="2">
          <a:extLst>
            <a:ext uri="{FF2B5EF4-FFF2-40B4-BE49-F238E27FC236}">
              <a16:creationId xmlns:a16="http://schemas.microsoft.com/office/drawing/2014/main" xmlns="" id="{00000000-0008-0000-0200-00005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15" name="Rectangle 454" descr="2">
          <a:extLst>
            <a:ext uri="{FF2B5EF4-FFF2-40B4-BE49-F238E27FC236}">
              <a16:creationId xmlns:a16="http://schemas.microsoft.com/office/drawing/2014/main" xmlns="" id="{00000000-0008-0000-0200-00005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16" name="Rectangle 455" descr="2">
          <a:extLst>
            <a:ext uri="{FF2B5EF4-FFF2-40B4-BE49-F238E27FC236}">
              <a16:creationId xmlns:a16="http://schemas.microsoft.com/office/drawing/2014/main" xmlns="" id="{00000000-0008-0000-0200-00005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17" name="Rectangle 456" descr="2">
          <a:extLst>
            <a:ext uri="{FF2B5EF4-FFF2-40B4-BE49-F238E27FC236}">
              <a16:creationId xmlns:a16="http://schemas.microsoft.com/office/drawing/2014/main" xmlns="" id="{00000000-0008-0000-0200-00005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18" name="Rectangle 457" descr="2">
          <a:extLst>
            <a:ext uri="{FF2B5EF4-FFF2-40B4-BE49-F238E27FC236}">
              <a16:creationId xmlns:a16="http://schemas.microsoft.com/office/drawing/2014/main" xmlns="" id="{00000000-0008-0000-0200-00005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19" name="Rectangle 458" descr="1">
          <a:extLst>
            <a:ext uri="{FF2B5EF4-FFF2-40B4-BE49-F238E27FC236}">
              <a16:creationId xmlns:a16="http://schemas.microsoft.com/office/drawing/2014/main" xmlns="" id="{00000000-0008-0000-0200-00005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20" name="Rectangle 444" descr="2">
          <a:extLst>
            <a:ext uri="{FF2B5EF4-FFF2-40B4-BE49-F238E27FC236}">
              <a16:creationId xmlns:a16="http://schemas.microsoft.com/office/drawing/2014/main" xmlns="" id="{00000000-0008-0000-0200-00005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21" name="Rectangle 445" descr="2">
          <a:extLst>
            <a:ext uri="{FF2B5EF4-FFF2-40B4-BE49-F238E27FC236}">
              <a16:creationId xmlns:a16="http://schemas.microsoft.com/office/drawing/2014/main" xmlns="" id="{00000000-0008-0000-0200-00005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22" name="Rectangle 446" descr="2">
          <a:extLst>
            <a:ext uri="{FF2B5EF4-FFF2-40B4-BE49-F238E27FC236}">
              <a16:creationId xmlns:a16="http://schemas.microsoft.com/office/drawing/2014/main" xmlns="" id="{00000000-0008-0000-0200-00005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23" name="Rectangle 447" descr="2">
          <a:extLst>
            <a:ext uri="{FF2B5EF4-FFF2-40B4-BE49-F238E27FC236}">
              <a16:creationId xmlns:a16="http://schemas.microsoft.com/office/drawing/2014/main" xmlns="" id="{00000000-0008-0000-0200-00005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24" name="Rectangle 448" descr="2">
          <a:extLst>
            <a:ext uri="{FF2B5EF4-FFF2-40B4-BE49-F238E27FC236}">
              <a16:creationId xmlns:a16="http://schemas.microsoft.com/office/drawing/2014/main" xmlns="" id="{00000000-0008-0000-0200-00005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25" name="Rectangle 449" descr="2">
          <a:extLst>
            <a:ext uri="{FF2B5EF4-FFF2-40B4-BE49-F238E27FC236}">
              <a16:creationId xmlns:a16="http://schemas.microsoft.com/office/drawing/2014/main" xmlns="" id="{00000000-0008-0000-0200-00005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26" name="Rectangle 450" descr="2">
          <a:extLst>
            <a:ext uri="{FF2B5EF4-FFF2-40B4-BE49-F238E27FC236}">
              <a16:creationId xmlns:a16="http://schemas.microsoft.com/office/drawing/2014/main" xmlns="" id="{00000000-0008-0000-0200-00005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27" name="Rectangle 451" descr="2">
          <a:extLst>
            <a:ext uri="{FF2B5EF4-FFF2-40B4-BE49-F238E27FC236}">
              <a16:creationId xmlns:a16="http://schemas.microsoft.com/office/drawing/2014/main" xmlns="" id="{00000000-0008-0000-0200-00005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28" name="Rectangle 452" descr="2">
          <a:extLst>
            <a:ext uri="{FF2B5EF4-FFF2-40B4-BE49-F238E27FC236}">
              <a16:creationId xmlns:a16="http://schemas.microsoft.com/office/drawing/2014/main" xmlns="" id="{00000000-0008-0000-0200-00006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29" name="Rectangle 453" descr="2">
          <a:extLst>
            <a:ext uri="{FF2B5EF4-FFF2-40B4-BE49-F238E27FC236}">
              <a16:creationId xmlns:a16="http://schemas.microsoft.com/office/drawing/2014/main" xmlns="" id="{00000000-0008-0000-0200-00006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30" name="Rectangle 454" descr="2">
          <a:extLst>
            <a:ext uri="{FF2B5EF4-FFF2-40B4-BE49-F238E27FC236}">
              <a16:creationId xmlns:a16="http://schemas.microsoft.com/office/drawing/2014/main" xmlns="" id="{00000000-0008-0000-0200-00006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31" name="Rectangle 455" descr="2">
          <a:extLst>
            <a:ext uri="{FF2B5EF4-FFF2-40B4-BE49-F238E27FC236}">
              <a16:creationId xmlns:a16="http://schemas.microsoft.com/office/drawing/2014/main" xmlns="" id="{00000000-0008-0000-0200-00006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32" name="Rectangle 456" descr="2">
          <a:extLst>
            <a:ext uri="{FF2B5EF4-FFF2-40B4-BE49-F238E27FC236}">
              <a16:creationId xmlns:a16="http://schemas.microsoft.com/office/drawing/2014/main" xmlns="" id="{00000000-0008-0000-0200-00006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33" name="Rectangle 457" descr="2">
          <a:extLst>
            <a:ext uri="{FF2B5EF4-FFF2-40B4-BE49-F238E27FC236}">
              <a16:creationId xmlns:a16="http://schemas.microsoft.com/office/drawing/2014/main" xmlns="" id="{00000000-0008-0000-0200-00006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34" name="Rectangle 458" descr="1">
          <a:extLst>
            <a:ext uri="{FF2B5EF4-FFF2-40B4-BE49-F238E27FC236}">
              <a16:creationId xmlns:a16="http://schemas.microsoft.com/office/drawing/2014/main" xmlns="" id="{00000000-0008-0000-0200-00006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35" name="Rectangle 444" descr="2">
          <a:extLst>
            <a:ext uri="{FF2B5EF4-FFF2-40B4-BE49-F238E27FC236}">
              <a16:creationId xmlns:a16="http://schemas.microsoft.com/office/drawing/2014/main" xmlns="" id="{00000000-0008-0000-0200-00006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36" name="Rectangle 445" descr="2">
          <a:extLst>
            <a:ext uri="{FF2B5EF4-FFF2-40B4-BE49-F238E27FC236}">
              <a16:creationId xmlns:a16="http://schemas.microsoft.com/office/drawing/2014/main" xmlns="" id="{00000000-0008-0000-0200-00006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37" name="Rectangle 446" descr="2">
          <a:extLst>
            <a:ext uri="{FF2B5EF4-FFF2-40B4-BE49-F238E27FC236}">
              <a16:creationId xmlns:a16="http://schemas.microsoft.com/office/drawing/2014/main" xmlns="" id="{00000000-0008-0000-0200-00006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38" name="Rectangle 447" descr="2">
          <a:extLst>
            <a:ext uri="{FF2B5EF4-FFF2-40B4-BE49-F238E27FC236}">
              <a16:creationId xmlns:a16="http://schemas.microsoft.com/office/drawing/2014/main" xmlns="" id="{00000000-0008-0000-0200-00006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39" name="Rectangle 448" descr="2">
          <a:extLst>
            <a:ext uri="{FF2B5EF4-FFF2-40B4-BE49-F238E27FC236}">
              <a16:creationId xmlns:a16="http://schemas.microsoft.com/office/drawing/2014/main" xmlns="" id="{00000000-0008-0000-0200-00006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40" name="Rectangle 449" descr="2">
          <a:extLst>
            <a:ext uri="{FF2B5EF4-FFF2-40B4-BE49-F238E27FC236}">
              <a16:creationId xmlns:a16="http://schemas.microsoft.com/office/drawing/2014/main" xmlns="" id="{00000000-0008-0000-0200-00006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41" name="Rectangle 450" descr="2">
          <a:extLst>
            <a:ext uri="{FF2B5EF4-FFF2-40B4-BE49-F238E27FC236}">
              <a16:creationId xmlns:a16="http://schemas.microsoft.com/office/drawing/2014/main" xmlns="" id="{00000000-0008-0000-0200-00006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42" name="Rectangle 451" descr="2">
          <a:extLst>
            <a:ext uri="{FF2B5EF4-FFF2-40B4-BE49-F238E27FC236}">
              <a16:creationId xmlns:a16="http://schemas.microsoft.com/office/drawing/2014/main" xmlns="" id="{00000000-0008-0000-0200-00006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43" name="Rectangle 452" descr="2">
          <a:extLst>
            <a:ext uri="{FF2B5EF4-FFF2-40B4-BE49-F238E27FC236}">
              <a16:creationId xmlns:a16="http://schemas.microsoft.com/office/drawing/2014/main" xmlns="" id="{00000000-0008-0000-0200-00006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44" name="Rectangle 453" descr="2">
          <a:extLst>
            <a:ext uri="{FF2B5EF4-FFF2-40B4-BE49-F238E27FC236}">
              <a16:creationId xmlns:a16="http://schemas.microsoft.com/office/drawing/2014/main" xmlns="" id="{00000000-0008-0000-0200-00007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45" name="Rectangle 454" descr="2">
          <a:extLst>
            <a:ext uri="{FF2B5EF4-FFF2-40B4-BE49-F238E27FC236}">
              <a16:creationId xmlns:a16="http://schemas.microsoft.com/office/drawing/2014/main" xmlns="" id="{00000000-0008-0000-0200-00007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46" name="Rectangle 455" descr="2">
          <a:extLst>
            <a:ext uri="{FF2B5EF4-FFF2-40B4-BE49-F238E27FC236}">
              <a16:creationId xmlns:a16="http://schemas.microsoft.com/office/drawing/2014/main" xmlns="" id="{00000000-0008-0000-0200-00007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47" name="Rectangle 456" descr="2">
          <a:extLst>
            <a:ext uri="{FF2B5EF4-FFF2-40B4-BE49-F238E27FC236}">
              <a16:creationId xmlns:a16="http://schemas.microsoft.com/office/drawing/2014/main" xmlns="" id="{00000000-0008-0000-0200-00007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48" name="Rectangle 457" descr="2">
          <a:extLst>
            <a:ext uri="{FF2B5EF4-FFF2-40B4-BE49-F238E27FC236}">
              <a16:creationId xmlns:a16="http://schemas.microsoft.com/office/drawing/2014/main" xmlns="" id="{00000000-0008-0000-0200-00007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49" name="Rectangle 458" descr="1">
          <a:extLst>
            <a:ext uri="{FF2B5EF4-FFF2-40B4-BE49-F238E27FC236}">
              <a16:creationId xmlns:a16="http://schemas.microsoft.com/office/drawing/2014/main" xmlns="" id="{00000000-0008-0000-0200-00007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50" name="Rectangle 444" descr="2">
          <a:extLst>
            <a:ext uri="{FF2B5EF4-FFF2-40B4-BE49-F238E27FC236}">
              <a16:creationId xmlns:a16="http://schemas.microsoft.com/office/drawing/2014/main" xmlns="" id="{00000000-0008-0000-0200-00007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51" name="Rectangle 445" descr="2">
          <a:extLst>
            <a:ext uri="{FF2B5EF4-FFF2-40B4-BE49-F238E27FC236}">
              <a16:creationId xmlns:a16="http://schemas.microsoft.com/office/drawing/2014/main" xmlns="" id="{00000000-0008-0000-0200-00007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52" name="Rectangle 446" descr="2">
          <a:extLst>
            <a:ext uri="{FF2B5EF4-FFF2-40B4-BE49-F238E27FC236}">
              <a16:creationId xmlns:a16="http://schemas.microsoft.com/office/drawing/2014/main" xmlns="" id="{00000000-0008-0000-0200-00007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53" name="Rectangle 447" descr="2">
          <a:extLst>
            <a:ext uri="{FF2B5EF4-FFF2-40B4-BE49-F238E27FC236}">
              <a16:creationId xmlns:a16="http://schemas.microsoft.com/office/drawing/2014/main" xmlns="" id="{00000000-0008-0000-0200-00007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54" name="Rectangle 448" descr="2">
          <a:extLst>
            <a:ext uri="{FF2B5EF4-FFF2-40B4-BE49-F238E27FC236}">
              <a16:creationId xmlns:a16="http://schemas.microsoft.com/office/drawing/2014/main" xmlns="" id="{00000000-0008-0000-0200-00007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55" name="Rectangle 449" descr="2">
          <a:extLst>
            <a:ext uri="{FF2B5EF4-FFF2-40B4-BE49-F238E27FC236}">
              <a16:creationId xmlns:a16="http://schemas.microsoft.com/office/drawing/2014/main" xmlns="" id="{00000000-0008-0000-0200-00007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56" name="Rectangle 450" descr="2">
          <a:extLst>
            <a:ext uri="{FF2B5EF4-FFF2-40B4-BE49-F238E27FC236}">
              <a16:creationId xmlns:a16="http://schemas.microsoft.com/office/drawing/2014/main" xmlns="" id="{00000000-0008-0000-0200-00007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57" name="Rectangle 451" descr="2">
          <a:extLst>
            <a:ext uri="{FF2B5EF4-FFF2-40B4-BE49-F238E27FC236}">
              <a16:creationId xmlns:a16="http://schemas.microsoft.com/office/drawing/2014/main" xmlns="" id="{00000000-0008-0000-0200-00007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58" name="Rectangle 452" descr="2">
          <a:extLst>
            <a:ext uri="{FF2B5EF4-FFF2-40B4-BE49-F238E27FC236}">
              <a16:creationId xmlns:a16="http://schemas.microsoft.com/office/drawing/2014/main" xmlns="" id="{00000000-0008-0000-0200-00007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59" name="Rectangle 453" descr="2">
          <a:extLst>
            <a:ext uri="{FF2B5EF4-FFF2-40B4-BE49-F238E27FC236}">
              <a16:creationId xmlns:a16="http://schemas.microsoft.com/office/drawing/2014/main" xmlns="" id="{00000000-0008-0000-0200-00007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60" name="Rectangle 454" descr="2">
          <a:extLst>
            <a:ext uri="{FF2B5EF4-FFF2-40B4-BE49-F238E27FC236}">
              <a16:creationId xmlns:a16="http://schemas.microsoft.com/office/drawing/2014/main" xmlns="" id="{00000000-0008-0000-0200-00008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61" name="Rectangle 455" descr="2">
          <a:extLst>
            <a:ext uri="{FF2B5EF4-FFF2-40B4-BE49-F238E27FC236}">
              <a16:creationId xmlns:a16="http://schemas.microsoft.com/office/drawing/2014/main" xmlns="" id="{00000000-0008-0000-0200-00008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62" name="Rectangle 456" descr="2">
          <a:extLst>
            <a:ext uri="{FF2B5EF4-FFF2-40B4-BE49-F238E27FC236}">
              <a16:creationId xmlns:a16="http://schemas.microsoft.com/office/drawing/2014/main" xmlns="" id="{00000000-0008-0000-0200-00008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63" name="Rectangle 457" descr="2">
          <a:extLst>
            <a:ext uri="{FF2B5EF4-FFF2-40B4-BE49-F238E27FC236}">
              <a16:creationId xmlns:a16="http://schemas.microsoft.com/office/drawing/2014/main" xmlns="" id="{00000000-0008-0000-0200-00008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64" name="Rectangle 458" descr="1">
          <a:extLst>
            <a:ext uri="{FF2B5EF4-FFF2-40B4-BE49-F238E27FC236}">
              <a16:creationId xmlns:a16="http://schemas.microsoft.com/office/drawing/2014/main" xmlns="" id="{00000000-0008-0000-0200-00008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65" name="Rectangle 444" descr="2">
          <a:extLst>
            <a:ext uri="{FF2B5EF4-FFF2-40B4-BE49-F238E27FC236}">
              <a16:creationId xmlns:a16="http://schemas.microsoft.com/office/drawing/2014/main" xmlns="" id="{00000000-0008-0000-0200-00008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66" name="Rectangle 445" descr="2">
          <a:extLst>
            <a:ext uri="{FF2B5EF4-FFF2-40B4-BE49-F238E27FC236}">
              <a16:creationId xmlns:a16="http://schemas.microsoft.com/office/drawing/2014/main" xmlns="" id="{00000000-0008-0000-0200-00008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67" name="Rectangle 446" descr="2">
          <a:extLst>
            <a:ext uri="{FF2B5EF4-FFF2-40B4-BE49-F238E27FC236}">
              <a16:creationId xmlns:a16="http://schemas.microsoft.com/office/drawing/2014/main" xmlns="" id="{00000000-0008-0000-0200-00008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68" name="Rectangle 447" descr="2">
          <a:extLst>
            <a:ext uri="{FF2B5EF4-FFF2-40B4-BE49-F238E27FC236}">
              <a16:creationId xmlns:a16="http://schemas.microsoft.com/office/drawing/2014/main" xmlns="" id="{00000000-0008-0000-0200-00008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69" name="Rectangle 448" descr="2">
          <a:extLst>
            <a:ext uri="{FF2B5EF4-FFF2-40B4-BE49-F238E27FC236}">
              <a16:creationId xmlns:a16="http://schemas.microsoft.com/office/drawing/2014/main" xmlns="" id="{00000000-0008-0000-0200-00008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70" name="Rectangle 449" descr="2">
          <a:extLst>
            <a:ext uri="{FF2B5EF4-FFF2-40B4-BE49-F238E27FC236}">
              <a16:creationId xmlns:a16="http://schemas.microsoft.com/office/drawing/2014/main" xmlns="" id="{00000000-0008-0000-0200-00008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71" name="Rectangle 450" descr="2">
          <a:extLst>
            <a:ext uri="{FF2B5EF4-FFF2-40B4-BE49-F238E27FC236}">
              <a16:creationId xmlns:a16="http://schemas.microsoft.com/office/drawing/2014/main" xmlns="" id="{00000000-0008-0000-0200-00008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72" name="Rectangle 451" descr="2">
          <a:extLst>
            <a:ext uri="{FF2B5EF4-FFF2-40B4-BE49-F238E27FC236}">
              <a16:creationId xmlns:a16="http://schemas.microsoft.com/office/drawing/2014/main" xmlns="" id="{00000000-0008-0000-0200-00008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73" name="Rectangle 452" descr="2">
          <a:extLst>
            <a:ext uri="{FF2B5EF4-FFF2-40B4-BE49-F238E27FC236}">
              <a16:creationId xmlns:a16="http://schemas.microsoft.com/office/drawing/2014/main" xmlns="" id="{00000000-0008-0000-0200-00008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74" name="Rectangle 453" descr="2">
          <a:extLst>
            <a:ext uri="{FF2B5EF4-FFF2-40B4-BE49-F238E27FC236}">
              <a16:creationId xmlns:a16="http://schemas.microsoft.com/office/drawing/2014/main" xmlns="" id="{00000000-0008-0000-0200-00008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75" name="Rectangle 454" descr="2">
          <a:extLst>
            <a:ext uri="{FF2B5EF4-FFF2-40B4-BE49-F238E27FC236}">
              <a16:creationId xmlns:a16="http://schemas.microsoft.com/office/drawing/2014/main" xmlns="" id="{00000000-0008-0000-0200-00008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76" name="Rectangle 455" descr="2">
          <a:extLst>
            <a:ext uri="{FF2B5EF4-FFF2-40B4-BE49-F238E27FC236}">
              <a16:creationId xmlns:a16="http://schemas.microsoft.com/office/drawing/2014/main" xmlns="" id="{00000000-0008-0000-0200-00009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77" name="Rectangle 456" descr="2">
          <a:extLst>
            <a:ext uri="{FF2B5EF4-FFF2-40B4-BE49-F238E27FC236}">
              <a16:creationId xmlns:a16="http://schemas.microsoft.com/office/drawing/2014/main" xmlns="" id="{00000000-0008-0000-0200-00009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78" name="Rectangle 457" descr="2">
          <a:extLst>
            <a:ext uri="{FF2B5EF4-FFF2-40B4-BE49-F238E27FC236}">
              <a16:creationId xmlns:a16="http://schemas.microsoft.com/office/drawing/2014/main" xmlns="" id="{00000000-0008-0000-0200-00009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79" name="Rectangle 458" descr="1">
          <a:extLst>
            <a:ext uri="{FF2B5EF4-FFF2-40B4-BE49-F238E27FC236}">
              <a16:creationId xmlns:a16="http://schemas.microsoft.com/office/drawing/2014/main" xmlns="" id="{00000000-0008-0000-0200-00009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80" name="Rectangle 444" descr="2">
          <a:extLst>
            <a:ext uri="{FF2B5EF4-FFF2-40B4-BE49-F238E27FC236}">
              <a16:creationId xmlns:a16="http://schemas.microsoft.com/office/drawing/2014/main" xmlns="" id="{00000000-0008-0000-0200-00009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81" name="Rectangle 445" descr="2">
          <a:extLst>
            <a:ext uri="{FF2B5EF4-FFF2-40B4-BE49-F238E27FC236}">
              <a16:creationId xmlns:a16="http://schemas.microsoft.com/office/drawing/2014/main" xmlns="" id="{00000000-0008-0000-0200-00009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82" name="Rectangle 446" descr="2">
          <a:extLst>
            <a:ext uri="{FF2B5EF4-FFF2-40B4-BE49-F238E27FC236}">
              <a16:creationId xmlns:a16="http://schemas.microsoft.com/office/drawing/2014/main" xmlns="" id="{00000000-0008-0000-0200-00009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83" name="Rectangle 447" descr="2">
          <a:extLst>
            <a:ext uri="{FF2B5EF4-FFF2-40B4-BE49-F238E27FC236}">
              <a16:creationId xmlns:a16="http://schemas.microsoft.com/office/drawing/2014/main" xmlns="" id="{00000000-0008-0000-0200-00009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84" name="Rectangle 448" descr="2">
          <a:extLst>
            <a:ext uri="{FF2B5EF4-FFF2-40B4-BE49-F238E27FC236}">
              <a16:creationId xmlns:a16="http://schemas.microsoft.com/office/drawing/2014/main" xmlns="" id="{00000000-0008-0000-0200-00009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85" name="Rectangle 449" descr="2">
          <a:extLst>
            <a:ext uri="{FF2B5EF4-FFF2-40B4-BE49-F238E27FC236}">
              <a16:creationId xmlns:a16="http://schemas.microsoft.com/office/drawing/2014/main" xmlns="" id="{00000000-0008-0000-0200-00009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86" name="Rectangle 450" descr="2">
          <a:extLst>
            <a:ext uri="{FF2B5EF4-FFF2-40B4-BE49-F238E27FC236}">
              <a16:creationId xmlns:a16="http://schemas.microsoft.com/office/drawing/2014/main" xmlns="" id="{00000000-0008-0000-0200-00009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87" name="Rectangle 451" descr="2">
          <a:extLst>
            <a:ext uri="{FF2B5EF4-FFF2-40B4-BE49-F238E27FC236}">
              <a16:creationId xmlns:a16="http://schemas.microsoft.com/office/drawing/2014/main" xmlns="" id="{00000000-0008-0000-0200-00009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88" name="Rectangle 452" descr="2">
          <a:extLst>
            <a:ext uri="{FF2B5EF4-FFF2-40B4-BE49-F238E27FC236}">
              <a16:creationId xmlns:a16="http://schemas.microsoft.com/office/drawing/2014/main" xmlns="" id="{00000000-0008-0000-0200-00009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89" name="Rectangle 453" descr="2">
          <a:extLst>
            <a:ext uri="{FF2B5EF4-FFF2-40B4-BE49-F238E27FC236}">
              <a16:creationId xmlns:a16="http://schemas.microsoft.com/office/drawing/2014/main" xmlns="" id="{00000000-0008-0000-0200-00009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90" name="Rectangle 454" descr="2">
          <a:extLst>
            <a:ext uri="{FF2B5EF4-FFF2-40B4-BE49-F238E27FC236}">
              <a16:creationId xmlns:a16="http://schemas.microsoft.com/office/drawing/2014/main" xmlns="" id="{00000000-0008-0000-0200-00009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91" name="Rectangle 455" descr="2">
          <a:extLst>
            <a:ext uri="{FF2B5EF4-FFF2-40B4-BE49-F238E27FC236}">
              <a16:creationId xmlns:a16="http://schemas.microsoft.com/office/drawing/2014/main" xmlns="" id="{00000000-0008-0000-0200-00009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92" name="Rectangle 456" descr="2">
          <a:extLst>
            <a:ext uri="{FF2B5EF4-FFF2-40B4-BE49-F238E27FC236}">
              <a16:creationId xmlns:a16="http://schemas.microsoft.com/office/drawing/2014/main" xmlns="" id="{00000000-0008-0000-0200-0000A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93" name="Rectangle 457" descr="2">
          <a:extLst>
            <a:ext uri="{FF2B5EF4-FFF2-40B4-BE49-F238E27FC236}">
              <a16:creationId xmlns:a16="http://schemas.microsoft.com/office/drawing/2014/main" xmlns="" id="{00000000-0008-0000-0200-0000A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94" name="Rectangle 458" descr="1">
          <a:extLst>
            <a:ext uri="{FF2B5EF4-FFF2-40B4-BE49-F238E27FC236}">
              <a16:creationId xmlns:a16="http://schemas.microsoft.com/office/drawing/2014/main" xmlns="" id="{00000000-0008-0000-0200-0000A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95" name="Rectangle 444" descr="2">
          <a:extLst>
            <a:ext uri="{FF2B5EF4-FFF2-40B4-BE49-F238E27FC236}">
              <a16:creationId xmlns:a16="http://schemas.microsoft.com/office/drawing/2014/main" xmlns="" id="{00000000-0008-0000-0200-0000A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96" name="Rectangle 445" descr="2">
          <a:extLst>
            <a:ext uri="{FF2B5EF4-FFF2-40B4-BE49-F238E27FC236}">
              <a16:creationId xmlns:a16="http://schemas.microsoft.com/office/drawing/2014/main" xmlns="" id="{00000000-0008-0000-0200-0000A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97" name="Rectangle 446" descr="2">
          <a:extLst>
            <a:ext uri="{FF2B5EF4-FFF2-40B4-BE49-F238E27FC236}">
              <a16:creationId xmlns:a16="http://schemas.microsoft.com/office/drawing/2014/main" xmlns="" id="{00000000-0008-0000-0200-0000A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98" name="Rectangle 447" descr="2">
          <a:extLst>
            <a:ext uri="{FF2B5EF4-FFF2-40B4-BE49-F238E27FC236}">
              <a16:creationId xmlns:a16="http://schemas.microsoft.com/office/drawing/2014/main" xmlns="" id="{00000000-0008-0000-0200-0000A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699" name="Rectangle 448" descr="2">
          <a:extLst>
            <a:ext uri="{FF2B5EF4-FFF2-40B4-BE49-F238E27FC236}">
              <a16:creationId xmlns:a16="http://schemas.microsoft.com/office/drawing/2014/main" xmlns="" id="{00000000-0008-0000-0200-0000A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00" name="Rectangle 449" descr="2">
          <a:extLst>
            <a:ext uri="{FF2B5EF4-FFF2-40B4-BE49-F238E27FC236}">
              <a16:creationId xmlns:a16="http://schemas.microsoft.com/office/drawing/2014/main" xmlns="" id="{00000000-0008-0000-0200-0000A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01" name="Rectangle 450" descr="2">
          <a:extLst>
            <a:ext uri="{FF2B5EF4-FFF2-40B4-BE49-F238E27FC236}">
              <a16:creationId xmlns:a16="http://schemas.microsoft.com/office/drawing/2014/main" xmlns="" id="{00000000-0008-0000-0200-0000A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02" name="Rectangle 451" descr="2">
          <a:extLst>
            <a:ext uri="{FF2B5EF4-FFF2-40B4-BE49-F238E27FC236}">
              <a16:creationId xmlns:a16="http://schemas.microsoft.com/office/drawing/2014/main" xmlns="" id="{00000000-0008-0000-0200-0000A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03" name="Rectangle 452" descr="2">
          <a:extLst>
            <a:ext uri="{FF2B5EF4-FFF2-40B4-BE49-F238E27FC236}">
              <a16:creationId xmlns:a16="http://schemas.microsoft.com/office/drawing/2014/main" xmlns="" id="{00000000-0008-0000-0200-0000A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04" name="Rectangle 453" descr="2">
          <a:extLst>
            <a:ext uri="{FF2B5EF4-FFF2-40B4-BE49-F238E27FC236}">
              <a16:creationId xmlns:a16="http://schemas.microsoft.com/office/drawing/2014/main" xmlns="" id="{00000000-0008-0000-0200-0000A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05" name="Rectangle 454" descr="2">
          <a:extLst>
            <a:ext uri="{FF2B5EF4-FFF2-40B4-BE49-F238E27FC236}">
              <a16:creationId xmlns:a16="http://schemas.microsoft.com/office/drawing/2014/main" xmlns="" id="{00000000-0008-0000-0200-0000A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06" name="Rectangle 455" descr="2">
          <a:extLst>
            <a:ext uri="{FF2B5EF4-FFF2-40B4-BE49-F238E27FC236}">
              <a16:creationId xmlns:a16="http://schemas.microsoft.com/office/drawing/2014/main" xmlns="" id="{00000000-0008-0000-0200-0000A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07" name="Rectangle 456" descr="2">
          <a:extLst>
            <a:ext uri="{FF2B5EF4-FFF2-40B4-BE49-F238E27FC236}">
              <a16:creationId xmlns:a16="http://schemas.microsoft.com/office/drawing/2014/main" xmlns="" id="{00000000-0008-0000-0200-0000A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08" name="Rectangle 457" descr="2">
          <a:extLst>
            <a:ext uri="{FF2B5EF4-FFF2-40B4-BE49-F238E27FC236}">
              <a16:creationId xmlns:a16="http://schemas.microsoft.com/office/drawing/2014/main" xmlns="" id="{00000000-0008-0000-0200-0000B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09" name="Rectangle 458" descr="1">
          <a:extLst>
            <a:ext uri="{FF2B5EF4-FFF2-40B4-BE49-F238E27FC236}">
              <a16:creationId xmlns:a16="http://schemas.microsoft.com/office/drawing/2014/main" xmlns="" id="{00000000-0008-0000-0200-0000B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10" name="Rectangle 444" descr="2">
          <a:extLst>
            <a:ext uri="{FF2B5EF4-FFF2-40B4-BE49-F238E27FC236}">
              <a16:creationId xmlns:a16="http://schemas.microsoft.com/office/drawing/2014/main" xmlns="" id="{00000000-0008-0000-0200-0000B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11" name="Rectangle 445" descr="2">
          <a:extLst>
            <a:ext uri="{FF2B5EF4-FFF2-40B4-BE49-F238E27FC236}">
              <a16:creationId xmlns:a16="http://schemas.microsoft.com/office/drawing/2014/main" xmlns="" id="{00000000-0008-0000-0200-0000B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12" name="Rectangle 446" descr="2">
          <a:extLst>
            <a:ext uri="{FF2B5EF4-FFF2-40B4-BE49-F238E27FC236}">
              <a16:creationId xmlns:a16="http://schemas.microsoft.com/office/drawing/2014/main" xmlns="" id="{00000000-0008-0000-0200-0000B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13" name="Rectangle 447" descr="2">
          <a:extLst>
            <a:ext uri="{FF2B5EF4-FFF2-40B4-BE49-F238E27FC236}">
              <a16:creationId xmlns:a16="http://schemas.microsoft.com/office/drawing/2014/main" xmlns="" id="{00000000-0008-0000-0200-0000B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14" name="Rectangle 448" descr="2">
          <a:extLst>
            <a:ext uri="{FF2B5EF4-FFF2-40B4-BE49-F238E27FC236}">
              <a16:creationId xmlns:a16="http://schemas.microsoft.com/office/drawing/2014/main" xmlns="" id="{00000000-0008-0000-0200-0000B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15" name="Rectangle 449" descr="2">
          <a:extLst>
            <a:ext uri="{FF2B5EF4-FFF2-40B4-BE49-F238E27FC236}">
              <a16:creationId xmlns:a16="http://schemas.microsoft.com/office/drawing/2014/main" xmlns="" id="{00000000-0008-0000-0200-0000B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16" name="Rectangle 450" descr="2">
          <a:extLst>
            <a:ext uri="{FF2B5EF4-FFF2-40B4-BE49-F238E27FC236}">
              <a16:creationId xmlns:a16="http://schemas.microsoft.com/office/drawing/2014/main" xmlns="" id="{00000000-0008-0000-0200-0000B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17" name="Rectangle 451" descr="2">
          <a:extLst>
            <a:ext uri="{FF2B5EF4-FFF2-40B4-BE49-F238E27FC236}">
              <a16:creationId xmlns:a16="http://schemas.microsoft.com/office/drawing/2014/main" xmlns="" id="{00000000-0008-0000-0200-0000B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18" name="Rectangle 452" descr="2">
          <a:extLst>
            <a:ext uri="{FF2B5EF4-FFF2-40B4-BE49-F238E27FC236}">
              <a16:creationId xmlns:a16="http://schemas.microsoft.com/office/drawing/2014/main" xmlns="" id="{00000000-0008-0000-0200-0000B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19" name="Rectangle 453" descr="2">
          <a:extLst>
            <a:ext uri="{FF2B5EF4-FFF2-40B4-BE49-F238E27FC236}">
              <a16:creationId xmlns:a16="http://schemas.microsoft.com/office/drawing/2014/main" xmlns="" id="{00000000-0008-0000-0200-0000B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20" name="Rectangle 454" descr="2">
          <a:extLst>
            <a:ext uri="{FF2B5EF4-FFF2-40B4-BE49-F238E27FC236}">
              <a16:creationId xmlns:a16="http://schemas.microsoft.com/office/drawing/2014/main" xmlns="" id="{00000000-0008-0000-0200-0000B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21" name="Rectangle 455" descr="2">
          <a:extLst>
            <a:ext uri="{FF2B5EF4-FFF2-40B4-BE49-F238E27FC236}">
              <a16:creationId xmlns:a16="http://schemas.microsoft.com/office/drawing/2014/main" xmlns="" id="{00000000-0008-0000-0200-0000B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22" name="Rectangle 456" descr="2">
          <a:extLst>
            <a:ext uri="{FF2B5EF4-FFF2-40B4-BE49-F238E27FC236}">
              <a16:creationId xmlns:a16="http://schemas.microsoft.com/office/drawing/2014/main" xmlns="" id="{00000000-0008-0000-0200-0000B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23" name="Rectangle 457" descr="2">
          <a:extLst>
            <a:ext uri="{FF2B5EF4-FFF2-40B4-BE49-F238E27FC236}">
              <a16:creationId xmlns:a16="http://schemas.microsoft.com/office/drawing/2014/main" xmlns="" id="{00000000-0008-0000-0200-0000B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24" name="Rectangle 458" descr="1">
          <a:extLst>
            <a:ext uri="{FF2B5EF4-FFF2-40B4-BE49-F238E27FC236}">
              <a16:creationId xmlns:a16="http://schemas.microsoft.com/office/drawing/2014/main" xmlns="" id="{00000000-0008-0000-0200-0000C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25" name="Rectangle 444" descr="2">
          <a:extLst>
            <a:ext uri="{FF2B5EF4-FFF2-40B4-BE49-F238E27FC236}">
              <a16:creationId xmlns:a16="http://schemas.microsoft.com/office/drawing/2014/main" xmlns="" id="{00000000-0008-0000-0200-0000C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26" name="Rectangle 445" descr="2">
          <a:extLst>
            <a:ext uri="{FF2B5EF4-FFF2-40B4-BE49-F238E27FC236}">
              <a16:creationId xmlns:a16="http://schemas.microsoft.com/office/drawing/2014/main" xmlns="" id="{00000000-0008-0000-0200-0000C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27" name="Rectangle 446" descr="2">
          <a:extLst>
            <a:ext uri="{FF2B5EF4-FFF2-40B4-BE49-F238E27FC236}">
              <a16:creationId xmlns:a16="http://schemas.microsoft.com/office/drawing/2014/main" xmlns="" id="{00000000-0008-0000-0200-0000C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28" name="Rectangle 447" descr="2">
          <a:extLst>
            <a:ext uri="{FF2B5EF4-FFF2-40B4-BE49-F238E27FC236}">
              <a16:creationId xmlns:a16="http://schemas.microsoft.com/office/drawing/2014/main" xmlns="" id="{00000000-0008-0000-0200-0000C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29" name="Rectangle 448" descr="2">
          <a:extLst>
            <a:ext uri="{FF2B5EF4-FFF2-40B4-BE49-F238E27FC236}">
              <a16:creationId xmlns:a16="http://schemas.microsoft.com/office/drawing/2014/main" xmlns="" id="{00000000-0008-0000-0200-0000C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30" name="Rectangle 449" descr="2">
          <a:extLst>
            <a:ext uri="{FF2B5EF4-FFF2-40B4-BE49-F238E27FC236}">
              <a16:creationId xmlns:a16="http://schemas.microsoft.com/office/drawing/2014/main" xmlns="" id="{00000000-0008-0000-0200-0000C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31" name="Rectangle 450" descr="2">
          <a:extLst>
            <a:ext uri="{FF2B5EF4-FFF2-40B4-BE49-F238E27FC236}">
              <a16:creationId xmlns:a16="http://schemas.microsoft.com/office/drawing/2014/main" xmlns="" id="{00000000-0008-0000-0200-0000C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32" name="Rectangle 451" descr="2">
          <a:extLst>
            <a:ext uri="{FF2B5EF4-FFF2-40B4-BE49-F238E27FC236}">
              <a16:creationId xmlns:a16="http://schemas.microsoft.com/office/drawing/2014/main" xmlns="" id="{00000000-0008-0000-0200-0000C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33" name="Rectangle 452" descr="2">
          <a:extLst>
            <a:ext uri="{FF2B5EF4-FFF2-40B4-BE49-F238E27FC236}">
              <a16:creationId xmlns:a16="http://schemas.microsoft.com/office/drawing/2014/main" xmlns="" id="{00000000-0008-0000-0200-0000C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34" name="Rectangle 453" descr="2">
          <a:extLst>
            <a:ext uri="{FF2B5EF4-FFF2-40B4-BE49-F238E27FC236}">
              <a16:creationId xmlns:a16="http://schemas.microsoft.com/office/drawing/2014/main" xmlns="" id="{00000000-0008-0000-0200-0000C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35" name="Rectangle 454" descr="2">
          <a:extLst>
            <a:ext uri="{FF2B5EF4-FFF2-40B4-BE49-F238E27FC236}">
              <a16:creationId xmlns:a16="http://schemas.microsoft.com/office/drawing/2014/main" xmlns="" id="{00000000-0008-0000-0200-0000C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36" name="Rectangle 455" descr="2">
          <a:extLst>
            <a:ext uri="{FF2B5EF4-FFF2-40B4-BE49-F238E27FC236}">
              <a16:creationId xmlns:a16="http://schemas.microsoft.com/office/drawing/2014/main" xmlns="" id="{00000000-0008-0000-0200-0000C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37" name="Rectangle 456" descr="2">
          <a:extLst>
            <a:ext uri="{FF2B5EF4-FFF2-40B4-BE49-F238E27FC236}">
              <a16:creationId xmlns:a16="http://schemas.microsoft.com/office/drawing/2014/main" xmlns="" id="{00000000-0008-0000-0200-0000C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38" name="Rectangle 457" descr="2">
          <a:extLst>
            <a:ext uri="{FF2B5EF4-FFF2-40B4-BE49-F238E27FC236}">
              <a16:creationId xmlns:a16="http://schemas.microsoft.com/office/drawing/2014/main" xmlns="" id="{00000000-0008-0000-0200-0000C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39" name="Rectangle 458" descr="1">
          <a:extLst>
            <a:ext uri="{FF2B5EF4-FFF2-40B4-BE49-F238E27FC236}">
              <a16:creationId xmlns:a16="http://schemas.microsoft.com/office/drawing/2014/main" xmlns="" id="{00000000-0008-0000-0200-0000C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40" name="Rectangle 444" descr="2">
          <a:extLst>
            <a:ext uri="{FF2B5EF4-FFF2-40B4-BE49-F238E27FC236}">
              <a16:creationId xmlns:a16="http://schemas.microsoft.com/office/drawing/2014/main" xmlns="" id="{00000000-0008-0000-0200-0000D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41" name="Rectangle 445" descr="2">
          <a:extLst>
            <a:ext uri="{FF2B5EF4-FFF2-40B4-BE49-F238E27FC236}">
              <a16:creationId xmlns:a16="http://schemas.microsoft.com/office/drawing/2014/main" xmlns="" id="{00000000-0008-0000-0200-0000D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42" name="Rectangle 446" descr="2">
          <a:extLst>
            <a:ext uri="{FF2B5EF4-FFF2-40B4-BE49-F238E27FC236}">
              <a16:creationId xmlns:a16="http://schemas.microsoft.com/office/drawing/2014/main" xmlns="" id="{00000000-0008-0000-0200-0000D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43" name="Rectangle 447" descr="2">
          <a:extLst>
            <a:ext uri="{FF2B5EF4-FFF2-40B4-BE49-F238E27FC236}">
              <a16:creationId xmlns:a16="http://schemas.microsoft.com/office/drawing/2014/main" xmlns="" id="{00000000-0008-0000-0200-0000D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44" name="Rectangle 448" descr="2">
          <a:extLst>
            <a:ext uri="{FF2B5EF4-FFF2-40B4-BE49-F238E27FC236}">
              <a16:creationId xmlns:a16="http://schemas.microsoft.com/office/drawing/2014/main" xmlns="" id="{00000000-0008-0000-0200-0000D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45" name="Rectangle 449" descr="2">
          <a:extLst>
            <a:ext uri="{FF2B5EF4-FFF2-40B4-BE49-F238E27FC236}">
              <a16:creationId xmlns:a16="http://schemas.microsoft.com/office/drawing/2014/main" xmlns="" id="{00000000-0008-0000-0200-0000D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46" name="Rectangle 450" descr="2">
          <a:extLst>
            <a:ext uri="{FF2B5EF4-FFF2-40B4-BE49-F238E27FC236}">
              <a16:creationId xmlns:a16="http://schemas.microsoft.com/office/drawing/2014/main" xmlns="" id="{00000000-0008-0000-0200-0000D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47" name="Rectangle 451" descr="2">
          <a:extLst>
            <a:ext uri="{FF2B5EF4-FFF2-40B4-BE49-F238E27FC236}">
              <a16:creationId xmlns:a16="http://schemas.microsoft.com/office/drawing/2014/main" xmlns="" id="{00000000-0008-0000-0200-0000D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48" name="Rectangle 452" descr="2">
          <a:extLst>
            <a:ext uri="{FF2B5EF4-FFF2-40B4-BE49-F238E27FC236}">
              <a16:creationId xmlns:a16="http://schemas.microsoft.com/office/drawing/2014/main" xmlns="" id="{00000000-0008-0000-0200-0000D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49" name="Rectangle 453" descr="2">
          <a:extLst>
            <a:ext uri="{FF2B5EF4-FFF2-40B4-BE49-F238E27FC236}">
              <a16:creationId xmlns:a16="http://schemas.microsoft.com/office/drawing/2014/main" xmlns="" id="{00000000-0008-0000-0200-0000D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50" name="Rectangle 454" descr="2">
          <a:extLst>
            <a:ext uri="{FF2B5EF4-FFF2-40B4-BE49-F238E27FC236}">
              <a16:creationId xmlns:a16="http://schemas.microsoft.com/office/drawing/2014/main" xmlns="" id="{00000000-0008-0000-0200-0000D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51" name="Rectangle 455" descr="2">
          <a:extLst>
            <a:ext uri="{FF2B5EF4-FFF2-40B4-BE49-F238E27FC236}">
              <a16:creationId xmlns:a16="http://schemas.microsoft.com/office/drawing/2014/main" xmlns="" id="{00000000-0008-0000-0200-0000D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52" name="Rectangle 456" descr="2">
          <a:extLst>
            <a:ext uri="{FF2B5EF4-FFF2-40B4-BE49-F238E27FC236}">
              <a16:creationId xmlns:a16="http://schemas.microsoft.com/office/drawing/2014/main" xmlns="" id="{00000000-0008-0000-0200-0000D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53" name="Rectangle 457" descr="2">
          <a:extLst>
            <a:ext uri="{FF2B5EF4-FFF2-40B4-BE49-F238E27FC236}">
              <a16:creationId xmlns:a16="http://schemas.microsoft.com/office/drawing/2014/main" xmlns="" id="{00000000-0008-0000-0200-0000D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54" name="Rectangle 458" descr="1">
          <a:extLst>
            <a:ext uri="{FF2B5EF4-FFF2-40B4-BE49-F238E27FC236}">
              <a16:creationId xmlns:a16="http://schemas.microsoft.com/office/drawing/2014/main" xmlns="" id="{00000000-0008-0000-0200-0000D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55" name="Rectangle 444" descr="2">
          <a:extLst>
            <a:ext uri="{FF2B5EF4-FFF2-40B4-BE49-F238E27FC236}">
              <a16:creationId xmlns:a16="http://schemas.microsoft.com/office/drawing/2014/main" xmlns="" id="{00000000-0008-0000-0200-0000D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56" name="Rectangle 445" descr="2">
          <a:extLst>
            <a:ext uri="{FF2B5EF4-FFF2-40B4-BE49-F238E27FC236}">
              <a16:creationId xmlns:a16="http://schemas.microsoft.com/office/drawing/2014/main" xmlns="" id="{00000000-0008-0000-0200-0000E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57" name="Rectangle 446" descr="2">
          <a:extLst>
            <a:ext uri="{FF2B5EF4-FFF2-40B4-BE49-F238E27FC236}">
              <a16:creationId xmlns:a16="http://schemas.microsoft.com/office/drawing/2014/main" xmlns="" id="{00000000-0008-0000-0200-0000E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58" name="Rectangle 447" descr="2">
          <a:extLst>
            <a:ext uri="{FF2B5EF4-FFF2-40B4-BE49-F238E27FC236}">
              <a16:creationId xmlns:a16="http://schemas.microsoft.com/office/drawing/2014/main" xmlns="" id="{00000000-0008-0000-0200-0000E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59" name="Rectangle 448" descr="2">
          <a:extLst>
            <a:ext uri="{FF2B5EF4-FFF2-40B4-BE49-F238E27FC236}">
              <a16:creationId xmlns:a16="http://schemas.microsoft.com/office/drawing/2014/main" xmlns="" id="{00000000-0008-0000-0200-0000E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60" name="Rectangle 449" descr="2">
          <a:extLst>
            <a:ext uri="{FF2B5EF4-FFF2-40B4-BE49-F238E27FC236}">
              <a16:creationId xmlns:a16="http://schemas.microsoft.com/office/drawing/2014/main" xmlns="" id="{00000000-0008-0000-0200-0000E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61" name="Rectangle 450" descr="2">
          <a:extLst>
            <a:ext uri="{FF2B5EF4-FFF2-40B4-BE49-F238E27FC236}">
              <a16:creationId xmlns:a16="http://schemas.microsoft.com/office/drawing/2014/main" xmlns="" id="{00000000-0008-0000-0200-0000E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62" name="Rectangle 451" descr="2">
          <a:extLst>
            <a:ext uri="{FF2B5EF4-FFF2-40B4-BE49-F238E27FC236}">
              <a16:creationId xmlns:a16="http://schemas.microsoft.com/office/drawing/2014/main" xmlns="" id="{00000000-0008-0000-0200-0000E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63" name="Rectangle 452" descr="2">
          <a:extLst>
            <a:ext uri="{FF2B5EF4-FFF2-40B4-BE49-F238E27FC236}">
              <a16:creationId xmlns:a16="http://schemas.microsoft.com/office/drawing/2014/main" xmlns="" id="{00000000-0008-0000-0200-0000E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64" name="Rectangle 453" descr="2">
          <a:extLst>
            <a:ext uri="{FF2B5EF4-FFF2-40B4-BE49-F238E27FC236}">
              <a16:creationId xmlns:a16="http://schemas.microsoft.com/office/drawing/2014/main" xmlns="" id="{00000000-0008-0000-0200-0000E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65" name="Rectangle 454" descr="2">
          <a:extLst>
            <a:ext uri="{FF2B5EF4-FFF2-40B4-BE49-F238E27FC236}">
              <a16:creationId xmlns:a16="http://schemas.microsoft.com/office/drawing/2014/main" xmlns="" id="{00000000-0008-0000-0200-0000E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66" name="Rectangle 455" descr="2">
          <a:extLst>
            <a:ext uri="{FF2B5EF4-FFF2-40B4-BE49-F238E27FC236}">
              <a16:creationId xmlns:a16="http://schemas.microsoft.com/office/drawing/2014/main" xmlns="" id="{00000000-0008-0000-0200-0000E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67" name="Rectangle 456" descr="2">
          <a:extLst>
            <a:ext uri="{FF2B5EF4-FFF2-40B4-BE49-F238E27FC236}">
              <a16:creationId xmlns:a16="http://schemas.microsoft.com/office/drawing/2014/main" xmlns="" id="{00000000-0008-0000-0200-0000E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68" name="Rectangle 457" descr="2">
          <a:extLst>
            <a:ext uri="{FF2B5EF4-FFF2-40B4-BE49-F238E27FC236}">
              <a16:creationId xmlns:a16="http://schemas.microsoft.com/office/drawing/2014/main" xmlns="" id="{00000000-0008-0000-0200-0000E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69" name="Rectangle 458" descr="1">
          <a:extLst>
            <a:ext uri="{FF2B5EF4-FFF2-40B4-BE49-F238E27FC236}">
              <a16:creationId xmlns:a16="http://schemas.microsoft.com/office/drawing/2014/main" xmlns="" id="{00000000-0008-0000-0200-0000E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70" name="Rectangle 444" descr="2">
          <a:extLst>
            <a:ext uri="{FF2B5EF4-FFF2-40B4-BE49-F238E27FC236}">
              <a16:creationId xmlns:a16="http://schemas.microsoft.com/office/drawing/2014/main" xmlns="" id="{00000000-0008-0000-0200-0000E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71" name="Rectangle 445" descr="2">
          <a:extLst>
            <a:ext uri="{FF2B5EF4-FFF2-40B4-BE49-F238E27FC236}">
              <a16:creationId xmlns:a16="http://schemas.microsoft.com/office/drawing/2014/main" xmlns="" id="{00000000-0008-0000-0200-0000E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72" name="Rectangle 446" descr="2">
          <a:extLst>
            <a:ext uri="{FF2B5EF4-FFF2-40B4-BE49-F238E27FC236}">
              <a16:creationId xmlns:a16="http://schemas.microsoft.com/office/drawing/2014/main" xmlns="" id="{00000000-0008-0000-0200-0000F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73" name="Rectangle 447" descr="2">
          <a:extLst>
            <a:ext uri="{FF2B5EF4-FFF2-40B4-BE49-F238E27FC236}">
              <a16:creationId xmlns:a16="http://schemas.microsoft.com/office/drawing/2014/main" xmlns="" id="{00000000-0008-0000-0200-0000F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74" name="Rectangle 448" descr="2">
          <a:extLst>
            <a:ext uri="{FF2B5EF4-FFF2-40B4-BE49-F238E27FC236}">
              <a16:creationId xmlns:a16="http://schemas.microsoft.com/office/drawing/2014/main" xmlns="" id="{00000000-0008-0000-0200-0000F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75" name="Rectangle 449" descr="2">
          <a:extLst>
            <a:ext uri="{FF2B5EF4-FFF2-40B4-BE49-F238E27FC236}">
              <a16:creationId xmlns:a16="http://schemas.microsoft.com/office/drawing/2014/main" xmlns="" id="{00000000-0008-0000-0200-0000F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76" name="Rectangle 450" descr="2">
          <a:extLst>
            <a:ext uri="{FF2B5EF4-FFF2-40B4-BE49-F238E27FC236}">
              <a16:creationId xmlns:a16="http://schemas.microsoft.com/office/drawing/2014/main" xmlns="" id="{00000000-0008-0000-0200-0000F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77" name="Rectangle 451" descr="2">
          <a:extLst>
            <a:ext uri="{FF2B5EF4-FFF2-40B4-BE49-F238E27FC236}">
              <a16:creationId xmlns:a16="http://schemas.microsoft.com/office/drawing/2014/main" xmlns="" id="{00000000-0008-0000-0200-0000F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78" name="Rectangle 452" descr="2">
          <a:extLst>
            <a:ext uri="{FF2B5EF4-FFF2-40B4-BE49-F238E27FC236}">
              <a16:creationId xmlns:a16="http://schemas.microsoft.com/office/drawing/2014/main" xmlns="" id="{00000000-0008-0000-0200-0000F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79" name="Rectangle 453" descr="2">
          <a:extLst>
            <a:ext uri="{FF2B5EF4-FFF2-40B4-BE49-F238E27FC236}">
              <a16:creationId xmlns:a16="http://schemas.microsoft.com/office/drawing/2014/main" xmlns="" id="{00000000-0008-0000-0200-0000F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80" name="Rectangle 454" descr="2">
          <a:extLst>
            <a:ext uri="{FF2B5EF4-FFF2-40B4-BE49-F238E27FC236}">
              <a16:creationId xmlns:a16="http://schemas.microsoft.com/office/drawing/2014/main" xmlns="" id="{00000000-0008-0000-0200-0000F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81" name="Rectangle 455" descr="2">
          <a:extLst>
            <a:ext uri="{FF2B5EF4-FFF2-40B4-BE49-F238E27FC236}">
              <a16:creationId xmlns:a16="http://schemas.microsoft.com/office/drawing/2014/main" xmlns="" id="{00000000-0008-0000-0200-0000F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82" name="Rectangle 456" descr="2">
          <a:extLst>
            <a:ext uri="{FF2B5EF4-FFF2-40B4-BE49-F238E27FC236}">
              <a16:creationId xmlns:a16="http://schemas.microsoft.com/office/drawing/2014/main" xmlns="" id="{00000000-0008-0000-0200-0000F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83" name="Rectangle 457" descr="2">
          <a:extLst>
            <a:ext uri="{FF2B5EF4-FFF2-40B4-BE49-F238E27FC236}">
              <a16:creationId xmlns:a16="http://schemas.microsoft.com/office/drawing/2014/main" xmlns="" id="{00000000-0008-0000-0200-0000F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84" name="Rectangle 458" descr="1">
          <a:extLst>
            <a:ext uri="{FF2B5EF4-FFF2-40B4-BE49-F238E27FC236}">
              <a16:creationId xmlns:a16="http://schemas.microsoft.com/office/drawing/2014/main" xmlns="" id="{00000000-0008-0000-0200-0000F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85" name="Rectangle 444" descr="2">
          <a:extLst>
            <a:ext uri="{FF2B5EF4-FFF2-40B4-BE49-F238E27FC236}">
              <a16:creationId xmlns:a16="http://schemas.microsoft.com/office/drawing/2014/main" xmlns="" id="{00000000-0008-0000-0200-0000F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86" name="Rectangle 445" descr="2">
          <a:extLst>
            <a:ext uri="{FF2B5EF4-FFF2-40B4-BE49-F238E27FC236}">
              <a16:creationId xmlns:a16="http://schemas.microsoft.com/office/drawing/2014/main" xmlns="" id="{00000000-0008-0000-0200-0000F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87" name="Rectangle 446" descr="2">
          <a:extLst>
            <a:ext uri="{FF2B5EF4-FFF2-40B4-BE49-F238E27FC236}">
              <a16:creationId xmlns:a16="http://schemas.microsoft.com/office/drawing/2014/main" xmlns="" id="{00000000-0008-0000-0200-0000F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88" name="Rectangle 447" descr="2">
          <a:extLst>
            <a:ext uri="{FF2B5EF4-FFF2-40B4-BE49-F238E27FC236}">
              <a16:creationId xmlns:a16="http://schemas.microsoft.com/office/drawing/2014/main" xmlns="" id="{00000000-0008-0000-0200-000000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89" name="Rectangle 448" descr="2">
          <a:extLst>
            <a:ext uri="{FF2B5EF4-FFF2-40B4-BE49-F238E27FC236}">
              <a16:creationId xmlns:a16="http://schemas.microsoft.com/office/drawing/2014/main" xmlns="" id="{00000000-0008-0000-0200-000001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90" name="Rectangle 449" descr="2">
          <a:extLst>
            <a:ext uri="{FF2B5EF4-FFF2-40B4-BE49-F238E27FC236}">
              <a16:creationId xmlns:a16="http://schemas.microsoft.com/office/drawing/2014/main" xmlns="" id="{00000000-0008-0000-0200-000002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91" name="Rectangle 450" descr="2">
          <a:extLst>
            <a:ext uri="{FF2B5EF4-FFF2-40B4-BE49-F238E27FC236}">
              <a16:creationId xmlns:a16="http://schemas.microsoft.com/office/drawing/2014/main" xmlns="" id="{00000000-0008-0000-0200-000003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92" name="Rectangle 451" descr="2">
          <a:extLst>
            <a:ext uri="{FF2B5EF4-FFF2-40B4-BE49-F238E27FC236}">
              <a16:creationId xmlns:a16="http://schemas.microsoft.com/office/drawing/2014/main" xmlns="" id="{00000000-0008-0000-0200-000004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93" name="Rectangle 452" descr="2">
          <a:extLst>
            <a:ext uri="{FF2B5EF4-FFF2-40B4-BE49-F238E27FC236}">
              <a16:creationId xmlns:a16="http://schemas.microsoft.com/office/drawing/2014/main" xmlns="" id="{00000000-0008-0000-0200-000005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94" name="Rectangle 453" descr="2">
          <a:extLst>
            <a:ext uri="{FF2B5EF4-FFF2-40B4-BE49-F238E27FC236}">
              <a16:creationId xmlns:a16="http://schemas.microsoft.com/office/drawing/2014/main" xmlns="" id="{00000000-0008-0000-0200-000006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95" name="Rectangle 454" descr="2">
          <a:extLst>
            <a:ext uri="{FF2B5EF4-FFF2-40B4-BE49-F238E27FC236}">
              <a16:creationId xmlns:a16="http://schemas.microsoft.com/office/drawing/2014/main" xmlns="" id="{00000000-0008-0000-0200-000007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96" name="Rectangle 455" descr="2">
          <a:extLst>
            <a:ext uri="{FF2B5EF4-FFF2-40B4-BE49-F238E27FC236}">
              <a16:creationId xmlns:a16="http://schemas.microsoft.com/office/drawing/2014/main" xmlns="" id="{00000000-0008-0000-0200-000008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97" name="Rectangle 456" descr="2">
          <a:extLst>
            <a:ext uri="{FF2B5EF4-FFF2-40B4-BE49-F238E27FC236}">
              <a16:creationId xmlns:a16="http://schemas.microsoft.com/office/drawing/2014/main" xmlns="" id="{00000000-0008-0000-0200-000009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215900</xdr:colOff>
      <xdr:row>25</xdr:row>
      <xdr:rowOff>153958</xdr:rowOff>
    </xdr:to>
    <xdr:sp macro="" textlink="">
      <xdr:nvSpPr>
        <xdr:cNvPr id="1798" name="Rectangle 457" descr="2">
          <a:extLst>
            <a:ext uri="{FF2B5EF4-FFF2-40B4-BE49-F238E27FC236}">
              <a16:creationId xmlns:a16="http://schemas.microsoft.com/office/drawing/2014/main" xmlns="" id="{00000000-0008-0000-0200-00000A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</xdr:col>
      <xdr:colOff>268939</xdr:colOff>
      <xdr:row>0</xdr:row>
      <xdr:rowOff>89648</xdr:rowOff>
    </xdr:from>
    <xdr:to>
      <xdr:col>7</xdr:col>
      <xdr:colOff>987238</xdr:colOff>
      <xdr:row>0</xdr:row>
      <xdr:rowOff>926353</xdr:rowOff>
    </xdr:to>
    <xdr:sp macro="" textlink="">
      <xdr:nvSpPr>
        <xdr:cNvPr id="1800" name="Text Box 119">
          <a:extLst>
            <a:ext uri="{FF2B5EF4-FFF2-40B4-BE49-F238E27FC236}">
              <a16:creationId xmlns="" xmlns:a16="http://schemas.microsoft.com/office/drawing/2014/main" id="{00000000-0008-0000-0200-00000C070000}"/>
            </a:ext>
          </a:extLst>
        </xdr:cNvPr>
        <xdr:cNvSpPr txBox="1">
          <a:spLocks noChangeArrowheads="1"/>
        </xdr:cNvSpPr>
      </xdr:nvSpPr>
      <xdr:spPr bwMode="auto">
        <a:xfrm>
          <a:off x="1688351" y="89648"/>
          <a:ext cx="5633946" cy="83670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lnSpc>
              <a:spcPts val="1300"/>
            </a:lnSpc>
            <a:defRPr sz="1000"/>
          </a:pPr>
          <a:r>
            <a:rPr lang="en-US" sz="1200" b="1" i="0" strike="noStrike">
              <a:solidFill>
                <a:srgbClr val="333399"/>
              </a:solidFill>
              <a:latin typeface="Times New Roman"/>
              <a:cs typeface="Times New Roman"/>
            </a:rPr>
            <a:t>THUAN PHONG INNOVATIVE TELECOMMUNICATION CO., LTD.</a:t>
          </a:r>
        </a:p>
        <a:p>
          <a:pPr algn="ctr" rtl="1">
            <a:lnSpc>
              <a:spcPts val="1300"/>
            </a:lnSpc>
            <a:defRPr sz="1000"/>
          </a:pPr>
          <a:r>
            <a:rPr lang="en-US" sz="1050" b="0" i="0" strike="noStrike">
              <a:solidFill>
                <a:srgbClr val="333399"/>
              </a:solidFill>
              <a:latin typeface="Times New Roman"/>
              <a:cs typeface="Times New Roman"/>
            </a:rPr>
            <a:t>Website: http://www.innotel.com.vn            Email: sales@innotel.com.vn</a:t>
          </a:r>
        </a:p>
        <a:p>
          <a:pPr algn="ctr" rtl="1">
            <a:lnSpc>
              <a:spcPts val="1300"/>
            </a:lnSpc>
            <a:defRPr sz="1000"/>
          </a:pPr>
          <a:r>
            <a:rPr lang="en-US" sz="1050" b="0" i="0" strike="noStrike">
              <a:solidFill>
                <a:srgbClr val="333399"/>
              </a:solidFill>
              <a:latin typeface="Times New Roman"/>
              <a:cs typeface="Times New Roman"/>
            </a:rPr>
            <a:t>Tel: (84 28) 38621119.                      Fax: (84 28) 38630366.</a:t>
          </a:r>
        </a:p>
        <a:p>
          <a:pPr algn="ctr" rtl="1">
            <a:lnSpc>
              <a:spcPts val="1300"/>
            </a:lnSpc>
            <a:defRPr sz="1000"/>
          </a:pPr>
          <a:r>
            <a:rPr lang="en-US" sz="1050" b="0" i="0" strike="noStrike">
              <a:solidFill>
                <a:srgbClr val="333399"/>
              </a:solidFill>
              <a:latin typeface="Times New Roman"/>
              <a:cs typeface="Times New Roman"/>
            </a:rPr>
            <a:t>Duy Tan Plaza, Suite 92, 3/2 Street, Dist 10., HCMC, Vietnam</a:t>
          </a: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225238</xdr:colOff>
      <xdr:row>0</xdr:row>
      <xdr:rowOff>698500</xdr:rowOff>
    </xdr:to>
    <xdr:pic>
      <xdr:nvPicPr>
        <xdr:cNvPr id="1802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4465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592792</xdr:colOff>
      <xdr:row>1</xdr:row>
      <xdr:rowOff>69477</xdr:rowOff>
    </xdr:from>
    <xdr:to>
      <xdr:col>7</xdr:col>
      <xdr:colOff>999192</xdr:colOff>
      <xdr:row>1</xdr:row>
      <xdr:rowOff>526677</xdr:rowOff>
    </xdr:to>
    <xdr:pic>
      <xdr:nvPicPr>
        <xdr:cNvPr id="1803" name="Picture 107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7851" y="1033183"/>
          <a:ext cx="406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615576</xdr:colOff>
      <xdr:row>1</xdr:row>
      <xdr:rowOff>90393</xdr:rowOff>
    </xdr:from>
    <xdr:to>
      <xdr:col>7</xdr:col>
      <xdr:colOff>577707</xdr:colOff>
      <xdr:row>1</xdr:row>
      <xdr:rowOff>493059</xdr:rowOff>
    </xdr:to>
    <xdr:pic>
      <xdr:nvPicPr>
        <xdr:cNvPr id="1804" name="Picture 3" descr="bp_member.gif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9105" y="1054099"/>
          <a:ext cx="843660" cy="4026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172569</xdr:colOff>
      <xdr:row>1</xdr:row>
      <xdr:rowOff>156881</xdr:rowOff>
    </xdr:from>
    <xdr:to>
      <xdr:col>6</xdr:col>
      <xdr:colOff>544233</xdr:colOff>
      <xdr:row>1</xdr:row>
      <xdr:rowOff>455705</xdr:rowOff>
    </xdr:to>
    <xdr:pic>
      <xdr:nvPicPr>
        <xdr:cNvPr id="1805" name="Picture 1" descr="Related image"/>
        <xdr:cNvPicPr>
          <a:picLocks noChangeAspect="1" noChangeArrowheads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3863" y="1120587"/>
          <a:ext cx="1073899" cy="298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224117</xdr:colOff>
      <xdr:row>1</xdr:row>
      <xdr:rowOff>158375</xdr:rowOff>
    </xdr:from>
    <xdr:to>
      <xdr:col>2</xdr:col>
      <xdr:colOff>194234</xdr:colOff>
      <xdr:row>1</xdr:row>
      <xdr:rowOff>524434</xdr:rowOff>
    </xdr:to>
    <xdr:pic>
      <xdr:nvPicPr>
        <xdr:cNvPr id="1806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705" y="1122081"/>
          <a:ext cx="649941" cy="3660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258856</xdr:colOff>
      <xdr:row>1</xdr:row>
      <xdr:rowOff>167341</xdr:rowOff>
    </xdr:from>
    <xdr:to>
      <xdr:col>2</xdr:col>
      <xdr:colOff>1086051</xdr:colOff>
      <xdr:row>1</xdr:row>
      <xdr:rowOff>470646</xdr:rowOff>
    </xdr:to>
    <xdr:pic>
      <xdr:nvPicPr>
        <xdr:cNvPr id="1807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8268" y="1131047"/>
          <a:ext cx="827195" cy="303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74705</xdr:colOff>
      <xdr:row>1</xdr:row>
      <xdr:rowOff>142688</xdr:rowOff>
    </xdr:from>
    <xdr:to>
      <xdr:col>1</xdr:col>
      <xdr:colOff>165954</xdr:colOff>
      <xdr:row>1</xdr:row>
      <xdr:rowOff>530412</xdr:rowOff>
    </xdr:to>
    <xdr:pic>
      <xdr:nvPicPr>
        <xdr:cNvPr id="1808" name="Picture 8" descr="HPE Logo"/>
        <xdr:cNvPicPr>
          <a:picLocks noChangeAspect="1" noChangeArrowheads="1"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05" y="1106394"/>
          <a:ext cx="830837" cy="387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pm@starcitysaigon.vn" TargetMode="External"/><Relationship Id="rId1" Type="http://schemas.openxmlformats.org/officeDocument/2006/relationships/hyperlink" Target="mailto:ngoctvb@chanchinh.com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khoiht@chanchinh.com.vn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54"/>
  <sheetViews>
    <sheetView view="pageBreakPreview" zoomScaleNormal="100" zoomScaleSheetLayoutView="100" workbookViewId="0">
      <selection activeCell="H24" sqref="H24"/>
    </sheetView>
  </sheetViews>
  <sheetFormatPr defaultColWidth="9.09765625" defaultRowHeight="12.5"/>
  <cols>
    <col min="1" max="1" width="6" style="71" customWidth="1"/>
    <col min="2" max="2" width="10.8984375" style="70" customWidth="1"/>
    <col min="3" max="3" width="39.09765625" style="71" customWidth="1"/>
    <col min="4" max="4" width="6.3984375" style="71" customWidth="1"/>
    <col min="5" max="5" width="5.69921875" style="70" customWidth="1"/>
    <col min="6" max="6" width="13.296875" style="83" customWidth="1"/>
    <col min="7" max="7" width="11.69921875" style="83" customWidth="1"/>
    <col min="8" max="8" width="15.09765625" style="84" customWidth="1"/>
    <col min="9" max="10" width="9.09765625" style="74" hidden="1" customWidth="1"/>
    <col min="11" max="11" width="16.09765625" style="74" customWidth="1"/>
    <col min="12" max="12" width="13.3984375" style="74" customWidth="1"/>
    <col min="13" max="13" width="10.8984375" style="74" customWidth="1"/>
    <col min="14" max="16384" width="9.09765625" style="74"/>
  </cols>
  <sheetData>
    <row r="3" spans="1:12">
      <c r="A3" s="74"/>
      <c r="B3" s="74"/>
      <c r="C3" s="74"/>
      <c r="D3" s="74"/>
      <c r="E3" s="74"/>
      <c r="F3" s="74"/>
      <c r="G3" s="74"/>
      <c r="H3" s="74"/>
    </row>
    <row r="4" spans="1:12">
      <c r="A4" s="74"/>
      <c r="B4" s="74"/>
      <c r="C4" s="74"/>
      <c r="D4" s="74"/>
      <c r="E4" s="74"/>
      <c r="F4" s="74"/>
      <c r="G4" s="74"/>
      <c r="H4" s="74"/>
    </row>
    <row r="5" spans="1:12">
      <c r="A5" s="74"/>
      <c r="B5" s="74"/>
      <c r="C5" s="74"/>
      <c r="D5" s="74"/>
      <c r="E5" s="74"/>
      <c r="F5" s="74"/>
      <c r="G5" s="74"/>
      <c r="H5" s="74"/>
    </row>
    <row r="6" spans="1:12">
      <c r="A6" s="74"/>
      <c r="B6" s="74"/>
      <c r="C6" s="74"/>
      <c r="D6" s="74"/>
      <c r="E6" s="74"/>
      <c r="F6" s="74"/>
      <c r="G6" s="74"/>
      <c r="H6" s="74"/>
    </row>
    <row r="7" spans="1:12" ht="6.75" customHeight="1">
      <c r="A7" s="75"/>
      <c r="B7" s="75"/>
      <c r="C7" s="75"/>
      <c r="D7" s="75"/>
      <c r="E7" s="75"/>
      <c r="F7" s="75"/>
      <c r="G7" s="75"/>
      <c r="H7" s="85"/>
    </row>
    <row r="8" spans="1:12" ht="4.5" customHeight="1">
      <c r="A8" s="75"/>
      <c r="B8" s="75"/>
      <c r="C8" s="75"/>
      <c r="D8" s="75"/>
      <c r="E8" s="75"/>
      <c r="F8" s="75"/>
      <c r="G8" s="75"/>
      <c r="H8" s="85"/>
    </row>
    <row r="9" spans="1:12" ht="25">
      <c r="A9" s="245" t="s">
        <v>0</v>
      </c>
      <c r="B9" s="245"/>
      <c r="C9" s="245"/>
      <c r="D9" s="245"/>
      <c r="E9" s="245"/>
      <c r="F9" s="245"/>
      <c r="G9" s="245"/>
      <c r="H9" s="245"/>
    </row>
    <row r="10" spans="1:12">
      <c r="A10" s="86"/>
      <c r="B10" s="87"/>
      <c r="C10" s="88"/>
      <c r="D10" s="76"/>
      <c r="E10" s="89"/>
      <c r="G10" s="90"/>
      <c r="H10" s="91"/>
    </row>
    <row r="11" spans="1:12" ht="15" customHeight="1">
      <c r="A11" s="244" t="s">
        <v>1</v>
      </c>
      <c r="B11" s="244"/>
      <c r="C11" s="93" t="s">
        <v>2</v>
      </c>
      <c r="F11" s="163" t="s">
        <v>3</v>
      </c>
      <c r="G11" s="164">
        <v>40501</v>
      </c>
      <c r="H11" s="96"/>
      <c r="K11" s="74" t="s">
        <v>4</v>
      </c>
      <c r="L11" s="141" t="s">
        <v>5</v>
      </c>
    </row>
    <row r="12" spans="1:12" ht="15" customHeight="1">
      <c r="A12" s="244" t="s">
        <v>6</v>
      </c>
      <c r="B12" s="244"/>
      <c r="C12" s="77" t="s">
        <v>7</v>
      </c>
      <c r="F12" s="94" t="s">
        <v>8</v>
      </c>
      <c r="G12" s="165" t="str">
        <f ca="1">UPPER("BBG-"&amp;L11&amp;"-"&amp;TEXT(TODAY(),"yymmdd")&amp;"-"&amp;L12)</f>
        <v>BBG-SCS-211011-1</v>
      </c>
      <c r="H12" s="96"/>
      <c r="K12" s="74" t="s">
        <v>9</v>
      </c>
      <c r="L12" s="176">
        <v>1</v>
      </c>
    </row>
    <row r="13" spans="1:12" ht="15" customHeight="1">
      <c r="A13" s="246" t="s">
        <v>10</v>
      </c>
      <c r="B13" s="246"/>
      <c r="C13" s="77" t="s">
        <v>11</v>
      </c>
      <c r="F13" s="94" t="s">
        <v>12</v>
      </c>
      <c r="G13" s="164">
        <f>G11+L13</f>
        <v>40508</v>
      </c>
      <c r="H13" s="96"/>
      <c r="K13" s="74" t="s">
        <v>13</v>
      </c>
      <c r="L13" s="141">
        <v>7</v>
      </c>
    </row>
    <row r="14" spans="1:12" ht="13">
      <c r="A14" s="244" t="s">
        <v>14</v>
      </c>
      <c r="B14" s="244"/>
      <c r="C14" s="179" t="s">
        <v>15</v>
      </c>
      <c r="F14" s="97" t="s">
        <v>16</v>
      </c>
      <c r="G14" s="96"/>
      <c r="H14" s="96"/>
    </row>
    <row r="15" spans="1:12" hidden="1">
      <c r="A15" s="74"/>
      <c r="B15" s="74"/>
      <c r="D15" s="74"/>
      <c r="E15" s="74"/>
      <c r="F15" s="74"/>
      <c r="G15" s="74"/>
      <c r="H15" s="74"/>
    </row>
    <row r="16" spans="1:12" s="81" customFormat="1">
      <c r="A16" s="98" t="s">
        <v>17</v>
      </c>
      <c r="B16" s="99"/>
      <c r="C16" s="100"/>
      <c r="D16" s="100"/>
      <c r="E16" s="99"/>
      <c r="F16" s="100"/>
      <c r="G16" s="100"/>
      <c r="H16" s="101"/>
    </row>
    <row r="17" spans="1:23" ht="30.75" customHeight="1">
      <c r="A17" s="102" t="s">
        <v>18</v>
      </c>
      <c r="B17" s="104" t="s">
        <v>19</v>
      </c>
      <c r="C17" s="103" t="s">
        <v>20</v>
      </c>
      <c r="D17" s="104" t="s">
        <v>21</v>
      </c>
      <c r="E17" s="105" t="s">
        <v>22</v>
      </c>
      <c r="F17" s="106" t="s">
        <v>23</v>
      </c>
      <c r="G17" s="106" t="s">
        <v>24</v>
      </c>
      <c r="H17" s="107" t="s">
        <v>25</v>
      </c>
      <c r="K17" s="143" t="s">
        <v>26</v>
      </c>
      <c r="L17" s="143" t="s">
        <v>27</v>
      </c>
    </row>
    <row r="18" spans="1:23">
      <c r="A18" s="108"/>
      <c r="B18" s="109"/>
      <c r="C18" s="110"/>
      <c r="D18" s="109"/>
      <c r="E18" s="111"/>
      <c r="F18" s="166"/>
      <c r="G18" s="166">
        <f>F18*10%</f>
        <v>0</v>
      </c>
      <c r="H18" s="167">
        <f>E18*(F18+G18)</f>
        <v>0</v>
      </c>
      <c r="I18" s="74">
        <v>2200</v>
      </c>
      <c r="J18" s="74">
        <v>2310</v>
      </c>
      <c r="K18" s="143"/>
      <c r="L18" s="143"/>
    </row>
    <row r="19" spans="1:23">
      <c r="A19" s="108"/>
      <c r="B19" s="109"/>
      <c r="C19" s="110"/>
      <c r="D19" s="109"/>
      <c r="E19" s="111"/>
      <c r="F19" s="166"/>
      <c r="G19" s="166">
        <f>F19*10%</f>
        <v>0</v>
      </c>
      <c r="H19" s="167">
        <f>E19*(F19+G19)</f>
        <v>0</v>
      </c>
      <c r="K19" s="143"/>
      <c r="L19" s="143"/>
    </row>
    <row r="20" spans="1:23" ht="17.25" customHeight="1">
      <c r="A20" s="108"/>
      <c r="B20" s="109"/>
      <c r="C20" s="110"/>
      <c r="D20" s="109"/>
      <c r="E20" s="111"/>
      <c r="F20" s="166"/>
      <c r="G20" s="166">
        <f>F20*10%</f>
        <v>0</v>
      </c>
      <c r="H20" s="167">
        <f>E20*(F20+G20)</f>
        <v>0</v>
      </c>
      <c r="K20" s="143"/>
      <c r="L20" s="143"/>
    </row>
    <row r="21" spans="1:23" ht="17.25" customHeight="1">
      <c r="A21" s="238" t="s">
        <v>28</v>
      </c>
      <c r="B21" s="239"/>
      <c r="C21" s="239"/>
      <c r="D21" s="239"/>
      <c r="E21" s="239"/>
      <c r="F21" s="239"/>
      <c r="G21" s="240"/>
      <c r="H21" s="168">
        <f>SUM(H18:H20)</f>
        <v>0</v>
      </c>
      <c r="K21" s="143"/>
      <c r="L21" s="143"/>
    </row>
    <row r="22" spans="1:23" ht="17.25" customHeight="1">
      <c r="A22" s="241" t="s">
        <v>29</v>
      </c>
      <c r="B22" s="242"/>
      <c r="C22" s="242"/>
      <c r="D22" s="242"/>
      <c r="E22" s="242"/>
      <c r="F22" s="242"/>
      <c r="G22" s="242"/>
      <c r="H22" s="243"/>
      <c r="K22" s="143"/>
      <c r="L22" s="143"/>
    </row>
    <row r="23" spans="1:23" ht="17.25" customHeight="1">
      <c r="A23" s="169"/>
      <c r="B23" s="74"/>
      <c r="C23" s="74"/>
      <c r="D23" s="74"/>
      <c r="E23" s="74"/>
      <c r="F23" s="74"/>
      <c r="G23" s="74"/>
      <c r="H23" s="74"/>
    </row>
    <row r="24" spans="1:23" s="69" customFormat="1" ht="20.25" customHeight="1">
      <c r="A24" s="116" t="s">
        <v>30</v>
      </c>
      <c r="B24" s="70"/>
      <c r="C24" s="71"/>
      <c r="D24" s="71"/>
      <c r="E24" s="71"/>
      <c r="F24" s="70"/>
      <c r="G24" s="83"/>
      <c r="H24" s="83"/>
      <c r="I24" s="84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</row>
    <row r="25" spans="1:23" s="69" customFormat="1" ht="18" customHeight="1">
      <c r="A25" s="117" t="s">
        <v>31</v>
      </c>
      <c r="C25" s="76"/>
      <c r="D25" s="76"/>
      <c r="E25" s="76"/>
      <c r="F25" s="89"/>
      <c r="G25" s="76"/>
      <c r="H25" s="76"/>
      <c r="I25" s="78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</row>
    <row r="26" spans="1:23" s="69" customFormat="1" ht="18" customHeight="1">
      <c r="A26" s="117" t="s">
        <v>32</v>
      </c>
      <c r="C26" s="76"/>
      <c r="D26" s="76"/>
      <c r="E26" s="76"/>
      <c r="F26" s="89"/>
      <c r="G26" s="76"/>
      <c r="H26" s="76"/>
      <c r="I26" s="78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</row>
    <row r="27" spans="1:23" s="69" customFormat="1" ht="18" hidden="1" customHeight="1">
      <c r="A27" s="170" t="s">
        <v>33</v>
      </c>
      <c r="C27" s="76"/>
      <c r="D27" s="76"/>
      <c r="E27" s="76"/>
      <c r="F27" s="89"/>
      <c r="G27" s="76"/>
      <c r="H27" s="76"/>
      <c r="I27" s="78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</row>
    <row r="28" spans="1:23" s="69" customFormat="1" ht="18" hidden="1" customHeight="1">
      <c r="A28" s="170" t="s">
        <v>34</v>
      </c>
      <c r="C28" s="76"/>
      <c r="D28" s="76"/>
      <c r="E28" s="76"/>
      <c r="F28" s="89"/>
      <c r="G28" s="76"/>
      <c r="H28" s="76"/>
      <c r="I28" s="78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</row>
    <row r="29" spans="1:23" s="69" customFormat="1" ht="13.5" hidden="1" customHeight="1">
      <c r="A29" s="77"/>
      <c r="B29" s="125"/>
      <c r="D29" s="126"/>
      <c r="E29" s="126"/>
      <c r="F29" s="127"/>
      <c r="G29" s="126"/>
      <c r="H29" s="126"/>
      <c r="I29" s="155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</row>
    <row r="30" spans="1:23" s="69" customFormat="1" ht="14.25" hidden="1" customHeight="1">
      <c r="A30" s="117" t="s">
        <v>35</v>
      </c>
      <c r="B30" s="77"/>
      <c r="D30" s="126"/>
      <c r="E30" s="126"/>
      <c r="F30" s="127"/>
      <c r="G30" s="126"/>
      <c r="H30" s="126"/>
      <c r="I30" s="155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</row>
    <row r="31" spans="1:23" s="71" customFormat="1" ht="17.25" hidden="1" customHeight="1">
      <c r="A31" s="117"/>
      <c r="B31" s="124" t="s">
        <v>36</v>
      </c>
      <c r="D31" s="120" t="s">
        <v>37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</row>
    <row r="32" spans="1:23" s="71" customFormat="1" ht="17.25" hidden="1" customHeight="1">
      <c r="A32" s="117"/>
      <c r="B32" s="125" t="s">
        <v>38</v>
      </c>
      <c r="D32" s="77" t="s">
        <v>39</v>
      </c>
      <c r="F32" s="127"/>
      <c r="H32" s="126"/>
      <c r="I32" s="155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</row>
    <row r="33" spans="1:23" s="69" customFormat="1" ht="17.25" hidden="1" customHeight="1">
      <c r="A33" s="117"/>
      <c r="B33" s="125" t="s">
        <v>40</v>
      </c>
      <c r="D33" s="77" t="s">
        <v>41</v>
      </c>
      <c r="F33" s="126"/>
      <c r="G33" s="155"/>
      <c r="H33" s="86"/>
      <c r="I33" s="86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</row>
    <row r="34" spans="1:23" s="69" customFormat="1" ht="3.75" customHeight="1">
      <c r="A34" s="117"/>
      <c r="C34" s="77"/>
      <c r="D34" s="71"/>
      <c r="E34" s="77"/>
      <c r="F34" s="126"/>
      <c r="G34" s="155"/>
      <c r="H34" s="86"/>
      <c r="I34" s="86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</row>
    <row r="35" spans="1:23" s="69" customFormat="1" ht="18" customHeight="1">
      <c r="A35" s="117" t="s">
        <v>42</v>
      </c>
      <c r="C35" s="76"/>
      <c r="D35" s="76"/>
      <c r="E35" s="76"/>
      <c r="F35" s="89"/>
      <c r="G35" s="76"/>
      <c r="H35" s="76"/>
      <c r="I35" s="78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</row>
    <row r="36" spans="1:23" s="162" customFormat="1" ht="18" customHeight="1">
      <c r="A36" s="171" t="s">
        <v>43</v>
      </c>
      <c r="C36" s="172"/>
      <c r="D36" s="172"/>
      <c r="E36" s="172"/>
      <c r="F36" s="172"/>
      <c r="G36" s="172"/>
      <c r="H36" s="172"/>
      <c r="I36" s="177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</row>
    <row r="37" spans="1:23" s="69" customFormat="1" ht="20.25" customHeight="1">
      <c r="A37" s="77"/>
      <c r="B37" s="121" t="s">
        <v>44</v>
      </c>
      <c r="C37" s="122"/>
      <c r="D37" s="122"/>
      <c r="E37" s="122"/>
      <c r="F37" s="123"/>
      <c r="G37" s="122"/>
      <c r="H37" s="122"/>
      <c r="I37" s="154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</row>
    <row r="38" spans="1:23" s="69" customFormat="1" ht="14.25" customHeight="1">
      <c r="A38" s="77"/>
      <c r="B38" s="124" t="s">
        <v>45</v>
      </c>
      <c r="D38" s="119"/>
      <c r="E38" s="122"/>
      <c r="F38" s="123"/>
      <c r="G38" s="122"/>
      <c r="H38" s="122"/>
      <c r="I38" s="154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</row>
    <row r="39" spans="1:23" s="69" customFormat="1" ht="14.25" customHeight="1">
      <c r="A39" s="77"/>
      <c r="B39" s="125" t="s">
        <v>46</v>
      </c>
      <c r="D39" s="126"/>
      <c r="E39" s="126"/>
      <c r="F39" s="127"/>
      <c r="G39" s="126"/>
      <c r="H39" s="126"/>
      <c r="I39" s="155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</row>
    <row r="40" spans="1:23" s="69" customFormat="1" ht="14.25" customHeight="1">
      <c r="A40" s="77"/>
      <c r="B40" s="125" t="s">
        <v>47</v>
      </c>
      <c r="D40" s="126"/>
      <c r="E40" s="126"/>
      <c r="F40" s="127"/>
      <c r="G40" s="126"/>
      <c r="H40" s="126"/>
      <c r="I40" s="155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</row>
    <row r="41" spans="1:23" s="69" customFormat="1" ht="14.25" customHeight="1">
      <c r="A41" s="117"/>
      <c r="D41" s="126"/>
      <c r="E41" s="126"/>
      <c r="F41" s="127"/>
      <c r="G41" s="126"/>
      <c r="H41" s="126"/>
      <c r="I41" s="155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</row>
    <row r="42" spans="1:23" s="69" customFormat="1">
      <c r="A42" s="71" t="s">
        <v>48</v>
      </c>
      <c r="B42" s="87"/>
      <c r="C42" s="71"/>
      <c r="D42" s="71"/>
      <c r="E42" s="96"/>
      <c r="F42" s="70"/>
      <c r="G42" s="96"/>
      <c r="I42" s="156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</row>
    <row r="43" spans="1:23" s="69" customFormat="1" ht="9" customHeight="1">
      <c r="A43" s="120"/>
      <c r="B43" s="130"/>
      <c r="C43" s="71"/>
      <c r="D43" s="71"/>
      <c r="E43" s="96"/>
      <c r="F43" s="70"/>
      <c r="G43" s="96"/>
      <c r="I43" s="156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</row>
    <row r="44" spans="1:23" s="69" customFormat="1" ht="13">
      <c r="A44" s="92" t="s">
        <v>49</v>
      </c>
      <c r="B44" s="131"/>
      <c r="C44" s="71"/>
      <c r="D44" s="71"/>
      <c r="E44" s="71"/>
      <c r="F44" s="70"/>
      <c r="G44" s="71"/>
      <c r="I44" s="156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</row>
    <row r="45" spans="1:23" s="69" customFormat="1" ht="16.5" hidden="1" customHeight="1">
      <c r="A45" s="92"/>
      <c r="B45" s="131"/>
      <c r="C45" s="71"/>
      <c r="D45" s="71"/>
      <c r="E45" s="132"/>
      <c r="F45" s="133"/>
      <c r="G45" s="133"/>
      <c r="H45" s="71"/>
      <c r="I45" s="156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</row>
    <row r="46" spans="1:23" s="69" customFormat="1" ht="16.5" customHeight="1">
      <c r="A46" s="92"/>
      <c r="B46" s="131"/>
      <c r="C46" s="71"/>
      <c r="D46" s="71"/>
      <c r="E46" s="132"/>
      <c r="F46" s="133"/>
      <c r="G46" s="173" t="s">
        <v>50</v>
      </c>
      <c r="H46" s="71"/>
      <c r="I46" s="156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</row>
    <row r="47" spans="1:23" s="69" customFormat="1" ht="14.25" customHeight="1">
      <c r="A47" s="92"/>
      <c r="B47" s="131"/>
      <c r="C47" s="71"/>
      <c r="D47" s="71"/>
      <c r="E47" s="132"/>
      <c r="F47" s="133"/>
      <c r="G47" s="174" t="s">
        <v>51</v>
      </c>
      <c r="H47" s="71"/>
      <c r="I47" s="156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</row>
    <row r="48" spans="1:23" s="69" customFormat="1" ht="14.25" customHeight="1">
      <c r="A48" s="92"/>
      <c r="B48" s="131"/>
      <c r="C48" s="71"/>
      <c r="D48" s="71"/>
      <c r="E48" s="132"/>
      <c r="F48" s="133"/>
      <c r="G48" s="174"/>
      <c r="H48" s="71"/>
      <c r="I48" s="156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</row>
    <row r="49" spans="1:23" s="69" customFormat="1" ht="13">
      <c r="A49" s="120" t="s">
        <v>52</v>
      </c>
      <c r="B49" s="130"/>
      <c r="C49" s="120"/>
      <c r="D49" s="120"/>
      <c r="E49" s="137"/>
      <c r="F49" s="138"/>
      <c r="H49" s="71"/>
      <c r="I49" s="156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</row>
    <row r="50" spans="1:23" s="69" customFormat="1" ht="13">
      <c r="A50" s="244" t="s">
        <v>53</v>
      </c>
      <c r="B50" s="244"/>
      <c r="C50" s="244"/>
      <c r="D50" s="77"/>
      <c r="E50" s="137"/>
      <c r="F50" s="139"/>
      <c r="H50" s="71"/>
      <c r="I50" s="156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</row>
    <row r="51" spans="1:23" s="69" customFormat="1" ht="2.25" customHeight="1">
      <c r="A51" s="136"/>
      <c r="B51" s="136"/>
      <c r="C51" s="136"/>
      <c r="D51" s="77"/>
      <c r="E51" s="137"/>
      <c r="F51" s="139"/>
      <c r="H51" s="71"/>
      <c r="I51" s="156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</row>
    <row r="52" spans="1:23" s="69" customFormat="1" ht="13">
      <c r="A52" s="136" t="s">
        <v>54</v>
      </c>
      <c r="B52" s="128" t="s">
        <v>55</v>
      </c>
      <c r="C52" s="77"/>
      <c r="D52" s="77"/>
      <c r="E52" s="137"/>
      <c r="F52" s="139"/>
      <c r="G52" s="138"/>
      <c r="H52" s="71"/>
      <c r="I52" s="156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</row>
    <row r="53" spans="1:23" s="69" customFormat="1" ht="13">
      <c r="A53" s="92" t="s">
        <v>56</v>
      </c>
      <c r="B53" s="128" t="s">
        <v>57</v>
      </c>
      <c r="C53" s="71"/>
      <c r="D53" s="77"/>
      <c r="E53" s="71"/>
      <c r="F53" s="70"/>
      <c r="G53" s="83"/>
      <c r="H53" s="83"/>
      <c r="I53" s="84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</row>
    <row r="54" spans="1:23" s="69" customFormat="1" ht="14">
      <c r="A54" s="92" t="s">
        <v>58</v>
      </c>
      <c r="B54" s="175" t="s">
        <v>59</v>
      </c>
      <c r="C54" s="92"/>
      <c r="D54" s="136"/>
      <c r="E54" s="71"/>
      <c r="F54" s="70"/>
      <c r="G54" s="83"/>
      <c r="H54" s="83"/>
      <c r="I54" s="84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</row>
  </sheetData>
  <mergeCells count="8">
    <mergeCell ref="A21:G21"/>
    <mergeCell ref="A22:H22"/>
    <mergeCell ref="A50:C50"/>
    <mergeCell ref="A9:H9"/>
    <mergeCell ref="A11:B11"/>
    <mergeCell ref="A12:B12"/>
    <mergeCell ref="A13:B13"/>
    <mergeCell ref="A14:B14"/>
  </mergeCells>
  <conditionalFormatting sqref="C18:C20">
    <cfRule type="cellIs" dxfId="1" priority="1" stopIfTrue="1" operator="equal">
      <formula>"(Grid doors+$A$360"</formula>
    </cfRule>
  </conditionalFormatting>
  <hyperlinks>
    <hyperlink ref="B54" r:id="rId1"/>
    <hyperlink ref="C13" r:id="rId2"/>
  </hyperlinks>
  <pageMargins left="0.4" right="0.2" top="0.25" bottom="0.25" header="0.25" footer="0.25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W75"/>
  <sheetViews>
    <sheetView view="pageBreakPreview" topLeftCell="A16" zoomScaleNormal="100" zoomScaleSheetLayoutView="100" workbookViewId="0">
      <selection activeCell="H28" sqref="H28"/>
    </sheetView>
  </sheetViews>
  <sheetFormatPr defaultColWidth="9.09765625" defaultRowHeight="12.5" outlineLevelCol="1"/>
  <cols>
    <col min="1" max="1" width="6.59765625" style="71" customWidth="1"/>
    <col min="2" max="2" width="11.3984375" style="70" customWidth="1"/>
    <col min="3" max="3" width="36.8984375" style="71" customWidth="1"/>
    <col min="4" max="4" width="6.3984375" style="71" customWidth="1"/>
    <col min="5" max="5" width="5.69921875" style="70" customWidth="1"/>
    <col min="6" max="6" width="13.09765625" style="83" customWidth="1"/>
    <col min="7" max="7" width="13.3984375" style="83" customWidth="1"/>
    <col min="8" max="8" width="15.8984375" style="84" customWidth="1"/>
    <col min="9" max="9" width="16.09765625" style="74" customWidth="1"/>
    <col min="10" max="10" width="9.09765625" style="74"/>
    <col min="11" max="16" width="9.09765625" style="74" customWidth="1" outlineLevel="1"/>
    <col min="17" max="16384" width="9.09765625" style="74"/>
  </cols>
  <sheetData>
    <row r="3" spans="1:18">
      <c r="A3" s="74"/>
      <c r="B3" s="74"/>
      <c r="C3" s="74"/>
      <c r="D3" s="74"/>
      <c r="E3" s="74"/>
      <c r="F3" s="74"/>
      <c r="G3" s="74"/>
      <c r="H3" s="74"/>
    </row>
    <row r="4" spans="1:18">
      <c r="A4" s="74"/>
      <c r="B4" s="74"/>
      <c r="C4" s="74"/>
      <c r="D4" s="74"/>
      <c r="E4" s="74"/>
      <c r="F4" s="74"/>
      <c r="G4" s="74"/>
      <c r="H4" s="74"/>
    </row>
    <row r="5" spans="1:18">
      <c r="A5" s="74"/>
      <c r="B5" s="74"/>
      <c r="C5" s="74"/>
      <c r="D5" s="74"/>
      <c r="E5" s="74"/>
      <c r="F5" s="74"/>
      <c r="G5" s="74"/>
      <c r="H5" s="74"/>
    </row>
    <row r="6" spans="1:18">
      <c r="A6" s="74"/>
      <c r="B6" s="74"/>
      <c r="C6" s="74"/>
      <c r="D6" s="74"/>
      <c r="E6" s="74"/>
      <c r="F6" s="74"/>
      <c r="G6" s="74"/>
      <c r="H6" s="74"/>
    </row>
    <row r="7" spans="1:18" ht="13">
      <c r="A7" s="75"/>
      <c r="B7" s="75"/>
      <c r="C7" s="75"/>
      <c r="D7" s="75"/>
      <c r="E7" s="75"/>
      <c r="F7" s="75"/>
      <c r="G7" s="75"/>
      <c r="H7" s="85"/>
    </row>
    <row r="8" spans="1:18" ht="25">
      <c r="A8" s="245" t="s">
        <v>60</v>
      </c>
      <c r="B8" s="245"/>
      <c r="C8" s="245"/>
      <c r="D8" s="245"/>
      <c r="E8" s="245"/>
      <c r="F8" s="245"/>
      <c r="G8" s="245"/>
      <c r="H8" s="245"/>
    </row>
    <row r="9" spans="1:18">
      <c r="A9" s="86"/>
      <c r="B9" s="87"/>
      <c r="C9" s="88"/>
      <c r="D9" s="76"/>
      <c r="E9" s="89"/>
      <c r="G9" s="90"/>
      <c r="H9" s="91"/>
    </row>
    <row r="10" spans="1:18" ht="13">
      <c r="A10" s="92" t="s">
        <v>61</v>
      </c>
      <c r="B10" s="92"/>
      <c r="C10" s="93"/>
      <c r="E10" s="94"/>
      <c r="F10" s="94" t="s">
        <v>62</v>
      </c>
      <c r="G10" s="95">
        <f ca="1">TODAY()</f>
        <v>44480</v>
      </c>
      <c r="H10" s="96"/>
      <c r="I10" s="74" t="s">
        <v>63</v>
      </c>
      <c r="J10" s="141"/>
    </row>
    <row r="11" spans="1:18" ht="13">
      <c r="A11" s="92" t="s">
        <v>64</v>
      </c>
      <c r="B11" s="92"/>
      <c r="C11" s="77"/>
      <c r="E11" s="94"/>
      <c r="F11" s="94" t="s">
        <v>65</v>
      </c>
      <c r="G11" s="96" t="str">
        <f ca="1">UPPER("QUO-"&amp;J10&amp;"-"&amp;TEXT(TODAY(),"yymmdd")&amp;"-"&amp;J11)</f>
        <v>QUO--211011-1</v>
      </c>
      <c r="H11" s="96"/>
      <c r="I11" s="74" t="s">
        <v>9</v>
      </c>
      <c r="J11" s="142">
        <v>1</v>
      </c>
    </row>
    <row r="12" spans="1:18" ht="13">
      <c r="A12" s="92" t="s">
        <v>10</v>
      </c>
      <c r="B12" s="92"/>
      <c r="C12" s="77"/>
      <c r="E12" s="94"/>
      <c r="F12" s="94" t="s">
        <v>66</v>
      </c>
      <c r="G12" s="95">
        <f ca="1">G10+J12</f>
        <v>44487</v>
      </c>
      <c r="H12" s="96"/>
      <c r="I12" s="74" t="s">
        <v>13</v>
      </c>
      <c r="J12" s="141">
        <v>7</v>
      </c>
    </row>
    <row r="13" spans="1:18" ht="13">
      <c r="A13" s="92" t="s">
        <v>67</v>
      </c>
      <c r="B13" s="92"/>
      <c r="E13" s="97"/>
      <c r="F13" s="97" t="s">
        <v>16</v>
      </c>
      <c r="G13" s="96"/>
      <c r="H13" s="96"/>
    </row>
    <row r="14" spans="1:18" hidden="1">
      <c r="A14" s="74"/>
      <c r="B14" s="74"/>
      <c r="D14" s="74"/>
      <c r="E14" s="74"/>
      <c r="F14" s="74"/>
      <c r="G14" s="74"/>
      <c r="H14" s="74"/>
    </row>
    <row r="15" spans="1:18" s="81" customFormat="1">
      <c r="A15" s="98" t="s">
        <v>68</v>
      </c>
      <c r="B15" s="99"/>
      <c r="C15" s="100"/>
      <c r="D15" s="100"/>
      <c r="E15" s="99"/>
      <c r="F15" s="100"/>
      <c r="G15" s="100"/>
      <c r="H15" s="101"/>
      <c r="I15" s="81" t="s">
        <v>69</v>
      </c>
    </row>
    <row r="16" spans="1:18" ht="27" customHeight="1">
      <c r="A16" s="102" t="s">
        <v>70</v>
      </c>
      <c r="B16" s="103" t="s">
        <v>71</v>
      </c>
      <c r="C16" s="103" t="s">
        <v>72</v>
      </c>
      <c r="D16" s="104" t="s">
        <v>73</v>
      </c>
      <c r="E16" s="105" t="s">
        <v>74</v>
      </c>
      <c r="F16" s="106" t="s">
        <v>75</v>
      </c>
      <c r="G16" s="106" t="s">
        <v>76</v>
      </c>
      <c r="H16" s="107" t="s">
        <v>77</v>
      </c>
      <c r="I16" s="143" t="s">
        <v>78</v>
      </c>
      <c r="J16" s="143" t="s">
        <v>79</v>
      </c>
      <c r="K16" s="143" t="s">
        <v>80</v>
      </c>
      <c r="L16" s="143" t="s">
        <v>81</v>
      </c>
      <c r="M16" s="143" t="s">
        <v>82</v>
      </c>
      <c r="N16" s="143" t="s">
        <v>83</v>
      </c>
      <c r="O16" s="143" t="s">
        <v>84</v>
      </c>
      <c r="P16" s="143" t="s">
        <v>85</v>
      </c>
      <c r="Q16" s="143" t="s">
        <v>86</v>
      </c>
      <c r="R16" s="143" t="s">
        <v>87</v>
      </c>
    </row>
    <row r="17" spans="1:23" ht="20.25" customHeight="1">
      <c r="A17" s="108"/>
      <c r="B17" s="109"/>
      <c r="C17" s="110"/>
      <c r="D17" s="109">
        <v>1</v>
      </c>
      <c r="E17" s="111"/>
      <c r="F17" s="112">
        <f>ROUND(I17*1.1,-3)</f>
        <v>110000</v>
      </c>
      <c r="G17" s="112">
        <f t="shared" ref="G17:G23" si="0">F17*10%</f>
        <v>11000</v>
      </c>
      <c r="H17" s="113">
        <f>D17*(F17+G17)</f>
        <v>121000</v>
      </c>
      <c r="I17" s="144">
        <f>K17</f>
        <v>100000</v>
      </c>
      <c r="J17" s="144" t="str">
        <f>L17</f>
        <v>ABC</v>
      </c>
      <c r="K17" s="145">
        <v>100000</v>
      </c>
      <c r="L17" s="143" t="s">
        <v>88</v>
      </c>
      <c r="M17" s="145">
        <v>11000</v>
      </c>
      <c r="N17" s="143" t="s">
        <v>89</v>
      </c>
      <c r="O17" s="145"/>
      <c r="P17" s="143"/>
      <c r="Q17" s="157">
        <f>F17/I17-1</f>
        <v>0.10000000000000009</v>
      </c>
      <c r="R17" s="144">
        <f>D17*(F17-I17)</f>
        <v>10000</v>
      </c>
    </row>
    <row r="18" spans="1:23" ht="20.25" customHeight="1">
      <c r="A18" s="108"/>
      <c r="B18" s="109"/>
      <c r="C18" s="110"/>
      <c r="D18" s="109"/>
      <c r="E18" s="111"/>
      <c r="F18" s="112">
        <f t="shared" ref="F18:F23" si="1">ROUND(I18*1.1,-3)</f>
        <v>0</v>
      </c>
      <c r="G18" s="112">
        <f t="shared" si="0"/>
        <v>0</v>
      </c>
      <c r="H18" s="113">
        <f t="shared" ref="H18:H23" si="2">D18*(F18+G18)</f>
        <v>0</v>
      </c>
      <c r="I18" s="143"/>
      <c r="J18" s="143"/>
      <c r="K18" s="144"/>
      <c r="L18" s="143"/>
      <c r="M18" s="145"/>
      <c r="N18" s="143"/>
      <c r="O18" s="145"/>
      <c r="P18" s="143"/>
      <c r="Q18" s="157" t="e">
        <f t="shared" ref="Q18:Q23" si="3">F18/I18-1</f>
        <v>#DIV/0!</v>
      </c>
      <c r="R18" s="144">
        <f t="shared" ref="R18:R23" si="4">D18*(F18-I18)</f>
        <v>0</v>
      </c>
    </row>
    <row r="19" spans="1:23" ht="20.25" customHeight="1">
      <c r="A19" s="108"/>
      <c r="B19" s="109"/>
      <c r="C19" s="110"/>
      <c r="D19" s="109"/>
      <c r="E19" s="111"/>
      <c r="F19" s="112">
        <f t="shared" si="1"/>
        <v>0</v>
      </c>
      <c r="G19" s="112">
        <f t="shared" si="0"/>
        <v>0</v>
      </c>
      <c r="H19" s="113">
        <f t="shared" si="2"/>
        <v>0</v>
      </c>
      <c r="I19" s="143"/>
      <c r="J19" s="143"/>
      <c r="K19" s="144"/>
      <c r="L19" s="143"/>
      <c r="M19" s="145"/>
      <c r="N19" s="143"/>
      <c r="O19" s="145"/>
      <c r="P19" s="143"/>
      <c r="Q19" s="157" t="e">
        <f t="shared" si="3"/>
        <v>#DIV/0!</v>
      </c>
      <c r="R19" s="144">
        <f t="shared" si="4"/>
        <v>0</v>
      </c>
    </row>
    <row r="20" spans="1:23" ht="20.25" customHeight="1">
      <c r="A20" s="108"/>
      <c r="B20" s="109"/>
      <c r="C20" s="110"/>
      <c r="D20" s="109"/>
      <c r="E20" s="111"/>
      <c r="F20" s="112">
        <f t="shared" si="1"/>
        <v>0</v>
      </c>
      <c r="G20" s="112">
        <f t="shared" si="0"/>
        <v>0</v>
      </c>
      <c r="H20" s="113">
        <f t="shared" si="2"/>
        <v>0</v>
      </c>
      <c r="I20" s="143"/>
      <c r="J20" s="143"/>
      <c r="K20" s="144"/>
      <c r="L20" s="143"/>
      <c r="M20" s="145"/>
      <c r="N20" s="143"/>
      <c r="O20" s="145"/>
      <c r="P20" s="143"/>
      <c r="Q20" s="157" t="e">
        <f t="shared" si="3"/>
        <v>#DIV/0!</v>
      </c>
      <c r="R20" s="144">
        <f t="shared" si="4"/>
        <v>0</v>
      </c>
    </row>
    <row r="21" spans="1:23" ht="20.25" customHeight="1">
      <c r="A21" s="108"/>
      <c r="B21" s="109"/>
      <c r="C21" s="110"/>
      <c r="D21" s="109"/>
      <c r="E21" s="111"/>
      <c r="F21" s="112">
        <f t="shared" si="1"/>
        <v>0</v>
      </c>
      <c r="G21" s="112">
        <f t="shared" si="0"/>
        <v>0</v>
      </c>
      <c r="H21" s="113">
        <f t="shared" si="2"/>
        <v>0</v>
      </c>
      <c r="I21" s="143"/>
      <c r="J21" s="143"/>
      <c r="K21" s="144"/>
      <c r="L21" s="143"/>
      <c r="M21" s="145"/>
      <c r="N21" s="143"/>
      <c r="O21" s="145"/>
      <c r="P21" s="143"/>
      <c r="Q21" s="157" t="e">
        <f t="shared" si="3"/>
        <v>#DIV/0!</v>
      </c>
      <c r="R21" s="144">
        <f t="shared" si="4"/>
        <v>0</v>
      </c>
    </row>
    <row r="22" spans="1:23" ht="20.25" customHeight="1">
      <c r="A22" s="108"/>
      <c r="B22" s="109"/>
      <c r="C22" s="110"/>
      <c r="D22" s="109"/>
      <c r="E22" s="111"/>
      <c r="F22" s="112">
        <f t="shared" si="1"/>
        <v>0</v>
      </c>
      <c r="G22" s="112">
        <f t="shared" si="0"/>
        <v>0</v>
      </c>
      <c r="H22" s="113">
        <f t="shared" si="2"/>
        <v>0</v>
      </c>
      <c r="I22" s="143"/>
      <c r="J22" s="143"/>
      <c r="K22" s="144"/>
      <c r="L22" s="143"/>
      <c r="M22" s="145"/>
      <c r="N22" s="143"/>
      <c r="O22" s="145"/>
      <c r="P22" s="143"/>
      <c r="Q22" s="157" t="e">
        <f t="shared" si="3"/>
        <v>#DIV/0!</v>
      </c>
      <c r="R22" s="144">
        <f t="shared" si="4"/>
        <v>0</v>
      </c>
    </row>
    <row r="23" spans="1:23" ht="20.25" customHeight="1">
      <c r="A23" s="108"/>
      <c r="B23" s="109"/>
      <c r="C23" s="110"/>
      <c r="D23" s="109"/>
      <c r="E23" s="111"/>
      <c r="F23" s="112">
        <f t="shared" si="1"/>
        <v>0</v>
      </c>
      <c r="G23" s="112">
        <f t="shared" si="0"/>
        <v>0</v>
      </c>
      <c r="H23" s="113">
        <f t="shared" si="2"/>
        <v>0</v>
      </c>
      <c r="I23" s="146"/>
      <c r="J23" s="147"/>
      <c r="K23" s="144"/>
      <c r="L23" s="147"/>
      <c r="M23" s="145"/>
      <c r="N23" s="147"/>
      <c r="O23" s="145"/>
      <c r="P23" s="147"/>
      <c r="Q23" s="157" t="e">
        <f t="shared" si="3"/>
        <v>#DIV/0!</v>
      </c>
      <c r="R23" s="144">
        <f t="shared" si="4"/>
        <v>0</v>
      </c>
    </row>
    <row r="24" spans="1:23" s="82" customFormat="1" ht="20.25" customHeight="1">
      <c r="A24" s="238" t="s">
        <v>90</v>
      </c>
      <c r="B24" s="239"/>
      <c r="C24" s="239"/>
      <c r="D24" s="239"/>
      <c r="E24" s="239"/>
      <c r="F24" s="239"/>
      <c r="G24" s="240"/>
      <c r="H24" s="114">
        <f>SUM(H17:H23)</f>
        <v>121000</v>
      </c>
      <c r="I24" s="148">
        <f>SUMPRODUCT(D17:D23,I17:I23)</f>
        <v>100000</v>
      </c>
      <c r="J24" s="148"/>
      <c r="K24" s="148">
        <f>SUMPRODUCT(D17:D23,K17:K23)</f>
        <v>100000</v>
      </c>
      <c r="L24" s="148"/>
      <c r="M24" s="148">
        <f>SUMPRODUCT(D17:D23,M17:M23)</f>
        <v>11000</v>
      </c>
      <c r="N24" s="148"/>
      <c r="O24" s="148">
        <f>SUMPRODUCT(D17:D23,O17:O23)</f>
        <v>0</v>
      </c>
      <c r="P24" s="148"/>
      <c r="Q24" s="158"/>
      <c r="R24" s="159"/>
    </row>
    <row r="25" spans="1:23" ht="20.25" customHeight="1">
      <c r="A25" s="247" t="s">
        <v>91</v>
      </c>
      <c r="B25" s="248"/>
      <c r="C25" s="248"/>
      <c r="D25" s="248"/>
      <c r="E25" s="248"/>
      <c r="F25" s="248"/>
      <c r="G25" s="248"/>
      <c r="H25" s="249"/>
      <c r="I25" s="149"/>
      <c r="J25" s="149"/>
      <c r="K25" s="149"/>
      <c r="L25" s="149"/>
      <c r="M25" s="149"/>
      <c r="N25" s="149"/>
      <c r="O25" s="149"/>
      <c r="P25" s="149" t="s">
        <v>92</v>
      </c>
      <c r="Q25" s="250">
        <f>SUM(R17:R23)</f>
        <v>10000</v>
      </c>
      <c r="R25" s="251"/>
    </row>
    <row r="26" spans="1:23" ht="13">
      <c r="A26" s="115"/>
      <c r="B26" s="74"/>
      <c r="C26" s="74"/>
      <c r="D26" s="74"/>
      <c r="E26" s="74"/>
      <c r="F26" s="74"/>
      <c r="G26" s="74"/>
      <c r="H26" s="74"/>
      <c r="I26" s="150"/>
      <c r="J26" s="151"/>
      <c r="K26" s="152"/>
      <c r="L26" s="151"/>
      <c r="M26" s="153"/>
      <c r="N26" s="151"/>
      <c r="O26" s="153"/>
      <c r="P26" s="151"/>
      <c r="Q26" s="160"/>
      <c r="R26" s="152"/>
    </row>
    <row r="27" spans="1:23" s="69" customFormat="1" ht="20.25" customHeight="1">
      <c r="A27" s="116" t="s">
        <v>93</v>
      </c>
      <c r="B27" s="70"/>
      <c r="C27" s="71"/>
      <c r="D27" s="71"/>
      <c r="E27" s="71"/>
      <c r="F27" s="70"/>
      <c r="G27" s="83"/>
      <c r="H27" s="83"/>
      <c r="I27" s="150"/>
      <c r="J27" s="151"/>
      <c r="K27" s="151"/>
      <c r="L27" s="151"/>
      <c r="M27" s="153"/>
      <c r="N27" s="151"/>
      <c r="O27" s="153"/>
      <c r="P27" s="151"/>
      <c r="Q27" s="160"/>
      <c r="R27" s="152"/>
      <c r="S27" s="80"/>
      <c r="T27" s="80"/>
      <c r="U27" s="80"/>
      <c r="V27" s="80"/>
      <c r="W27" s="80"/>
    </row>
    <row r="28" spans="1:23" s="69" customFormat="1" ht="18" customHeight="1">
      <c r="A28" s="117" t="s">
        <v>94</v>
      </c>
      <c r="C28" s="76"/>
      <c r="D28" s="76"/>
      <c r="E28" s="76"/>
      <c r="F28" s="89"/>
      <c r="G28" s="76"/>
      <c r="H28" s="76"/>
      <c r="I28" s="79"/>
      <c r="J28" s="79"/>
      <c r="K28" s="153"/>
      <c r="L28" s="79"/>
      <c r="M28" s="79"/>
      <c r="N28" s="79"/>
      <c r="O28" s="79"/>
      <c r="P28" s="79"/>
      <c r="Q28" s="79"/>
      <c r="R28" s="79"/>
      <c r="S28" s="80"/>
      <c r="T28" s="80"/>
      <c r="U28" s="80"/>
      <c r="V28" s="80"/>
      <c r="W28" s="80"/>
    </row>
    <row r="29" spans="1:23" s="69" customFormat="1" ht="18" customHeight="1">
      <c r="A29" s="117" t="s">
        <v>95</v>
      </c>
      <c r="C29" s="76"/>
      <c r="D29" s="76"/>
      <c r="E29" s="76"/>
      <c r="F29" s="89"/>
      <c r="G29" s="76"/>
      <c r="H29" s="76"/>
      <c r="I29" s="79"/>
      <c r="J29" s="79"/>
      <c r="K29" s="79"/>
      <c r="L29" s="79"/>
      <c r="M29" s="79"/>
      <c r="N29" s="79"/>
      <c r="O29" s="79"/>
      <c r="P29" s="79"/>
      <c r="Q29" s="252"/>
      <c r="R29" s="252"/>
      <c r="S29" s="80"/>
      <c r="T29" s="80"/>
      <c r="U29" s="80"/>
      <c r="V29" s="80"/>
      <c r="W29" s="80"/>
    </row>
    <row r="30" spans="1:23" s="69" customFormat="1" ht="18" customHeight="1">
      <c r="A30" s="117" t="s">
        <v>96</v>
      </c>
      <c r="C30" s="76"/>
      <c r="D30" s="76"/>
      <c r="E30" s="76"/>
      <c r="F30" s="89"/>
      <c r="G30" s="76"/>
      <c r="H30" s="76"/>
      <c r="I30" s="78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</row>
    <row r="31" spans="1:23" s="69" customFormat="1" ht="20.25" customHeight="1">
      <c r="A31" s="117" t="s">
        <v>97</v>
      </c>
      <c r="C31" s="76"/>
      <c r="D31" s="76"/>
      <c r="E31" s="76"/>
      <c r="F31" s="89"/>
      <c r="G31" s="76"/>
      <c r="H31" s="76"/>
      <c r="I31" s="78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</row>
    <row r="32" spans="1:23" s="69" customFormat="1" ht="15" customHeight="1">
      <c r="A32" s="118"/>
      <c r="B32" s="119" t="s">
        <v>98</v>
      </c>
      <c r="D32" s="120" t="s">
        <v>99</v>
      </c>
      <c r="F32" s="89"/>
      <c r="G32" s="76"/>
      <c r="H32" s="76"/>
      <c r="I32" s="78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</row>
    <row r="33" spans="1:23" s="69" customFormat="1" ht="15" customHeight="1">
      <c r="A33" s="118"/>
      <c r="B33" s="77" t="s">
        <v>100</v>
      </c>
      <c r="D33" s="77" t="s">
        <v>101</v>
      </c>
      <c r="F33" s="89"/>
      <c r="G33" s="76"/>
      <c r="H33" s="76"/>
      <c r="I33" s="78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</row>
    <row r="34" spans="1:23" s="69" customFormat="1" ht="15" customHeight="1">
      <c r="A34" s="118"/>
      <c r="B34" s="77" t="s">
        <v>40</v>
      </c>
      <c r="D34" s="77" t="s">
        <v>102</v>
      </c>
      <c r="F34" s="89"/>
      <c r="G34" s="76"/>
      <c r="H34" s="76"/>
      <c r="I34" s="78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</row>
    <row r="35" spans="1:23" s="69" customFormat="1" ht="18" customHeight="1">
      <c r="A35" s="117" t="s">
        <v>103</v>
      </c>
      <c r="C35" s="76"/>
      <c r="D35" s="76"/>
      <c r="E35" s="76"/>
      <c r="F35" s="89"/>
      <c r="G35" s="76"/>
      <c r="H35" s="76"/>
      <c r="I35" s="78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</row>
    <row r="36" spans="1:23" s="69" customFormat="1" ht="20.25" customHeight="1">
      <c r="A36" s="77"/>
      <c r="B36" s="121" t="s">
        <v>104</v>
      </c>
      <c r="C36" s="122"/>
      <c r="D36" s="122"/>
      <c r="E36" s="122"/>
      <c r="F36" s="123"/>
      <c r="G36" s="122"/>
      <c r="H36" s="122"/>
      <c r="I36" s="154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</row>
    <row r="37" spans="1:23" s="69" customFormat="1" ht="14.25" customHeight="1">
      <c r="A37" s="77"/>
      <c r="B37" s="124" t="s">
        <v>105</v>
      </c>
      <c r="D37" s="119"/>
      <c r="E37" s="122"/>
      <c r="F37" s="123"/>
      <c r="G37" s="122"/>
      <c r="H37" s="122"/>
      <c r="I37" s="154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</row>
    <row r="38" spans="1:23" s="69" customFormat="1" ht="14.25" customHeight="1">
      <c r="A38" s="77"/>
      <c r="B38" s="125" t="s">
        <v>106</v>
      </c>
      <c r="D38" s="126"/>
      <c r="E38" s="126"/>
      <c r="F38" s="127"/>
      <c r="G38" s="126"/>
      <c r="H38" s="126"/>
      <c r="I38" s="155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</row>
    <row r="39" spans="1:23" s="69" customFormat="1" ht="14.25" customHeight="1">
      <c r="A39" s="77"/>
      <c r="B39" s="125" t="s">
        <v>107</v>
      </c>
      <c r="D39" s="126"/>
      <c r="E39" s="126"/>
      <c r="F39" s="127"/>
      <c r="G39" s="126"/>
      <c r="H39" s="126"/>
      <c r="I39" s="155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</row>
    <row r="40" spans="1:23" s="69" customFormat="1" ht="8.25" customHeight="1">
      <c r="A40" s="125"/>
      <c r="B40" s="77"/>
      <c r="C40" s="126"/>
      <c r="D40" s="126"/>
      <c r="E40" s="126"/>
      <c r="F40" s="127"/>
      <c r="G40" s="126"/>
      <c r="H40" s="126"/>
      <c r="I40" s="155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</row>
    <row r="41" spans="1:23" s="69" customFormat="1" ht="8.25" customHeight="1">
      <c r="A41" s="128"/>
      <c r="B41" s="77"/>
      <c r="C41" s="126"/>
      <c r="D41" s="126"/>
      <c r="E41" s="126"/>
      <c r="F41" s="127"/>
      <c r="G41" s="126"/>
      <c r="H41" s="126"/>
      <c r="I41" s="155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</row>
    <row r="42" spans="1:23" s="69" customFormat="1">
      <c r="A42" s="129" t="s">
        <v>108</v>
      </c>
      <c r="B42" s="87"/>
      <c r="C42" s="71"/>
      <c r="D42" s="71"/>
      <c r="E42" s="96"/>
      <c r="F42" s="70"/>
      <c r="G42" s="96"/>
      <c r="I42" s="156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</row>
    <row r="43" spans="1:23" s="69" customFormat="1" ht="9" customHeight="1">
      <c r="A43" s="120"/>
      <c r="B43" s="130"/>
      <c r="C43" s="71"/>
      <c r="D43" s="71"/>
      <c r="E43" s="96"/>
      <c r="F43" s="70"/>
      <c r="G43" s="96"/>
      <c r="I43" s="156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</row>
    <row r="44" spans="1:23" s="69" customFormat="1" ht="13">
      <c r="A44" s="129" t="s">
        <v>109</v>
      </c>
      <c r="B44" s="131"/>
      <c r="C44" s="71"/>
      <c r="D44" s="71"/>
      <c r="E44" s="71"/>
      <c r="F44" s="70"/>
      <c r="G44" s="71"/>
      <c r="I44" s="156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</row>
    <row r="45" spans="1:23" s="69" customFormat="1" ht="16.5" customHeight="1">
      <c r="A45" s="92"/>
      <c r="B45" s="131"/>
      <c r="C45" s="71"/>
      <c r="D45" s="71"/>
      <c r="E45" s="132"/>
      <c r="F45" s="133"/>
      <c r="G45" s="134" t="s">
        <v>110</v>
      </c>
      <c r="H45" s="71"/>
      <c r="I45" s="156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</row>
    <row r="46" spans="1:23" s="69" customFormat="1" ht="16.5" customHeight="1">
      <c r="A46" s="92"/>
      <c r="B46" s="131"/>
      <c r="C46" s="71"/>
      <c r="D46" s="71"/>
      <c r="E46" s="132"/>
      <c r="F46" s="133"/>
      <c r="G46" s="135" t="s">
        <v>111</v>
      </c>
      <c r="H46" s="71"/>
      <c r="I46" s="156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</row>
    <row r="47" spans="1:23" s="69" customFormat="1" ht="16.5" customHeight="1">
      <c r="A47" s="120" t="s">
        <v>112</v>
      </c>
      <c r="B47" s="130"/>
      <c r="C47" s="120"/>
      <c r="D47" s="71"/>
      <c r="E47" s="132"/>
      <c r="F47" s="133"/>
      <c r="H47" s="71"/>
      <c r="I47" s="156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</row>
    <row r="48" spans="1:23" s="69" customFormat="1" ht="13">
      <c r="A48" s="244" t="s">
        <v>113</v>
      </c>
      <c r="B48" s="244"/>
      <c r="C48" s="244"/>
      <c r="D48" s="120"/>
      <c r="E48" s="137"/>
      <c r="F48" s="138"/>
      <c r="H48" s="71"/>
      <c r="I48" s="156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</row>
    <row r="49" spans="1:23" s="69" customFormat="1" ht="13">
      <c r="A49" s="136" t="s">
        <v>54</v>
      </c>
      <c r="B49" s="128" t="s">
        <v>114</v>
      </c>
      <c r="C49" s="77"/>
      <c r="D49" s="77"/>
      <c r="E49" s="137"/>
      <c r="F49" s="139"/>
      <c r="G49" s="138"/>
      <c r="H49" s="71"/>
      <c r="I49" s="156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</row>
    <row r="50" spans="1:23" s="69" customFormat="1" ht="13">
      <c r="A50" s="92" t="s">
        <v>56</v>
      </c>
      <c r="B50" s="128" t="s">
        <v>115</v>
      </c>
      <c r="C50" s="71"/>
      <c r="D50" s="77"/>
      <c r="E50" s="71"/>
      <c r="F50" s="70"/>
      <c r="G50" s="83"/>
      <c r="H50" s="83"/>
      <c r="I50" s="84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</row>
    <row r="51" spans="1:23" s="69" customFormat="1" ht="13">
      <c r="A51" s="92" t="s">
        <v>58</v>
      </c>
      <c r="B51" s="140" t="s">
        <v>116</v>
      </c>
      <c r="C51" s="92"/>
      <c r="D51" s="136"/>
      <c r="E51" s="71"/>
      <c r="F51" s="70"/>
      <c r="G51" s="83"/>
      <c r="H51" s="83"/>
      <c r="I51" s="84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</row>
    <row r="52" spans="1:23" ht="13">
      <c r="F52" s="120" t="s">
        <v>117</v>
      </c>
      <c r="G52" s="130"/>
      <c r="H52" s="120"/>
    </row>
    <row r="53" spans="1:23" ht="13">
      <c r="A53" s="120"/>
      <c r="B53" s="130"/>
      <c r="C53" s="120"/>
      <c r="F53" s="244" t="s">
        <v>118</v>
      </c>
      <c r="G53" s="244"/>
      <c r="H53" s="244"/>
    </row>
    <row r="54" spans="1:23" ht="13">
      <c r="A54" s="244"/>
      <c r="B54" s="244"/>
      <c r="C54" s="244"/>
      <c r="F54" s="136" t="s">
        <v>54</v>
      </c>
      <c r="G54" s="128" t="s">
        <v>119</v>
      </c>
      <c r="H54" s="77"/>
    </row>
    <row r="55" spans="1:23" ht="13">
      <c r="A55" s="136"/>
      <c r="B55" s="128"/>
      <c r="C55" s="77"/>
      <c r="F55" s="92" t="s">
        <v>56</v>
      </c>
      <c r="G55" s="128" t="s">
        <v>57</v>
      </c>
      <c r="H55" s="71"/>
    </row>
    <row r="56" spans="1:23" ht="13">
      <c r="A56" s="92"/>
      <c r="B56" s="128"/>
      <c r="F56" s="92" t="s">
        <v>58</v>
      </c>
      <c r="G56" t="s">
        <v>120</v>
      </c>
      <c r="H56" s="92"/>
    </row>
    <row r="57" spans="1:23" ht="13">
      <c r="A57" s="92"/>
      <c r="B57"/>
      <c r="C57" s="92"/>
    </row>
    <row r="65" spans="1:3" ht="13">
      <c r="A65" s="120"/>
      <c r="B65" s="130"/>
      <c r="C65" s="120"/>
    </row>
    <row r="66" spans="1:3" ht="13">
      <c r="A66" s="244"/>
      <c r="B66" s="244"/>
      <c r="C66" s="244"/>
    </row>
    <row r="67" spans="1:3" ht="13">
      <c r="A67" s="136"/>
      <c r="B67" s="128"/>
      <c r="C67" s="77"/>
    </row>
    <row r="68" spans="1:3" ht="13">
      <c r="A68" s="92"/>
      <c r="B68" s="128"/>
    </row>
    <row r="69" spans="1:3" ht="13">
      <c r="A69" s="92"/>
      <c r="B69" s="161"/>
      <c r="C69" s="92"/>
    </row>
    <row r="71" spans="1:3" ht="13">
      <c r="A71" s="120"/>
      <c r="B71" s="130"/>
      <c r="C71" s="120"/>
    </row>
    <row r="72" spans="1:3" ht="13">
      <c r="A72" s="244"/>
      <c r="B72" s="244"/>
      <c r="C72" s="244"/>
    </row>
    <row r="73" spans="1:3" ht="13">
      <c r="A73" s="136"/>
      <c r="B73" s="128"/>
      <c r="C73" s="77"/>
    </row>
    <row r="74" spans="1:3" ht="13">
      <c r="A74" s="92"/>
      <c r="B74" s="128"/>
    </row>
    <row r="75" spans="1:3" ht="13">
      <c r="A75" s="92"/>
      <c r="B75" s="161"/>
      <c r="C75" s="92"/>
    </row>
  </sheetData>
  <mergeCells count="10">
    <mergeCell ref="A48:C48"/>
    <mergeCell ref="F53:H53"/>
    <mergeCell ref="A54:C54"/>
    <mergeCell ref="A66:C66"/>
    <mergeCell ref="A72:C72"/>
    <mergeCell ref="A8:H8"/>
    <mergeCell ref="A24:G24"/>
    <mergeCell ref="A25:H25"/>
    <mergeCell ref="Q25:R25"/>
    <mergeCell ref="Q29:R29"/>
  </mergeCells>
  <conditionalFormatting sqref="C17:C23">
    <cfRule type="cellIs" dxfId="0" priority="1" stopIfTrue="1" operator="equal">
      <formula>"(Grid doors+$A$360"</formula>
    </cfRule>
  </conditionalFormatting>
  <hyperlinks>
    <hyperlink ref="B51" r:id="rId1"/>
  </hyperlinks>
  <pageMargins left="0.33888888888888902" right="0.2" top="0.1" bottom="0.1" header="0.1" footer="0.1"/>
  <pageSetup paperSize="9" fitToWidth="0" fitToHeight="0" orientation="portrait" r:id="rId2"/>
  <headerFooter>
    <oddFooter>&amp;LIf you have any question regarding anything, please do not hesitate to call us.</oddFooter>
  </headerFooter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tabSelected="1" view="pageBreakPreview" topLeftCell="A15" zoomScale="85" zoomScaleNormal="100" zoomScaleSheetLayoutView="85" workbookViewId="0">
      <selection activeCell="C19" sqref="C19"/>
    </sheetView>
  </sheetViews>
  <sheetFormatPr defaultColWidth="9.09765625" defaultRowHeight="12.5"/>
  <cols>
    <col min="1" max="1" width="11.59765625" style="70" customWidth="1"/>
    <col min="2" max="2" width="10.69921875" style="70" customWidth="1"/>
    <col min="3" max="3" width="39.8984375" style="71" customWidth="1"/>
    <col min="4" max="4" width="5.69921875" style="70" customWidth="1"/>
    <col min="5" max="5" width="6.8984375" style="70" customWidth="1"/>
    <col min="6" max="6" width="12.3984375" style="70" customWidth="1"/>
    <col min="7" max="7" width="13.8984375" style="70" customWidth="1"/>
    <col min="8" max="8" width="16.296875" style="70" customWidth="1"/>
    <col min="9" max="13" width="9.09765625" style="74"/>
    <col min="14" max="14" width="15" style="74" bestFit="1" customWidth="1"/>
    <col min="15" max="15" width="11.296875" style="74" bestFit="1" customWidth="1"/>
    <col min="16" max="18" width="9.09765625" style="74"/>
    <col min="19" max="19" width="11.296875" style="74" bestFit="1" customWidth="1"/>
    <col min="20" max="16384" width="9.09765625" style="74"/>
  </cols>
  <sheetData>
    <row r="1" spans="1:8" s="66" customFormat="1" ht="76" customHeight="1" thickBot="1">
      <c r="A1" s="266"/>
      <c r="B1" s="267"/>
      <c r="C1" s="268"/>
      <c r="D1" s="268"/>
      <c r="E1" s="268"/>
      <c r="F1" s="268"/>
      <c r="G1" s="268"/>
      <c r="H1" s="268"/>
    </row>
    <row r="2" spans="1:8" s="66" customFormat="1" ht="88" customHeight="1" thickTop="1">
      <c r="A2" s="275" t="s">
        <v>190</v>
      </c>
      <c r="B2" s="276"/>
      <c r="C2" s="276"/>
      <c r="D2" s="276"/>
      <c r="E2" s="276"/>
      <c r="F2" s="276"/>
      <c r="G2" s="276"/>
      <c r="H2" s="277"/>
    </row>
    <row r="3" spans="1:8" s="66" customFormat="1" ht="22.5" customHeight="1">
      <c r="A3" s="226" t="s">
        <v>191</v>
      </c>
      <c r="B3" s="278" t="s">
        <v>196</v>
      </c>
      <c r="C3" s="279"/>
      <c r="D3" s="279"/>
      <c r="E3" s="279"/>
      <c r="F3" s="279"/>
      <c r="G3" s="279"/>
      <c r="H3" s="280"/>
    </row>
    <row r="4" spans="1:8" s="66" customFormat="1" ht="22.5" customHeight="1">
      <c r="A4" s="226" t="s">
        <v>192</v>
      </c>
      <c r="B4" s="256" t="s">
        <v>200</v>
      </c>
      <c r="C4" s="257"/>
      <c r="D4" s="257"/>
      <c r="E4" s="257"/>
      <c r="F4" s="257"/>
      <c r="G4" s="257"/>
      <c r="H4" s="258"/>
    </row>
    <row r="5" spans="1:8" s="66" customFormat="1" ht="22.5" customHeight="1">
      <c r="A5" s="226" t="s">
        <v>193</v>
      </c>
      <c r="B5" s="259" t="s">
        <v>197</v>
      </c>
      <c r="C5" s="260"/>
      <c r="D5" s="260"/>
      <c r="E5" s="260"/>
      <c r="F5" s="260"/>
      <c r="G5" s="260"/>
      <c r="H5" s="261"/>
    </row>
    <row r="6" spans="1:8" s="66" customFormat="1" ht="22.5" customHeight="1">
      <c r="A6" s="226" t="s">
        <v>198</v>
      </c>
      <c r="B6" s="259" t="s">
        <v>199</v>
      </c>
      <c r="C6" s="260"/>
      <c r="D6" s="260"/>
      <c r="E6" s="260"/>
      <c r="F6" s="260"/>
      <c r="G6" s="260"/>
      <c r="H6" s="261"/>
    </row>
    <row r="7" spans="1:8" s="66" customFormat="1" ht="22.5" customHeight="1">
      <c r="A7" s="226" t="s">
        <v>203</v>
      </c>
      <c r="B7" s="259" t="s">
        <v>204</v>
      </c>
      <c r="C7" s="260"/>
      <c r="D7" s="260"/>
      <c r="E7" s="260"/>
      <c r="F7" s="260"/>
      <c r="G7" s="260"/>
      <c r="H7" s="261"/>
    </row>
    <row r="8" spans="1:8" s="66" customFormat="1" ht="22.5" customHeight="1">
      <c r="A8" s="226" t="s">
        <v>194</v>
      </c>
      <c r="B8" s="256" t="s">
        <v>201</v>
      </c>
      <c r="C8" s="257"/>
      <c r="D8" s="257"/>
      <c r="E8" s="257"/>
      <c r="F8" s="257"/>
      <c r="G8" s="257"/>
      <c r="H8" s="258"/>
    </row>
    <row r="9" spans="1:8" s="66" customFormat="1" ht="22.5" customHeight="1">
      <c r="A9" s="226" t="s">
        <v>195</v>
      </c>
      <c r="B9" s="262">
        <f ca="1">TODAY()</f>
        <v>44480</v>
      </c>
      <c r="C9" s="263"/>
      <c r="D9" s="263"/>
      <c r="E9" s="263"/>
      <c r="F9" s="263"/>
      <c r="G9" s="263"/>
      <c r="H9" s="264"/>
    </row>
    <row r="10" spans="1:8" s="66" customFormat="1" ht="19.5" customHeight="1">
      <c r="A10" s="226" t="s">
        <v>202</v>
      </c>
      <c r="B10" s="259" t="s">
        <v>217</v>
      </c>
      <c r="C10" s="260"/>
      <c r="D10" s="260"/>
      <c r="E10" s="260"/>
      <c r="F10" s="260"/>
      <c r="G10" s="260"/>
      <c r="H10" s="261"/>
    </row>
    <row r="11" spans="1:8" s="66" customFormat="1" ht="19.5" customHeight="1">
      <c r="A11" s="208"/>
      <c r="B11" s="209"/>
      <c r="C11" s="210"/>
      <c r="D11" s="210"/>
      <c r="E11" s="210"/>
      <c r="F11" s="210"/>
      <c r="G11" s="207"/>
      <c r="H11" s="211"/>
    </row>
    <row r="12" spans="1:8" s="66" customFormat="1" ht="28">
      <c r="A12" s="227" t="s">
        <v>129</v>
      </c>
      <c r="B12" s="228" t="s">
        <v>183</v>
      </c>
      <c r="C12" s="229" t="s">
        <v>20</v>
      </c>
      <c r="D12" s="228" t="s">
        <v>121</v>
      </c>
      <c r="E12" s="230" t="s">
        <v>21</v>
      </c>
      <c r="F12" s="230" t="s">
        <v>187</v>
      </c>
      <c r="G12" s="231" t="s">
        <v>188</v>
      </c>
      <c r="H12" s="232" t="s">
        <v>122</v>
      </c>
    </row>
    <row r="13" spans="1:8" s="67" customFormat="1" ht="59.5" customHeight="1">
      <c r="A13" s="235">
        <v>1</v>
      </c>
      <c r="B13" s="233" t="s">
        <v>218</v>
      </c>
      <c r="C13" s="282" t="s">
        <v>219</v>
      </c>
      <c r="D13" s="283">
        <v>17</v>
      </c>
      <c r="E13" s="283" t="s">
        <v>216</v>
      </c>
      <c r="F13" s="285" t="s">
        <v>225</v>
      </c>
      <c r="G13" s="234">
        <v>50000</v>
      </c>
      <c r="H13" s="234">
        <f t="shared" ref="H13:H22" si="0">G13*D13</f>
        <v>850000</v>
      </c>
    </row>
    <row r="14" spans="1:8" s="67" customFormat="1" ht="42">
      <c r="A14" s="235">
        <v>2</v>
      </c>
      <c r="B14" s="233"/>
      <c r="C14" s="282" t="s">
        <v>220</v>
      </c>
      <c r="D14" s="283">
        <v>17</v>
      </c>
      <c r="E14" s="283" t="s">
        <v>216</v>
      </c>
      <c r="F14" s="284"/>
      <c r="G14" s="234">
        <v>14000</v>
      </c>
      <c r="H14" s="234">
        <f t="shared" si="0"/>
        <v>238000</v>
      </c>
    </row>
    <row r="15" spans="1:8" s="67" customFormat="1" ht="56">
      <c r="A15" s="235">
        <v>3</v>
      </c>
      <c r="B15" s="233" t="s">
        <v>221</v>
      </c>
      <c r="C15" s="282" t="s">
        <v>239</v>
      </c>
      <c r="D15" s="283">
        <v>34</v>
      </c>
      <c r="E15" s="283" t="s">
        <v>216</v>
      </c>
      <c r="F15" s="285" t="s">
        <v>225</v>
      </c>
      <c r="G15" s="234">
        <v>73000</v>
      </c>
      <c r="H15" s="234">
        <f t="shared" si="0"/>
        <v>2482000</v>
      </c>
    </row>
    <row r="16" spans="1:8" s="67" customFormat="1" ht="56">
      <c r="A16" s="235">
        <v>4</v>
      </c>
      <c r="B16" s="233" t="s">
        <v>222</v>
      </c>
      <c r="C16" s="236" t="s">
        <v>223</v>
      </c>
      <c r="D16" s="283">
        <v>34</v>
      </c>
      <c r="E16" s="283" t="s">
        <v>224</v>
      </c>
      <c r="F16" s="285" t="s">
        <v>225</v>
      </c>
      <c r="G16" s="234">
        <v>70000</v>
      </c>
      <c r="H16" s="234">
        <f t="shared" si="0"/>
        <v>2380000</v>
      </c>
    </row>
    <row r="17" spans="1:20" s="67" customFormat="1" ht="32.5" customHeight="1">
      <c r="A17" s="235">
        <v>5</v>
      </c>
      <c r="B17" s="233" t="s">
        <v>226</v>
      </c>
      <c r="C17" s="286" t="s">
        <v>227</v>
      </c>
      <c r="D17" s="283">
        <v>1</v>
      </c>
      <c r="E17" s="283" t="s">
        <v>216</v>
      </c>
      <c r="F17" s="285" t="s">
        <v>225</v>
      </c>
      <c r="G17" s="234">
        <v>690000</v>
      </c>
      <c r="H17" s="234">
        <f t="shared" si="0"/>
        <v>690000</v>
      </c>
    </row>
    <row r="18" spans="1:20" s="67" customFormat="1" ht="32.5" customHeight="1">
      <c r="A18" s="235">
        <v>6</v>
      </c>
      <c r="B18" s="233" t="s">
        <v>228</v>
      </c>
      <c r="C18" s="286" t="s">
        <v>229</v>
      </c>
      <c r="D18" s="283">
        <v>1</v>
      </c>
      <c r="E18" s="283" t="s">
        <v>216</v>
      </c>
      <c r="F18" s="285" t="s">
        <v>225</v>
      </c>
      <c r="G18" s="234">
        <v>69000</v>
      </c>
      <c r="H18" s="234">
        <f t="shared" si="0"/>
        <v>69000</v>
      </c>
    </row>
    <row r="19" spans="1:20" s="67" customFormat="1" ht="35.5" customHeight="1">
      <c r="A19" s="235">
        <v>7</v>
      </c>
      <c r="B19" s="233" t="s">
        <v>230</v>
      </c>
      <c r="C19" s="286" t="s">
        <v>231</v>
      </c>
      <c r="D19" s="283">
        <v>6</v>
      </c>
      <c r="E19" s="283" t="s">
        <v>232</v>
      </c>
      <c r="F19" s="285" t="s">
        <v>225</v>
      </c>
      <c r="G19" s="234">
        <v>2400000</v>
      </c>
      <c r="H19" s="234">
        <f t="shared" si="0"/>
        <v>14400000</v>
      </c>
    </row>
    <row r="20" spans="1:20" s="67" customFormat="1" ht="42">
      <c r="A20" s="235">
        <v>8</v>
      </c>
      <c r="B20" s="233" t="s">
        <v>238</v>
      </c>
      <c r="C20" s="286" t="s">
        <v>236</v>
      </c>
      <c r="D20" s="283">
        <v>1</v>
      </c>
      <c r="E20" s="283" t="s">
        <v>216</v>
      </c>
      <c r="F20" s="237" t="s">
        <v>237</v>
      </c>
      <c r="G20" s="234">
        <v>900000</v>
      </c>
      <c r="H20" s="234">
        <f t="shared" si="0"/>
        <v>900000</v>
      </c>
    </row>
    <row r="21" spans="1:20" s="67" customFormat="1" ht="27" customHeight="1">
      <c r="A21" s="235">
        <v>9</v>
      </c>
      <c r="B21" s="233"/>
      <c r="C21" s="287" t="s">
        <v>233</v>
      </c>
      <c r="D21" s="283">
        <v>5</v>
      </c>
      <c r="E21" s="283" t="s">
        <v>234</v>
      </c>
      <c r="F21" s="237" t="s">
        <v>235</v>
      </c>
      <c r="G21" s="234">
        <v>650000</v>
      </c>
      <c r="H21" s="234">
        <f t="shared" si="0"/>
        <v>3250000</v>
      </c>
    </row>
    <row r="22" spans="1:20" s="67" customFormat="1" ht="42">
      <c r="A22" s="235">
        <v>10</v>
      </c>
      <c r="B22" s="233" t="s">
        <v>241</v>
      </c>
      <c r="C22" s="287" t="s">
        <v>240</v>
      </c>
      <c r="D22" s="283">
        <v>1</v>
      </c>
      <c r="E22" s="283" t="s">
        <v>189</v>
      </c>
      <c r="F22" s="237" t="s">
        <v>237</v>
      </c>
      <c r="G22" s="234">
        <v>2400000</v>
      </c>
      <c r="H22" s="234">
        <f t="shared" si="0"/>
        <v>2400000</v>
      </c>
    </row>
    <row r="23" spans="1:20" s="181" customFormat="1" ht="14">
      <c r="A23" s="269" t="s">
        <v>184</v>
      </c>
      <c r="B23" s="269"/>
      <c r="C23" s="269"/>
      <c r="D23" s="269"/>
      <c r="E23" s="269"/>
      <c r="F23" s="269"/>
      <c r="G23" s="269"/>
      <c r="H23" s="194">
        <f>SUM(H13:H22)</f>
        <v>27659000</v>
      </c>
      <c r="I23" s="202"/>
      <c r="J23" s="196"/>
      <c r="K23" s="201"/>
      <c r="L23" s="196"/>
      <c r="M23" s="196"/>
      <c r="N23" s="196"/>
      <c r="O23" s="196"/>
      <c r="P23" s="196"/>
      <c r="Q23" s="196"/>
      <c r="R23" s="196"/>
      <c r="S23" s="196"/>
      <c r="T23" s="196"/>
    </row>
    <row r="24" spans="1:20" s="181" customFormat="1" ht="14">
      <c r="A24" s="270" t="s">
        <v>185</v>
      </c>
      <c r="B24" s="270"/>
      <c r="C24" s="270"/>
      <c r="D24" s="270"/>
      <c r="E24" s="270"/>
      <c r="F24" s="270"/>
      <c r="G24" s="270"/>
      <c r="H24" s="200">
        <f>H23*0.1</f>
        <v>2765900</v>
      </c>
      <c r="I24" s="202"/>
      <c r="J24" s="196"/>
      <c r="K24" s="196"/>
      <c r="L24" s="196"/>
      <c r="M24" s="196"/>
      <c r="N24" s="196"/>
      <c r="O24" s="196"/>
      <c r="P24" s="201"/>
      <c r="Q24" s="196"/>
      <c r="R24" s="196"/>
      <c r="S24" s="196"/>
      <c r="T24" s="196"/>
    </row>
    <row r="25" spans="1:20" s="182" customFormat="1" ht="14.15" customHeight="1">
      <c r="A25" s="271" t="s">
        <v>186</v>
      </c>
      <c r="B25" s="271"/>
      <c r="C25" s="271"/>
      <c r="D25" s="271"/>
      <c r="E25" s="271"/>
      <c r="F25" s="271"/>
      <c r="G25" s="271"/>
      <c r="H25" s="200">
        <f>H23+H24</f>
        <v>30424900</v>
      </c>
      <c r="I25" s="203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</row>
    <row r="26" spans="1:20" s="68" customFormat="1" ht="14">
      <c r="A26" s="272"/>
      <c r="B26" s="273"/>
      <c r="C26" s="274"/>
      <c r="D26" s="274"/>
      <c r="E26" s="274"/>
      <c r="F26" s="274"/>
      <c r="G26" s="274"/>
      <c r="H26" s="274"/>
      <c r="I26" s="204"/>
      <c r="J26" s="198"/>
      <c r="K26" s="206"/>
      <c r="L26" s="198"/>
      <c r="M26" s="198"/>
      <c r="N26" s="198"/>
      <c r="O26" s="198"/>
      <c r="P26" s="198"/>
      <c r="Q26" s="198"/>
      <c r="R26" s="198"/>
      <c r="S26" s="198"/>
      <c r="T26" s="198"/>
    </row>
    <row r="27" spans="1:20" ht="13">
      <c r="A27" s="187"/>
      <c r="B27" s="187"/>
      <c r="C27" s="188"/>
      <c r="D27" s="187"/>
      <c r="E27" s="187"/>
      <c r="F27" s="189"/>
      <c r="G27" s="183"/>
      <c r="H27" s="184"/>
      <c r="I27" s="205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</row>
    <row r="28" spans="1:20" ht="15">
      <c r="A28" s="190"/>
      <c r="B28" s="190"/>
      <c r="C28" s="190"/>
      <c r="D28" s="191"/>
      <c r="E28" s="191"/>
      <c r="F28" s="191"/>
      <c r="G28" s="265"/>
      <c r="H28" s="265"/>
      <c r="I28" s="205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</row>
    <row r="29" spans="1:20" ht="15.5">
      <c r="A29" s="192"/>
      <c r="B29" s="192"/>
      <c r="C29" s="193"/>
      <c r="D29" s="192"/>
      <c r="E29" s="192"/>
      <c r="F29" s="192"/>
      <c r="G29" s="185"/>
      <c r="H29" s="186"/>
      <c r="I29" s="205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199"/>
    </row>
    <row r="30" spans="1:20" s="67" customFormat="1" ht="13">
      <c r="A30" s="212" t="s">
        <v>205</v>
      </c>
      <c r="B30" s="213"/>
      <c r="C30" s="214"/>
      <c r="D30" s="215"/>
      <c r="E30" s="215"/>
      <c r="F30" s="187"/>
      <c r="G30" s="72"/>
      <c r="H30" s="73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</row>
    <row r="31" spans="1:20" s="67" customFormat="1" ht="13">
      <c r="A31" s="216" t="s">
        <v>206</v>
      </c>
      <c r="B31" s="216"/>
      <c r="C31" s="217"/>
      <c r="D31" s="216"/>
      <c r="E31" s="216"/>
      <c r="F31" s="187"/>
      <c r="G31" s="72"/>
      <c r="H31" s="73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</row>
    <row r="32" spans="1:20" ht="13">
      <c r="A32" s="216" t="s">
        <v>214</v>
      </c>
      <c r="B32" s="216"/>
      <c r="C32" s="217"/>
      <c r="D32" s="216"/>
      <c r="E32" s="216"/>
      <c r="F32" s="187"/>
      <c r="G32" s="72"/>
      <c r="H32" s="73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</row>
    <row r="33" spans="1:20" ht="15">
      <c r="A33" s="216" t="s">
        <v>215</v>
      </c>
      <c r="B33" s="216"/>
      <c r="C33" s="217"/>
      <c r="D33" s="216"/>
      <c r="E33" s="216"/>
      <c r="F33" s="187"/>
      <c r="G33" s="265"/>
      <c r="H33" s="265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</row>
    <row r="34" spans="1:20">
      <c r="A34" s="216" t="s">
        <v>207</v>
      </c>
      <c r="B34" s="216"/>
      <c r="C34" s="217"/>
      <c r="D34" s="216"/>
      <c r="E34" s="216"/>
    </row>
    <row r="35" spans="1:20">
      <c r="A35" s="216" t="s">
        <v>208</v>
      </c>
      <c r="B35" s="216"/>
      <c r="C35" s="217"/>
      <c r="D35" s="216"/>
      <c r="E35" s="216"/>
    </row>
    <row r="36" spans="1:20">
      <c r="A36" s="218" t="s">
        <v>209</v>
      </c>
      <c r="B36" s="219"/>
      <c r="C36" s="220"/>
      <c r="D36" s="219"/>
      <c r="E36" s="221"/>
    </row>
    <row r="37" spans="1:20" ht="13">
      <c r="A37" s="222" t="s">
        <v>210</v>
      </c>
      <c r="B37" s="219"/>
      <c r="C37" s="220"/>
      <c r="D37" s="219"/>
      <c r="E37" s="221"/>
    </row>
    <row r="38" spans="1:20" ht="13">
      <c r="A38" s="222" t="s">
        <v>211</v>
      </c>
      <c r="B38" s="219"/>
      <c r="C38" s="220"/>
      <c r="D38" s="219"/>
      <c r="E38" s="221"/>
    </row>
    <row r="39" spans="1:20">
      <c r="A39" s="223"/>
      <c r="B39" s="219"/>
      <c r="C39" s="220"/>
      <c r="D39" s="224" t="s">
        <v>212</v>
      </c>
      <c r="E39" s="221"/>
    </row>
    <row r="40" spans="1:20">
      <c r="A40" s="223"/>
      <c r="B40" s="219"/>
      <c r="C40" s="220"/>
      <c r="D40" s="219"/>
      <c r="E40" s="221"/>
    </row>
    <row r="41" spans="1:20" ht="13">
      <c r="A41" s="253"/>
      <c r="B41" s="254"/>
      <c r="C41" s="254"/>
      <c r="D41" s="254"/>
      <c r="E41" s="255"/>
    </row>
    <row r="42" spans="1:20">
      <c r="A42" s="216"/>
      <c r="B42" s="216"/>
      <c r="C42" s="217"/>
      <c r="D42" s="216"/>
      <c r="E42" s="216"/>
    </row>
    <row r="43" spans="1:20" ht="13">
      <c r="A43" s="225"/>
      <c r="B43" s="225"/>
      <c r="C43" s="217"/>
      <c r="D43" s="216"/>
      <c r="E43" s="216"/>
    </row>
    <row r="44" spans="1:20" ht="13">
      <c r="A44" s="225" t="s">
        <v>213</v>
      </c>
      <c r="B44" s="225"/>
      <c r="C44" s="217"/>
      <c r="D44" s="216"/>
      <c r="E44" s="216"/>
    </row>
  </sheetData>
  <mergeCells count="17">
    <mergeCell ref="A1:H1"/>
    <mergeCell ref="A23:G23"/>
    <mergeCell ref="A24:G24"/>
    <mergeCell ref="A25:G25"/>
    <mergeCell ref="A26:H26"/>
    <mergeCell ref="A2:H2"/>
    <mergeCell ref="B3:H3"/>
    <mergeCell ref="A41:E41"/>
    <mergeCell ref="B4:H4"/>
    <mergeCell ref="B5:H5"/>
    <mergeCell ref="B6:H6"/>
    <mergeCell ref="B7:H7"/>
    <mergeCell ref="B8:H8"/>
    <mergeCell ref="B9:H9"/>
    <mergeCell ref="B10:H10"/>
    <mergeCell ref="G33:H33"/>
    <mergeCell ref="G28:H28"/>
  </mergeCells>
  <printOptions horizontalCentered="1"/>
  <pageMargins left="0.25" right="0" top="0.25" bottom="0" header="0" footer="0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76"/>
  <sheetViews>
    <sheetView workbookViewId="0">
      <selection activeCell="C20" sqref="C20"/>
    </sheetView>
  </sheetViews>
  <sheetFormatPr defaultColWidth="9.09765625" defaultRowHeight="15.5"/>
  <cols>
    <col min="1" max="1" width="9.8984375" style="10" customWidth="1"/>
    <col min="2" max="2" width="7.59765625" style="10" customWidth="1"/>
    <col min="3" max="3" width="45.59765625" style="10" customWidth="1"/>
    <col min="4" max="4" width="30.09765625" style="10" customWidth="1"/>
    <col min="5" max="16384" width="9.09765625" style="11"/>
  </cols>
  <sheetData>
    <row r="1" spans="1:7" ht="20">
      <c r="A1" s="12"/>
      <c r="B1" s="281" t="s">
        <v>123</v>
      </c>
      <c r="C1" s="281"/>
      <c r="D1" s="281"/>
      <c r="E1" s="13"/>
      <c r="F1" s="13"/>
      <c r="G1" s="13"/>
    </row>
    <row r="2" spans="1:7">
      <c r="A2" s="12"/>
      <c r="B2" s="14"/>
      <c r="C2" s="15"/>
      <c r="D2" s="14"/>
      <c r="E2" s="13"/>
      <c r="F2" s="13"/>
      <c r="G2" s="13"/>
    </row>
    <row r="3" spans="1:7">
      <c r="A3" s="12"/>
      <c r="B3" s="14"/>
      <c r="C3" s="16" t="s">
        <v>124</v>
      </c>
      <c r="D3" s="17" t="s">
        <v>125</v>
      </c>
      <c r="E3" s="13"/>
      <c r="F3" s="13"/>
      <c r="G3" s="13"/>
    </row>
    <row r="4" spans="1:7">
      <c r="A4" s="12"/>
      <c r="B4" s="14"/>
      <c r="C4" s="16" t="s">
        <v>126</v>
      </c>
      <c r="D4" s="17" t="e">
        <f>IF(#REF!&lt;&gt;"",#REF!,"")</f>
        <v>#REF!</v>
      </c>
      <c r="E4" s="13"/>
      <c r="F4" s="13"/>
      <c r="G4" s="13"/>
    </row>
    <row r="5" spans="1:7">
      <c r="A5" s="12"/>
      <c r="B5" s="14"/>
      <c r="C5" s="16" t="s">
        <v>127</v>
      </c>
      <c r="D5" s="18"/>
      <c r="E5" s="13"/>
      <c r="F5" s="13"/>
      <c r="G5" s="13"/>
    </row>
    <row r="6" spans="1:7">
      <c r="A6" s="12"/>
      <c r="B6" s="12"/>
      <c r="C6" s="19"/>
      <c r="D6" s="20" t="s">
        <v>128</v>
      </c>
      <c r="E6" s="13"/>
      <c r="F6" s="13"/>
      <c r="G6" s="13"/>
    </row>
    <row r="7" spans="1:7">
      <c r="A7" s="12"/>
      <c r="B7" s="21" t="s">
        <v>129</v>
      </c>
      <c r="C7" s="22" t="s">
        <v>130</v>
      </c>
      <c r="D7" s="23" t="s">
        <v>131</v>
      </c>
      <c r="E7" s="13"/>
      <c r="F7" s="13"/>
      <c r="G7" s="13"/>
    </row>
    <row r="8" spans="1:7">
      <c r="A8" s="12"/>
      <c r="B8" s="24"/>
      <c r="C8" s="25"/>
      <c r="D8" s="26"/>
      <c r="E8" s="13"/>
      <c r="F8" s="13"/>
      <c r="G8" s="13"/>
    </row>
    <row r="9" spans="1:7">
      <c r="A9" s="12"/>
      <c r="B9" s="27">
        <v>1</v>
      </c>
      <c r="C9" s="28" t="s">
        <v>132</v>
      </c>
      <c r="D9" s="29" t="e">
        <f>#REF!</f>
        <v>#REF!</v>
      </c>
      <c r="E9" s="13"/>
      <c r="F9" s="13"/>
      <c r="G9" s="13"/>
    </row>
    <row r="10" spans="1:7">
      <c r="A10" s="12"/>
      <c r="B10" s="27"/>
      <c r="C10" s="30"/>
      <c r="D10" s="31"/>
      <c r="E10" s="13"/>
      <c r="F10" s="13"/>
      <c r="G10" s="13"/>
    </row>
    <row r="11" spans="1:7">
      <c r="A11" s="12"/>
      <c r="B11" s="27">
        <v>2</v>
      </c>
      <c r="C11" s="28" t="s">
        <v>133</v>
      </c>
      <c r="D11" s="29" t="e">
        <f>#REF!</f>
        <v>#REF!</v>
      </c>
      <c r="E11" s="13"/>
      <c r="F11" s="13"/>
      <c r="G11" s="13"/>
    </row>
    <row r="12" spans="1:7">
      <c r="A12" s="12"/>
      <c r="B12" s="27"/>
      <c r="C12" s="30"/>
      <c r="D12" s="32"/>
      <c r="E12" s="13"/>
      <c r="F12" s="13"/>
      <c r="G12" s="13"/>
    </row>
    <row r="13" spans="1:7">
      <c r="A13" s="12"/>
      <c r="B13" s="27">
        <v>3</v>
      </c>
      <c r="C13" s="28" t="s">
        <v>134</v>
      </c>
      <c r="D13" s="33" t="e">
        <f>#REF!</f>
        <v>#REF!</v>
      </c>
      <c r="E13" s="13"/>
      <c r="F13" s="13"/>
      <c r="G13" s="13"/>
    </row>
    <row r="14" spans="1:7">
      <c r="A14" s="12"/>
      <c r="B14" s="27"/>
      <c r="C14" s="30"/>
      <c r="D14" s="32"/>
      <c r="E14" s="13"/>
      <c r="F14" s="13"/>
      <c r="G14" s="13"/>
    </row>
    <row r="15" spans="1:7">
      <c r="A15" s="12"/>
      <c r="B15" s="27">
        <v>4</v>
      </c>
      <c r="C15" s="28" t="s">
        <v>135</v>
      </c>
      <c r="D15" s="34" t="e">
        <f>D9-D11-D13</f>
        <v>#REF!</v>
      </c>
      <c r="E15" s="13"/>
      <c r="F15" s="13"/>
      <c r="G15" s="13"/>
    </row>
    <row r="16" spans="1:7">
      <c r="A16" s="12"/>
      <c r="B16" s="27"/>
      <c r="C16" s="30"/>
      <c r="D16" s="32"/>
      <c r="E16" s="13"/>
      <c r="F16" s="13"/>
      <c r="G16" s="13"/>
    </row>
    <row r="17" spans="1:7">
      <c r="A17" s="12"/>
      <c r="B17" s="27"/>
      <c r="C17" s="180" t="s">
        <v>136</v>
      </c>
      <c r="D17" s="35" t="e">
        <f>D15/D9</f>
        <v>#REF!</v>
      </c>
      <c r="E17" s="13"/>
      <c r="F17" s="13"/>
      <c r="G17" s="13"/>
    </row>
    <row r="18" spans="1:7">
      <c r="A18" s="12"/>
      <c r="B18" s="27"/>
      <c r="C18" s="30"/>
      <c r="D18" s="32"/>
      <c r="E18" s="13"/>
      <c r="F18" s="13"/>
      <c r="G18" s="13"/>
    </row>
    <row r="19" spans="1:7">
      <c r="A19" s="12"/>
      <c r="B19" s="27">
        <v>5</v>
      </c>
      <c r="C19" s="28" t="s">
        <v>137</v>
      </c>
      <c r="D19" s="34" t="e">
        <f>D20+D27</f>
        <v>#REF!</v>
      </c>
      <c r="E19" s="13"/>
      <c r="F19" s="13"/>
      <c r="G19" s="13"/>
    </row>
    <row r="20" spans="1:7">
      <c r="A20" s="12"/>
      <c r="B20" s="27">
        <v>5.0999999999999996</v>
      </c>
      <c r="C20" s="28" t="s">
        <v>138</v>
      </c>
      <c r="D20" s="34" t="e">
        <f>SUM(D21:D26)</f>
        <v>#REF!</v>
      </c>
      <c r="E20" s="13"/>
      <c r="F20" s="13"/>
      <c r="G20" s="13"/>
    </row>
    <row r="21" spans="1:7">
      <c r="A21" s="12"/>
      <c r="B21" s="27"/>
      <c r="C21" s="30" t="s">
        <v>139</v>
      </c>
      <c r="D21" s="36">
        <v>13</v>
      </c>
      <c r="E21" s="13"/>
      <c r="F21" s="13"/>
      <c r="G21" s="13"/>
    </row>
    <row r="22" spans="1:7">
      <c r="A22" s="12"/>
      <c r="B22" s="27"/>
      <c r="C22" s="30" t="s">
        <v>140</v>
      </c>
      <c r="D22" s="37">
        <v>20</v>
      </c>
      <c r="E22" s="13"/>
      <c r="F22" s="13"/>
      <c r="G22" s="13"/>
    </row>
    <row r="23" spans="1:7">
      <c r="A23" s="12"/>
      <c r="B23" s="27"/>
      <c r="C23" s="30" t="s">
        <v>141</v>
      </c>
      <c r="D23" s="37">
        <v>10</v>
      </c>
      <c r="E23" s="13"/>
      <c r="F23" s="13"/>
      <c r="G23" s="13"/>
    </row>
    <row r="24" spans="1:7">
      <c r="A24" s="12"/>
      <c r="B24" s="27"/>
      <c r="C24" s="30" t="s">
        <v>142</v>
      </c>
      <c r="D24" s="38" t="e">
        <f>D9*3%</f>
        <v>#REF!</v>
      </c>
      <c r="E24" s="13"/>
      <c r="F24" s="13"/>
      <c r="G24" s="13"/>
    </row>
    <row r="25" spans="1:7">
      <c r="A25" s="12"/>
      <c r="B25" s="27"/>
      <c r="C25" s="30" t="s">
        <v>143</v>
      </c>
      <c r="D25" s="38" t="e">
        <f>(D9/(190000+D9))*6000</f>
        <v>#REF!</v>
      </c>
      <c r="E25" s="13"/>
      <c r="F25" s="13"/>
      <c r="G25" s="13"/>
    </row>
    <row r="26" spans="1:7">
      <c r="A26" s="12"/>
      <c r="B26" s="27"/>
      <c r="C26" s="30" t="s">
        <v>144</v>
      </c>
      <c r="D26" s="37">
        <v>0</v>
      </c>
      <c r="E26" s="13"/>
      <c r="F26" s="13"/>
      <c r="G26" s="13"/>
    </row>
    <row r="27" spans="1:7">
      <c r="A27" s="12"/>
      <c r="B27" s="27">
        <v>5.2</v>
      </c>
      <c r="C27" s="28" t="s">
        <v>145</v>
      </c>
      <c r="D27" s="34" t="e">
        <f>(D34-D33)*SUM(D29:D31)*15%/365+(D11-(D34-D33))*D32*15%/365</f>
        <v>#REF!</v>
      </c>
      <c r="E27" s="13"/>
      <c r="F27" s="13"/>
      <c r="G27" s="13"/>
    </row>
    <row r="28" spans="1:7">
      <c r="A28" s="12"/>
      <c r="B28" s="27"/>
      <c r="C28" s="30" t="s">
        <v>146</v>
      </c>
      <c r="D28" s="39">
        <v>7</v>
      </c>
      <c r="E28" s="13"/>
      <c r="F28" s="13"/>
      <c r="G28" s="13"/>
    </row>
    <row r="29" spans="1:7">
      <c r="A29" s="12"/>
      <c r="B29" s="27"/>
      <c r="C29" s="30" t="s">
        <v>147</v>
      </c>
      <c r="D29" s="39">
        <v>1</v>
      </c>
      <c r="E29" s="13"/>
      <c r="F29" s="13"/>
      <c r="G29" s="13"/>
    </row>
    <row r="30" spans="1:7">
      <c r="A30" s="12"/>
      <c r="B30" s="27"/>
      <c r="C30" s="30" t="s">
        <v>148</v>
      </c>
      <c r="D30" s="39">
        <v>1</v>
      </c>
      <c r="E30" s="13"/>
      <c r="F30" s="13"/>
      <c r="G30" s="13"/>
    </row>
    <row r="31" spans="1:7">
      <c r="A31" s="12"/>
      <c r="B31" s="40"/>
      <c r="C31" s="41" t="s">
        <v>149</v>
      </c>
      <c r="D31" s="42">
        <v>20</v>
      </c>
      <c r="E31" s="13"/>
      <c r="F31" s="13"/>
      <c r="G31" s="13"/>
    </row>
    <row r="32" spans="1:7">
      <c r="A32" s="12"/>
      <c r="B32" s="40"/>
      <c r="C32" s="43" t="s">
        <v>150</v>
      </c>
      <c r="D32" s="44">
        <f>SUM(D29:D31)-D28</f>
        <v>15</v>
      </c>
      <c r="E32" s="13"/>
      <c r="F32" s="13"/>
      <c r="G32" s="13"/>
    </row>
    <row r="33" spans="1:7">
      <c r="A33" s="12"/>
      <c r="B33" s="40"/>
      <c r="C33" s="41" t="s">
        <v>151</v>
      </c>
      <c r="D33" s="45" t="e">
        <f>0/tg</f>
        <v>#REF!</v>
      </c>
      <c r="E33" s="13"/>
      <c r="F33" s="13"/>
      <c r="G33" s="13"/>
    </row>
    <row r="34" spans="1:7">
      <c r="A34" s="12"/>
      <c r="B34" s="40"/>
      <c r="C34" s="41" t="s">
        <v>152</v>
      </c>
      <c r="D34" s="45" t="e">
        <f>0/tg</f>
        <v>#REF!</v>
      </c>
      <c r="E34" s="13"/>
      <c r="F34" s="13"/>
      <c r="G34" s="13"/>
    </row>
    <row r="35" spans="1:7">
      <c r="A35" s="12"/>
      <c r="B35" s="27">
        <v>6</v>
      </c>
      <c r="C35" s="28" t="s">
        <v>153</v>
      </c>
      <c r="D35" s="34" t="e">
        <f>D15-D19</f>
        <v>#REF!</v>
      </c>
      <c r="E35" s="13"/>
      <c r="F35" s="13"/>
      <c r="G35" s="13"/>
    </row>
    <row r="36" spans="1:7">
      <c r="A36" s="12"/>
      <c r="B36" s="27"/>
      <c r="C36" s="30"/>
      <c r="D36" s="32"/>
      <c r="E36" s="13"/>
      <c r="F36" s="13"/>
      <c r="G36" s="13"/>
    </row>
    <row r="37" spans="1:7">
      <c r="A37" s="12"/>
      <c r="B37" s="27">
        <v>7</v>
      </c>
      <c r="C37" s="28" t="s">
        <v>154</v>
      </c>
      <c r="D37" s="46" t="e">
        <f>D35/D11</f>
        <v>#REF!</v>
      </c>
      <c r="E37" s="13"/>
      <c r="F37" s="13"/>
      <c r="G37" s="13"/>
    </row>
    <row r="38" spans="1:7">
      <c r="A38" s="12"/>
      <c r="B38" s="47"/>
      <c r="C38" s="48" t="s">
        <v>155</v>
      </c>
      <c r="D38" s="49" t="e">
        <f>D35/D9</f>
        <v>#REF!</v>
      </c>
      <c r="E38" s="13"/>
      <c r="F38" s="13"/>
      <c r="G38" s="13"/>
    </row>
    <row r="39" spans="1:7">
      <c r="A39" s="12"/>
      <c r="B39" s="50"/>
      <c r="C39" s="51"/>
      <c r="D39" s="52"/>
      <c r="E39" s="13"/>
      <c r="F39" s="13"/>
      <c r="G39" s="13"/>
    </row>
    <row r="40" spans="1:7">
      <c r="A40" s="12"/>
      <c r="B40" s="50"/>
      <c r="C40" s="50" t="s">
        <v>156</v>
      </c>
      <c r="D40" s="52" t="s">
        <v>157</v>
      </c>
      <c r="E40" s="13"/>
      <c r="F40" s="13"/>
      <c r="G40" s="13"/>
    </row>
    <row r="41" spans="1:7">
      <c r="A41" s="12"/>
      <c r="B41" s="50"/>
      <c r="C41" s="50"/>
      <c r="D41" s="52"/>
      <c r="E41" s="13"/>
      <c r="F41" s="13"/>
      <c r="G41" s="13"/>
    </row>
    <row r="42" spans="1:7">
      <c r="A42" s="12"/>
      <c r="B42" s="50"/>
      <c r="C42" s="50"/>
      <c r="D42" s="52"/>
      <c r="E42" s="13"/>
      <c r="F42" s="13"/>
      <c r="G42" s="13"/>
    </row>
    <row r="43" spans="1:7">
      <c r="A43" s="12"/>
      <c r="B43" s="50"/>
      <c r="C43" s="50"/>
      <c r="D43" s="52"/>
      <c r="E43" s="13"/>
      <c r="F43" s="13"/>
      <c r="G43" s="13"/>
    </row>
    <row r="44" spans="1:7">
      <c r="A44" s="53" t="s">
        <v>158</v>
      </c>
      <c r="B44" s="12"/>
      <c r="C44" s="12"/>
      <c r="D44" s="12"/>
      <c r="E44" s="13"/>
      <c r="F44" s="13"/>
      <c r="G44" s="13"/>
    </row>
    <row r="45" spans="1:7" s="8" customFormat="1">
      <c r="A45" s="54" t="s">
        <v>159</v>
      </c>
      <c r="C45" s="54"/>
      <c r="D45" s="54"/>
      <c r="E45" s="55"/>
      <c r="F45" s="55"/>
      <c r="G45" s="55"/>
    </row>
    <row r="46" spans="1:7" s="8" customFormat="1">
      <c r="A46" s="54" t="s">
        <v>160</v>
      </c>
      <c r="C46" s="54"/>
      <c r="D46" s="54"/>
      <c r="E46" s="55"/>
      <c r="F46" s="55"/>
      <c r="G46" s="55"/>
    </row>
    <row r="47" spans="1:7" s="8" customFormat="1">
      <c r="A47" s="54" t="s">
        <v>161</v>
      </c>
      <c r="C47" s="54"/>
      <c r="D47" s="54"/>
      <c r="E47" s="55"/>
      <c r="F47" s="55"/>
      <c r="G47" s="55"/>
    </row>
    <row r="48" spans="1:7" s="8" customFormat="1">
      <c r="A48" s="54" t="s">
        <v>162</v>
      </c>
      <c r="C48" s="54"/>
      <c r="D48" s="56"/>
      <c r="E48" s="55"/>
      <c r="F48" s="55"/>
      <c r="G48" s="55"/>
    </row>
    <row r="49" spans="1:7" s="9" customFormat="1">
      <c r="A49" s="57" t="s">
        <v>163</v>
      </c>
      <c r="C49" s="57"/>
      <c r="D49" s="58"/>
      <c r="E49" s="59"/>
      <c r="F49" s="59"/>
      <c r="G49" s="59"/>
    </row>
    <row r="50" spans="1:7" s="9" customFormat="1">
      <c r="A50" s="57" t="s">
        <v>164</v>
      </c>
      <c r="C50" s="57"/>
      <c r="D50" s="58"/>
      <c r="E50" s="59"/>
      <c r="F50" s="59"/>
      <c r="G50" s="59"/>
    </row>
    <row r="51" spans="1:7" s="8" customFormat="1">
      <c r="A51" s="54" t="s">
        <v>165</v>
      </c>
      <c r="C51" s="54"/>
      <c r="D51" s="56"/>
      <c r="E51" s="55"/>
      <c r="F51" s="55"/>
      <c r="G51" s="55"/>
    </row>
    <row r="52" spans="1:7" s="8" customFormat="1">
      <c r="A52" s="54" t="s">
        <v>166</v>
      </c>
      <c r="C52" s="54"/>
      <c r="D52" s="56"/>
      <c r="E52" s="55"/>
      <c r="F52" s="55"/>
      <c r="G52" s="55"/>
    </row>
    <row r="53" spans="1:7" s="8" customFormat="1">
      <c r="A53" s="54" t="s">
        <v>167</v>
      </c>
      <c r="C53" s="54"/>
      <c r="D53" s="56"/>
      <c r="E53" s="55"/>
      <c r="F53" s="55"/>
      <c r="G53" s="55"/>
    </row>
    <row r="54" spans="1:7" s="8" customFormat="1">
      <c r="A54" s="54" t="s">
        <v>168</v>
      </c>
      <c r="C54" s="54"/>
      <c r="D54" s="54"/>
      <c r="E54" s="55"/>
      <c r="F54" s="55"/>
      <c r="G54" s="55"/>
    </row>
    <row r="55" spans="1:7" s="8" customFormat="1">
      <c r="A55" s="54" t="s">
        <v>169</v>
      </c>
      <c r="C55" s="54"/>
      <c r="D55" s="60"/>
      <c r="E55" s="55"/>
      <c r="F55" s="55"/>
      <c r="G55" s="55"/>
    </row>
    <row r="56" spans="1:7" s="8" customFormat="1">
      <c r="A56" s="54" t="s">
        <v>170</v>
      </c>
      <c r="C56" s="54"/>
      <c r="D56" s="54"/>
      <c r="E56" s="55"/>
      <c r="F56" s="55"/>
      <c r="G56" s="55"/>
    </row>
    <row r="57" spans="1:7">
      <c r="A57" s="12" t="s">
        <v>171</v>
      </c>
      <c r="B57" s="12"/>
      <c r="C57" s="12"/>
      <c r="D57" s="12"/>
      <c r="E57" s="13"/>
      <c r="F57" s="13"/>
      <c r="G57" s="13"/>
    </row>
    <row r="58" spans="1:7">
      <c r="A58" s="12" t="s">
        <v>172</v>
      </c>
      <c r="B58" s="12"/>
      <c r="C58" s="12"/>
      <c r="D58" s="61"/>
      <c r="E58" s="13"/>
      <c r="F58" s="13"/>
      <c r="G58" s="13"/>
    </row>
    <row r="59" spans="1:7">
      <c r="A59" s="12" t="s">
        <v>173</v>
      </c>
      <c r="B59" s="12"/>
      <c r="C59" s="12"/>
      <c r="D59" s="61"/>
      <c r="E59" s="13"/>
      <c r="F59" s="13"/>
      <c r="G59" s="13"/>
    </row>
    <row r="60" spans="1:7">
      <c r="A60" s="12" t="s">
        <v>174</v>
      </c>
      <c r="B60" s="12"/>
      <c r="C60" s="12"/>
      <c r="D60" s="12"/>
      <c r="E60" s="13"/>
      <c r="F60" s="13"/>
      <c r="G60" s="13"/>
    </row>
    <row r="61" spans="1:7">
      <c r="D61" s="62"/>
    </row>
    <row r="63" spans="1:7">
      <c r="D63" s="63"/>
    </row>
    <row r="65" spans="4:4">
      <c r="D65" s="64"/>
    </row>
    <row r="67" spans="4:4">
      <c r="D67" s="64"/>
    </row>
    <row r="72" spans="4:4">
      <c r="D72" s="65"/>
    </row>
    <row r="74" spans="4:4">
      <c r="D74" s="65"/>
    </row>
    <row r="76" spans="4:4">
      <c r="D76" s="64"/>
    </row>
  </sheetData>
  <mergeCells count="1">
    <mergeCell ref="B1:D1"/>
  </mergeCells>
  <printOptions horizontalCentered="1"/>
  <pageMargins left="0.41875000000000001" right="0.33888888888888902" top="0.30902777777777801" bottom="0.33888888888888902" header="0.21875" footer="0.25"/>
  <pageSetup paperSize="9" scale="80" orientation="portrait"/>
  <headerFooter alignWithMargins="0"/>
  <rowBreaks count="1" manualBreakCount="1">
    <brk id="60" max="4" man="1"/>
  </rowBreak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"/>
  <sheetViews>
    <sheetView workbookViewId="0">
      <selection activeCell="A2" sqref="A2"/>
    </sheetView>
  </sheetViews>
  <sheetFormatPr defaultColWidth="9.09765625" defaultRowHeight="12.5"/>
  <cols>
    <col min="1" max="1" width="19" style="1" customWidth="1"/>
    <col min="2" max="2" width="12" style="1" customWidth="1"/>
    <col min="3" max="3" width="17" style="1" customWidth="1"/>
    <col min="4" max="4" width="32" style="1" customWidth="1"/>
    <col min="5" max="5" width="10.69921875" style="1" customWidth="1"/>
    <col min="6" max="6" width="32" style="1" customWidth="1"/>
    <col min="7" max="7" width="12.296875" style="1" customWidth="1"/>
    <col min="8" max="8" width="17.3984375" style="1" customWidth="1"/>
    <col min="9" max="16384" width="9.09765625" style="1"/>
  </cols>
  <sheetData>
    <row r="1" spans="1:8" ht="14">
      <c r="A1" s="2" t="s">
        <v>175</v>
      </c>
      <c r="B1" s="3" t="s">
        <v>176</v>
      </c>
      <c r="C1" s="3" t="s">
        <v>177</v>
      </c>
      <c r="D1" s="3" t="s">
        <v>178</v>
      </c>
      <c r="E1" s="3" t="s">
        <v>179</v>
      </c>
      <c r="F1" s="3" t="s">
        <v>180</v>
      </c>
      <c r="G1" s="3" t="s">
        <v>181</v>
      </c>
      <c r="H1" s="3" t="s">
        <v>182</v>
      </c>
    </row>
    <row r="2" spans="1:8" ht="13">
      <c r="A2" s="4">
        <f>SUM(CL)</f>
        <v>0</v>
      </c>
      <c r="B2" s="5">
        <f>SUM(TTIEN_NHAP)</f>
        <v>0</v>
      </c>
      <c r="C2" s="5">
        <f>SUM(TTIEN_NHAP_VAT)</f>
        <v>0</v>
      </c>
      <c r="D2" s="5">
        <f>SUM(CHIPHITHUE_dauvao)</f>
        <v>0</v>
      </c>
      <c r="E2" s="5">
        <f>SUM(TTIEN_BAN)</f>
        <v>0</v>
      </c>
      <c r="F2" s="5">
        <f>SUM(CHIPHITHUE_daura)</f>
        <v>0</v>
      </c>
      <c r="G2" s="5">
        <f>SUM(TTIEN_HDON)</f>
        <v>0</v>
      </c>
      <c r="H2" s="5">
        <f>SUM(TTIEN_HDON_VAT)</f>
        <v>0</v>
      </c>
    </row>
    <row r="3" spans="1:8" ht="14">
      <c r="A3" s="6">
        <f t="shared" ref="A3:A34" si="0">IF(ISERROR(TTIEN_HDON-TTIEN_BAN),0,TTIEN_HDON-TTIEN_BAN)</f>
        <v>0</v>
      </c>
      <c r="B3" s="7">
        <f t="shared" ref="B3:B34" si="1">IF(ISERROR(IF(GIA_NHAP="",IF(GIA_1="",GIA_2*SL,GIA_1*SL),GIA_NHAP*SL)),0,IF(GIA_NHAP="",IF(GIA_1="",GIA_2*SL,GIA_1*SL),GIA_NHAP*SL))</f>
        <v>0</v>
      </c>
      <c r="C3" s="7">
        <f t="shared" ref="C3:C34" si="2">IF(ISERROR(TTIEN_NHAP*(1+VAT_dauvao)),TTIEN_NHAP,TTIEN_NHAP*(1+VAT_dauvao))</f>
        <v>0</v>
      </c>
      <c r="D3" s="7">
        <f t="shared" ref="D3:D34" si="3">IF(ISERROR(IF(AND(VAT_dauvao="K",VAT_daura&lt;&gt;"K"),TTIEN_NHAP*25%,0)),0,IF(AND(VAT_dauvao="K",VAT_daura&lt;&gt;"K"),TTIEN_NHAP*25%,0))</f>
        <v>0</v>
      </c>
      <c r="E3" s="7">
        <f t="shared" ref="E3:E34" si="4">IF(ISERROR(IF(GIA_1="",IF(GIA_2="",GIA_NHAP*SL,GIA_2*SL),GIA_1*SL)),0,IF(GIA_1="",IF(GIA_2="",GIA_NHAP*SL,GIA_2*SL),GIA_1*SL))</f>
        <v>0</v>
      </c>
      <c r="F3" s="7">
        <f t="shared" ref="F3:F34" si="5">IF(ISERROR(IF(VAT_daura="K",TTIEN_NHAP*VAT_dauvao,0)),0,IF(VAT_daura="K",TTIEN_NHAP*VAT_dauvao,0))</f>
        <v>0</v>
      </c>
      <c r="G3" s="7">
        <f t="shared" ref="G3:G34" si="6">IF(ISERROR(IF(GIA_2="",IF(GIA_1="",GIA_NHAP*SL,GIA_1*SL),GIA_2*SL)),0,IF(GIA_2="",IF(GIA_1="",GIA_NHAP*SL,GIA_1*SL),GIA_2*SL))</f>
        <v>0</v>
      </c>
      <c r="H3" s="7">
        <f t="shared" ref="H3:H34" si="7">IF(ISERROR(TTIEN_HDON*(1+VAT_daura)),TTIEN_HDON,TTIEN_HDON*(1+VAT_daura))</f>
        <v>0</v>
      </c>
    </row>
    <row r="4" spans="1:8" ht="14">
      <c r="A4" s="6">
        <f t="shared" si="0"/>
        <v>0</v>
      </c>
      <c r="B4" s="7">
        <f t="shared" si="1"/>
        <v>0</v>
      </c>
      <c r="C4" s="7">
        <f t="shared" si="2"/>
        <v>0</v>
      </c>
      <c r="D4" s="7">
        <f t="shared" si="3"/>
        <v>0</v>
      </c>
      <c r="E4" s="7">
        <f t="shared" si="4"/>
        <v>0</v>
      </c>
      <c r="F4" s="7">
        <f t="shared" si="5"/>
        <v>0</v>
      </c>
      <c r="G4" s="7">
        <f t="shared" si="6"/>
        <v>0</v>
      </c>
      <c r="H4" s="7">
        <f t="shared" si="7"/>
        <v>0</v>
      </c>
    </row>
    <row r="5" spans="1:8" ht="14">
      <c r="A5" s="6">
        <f t="shared" si="0"/>
        <v>0</v>
      </c>
      <c r="B5" s="7">
        <f t="shared" si="1"/>
        <v>0</v>
      </c>
      <c r="C5" s="7">
        <f t="shared" si="2"/>
        <v>0</v>
      </c>
      <c r="D5" s="7">
        <f t="shared" si="3"/>
        <v>0</v>
      </c>
      <c r="E5" s="7">
        <f t="shared" si="4"/>
        <v>0</v>
      </c>
      <c r="F5" s="7">
        <f t="shared" si="5"/>
        <v>0</v>
      </c>
      <c r="G5" s="7">
        <f t="shared" si="6"/>
        <v>0</v>
      </c>
      <c r="H5" s="7">
        <f t="shared" si="7"/>
        <v>0</v>
      </c>
    </row>
    <row r="6" spans="1:8" ht="14">
      <c r="A6" s="6">
        <f t="shared" si="0"/>
        <v>0</v>
      </c>
      <c r="B6" s="7">
        <f t="shared" si="1"/>
        <v>0</v>
      </c>
      <c r="C6" s="7">
        <f t="shared" si="2"/>
        <v>0</v>
      </c>
      <c r="D6" s="7">
        <f t="shared" si="3"/>
        <v>0</v>
      </c>
      <c r="E6" s="7">
        <f t="shared" si="4"/>
        <v>0</v>
      </c>
      <c r="F6" s="7">
        <f t="shared" si="5"/>
        <v>0</v>
      </c>
      <c r="G6" s="7">
        <f t="shared" si="6"/>
        <v>0</v>
      </c>
      <c r="H6" s="7">
        <f t="shared" si="7"/>
        <v>0</v>
      </c>
    </row>
    <row r="7" spans="1:8" ht="14">
      <c r="A7" s="6">
        <f t="shared" si="0"/>
        <v>0</v>
      </c>
      <c r="B7" s="7">
        <f t="shared" si="1"/>
        <v>0</v>
      </c>
      <c r="C7" s="7">
        <f t="shared" si="2"/>
        <v>0</v>
      </c>
      <c r="D7" s="7">
        <f t="shared" si="3"/>
        <v>0</v>
      </c>
      <c r="E7" s="7">
        <f t="shared" si="4"/>
        <v>0</v>
      </c>
      <c r="F7" s="7">
        <f t="shared" si="5"/>
        <v>0</v>
      </c>
      <c r="G7" s="7">
        <f t="shared" si="6"/>
        <v>0</v>
      </c>
      <c r="H7" s="7">
        <f t="shared" si="7"/>
        <v>0</v>
      </c>
    </row>
    <row r="8" spans="1:8" ht="14">
      <c r="A8" s="6">
        <f t="shared" si="0"/>
        <v>0</v>
      </c>
      <c r="B8" s="7">
        <f t="shared" si="1"/>
        <v>0</v>
      </c>
      <c r="C8" s="7">
        <f t="shared" si="2"/>
        <v>0</v>
      </c>
      <c r="D8" s="7">
        <f t="shared" si="3"/>
        <v>0</v>
      </c>
      <c r="E8" s="7">
        <f t="shared" si="4"/>
        <v>0</v>
      </c>
      <c r="F8" s="7">
        <f t="shared" si="5"/>
        <v>0</v>
      </c>
      <c r="G8" s="7">
        <f t="shared" si="6"/>
        <v>0</v>
      </c>
      <c r="H8" s="7">
        <f t="shared" si="7"/>
        <v>0</v>
      </c>
    </row>
    <row r="9" spans="1:8" ht="14">
      <c r="A9" s="6">
        <f t="shared" si="0"/>
        <v>0</v>
      </c>
      <c r="B9" s="7">
        <f t="shared" si="1"/>
        <v>0</v>
      </c>
      <c r="C9" s="7">
        <f t="shared" si="2"/>
        <v>0</v>
      </c>
      <c r="D9" s="7">
        <f t="shared" si="3"/>
        <v>0</v>
      </c>
      <c r="E9" s="7">
        <f t="shared" si="4"/>
        <v>0</v>
      </c>
      <c r="F9" s="7">
        <f t="shared" si="5"/>
        <v>0</v>
      </c>
      <c r="G9" s="7">
        <f t="shared" si="6"/>
        <v>0</v>
      </c>
      <c r="H9" s="7">
        <f t="shared" si="7"/>
        <v>0</v>
      </c>
    </row>
    <row r="10" spans="1:8" ht="14">
      <c r="A10" s="6">
        <f t="shared" si="0"/>
        <v>0</v>
      </c>
      <c r="B10" s="7">
        <f t="shared" si="1"/>
        <v>0</v>
      </c>
      <c r="C10" s="7">
        <f t="shared" si="2"/>
        <v>0</v>
      </c>
      <c r="D10" s="7">
        <f t="shared" si="3"/>
        <v>0</v>
      </c>
      <c r="E10" s="7">
        <f t="shared" si="4"/>
        <v>0</v>
      </c>
      <c r="F10" s="7">
        <f t="shared" si="5"/>
        <v>0</v>
      </c>
      <c r="G10" s="7">
        <f t="shared" si="6"/>
        <v>0</v>
      </c>
      <c r="H10" s="7">
        <f t="shared" si="7"/>
        <v>0</v>
      </c>
    </row>
    <row r="11" spans="1:8" ht="14">
      <c r="A11" s="6">
        <f t="shared" si="0"/>
        <v>0</v>
      </c>
      <c r="B11" s="7">
        <f t="shared" si="1"/>
        <v>0</v>
      </c>
      <c r="C11" s="7">
        <f t="shared" si="2"/>
        <v>0</v>
      </c>
      <c r="D11" s="7">
        <f t="shared" si="3"/>
        <v>0</v>
      </c>
      <c r="E11" s="7">
        <f t="shared" si="4"/>
        <v>0</v>
      </c>
      <c r="F11" s="7">
        <f t="shared" si="5"/>
        <v>0</v>
      </c>
      <c r="G11" s="7">
        <f t="shared" si="6"/>
        <v>0</v>
      </c>
      <c r="H11" s="7">
        <f t="shared" si="7"/>
        <v>0</v>
      </c>
    </row>
    <row r="12" spans="1:8" ht="14">
      <c r="A12" s="6">
        <f t="shared" si="0"/>
        <v>0</v>
      </c>
      <c r="B12" s="7">
        <f t="shared" si="1"/>
        <v>0</v>
      </c>
      <c r="C12" s="7">
        <f t="shared" si="2"/>
        <v>0</v>
      </c>
      <c r="D12" s="7">
        <f t="shared" si="3"/>
        <v>0</v>
      </c>
      <c r="E12" s="7">
        <f t="shared" si="4"/>
        <v>0</v>
      </c>
      <c r="F12" s="7">
        <f t="shared" si="5"/>
        <v>0</v>
      </c>
      <c r="G12" s="7">
        <f t="shared" si="6"/>
        <v>0</v>
      </c>
      <c r="H12" s="7">
        <f t="shared" si="7"/>
        <v>0</v>
      </c>
    </row>
    <row r="13" spans="1:8" ht="14">
      <c r="A13" s="6">
        <f t="shared" si="0"/>
        <v>0</v>
      </c>
      <c r="B13" s="7">
        <f t="shared" si="1"/>
        <v>0</v>
      </c>
      <c r="C13" s="7">
        <f t="shared" si="2"/>
        <v>0</v>
      </c>
      <c r="D13" s="7">
        <f t="shared" si="3"/>
        <v>0</v>
      </c>
      <c r="E13" s="7">
        <f t="shared" si="4"/>
        <v>0</v>
      </c>
      <c r="F13" s="7">
        <f t="shared" si="5"/>
        <v>0</v>
      </c>
      <c r="G13" s="7">
        <f t="shared" si="6"/>
        <v>0</v>
      </c>
      <c r="H13" s="7">
        <f t="shared" si="7"/>
        <v>0</v>
      </c>
    </row>
    <row r="14" spans="1:8" ht="14">
      <c r="A14" s="6">
        <f t="shared" si="0"/>
        <v>0</v>
      </c>
      <c r="B14" s="7">
        <f t="shared" si="1"/>
        <v>0</v>
      </c>
      <c r="C14" s="7">
        <f t="shared" si="2"/>
        <v>0</v>
      </c>
      <c r="D14" s="7">
        <f t="shared" si="3"/>
        <v>0</v>
      </c>
      <c r="E14" s="7">
        <f t="shared" si="4"/>
        <v>0</v>
      </c>
      <c r="F14" s="7">
        <f t="shared" si="5"/>
        <v>0</v>
      </c>
      <c r="G14" s="7">
        <f t="shared" si="6"/>
        <v>0</v>
      </c>
      <c r="H14" s="7">
        <f t="shared" si="7"/>
        <v>0</v>
      </c>
    </row>
    <row r="15" spans="1:8" ht="14">
      <c r="A15" s="6">
        <f t="shared" si="0"/>
        <v>0</v>
      </c>
      <c r="B15" s="7">
        <f t="shared" si="1"/>
        <v>0</v>
      </c>
      <c r="C15" s="7">
        <f t="shared" si="2"/>
        <v>0</v>
      </c>
      <c r="D15" s="7">
        <f t="shared" si="3"/>
        <v>0</v>
      </c>
      <c r="E15" s="7">
        <f t="shared" si="4"/>
        <v>0</v>
      </c>
      <c r="F15" s="7">
        <f t="shared" si="5"/>
        <v>0</v>
      </c>
      <c r="G15" s="7">
        <f t="shared" si="6"/>
        <v>0</v>
      </c>
      <c r="H15" s="7">
        <f t="shared" si="7"/>
        <v>0</v>
      </c>
    </row>
    <row r="16" spans="1:8" ht="14">
      <c r="A16" s="6">
        <f t="shared" si="0"/>
        <v>0</v>
      </c>
      <c r="B16" s="7">
        <f t="shared" si="1"/>
        <v>0</v>
      </c>
      <c r="C16" s="7">
        <f t="shared" si="2"/>
        <v>0</v>
      </c>
      <c r="D16" s="7">
        <f t="shared" si="3"/>
        <v>0</v>
      </c>
      <c r="E16" s="7">
        <f t="shared" si="4"/>
        <v>0</v>
      </c>
      <c r="F16" s="7">
        <f t="shared" si="5"/>
        <v>0</v>
      </c>
      <c r="G16" s="7">
        <f t="shared" si="6"/>
        <v>0</v>
      </c>
      <c r="H16" s="7">
        <f t="shared" si="7"/>
        <v>0</v>
      </c>
    </row>
    <row r="17" spans="1:8" ht="14">
      <c r="A17" s="6">
        <f t="shared" si="0"/>
        <v>0</v>
      </c>
      <c r="B17" s="7">
        <f t="shared" si="1"/>
        <v>0</v>
      </c>
      <c r="C17" s="7">
        <f t="shared" si="2"/>
        <v>0</v>
      </c>
      <c r="D17" s="7">
        <f t="shared" si="3"/>
        <v>0</v>
      </c>
      <c r="E17" s="7">
        <f t="shared" si="4"/>
        <v>0</v>
      </c>
      <c r="F17" s="7">
        <f t="shared" si="5"/>
        <v>0</v>
      </c>
      <c r="G17" s="7">
        <f t="shared" si="6"/>
        <v>0</v>
      </c>
      <c r="H17" s="7">
        <f t="shared" si="7"/>
        <v>0</v>
      </c>
    </row>
    <row r="18" spans="1:8" ht="14">
      <c r="A18" s="6">
        <f t="shared" si="0"/>
        <v>0</v>
      </c>
      <c r="B18" s="7">
        <f t="shared" si="1"/>
        <v>0</v>
      </c>
      <c r="C18" s="7">
        <f t="shared" si="2"/>
        <v>0</v>
      </c>
      <c r="D18" s="7">
        <f t="shared" si="3"/>
        <v>0</v>
      </c>
      <c r="E18" s="7">
        <f t="shared" si="4"/>
        <v>0</v>
      </c>
      <c r="F18" s="7">
        <f t="shared" si="5"/>
        <v>0</v>
      </c>
      <c r="G18" s="7">
        <f t="shared" si="6"/>
        <v>0</v>
      </c>
      <c r="H18" s="7">
        <f t="shared" si="7"/>
        <v>0</v>
      </c>
    </row>
    <row r="19" spans="1:8" ht="14">
      <c r="A19" s="6">
        <f t="shared" si="0"/>
        <v>0</v>
      </c>
      <c r="B19" s="7">
        <f t="shared" si="1"/>
        <v>0</v>
      </c>
      <c r="C19" s="7">
        <f t="shared" si="2"/>
        <v>0</v>
      </c>
      <c r="D19" s="7">
        <f t="shared" si="3"/>
        <v>0</v>
      </c>
      <c r="E19" s="7">
        <f t="shared" si="4"/>
        <v>0</v>
      </c>
      <c r="F19" s="7">
        <f t="shared" si="5"/>
        <v>0</v>
      </c>
      <c r="G19" s="7">
        <f t="shared" si="6"/>
        <v>0</v>
      </c>
      <c r="H19" s="7">
        <f t="shared" si="7"/>
        <v>0</v>
      </c>
    </row>
    <row r="20" spans="1:8" ht="14">
      <c r="A20" s="6">
        <f t="shared" si="0"/>
        <v>0</v>
      </c>
      <c r="B20" s="7">
        <f t="shared" si="1"/>
        <v>0</v>
      </c>
      <c r="C20" s="7">
        <f t="shared" si="2"/>
        <v>0</v>
      </c>
      <c r="D20" s="7">
        <f t="shared" si="3"/>
        <v>0</v>
      </c>
      <c r="E20" s="7">
        <f t="shared" si="4"/>
        <v>0</v>
      </c>
      <c r="F20" s="7">
        <f t="shared" si="5"/>
        <v>0</v>
      </c>
      <c r="G20" s="7">
        <f t="shared" si="6"/>
        <v>0</v>
      </c>
      <c r="H20" s="7">
        <f t="shared" si="7"/>
        <v>0</v>
      </c>
    </row>
    <row r="21" spans="1:8" ht="14">
      <c r="A21" s="6">
        <f t="shared" si="0"/>
        <v>0</v>
      </c>
      <c r="B21" s="7">
        <f t="shared" si="1"/>
        <v>0</v>
      </c>
      <c r="C21" s="7">
        <f t="shared" si="2"/>
        <v>0</v>
      </c>
      <c r="D21" s="7">
        <f t="shared" si="3"/>
        <v>0</v>
      </c>
      <c r="E21" s="7">
        <f t="shared" si="4"/>
        <v>0</v>
      </c>
      <c r="F21" s="7">
        <f t="shared" si="5"/>
        <v>0</v>
      </c>
      <c r="G21" s="7">
        <f t="shared" si="6"/>
        <v>0</v>
      </c>
      <c r="H21" s="7">
        <f t="shared" si="7"/>
        <v>0</v>
      </c>
    </row>
    <row r="22" spans="1:8" ht="14">
      <c r="A22" s="6">
        <f t="shared" si="0"/>
        <v>0</v>
      </c>
      <c r="B22" s="7">
        <f t="shared" si="1"/>
        <v>0</v>
      </c>
      <c r="C22" s="7">
        <f t="shared" si="2"/>
        <v>0</v>
      </c>
      <c r="D22" s="7">
        <f t="shared" si="3"/>
        <v>0</v>
      </c>
      <c r="E22" s="7">
        <f t="shared" si="4"/>
        <v>0</v>
      </c>
      <c r="F22" s="7">
        <f t="shared" si="5"/>
        <v>0</v>
      </c>
      <c r="G22" s="7">
        <f t="shared" si="6"/>
        <v>0</v>
      </c>
      <c r="H22" s="7">
        <f t="shared" si="7"/>
        <v>0</v>
      </c>
    </row>
    <row r="23" spans="1:8" ht="14">
      <c r="A23" s="6">
        <f t="shared" si="0"/>
        <v>0</v>
      </c>
      <c r="B23" s="7">
        <f t="shared" si="1"/>
        <v>0</v>
      </c>
      <c r="C23" s="7">
        <f t="shared" si="2"/>
        <v>0</v>
      </c>
      <c r="D23" s="7">
        <f t="shared" si="3"/>
        <v>0</v>
      </c>
      <c r="E23" s="7">
        <f t="shared" si="4"/>
        <v>0</v>
      </c>
      <c r="F23" s="7">
        <f t="shared" si="5"/>
        <v>0</v>
      </c>
      <c r="G23" s="7">
        <f t="shared" si="6"/>
        <v>0</v>
      </c>
      <c r="H23" s="7">
        <f t="shared" si="7"/>
        <v>0</v>
      </c>
    </row>
    <row r="24" spans="1:8" ht="14">
      <c r="A24" s="6">
        <f t="shared" si="0"/>
        <v>0</v>
      </c>
      <c r="B24" s="7">
        <f t="shared" si="1"/>
        <v>0</v>
      </c>
      <c r="C24" s="7">
        <f t="shared" si="2"/>
        <v>0</v>
      </c>
      <c r="D24" s="7">
        <f t="shared" si="3"/>
        <v>0</v>
      </c>
      <c r="E24" s="7">
        <f t="shared" si="4"/>
        <v>0</v>
      </c>
      <c r="F24" s="7">
        <f t="shared" si="5"/>
        <v>0</v>
      </c>
      <c r="G24" s="7">
        <f t="shared" si="6"/>
        <v>0</v>
      </c>
      <c r="H24" s="7">
        <f t="shared" si="7"/>
        <v>0</v>
      </c>
    </row>
    <row r="25" spans="1:8" ht="14">
      <c r="A25" s="6">
        <f t="shared" si="0"/>
        <v>0</v>
      </c>
      <c r="B25" s="7">
        <f t="shared" si="1"/>
        <v>0</v>
      </c>
      <c r="C25" s="7">
        <f t="shared" si="2"/>
        <v>0</v>
      </c>
      <c r="D25" s="7">
        <f t="shared" si="3"/>
        <v>0</v>
      </c>
      <c r="E25" s="7">
        <f t="shared" si="4"/>
        <v>0</v>
      </c>
      <c r="F25" s="7">
        <f t="shared" si="5"/>
        <v>0</v>
      </c>
      <c r="G25" s="7">
        <f t="shared" si="6"/>
        <v>0</v>
      </c>
      <c r="H25" s="7">
        <f t="shared" si="7"/>
        <v>0</v>
      </c>
    </row>
    <row r="26" spans="1:8" ht="14">
      <c r="A26" s="6">
        <f t="shared" si="0"/>
        <v>0</v>
      </c>
      <c r="B26" s="7">
        <f t="shared" si="1"/>
        <v>0</v>
      </c>
      <c r="C26" s="7">
        <f t="shared" si="2"/>
        <v>0</v>
      </c>
      <c r="D26" s="7">
        <f t="shared" si="3"/>
        <v>0</v>
      </c>
      <c r="E26" s="7">
        <f t="shared" si="4"/>
        <v>0</v>
      </c>
      <c r="F26" s="7">
        <f t="shared" si="5"/>
        <v>0</v>
      </c>
      <c r="G26" s="7">
        <f t="shared" si="6"/>
        <v>0</v>
      </c>
      <c r="H26" s="7">
        <f t="shared" si="7"/>
        <v>0</v>
      </c>
    </row>
    <row r="27" spans="1:8" ht="14">
      <c r="A27" s="6">
        <f t="shared" si="0"/>
        <v>0</v>
      </c>
      <c r="B27" s="7">
        <f t="shared" si="1"/>
        <v>0</v>
      </c>
      <c r="C27" s="7">
        <f t="shared" si="2"/>
        <v>0</v>
      </c>
      <c r="D27" s="7">
        <f t="shared" si="3"/>
        <v>0</v>
      </c>
      <c r="E27" s="7">
        <f t="shared" si="4"/>
        <v>0</v>
      </c>
      <c r="F27" s="7">
        <f t="shared" si="5"/>
        <v>0</v>
      </c>
      <c r="G27" s="7">
        <f t="shared" si="6"/>
        <v>0</v>
      </c>
      <c r="H27" s="7">
        <f t="shared" si="7"/>
        <v>0</v>
      </c>
    </row>
    <row r="28" spans="1:8" ht="14">
      <c r="A28" s="6">
        <f t="shared" si="0"/>
        <v>0</v>
      </c>
      <c r="B28" s="7">
        <f t="shared" si="1"/>
        <v>0</v>
      </c>
      <c r="C28" s="7">
        <f t="shared" si="2"/>
        <v>0</v>
      </c>
      <c r="D28" s="7">
        <f t="shared" si="3"/>
        <v>0</v>
      </c>
      <c r="E28" s="7">
        <f t="shared" si="4"/>
        <v>0</v>
      </c>
      <c r="F28" s="7">
        <f t="shared" si="5"/>
        <v>0</v>
      </c>
      <c r="G28" s="7">
        <f t="shared" si="6"/>
        <v>0</v>
      </c>
      <c r="H28" s="7">
        <f t="shared" si="7"/>
        <v>0</v>
      </c>
    </row>
    <row r="29" spans="1:8" ht="14">
      <c r="A29" s="6">
        <f t="shared" si="0"/>
        <v>0</v>
      </c>
      <c r="B29" s="7">
        <f t="shared" si="1"/>
        <v>0</v>
      </c>
      <c r="C29" s="7">
        <f t="shared" si="2"/>
        <v>0</v>
      </c>
      <c r="D29" s="7">
        <f t="shared" si="3"/>
        <v>0</v>
      </c>
      <c r="E29" s="7">
        <f t="shared" si="4"/>
        <v>0</v>
      </c>
      <c r="F29" s="7">
        <f t="shared" si="5"/>
        <v>0</v>
      </c>
      <c r="G29" s="7">
        <f t="shared" si="6"/>
        <v>0</v>
      </c>
      <c r="H29" s="7">
        <f t="shared" si="7"/>
        <v>0</v>
      </c>
    </row>
    <row r="30" spans="1:8" ht="14">
      <c r="A30" s="6">
        <f t="shared" si="0"/>
        <v>0</v>
      </c>
      <c r="B30" s="7">
        <f t="shared" si="1"/>
        <v>0</v>
      </c>
      <c r="C30" s="7">
        <f t="shared" si="2"/>
        <v>0</v>
      </c>
      <c r="D30" s="7">
        <f t="shared" si="3"/>
        <v>0</v>
      </c>
      <c r="E30" s="7">
        <f t="shared" si="4"/>
        <v>0</v>
      </c>
      <c r="F30" s="7">
        <f t="shared" si="5"/>
        <v>0</v>
      </c>
      <c r="G30" s="7">
        <f t="shared" si="6"/>
        <v>0</v>
      </c>
      <c r="H30" s="7">
        <f t="shared" si="7"/>
        <v>0</v>
      </c>
    </row>
    <row r="31" spans="1:8" ht="14">
      <c r="A31" s="6">
        <f t="shared" si="0"/>
        <v>0</v>
      </c>
      <c r="B31" s="7">
        <f t="shared" si="1"/>
        <v>0</v>
      </c>
      <c r="C31" s="7">
        <f t="shared" si="2"/>
        <v>0</v>
      </c>
      <c r="D31" s="7">
        <f t="shared" si="3"/>
        <v>0</v>
      </c>
      <c r="E31" s="7">
        <f t="shared" si="4"/>
        <v>0</v>
      </c>
      <c r="F31" s="7">
        <f t="shared" si="5"/>
        <v>0</v>
      </c>
      <c r="G31" s="7">
        <f t="shared" si="6"/>
        <v>0</v>
      </c>
      <c r="H31" s="7">
        <f t="shared" si="7"/>
        <v>0</v>
      </c>
    </row>
    <row r="32" spans="1:8" ht="14">
      <c r="A32" s="6">
        <f t="shared" si="0"/>
        <v>0</v>
      </c>
      <c r="B32" s="7">
        <f t="shared" si="1"/>
        <v>0</v>
      </c>
      <c r="C32" s="7">
        <f t="shared" si="2"/>
        <v>0</v>
      </c>
      <c r="D32" s="7">
        <f t="shared" si="3"/>
        <v>0</v>
      </c>
      <c r="E32" s="7">
        <f t="shared" si="4"/>
        <v>0</v>
      </c>
      <c r="F32" s="7">
        <f t="shared" si="5"/>
        <v>0</v>
      </c>
      <c r="G32" s="7">
        <f t="shared" si="6"/>
        <v>0</v>
      </c>
      <c r="H32" s="7">
        <f t="shared" si="7"/>
        <v>0</v>
      </c>
    </row>
    <row r="33" spans="1:8" ht="14">
      <c r="A33" s="6">
        <f t="shared" si="0"/>
        <v>0</v>
      </c>
      <c r="B33" s="7">
        <f t="shared" si="1"/>
        <v>0</v>
      </c>
      <c r="C33" s="7">
        <f t="shared" si="2"/>
        <v>0</v>
      </c>
      <c r="D33" s="7">
        <f t="shared" si="3"/>
        <v>0</v>
      </c>
      <c r="E33" s="7">
        <f t="shared" si="4"/>
        <v>0</v>
      </c>
      <c r="F33" s="7">
        <f t="shared" si="5"/>
        <v>0</v>
      </c>
      <c r="G33" s="7">
        <f t="shared" si="6"/>
        <v>0</v>
      </c>
      <c r="H33" s="7">
        <f t="shared" si="7"/>
        <v>0</v>
      </c>
    </row>
    <row r="34" spans="1:8" ht="14">
      <c r="A34" s="6">
        <f t="shared" si="0"/>
        <v>0</v>
      </c>
      <c r="B34" s="7">
        <f t="shared" si="1"/>
        <v>0</v>
      </c>
      <c r="C34" s="7">
        <f t="shared" si="2"/>
        <v>0</v>
      </c>
      <c r="D34" s="7">
        <f t="shared" si="3"/>
        <v>0</v>
      </c>
      <c r="E34" s="7">
        <f t="shared" si="4"/>
        <v>0</v>
      </c>
      <c r="F34" s="7">
        <f t="shared" si="5"/>
        <v>0</v>
      </c>
      <c r="G34" s="7">
        <f t="shared" si="6"/>
        <v>0</v>
      </c>
      <c r="H34" s="7">
        <f t="shared" si="7"/>
        <v>0</v>
      </c>
    </row>
    <row r="35" spans="1:8" ht="14">
      <c r="A35" s="6">
        <f t="shared" ref="A35:A66" si="8">IF(ISERROR(TTIEN_HDON-TTIEN_BAN),0,TTIEN_HDON-TTIEN_BAN)</f>
        <v>0</v>
      </c>
      <c r="B35" s="7">
        <f t="shared" ref="B35:B66" si="9">IF(ISERROR(IF(GIA_NHAP="",IF(GIA_1="",GIA_2*SL,GIA_1*SL),GIA_NHAP*SL)),0,IF(GIA_NHAP="",IF(GIA_1="",GIA_2*SL,GIA_1*SL),GIA_NHAP*SL))</f>
        <v>0</v>
      </c>
      <c r="C35" s="7">
        <f t="shared" ref="C35:C66" si="10">IF(ISERROR(TTIEN_NHAP*(1+VAT_dauvao)),TTIEN_NHAP,TTIEN_NHAP*(1+VAT_dauvao))</f>
        <v>0</v>
      </c>
      <c r="D35" s="7">
        <f t="shared" ref="D35:D66" si="11">IF(ISERROR(IF(AND(VAT_dauvao="K",VAT_daura&lt;&gt;"K"),TTIEN_NHAP*25%,0)),0,IF(AND(VAT_dauvao="K",VAT_daura&lt;&gt;"K"),TTIEN_NHAP*25%,0))</f>
        <v>0</v>
      </c>
      <c r="E35" s="7">
        <f t="shared" ref="E35:E66" si="12">IF(ISERROR(IF(GIA_1="",IF(GIA_2="",GIA_NHAP*SL,GIA_2*SL),GIA_1*SL)),0,IF(GIA_1="",IF(GIA_2="",GIA_NHAP*SL,GIA_2*SL),GIA_1*SL))</f>
        <v>0</v>
      </c>
      <c r="F35" s="7">
        <f t="shared" ref="F35:F66" si="13">IF(ISERROR(IF(VAT_daura="K",TTIEN_NHAP*VAT_dauvao,0)),0,IF(VAT_daura="K",TTIEN_NHAP*VAT_dauvao,0))</f>
        <v>0</v>
      </c>
      <c r="G35" s="7">
        <f t="shared" ref="G35:G66" si="14">IF(ISERROR(IF(GIA_2="",IF(GIA_1="",GIA_NHAP*SL,GIA_1*SL),GIA_2*SL)),0,IF(GIA_2="",IF(GIA_1="",GIA_NHAP*SL,GIA_1*SL),GIA_2*SL))</f>
        <v>0</v>
      </c>
      <c r="H35" s="7">
        <v>0</v>
      </c>
    </row>
    <row r="36" spans="1:8" ht="14">
      <c r="A36" s="6">
        <f t="shared" si="8"/>
        <v>0</v>
      </c>
      <c r="B36" s="7">
        <f t="shared" si="9"/>
        <v>0</v>
      </c>
      <c r="C36" s="7">
        <f t="shared" si="10"/>
        <v>0</v>
      </c>
      <c r="D36" s="7">
        <f t="shared" si="11"/>
        <v>0</v>
      </c>
      <c r="E36" s="7">
        <f t="shared" si="12"/>
        <v>0</v>
      </c>
      <c r="F36" s="7">
        <f t="shared" si="13"/>
        <v>0</v>
      </c>
      <c r="G36" s="7">
        <f t="shared" si="14"/>
        <v>0</v>
      </c>
      <c r="H36">
        <v>0</v>
      </c>
    </row>
    <row r="37" spans="1:8" ht="14">
      <c r="A37" s="6">
        <f t="shared" si="8"/>
        <v>0</v>
      </c>
      <c r="B37" s="7">
        <f t="shared" si="9"/>
        <v>0</v>
      </c>
      <c r="C37" s="7">
        <f t="shared" si="10"/>
        <v>0</v>
      </c>
      <c r="D37" s="7">
        <f t="shared" si="11"/>
        <v>0</v>
      </c>
      <c r="E37" s="7">
        <f t="shared" si="12"/>
        <v>0</v>
      </c>
      <c r="F37" s="7">
        <f t="shared" si="13"/>
        <v>0</v>
      </c>
      <c r="G37" s="7">
        <f t="shared" si="14"/>
        <v>0</v>
      </c>
      <c r="H37">
        <v>0</v>
      </c>
    </row>
    <row r="38" spans="1:8" ht="14">
      <c r="A38" s="6">
        <f t="shared" si="8"/>
        <v>0</v>
      </c>
      <c r="B38" s="7">
        <f t="shared" si="9"/>
        <v>0</v>
      </c>
      <c r="C38" s="7">
        <f t="shared" si="10"/>
        <v>0</v>
      </c>
      <c r="D38" s="7">
        <f t="shared" si="11"/>
        <v>0</v>
      </c>
      <c r="E38" s="7">
        <f t="shared" si="12"/>
        <v>0</v>
      </c>
      <c r="F38" s="7">
        <f t="shared" si="13"/>
        <v>0</v>
      </c>
      <c r="G38" s="7">
        <f t="shared" si="14"/>
        <v>0</v>
      </c>
      <c r="H38">
        <v>0</v>
      </c>
    </row>
    <row r="39" spans="1:8" ht="14">
      <c r="A39" s="6">
        <f t="shared" si="8"/>
        <v>0</v>
      </c>
      <c r="B39" s="7">
        <f t="shared" si="9"/>
        <v>0</v>
      </c>
      <c r="C39" s="7">
        <f t="shared" si="10"/>
        <v>0</v>
      </c>
      <c r="D39" s="7">
        <f t="shared" si="11"/>
        <v>0</v>
      </c>
      <c r="E39" s="7">
        <f t="shared" si="12"/>
        <v>0</v>
      </c>
      <c r="F39" s="7">
        <f t="shared" si="13"/>
        <v>0</v>
      </c>
      <c r="G39" s="7">
        <f t="shared" si="14"/>
        <v>0</v>
      </c>
      <c r="H39">
        <v>0</v>
      </c>
    </row>
    <row r="40" spans="1:8" ht="14">
      <c r="A40" s="6">
        <f t="shared" si="8"/>
        <v>0</v>
      </c>
      <c r="B40" s="7">
        <f t="shared" si="9"/>
        <v>0</v>
      </c>
      <c r="C40" s="7">
        <f t="shared" si="10"/>
        <v>0</v>
      </c>
      <c r="D40" s="7">
        <f t="shared" si="11"/>
        <v>0</v>
      </c>
      <c r="E40" s="7">
        <f t="shared" si="12"/>
        <v>0</v>
      </c>
      <c r="F40" s="7">
        <f t="shared" si="13"/>
        <v>0</v>
      </c>
      <c r="G40" s="7">
        <f t="shared" si="14"/>
        <v>0</v>
      </c>
      <c r="H40">
        <v>0</v>
      </c>
    </row>
    <row r="41" spans="1:8" ht="14">
      <c r="A41" s="6">
        <f t="shared" si="8"/>
        <v>0</v>
      </c>
      <c r="B41" s="7">
        <f t="shared" si="9"/>
        <v>0</v>
      </c>
      <c r="C41" s="7">
        <f t="shared" si="10"/>
        <v>0</v>
      </c>
      <c r="D41" s="7">
        <f t="shared" si="11"/>
        <v>0</v>
      </c>
      <c r="E41" s="7">
        <f t="shared" si="12"/>
        <v>0</v>
      </c>
      <c r="F41" s="7">
        <f t="shared" si="13"/>
        <v>0</v>
      </c>
      <c r="G41" s="7">
        <f t="shared" si="14"/>
        <v>0</v>
      </c>
      <c r="H41">
        <v>0</v>
      </c>
    </row>
    <row r="42" spans="1:8" ht="14">
      <c r="A42" s="6">
        <f t="shared" si="8"/>
        <v>0</v>
      </c>
      <c r="B42" s="7">
        <f t="shared" si="9"/>
        <v>0</v>
      </c>
      <c r="C42" s="7">
        <f t="shared" si="10"/>
        <v>0</v>
      </c>
      <c r="D42" s="7">
        <f t="shared" si="11"/>
        <v>0</v>
      </c>
      <c r="E42" s="7">
        <f t="shared" si="12"/>
        <v>0</v>
      </c>
      <c r="F42" s="7">
        <f t="shared" si="13"/>
        <v>0</v>
      </c>
      <c r="G42" s="7">
        <f t="shared" si="14"/>
        <v>0</v>
      </c>
      <c r="H42">
        <v>0</v>
      </c>
    </row>
    <row r="43" spans="1:8" ht="14">
      <c r="A43" s="6">
        <f t="shared" si="8"/>
        <v>0</v>
      </c>
      <c r="B43" s="7">
        <f t="shared" si="9"/>
        <v>0</v>
      </c>
      <c r="C43" s="7">
        <f t="shared" si="10"/>
        <v>0</v>
      </c>
      <c r="D43" s="7">
        <f t="shared" si="11"/>
        <v>0</v>
      </c>
      <c r="E43" s="7">
        <f t="shared" si="12"/>
        <v>0</v>
      </c>
      <c r="F43" s="7">
        <f t="shared" si="13"/>
        <v>0</v>
      </c>
      <c r="G43" s="7">
        <f t="shared" si="14"/>
        <v>0</v>
      </c>
      <c r="H43">
        <v>0</v>
      </c>
    </row>
    <row r="44" spans="1:8" ht="14">
      <c r="A44" s="6">
        <f t="shared" si="8"/>
        <v>0</v>
      </c>
      <c r="B44" s="7">
        <f t="shared" si="9"/>
        <v>0</v>
      </c>
      <c r="C44" s="7">
        <f t="shared" si="10"/>
        <v>0</v>
      </c>
      <c r="D44" s="7">
        <f t="shared" si="11"/>
        <v>0</v>
      </c>
      <c r="E44" s="7">
        <f t="shared" si="12"/>
        <v>0</v>
      </c>
      <c r="F44" s="7">
        <f t="shared" si="13"/>
        <v>0</v>
      </c>
      <c r="G44" s="7">
        <f t="shared" si="14"/>
        <v>0</v>
      </c>
      <c r="H44">
        <v>0</v>
      </c>
    </row>
    <row r="45" spans="1:8" ht="14">
      <c r="A45" s="6">
        <f t="shared" si="8"/>
        <v>0</v>
      </c>
      <c r="B45" s="7">
        <f t="shared" si="9"/>
        <v>0</v>
      </c>
      <c r="C45" s="7">
        <f t="shared" si="10"/>
        <v>0</v>
      </c>
      <c r="D45" s="7">
        <f t="shared" si="11"/>
        <v>0</v>
      </c>
      <c r="E45" s="7">
        <f t="shared" si="12"/>
        <v>0</v>
      </c>
      <c r="F45" s="7">
        <f t="shared" si="13"/>
        <v>0</v>
      </c>
      <c r="G45" s="7">
        <f t="shared" si="14"/>
        <v>0</v>
      </c>
      <c r="H45">
        <v>0</v>
      </c>
    </row>
    <row r="46" spans="1:8" ht="14">
      <c r="A46" s="6">
        <f t="shared" si="8"/>
        <v>0</v>
      </c>
      <c r="B46" s="7">
        <f t="shared" si="9"/>
        <v>0</v>
      </c>
      <c r="C46" s="7">
        <f t="shared" si="10"/>
        <v>0</v>
      </c>
      <c r="D46" s="7">
        <f t="shared" si="11"/>
        <v>0</v>
      </c>
      <c r="E46" s="7">
        <f t="shared" si="12"/>
        <v>0</v>
      </c>
      <c r="F46" s="7">
        <f t="shared" si="13"/>
        <v>0</v>
      </c>
      <c r="G46" s="7">
        <f t="shared" si="14"/>
        <v>0</v>
      </c>
      <c r="H46">
        <v>0</v>
      </c>
    </row>
    <row r="47" spans="1:8" ht="14">
      <c r="A47" s="6">
        <f t="shared" si="8"/>
        <v>0</v>
      </c>
      <c r="B47" s="7">
        <f t="shared" si="9"/>
        <v>0</v>
      </c>
      <c r="C47" s="7">
        <f t="shared" si="10"/>
        <v>0</v>
      </c>
      <c r="D47" s="7">
        <f t="shared" si="11"/>
        <v>0</v>
      </c>
      <c r="E47" s="7">
        <f t="shared" si="12"/>
        <v>0</v>
      </c>
      <c r="F47" s="7">
        <f t="shared" si="13"/>
        <v>0</v>
      </c>
      <c r="G47" s="7">
        <f t="shared" si="14"/>
        <v>0</v>
      </c>
      <c r="H47">
        <v>0</v>
      </c>
    </row>
    <row r="48" spans="1:8" ht="14">
      <c r="A48" s="6">
        <f t="shared" si="8"/>
        <v>0</v>
      </c>
      <c r="B48" s="7">
        <f t="shared" si="9"/>
        <v>0</v>
      </c>
      <c r="C48" s="7">
        <f t="shared" si="10"/>
        <v>0</v>
      </c>
      <c r="D48" s="7">
        <f t="shared" si="11"/>
        <v>0</v>
      </c>
      <c r="E48" s="7">
        <f t="shared" si="12"/>
        <v>0</v>
      </c>
      <c r="F48" s="7">
        <f t="shared" si="13"/>
        <v>0</v>
      </c>
      <c r="G48" s="7">
        <f t="shared" si="14"/>
        <v>0</v>
      </c>
      <c r="H48">
        <v>0</v>
      </c>
    </row>
    <row r="49" spans="1:8" ht="14">
      <c r="A49" s="6">
        <f t="shared" si="8"/>
        <v>0</v>
      </c>
      <c r="B49" s="7">
        <f t="shared" si="9"/>
        <v>0</v>
      </c>
      <c r="C49" s="7">
        <f t="shared" si="10"/>
        <v>0</v>
      </c>
      <c r="D49" s="7">
        <f t="shared" si="11"/>
        <v>0</v>
      </c>
      <c r="E49" s="7">
        <f t="shared" si="12"/>
        <v>0</v>
      </c>
      <c r="F49" s="7">
        <f t="shared" si="13"/>
        <v>0</v>
      </c>
      <c r="G49" s="7">
        <f t="shared" si="14"/>
        <v>0</v>
      </c>
      <c r="H49">
        <v>0</v>
      </c>
    </row>
    <row r="50" spans="1:8" ht="14">
      <c r="A50" s="6">
        <f t="shared" si="8"/>
        <v>0</v>
      </c>
      <c r="B50" s="7">
        <f t="shared" si="9"/>
        <v>0</v>
      </c>
      <c r="C50" s="7">
        <f t="shared" si="10"/>
        <v>0</v>
      </c>
      <c r="D50" s="7">
        <f t="shared" si="11"/>
        <v>0</v>
      </c>
      <c r="E50" s="7">
        <f t="shared" si="12"/>
        <v>0</v>
      </c>
      <c r="F50" s="7">
        <f t="shared" si="13"/>
        <v>0</v>
      </c>
      <c r="G50" s="7">
        <f t="shared" si="14"/>
        <v>0</v>
      </c>
      <c r="H50">
        <v>0</v>
      </c>
    </row>
    <row r="51" spans="1:8" ht="14">
      <c r="A51" s="6">
        <f t="shared" si="8"/>
        <v>0</v>
      </c>
      <c r="B51" s="7">
        <f t="shared" si="9"/>
        <v>0</v>
      </c>
      <c r="C51" s="7">
        <f t="shared" si="10"/>
        <v>0</v>
      </c>
      <c r="D51" s="7">
        <f t="shared" si="11"/>
        <v>0</v>
      </c>
      <c r="E51" s="7">
        <f t="shared" si="12"/>
        <v>0</v>
      </c>
      <c r="F51" s="7">
        <f t="shared" si="13"/>
        <v>0</v>
      </c>
      <c r="G51" s="7">
        <f t="shared" si="14"/>
        <v>0</v>
      </c>
      <c r="H51">
        <v>0</v>
      </c>
    </row>
    <row r="52" spans="1:8" ht="14">
      <c r="A52" s="6">
        <f t="shared" si="8"/>
        <v>0</v>
      </c>
      <c r="B52" s="7">
        <f t="shared" si="9"/>
        <v>0</v>
      </c>
      <c r="C52" s="7">
        <f t="shared" si="10"/>
        <v>0</v>
      </c>
      <c r="D52" s="7">
        <f t="shared" si="11"/>
        <v>0</v>
      </c>
      <c r="E52" s="7">
        <f t="shared" si="12"/>
        <v>0</v>
      </c>
      <c r="F52" s="7">
        <f t="shared" si="13"/>
        <v>0</v>
      </c>
      <c r="G52" s="7">
        <f t="shared" si="14"/>
        <v>0</v>
      </c>
      <c r="H52">
        <v>0</v>
      </c>
    </row>
    <row r="53" spans="1:8" ht="14">
      <c r="A53" s="6">
        <f t="shared" si="8"/>
        <v>0</v>
      </c>
      <c r="B53" s="7">
        <f t="shared" si="9"/>
        <v>0</v>
      </c>
      <c r="C53" s="7">
        <f t="shared" si="10"/>
        <v>0</v>
      </c>
      <c r="D53" s="7">
        <f t="shared" si="11"/>
        <v>0</v>
      </c>
      <c r="E53" s="7">
        <f t="shared" si="12"/>
        <v>0</v>
      </c>
      <c r="F53" s="7">
        <f t="shared" si="13"/>
        <v>0</v>
      </c>
      <c r="G53" s="7">
        <f t="shared" si="14"/>
        <v>0</v>
      </c>
      <c r="H53">
        <v>0</v>
      </c>
    </row>
    <row r="54" spans="1:8" ht="14">
      <c r="A54" s="6">
        <f t="shared" si="8"/>
        <v>0</v>
      </c>
      <c r="B54" s="7">
        <f t="shared" si="9"/>
        <v>0</v>
      </c>
      <c r="C54" s="7">
        <f t="shared" si="10"/>
        <v>0</v>
      </c>
      <c r="D54" s="7">
        <f t="shared" si="11"/>
        <v>0</v>
      </c>
      <c r="E54" s="7">
        <f t="shared" si="12"/>
        <v>0</v>
      </c>
      <c r="F54" s="7">
        <f t="shared" si="13"/>
        <v>0</v>
      </c>
      <c r="G54" s="7">
        <f t="shared" si="14"/>
        <v>0</v>
      </c>
      <c r="H54">
        <v>0</v>
      </c>
    </row>
    <row r="55" spans="1:8" ht="14">
      <c r="A55" s="6">
        <f t="shared" si="8"/>
        <v>0</v>
      </c>
      <c r="B55" s="7">
        <f t="shared" si="9"/>
        <v>0</v>
      </c>
      <c r="C55" s="7">
        <f t="shared" si="10"/>
        <v>0</v>
      </c>
      <c r="D55" s="7">
        <f t="shared" si="11"/>
        <v>0</v>
      </c>
      <c r="E55" s="7">
        <f t="shared" si="12"/>
        <v>0</v>
      </c>
      <c r="F55" s="7">
        <f t="shared" si="13"/>
        <v>0</v>
      </c>
      <c r="G55" s="7">
        <f t="shared" si="14"/>
        <v>0</v>
      </c>
      <c r="H55">
        <v>0</v>
      </c>
    </row>
    <row r="56" spans="1:8" ht="14">
      <c r="A56" s="6">
        <f t="shared" si="8"/>
        <v>0</v>
      </c>
      <c r="B56" s="7">
        <f t="shared" si="9"/>
        <v>0</v>
      </c>
      <c r="C56" s="7">
        <f t="shared" si="10"/>
        <v>0</v>
      </c>
      <c r="D56" s="7">
        <f t="shared" si="11"/>
        <v>0</v>
      </c>
      <c r="E56" s="7">
        <f t="shared" si="12"/>
        <v>0</v>
      </c>
      <c r="F56" s="7">
        <f t="shared" si="13"/>
        <v>0</v>
      </c>
      <c r="G56" s="7">
        <f t="shared" si="14"/>
        <v>0</v>
      </c>
      <c r="H56">
        <v>0</v>
      </c>
    </row>
    <row r="57" spans="1:8" ht="14">
      <c r="A57" s="6">
        <f t="shared" si="8"/>
        <v>0</v>
      </c>
      <c r="B57" s="7">
        <f t="shared" si="9"/>
        <v>0</v>
      </c>
      <c r="C57" s="7">
        <f t="shared" si="10"/>
        <v>0</v>
      </c>
      <c r="D57" s="7">
        <f t="shared" si="11"/>
        <v>0</v>
      </c>
      <c r="E57" s="7">
        <f t="shared" si="12"/>
        <v>0</v>
      </c>
      <c r="F57" s="7">
        <f t="shared" si="13"/>
        <v>0</v>
      </c>
      <c r="G57" s="7">
        <f t="shared" si="14"/>
        <v>0</v>
      </c>
      <c r="H57">
        <v>0</v>
      </c>
    </row>
    <row r="58" spans="1:8" ht="14">
      <c r="A58" s="6">
        <f t="shared" si="8"/>
        <v>0</v>
      </c>
      <c r="B58" s="7">
        <f t="shared" si="9"/>
        <v>0</v>
      </c>
      <c r="C58" s="7">
        <f t="shared" si="10"/>
        <v>0</v>
      </c>
      <c r="D58" s="7">
        <f t="shared" si="11"/>
        <v>0</v>
      </c>
      <c r="E58" s="7">
        <f t="shared" si="12"/>
        <v>0</v>
      </c>
      <c r="F58" s="7">
        <f t="shared" si="13"/>
        <v>0</v>
      </c>
      <c r="G58" s="7">
        <f t="shared" si="14"/>
        <v>0</v>
      </c>
      <c r="H58">
        <v>0</v>
      </c>
    </row>
    <row r="59" spans="1:8" ht="14">
      <c r="A59" s="6">
        <f t="shared" si="8"/>
        <v>0</v>
      </c>
      <c r="B59" s="7">
        <f t="shared" si="9"/>
        <v>0</v>
      </c>
      <c r="C59" s="7">
        <f t="shared" si="10"/>
        <v>0</v>
      </c>
      <c r="D59" s="7">
        <f t="shared" si="11"/>
        <v>0</v>
      </c>
      <c r="E59" s="7">
        <f t="shared" si="12"/>
        <v>0</v>
      </c>
      <c r="F59" s="7">
        <f t="shared" si="13"/>
        <v>0</v>
      </c>
      <c r="G59" s="7">
        <f t="shared" si="14"/>
        <v>0</v>
      </c>
      <c r="H59">
        <v>0</v>
      </c>
    </row>
    <row r="60" spans="1:8" ht="14">
      <c r="A60" s="6">
        <f t="shared" si="8"/>
        <v>0</v>
      </c>
      <c r="B60" s="7">
        <f t="shared" si="9"/>
        <v>0</v>
      </c>
      <c r="C60" s="7">
        <f t="shared" si="10"/>
        <v>0</v>
      </c>
      <c r="D60" s="7">
        <f t="shared" si="11"/>
        <v>0</v>
      </c>
      <c r="E60" s="7">
        <f t="shared" si="12"/>
        <v>0</v>
      </c>
      <c r="F60" s="7">
        <f t="shared" si="13"/>
        <v>0</v>
      </c>
      <c r="G60" s="7">
        <f t="shared" si="14"/>
        <v>0</v>
      </c>
      <c r="H60">
        <v>0</v>
      </c>
    </row>
    <row r="61" spans="1:8" ht="14">
      <c r="A61" s="6">
        <f t="shared" si="8"/>
        <v>0</v>
      </c>
      <c r="B61" s="7">
        <f t="shared" si="9"/>
        <v>0</v>
      </c>
      <c r="C61" s="7">
        <f t="shared" si="10"/>
        <v>0</v>
      </c>
      <c r="D61" s="7">
        <f t="shared" si="11"/>
        <v>0</v>
      </c>
      <c r="E61" s="7">
        <f t="shared" si="12"/>
        <v>0</v>
      </c>
      <c r="F61" s="7">
        <f t="shared" si="13"/>
        <v>0</v>
      </c>
      <c r="G61" s="7">
        <f t="shared" si="14"/>
        <v>0</v>
      </c>
      <c r="H61">
        <v>0</v>
      </c>
    </row>
    <row r="62" spans="1:8" ht="14">
      <c r="A62" s="6">
        <f t="shared" si="8"/>
        <v>0</v>
      </c>
      <c r="B62" s="7">
        <f t="shared" si="9"/>
        <v>0</v>
      </c>
      <c r="C62" s="7">
        <f t="shared" si="10"/>
        <v>0</v>
      </c>
      <c r="D62" s="7">
        <f t="shared" si="11"/>
        <v>0</v>
      </c>
      <c r="E62" s="7">
        <f t="shared" si="12"/>
        <v>0</v>
      </c>
      <c r="F62" s="7">
        <f t="shared" si="13"/>
        <v>0</v>
      </c>
      <c r="G62" s="7">
        <f t="shared" si="14"/>
        <v>0</v>
      </c>
      <c r="H62">
        <v>0</v>
      </c>
    </row>
    <row r="63" spans="1:8" ht="14">
      <c r="A63" s="6">
        <f t="shared" si="8"/>
        <v>0</v>
      </c>
      <c r="B63" s="7">
        <f t="shared" si="9"/>
        <v>0</v>
      </c>
      <c r="C63" s="7">
        <f t="shared" si="10"/>
        <v>0</v>
      </c>
      <c r="D63" s="7">
        <f t="shared" si="11"/>
        <v>0</v>
      </c>
      <c r="E63" s="7">
        <f t="shared" si="12"/>
        <v>0</v>
      </c>
      <c r="F63" s="7">
        <f t="shared" si="13"/>
        <v>0</v>
      </c>
      <c r="G63" s="7">
        <f t="shared" si="14"/>
        <v>0</v>
      </c>
      <c r="H63">
        <v>0</v>
      </c>
    </row>
    <row r="64" spans="1:8" ht="14">
      <c r="A64" s="6">
        <f t="shared" si="8"/>
        <v>0</v>
      </c>
      <c r="B64" s="7">
        <f t="shared" si="9"/>
        <v>0</v>
      </c>
      <c r="C64" s="7">
        <f t="shared" si="10"/>
        <v>0</v>
      </c>
      <c r="D64" s="7">
        <f t="shared" si="11"/>
        <v>0</v>
      </c>
      <c r="E64" s="7">
        <f t="shared" si="12"/>
        <v>0</v>
      </c>
      <c r="F64" s="7">
        <f t="shared" si="13"/>
        <v>0</v>
      </c>
      <c r="G64" s="7">
        <f t="shared" si="14"/>
        <v>0</v>
      </c>
      <c r="H64">
        <v>0</v>
      </c>
    </row>
    <row r="65" spans="1:8" ht="14">
      <c r="A65" s="6">
        <f t="shared" si="8"/>
        <v>0</v>
      </c>
      <c r="B65" s="7">
        <f t="shared" si="9"/>
        <v>0</v>
      </c>
      <c r="C65" s="7">
        <f t="shared" si="10"/>
        <v>0</v>
      </c>
      <c r="D65" s="7">
        <f t="shared" si="11"/>
        <v>0</v>
      </c>
      <c r="E65" s="7">
        <f t="shared" si="12"/>
        <v>0</v>
      </c>
      <c r="F65" s="7">
        <f t="shared" si="13"/>
        <v>0</v>
      </c>
      <c r="G65" s="7">
        <f t="shared" si="14"/>
        <v>0</v>
      </c>
      <c r="H65">
        <v>0</v>
      </c>
    </row>
    <row r="66" spans="1:8" ht="14">
      <c r="A66" s="6">
        <f t="shared" si="8"/>
        <v>0</v>
      </c>
      <c r="B66" s="7">
        <f t="shared" si="9"/>
        <v>0</v>
      </c>
      <c r="C66" s="7">
        <f t="shared" si="10"/>
        <v>0</v>
      </c>
      <c r="D66" s="7">
        <f t="shared" si="11"/>
        <v>0</v>
      </c>
      <c r="E66" s="7">
        <f t="shared" si="12"/>
        <v>0</v>
      </c>
      <c r="F66" s="7">
        <f t="shared" si="13"/>
        <v>0</v>
      </c>
      <c r="G66" s="7">
        <f t="shared" si="14"/>
        <v>0</v>
      </c>
      <c r="H66">
        <v>0</v>
      </c>
    </row>
    <row r="67" spans="1:8" ht="14">
      <c r="A67" s="6">
        <f t="shared" ref="A67:A130" si="15">IF(ISERROR(TTIEN_HDON-TTIEN_BAN),0,TTIEN_HDON-TTIEN_BAN)</f>
        <v>0</v>
      </c>
      <c r="B67" s="7">
        <f t="shared" ref="B67:B130" si="16">IF(ISERROR(IF(GIA_NHAP="",IF(GIA_1="",GIA_2*SL,GIA_1*SL),GIA_NHAP*SL)),0,IF(GIA_NHAP="",IF(GIA_1="",GIA_2*SL,GIA_1*SL),GIA_NHAP*SL))</f>
        <v>0</v>
      </c>
      <c r="C67" s="7">
        <f t="shared" ref="C67:C130" si="17">IF(ISERROR(TTIEN_NHAP*(1+VAT_dauvao)),TTIEN_NHAP,TTIEN_NHAP*(1+VAT_dauvao))</f>
        <v>0</v>
      </c>
      <c r="D67" s="7">
        <f t="shared" ref="D67:D130" si="18">IF(ISERROR(IF(AND(VAT_dauvao="K",VAT_daura&lt;&gt;"K"),TTIEN_NHAP*25%,0)),0,IF(AND(VAT_dauvao="K",VAT_daura&lt;&gt;"K"),TTIEN_NHAP*25%,0))</f>
        <v>0</v>
      </c>
      <c r="E67" s="7">
        <f t="shared" ref="E67:E130" si="19">IF(ISERROR(IF(GIA_1="",IF(GIA_2="",GIA_NHAP*SL,GIA_2*SL),GIA_1*SL)),0,IF(GIA_1="",IF(GIA_2="",GIA_NHAP*SL,GIA_2*SL),GIA_1*SL))</f>
        <v>0</v>
      </c>
      <c r="F67" s="7">
        <f t="shared" ref="F67:F130" si="20">IF(ISERROR(IF(VAT_daura="K",TTIEN_NHAP*VAT_dauvao,0)),0,IF(VAT_daura="K",TTIEN_NHAP*VAT_dauvao,0))</f>
        <v>0</v>
      </c>
      <c r="G67" s="7">
        <f t="shared" ref="G67:G130" si="21">IF(ISERROR(IF(GIA_2="",IF(GIA_1="",GIA_NHAP*SL,GIA_1*SL),GIA_2*SL)),0,IF(GIA_2="",IF(GIA_1="",GIA_NHAP*SL,GIA_1*SL),GIA_2*SL))</f>
        <v>0</v>
      </c>
      <c r="H67" s="7">
        <v>0</v>
      </c>
    </row>
    <row r="68" spans="1:8" ht="14">
      <c r="A68" s="6">
        <f t="shared" si="15"/>
        <v>0</v>
      </c>
      <c r="B68" s="7">
        <f t="shared" si="16"/>
        <v>0</v>
      </c>
      <c r="C68" s="7">
        <f t="shared" si="17"/>
        <v>0</v>
      </c>
      <c r="D68" s="7">
        <f t="shared" si="18"/>
        <v>0</v>
      </c>
      <c r="E68" s="7">
        <f t="shared" si="19"/>
        <v>0</v>
      </c>
      <c r="F68" s="7">
        <f t="shared" si="20"/>
        <v>0</v>
      </c>
      <c r="G68" s="7">
        <f t="shared" si="21"/>
        <v>0</v>
      </c>
      <c r="H68">
        <v>0</v>
      </c>
    </row>
    <row r="69" spans="1:8" ht="14">
      <c r="A69" s="6">
        <f t="shared" si="15"/>
        <v>0</v>
      </c>
      <c r="B69" s="7">
        <f t="shared" si="16"/>
        <v>0</v>
      </c>
      <c r="C69" s="7">
        <f t="shared" si="17"/>
        <v>0</v>
      </c>
      <c r="D69" s="7">
        <f t="shared" si="18"/>
        <v>0</v>
      </c>
      <c r="E69" s="7">
        <f t="shared" si="19"/>
        <v>0</v>
      </c>
      <c r="F69" s="7">
        <f t="shared" si="20"/>
        <v>0</v>
      </c>
      <c r="G69" s="7">
        <f t="shared" si="21"/>
        <v>0</v>
      </c>
      <c r="H69">
        <v>0</v>
      </c>
    </row>
    <row r="70" spans="1:8" ht="14">
      <c r="A70" s="6">
        <f t="shared" si="15"/>
        <v>0</v>
      </c>
      <c r="B70" s="7">
        <f t="shared" si="16"/>
        <v>0</v>
      </c>
      <c r="C70" s="7">
        <f t="shared" si="17"/>
        <v>0</v>
      </c>
      <c r="D70" s="7">
        <f t="shared" si="18"/>
        <v>0</v>
      </c>
      <c r="E70" s="7">
        <f t="shared" si="19"/>
        <v>0</v>
      </c>
      <c r="F70" s="7">
        <f t="shared" si="20"/>
        <v>0</v>
      </c>
      <c r="G70" s="7">
        <f t="shared" si="21"/>
        <v>0</v>
      </c>
      <c r="H70">
        <v>0</v>
      </c>
    </row>
    <row r="71" spans="1:8" ht="14">
      <c r="A71" s="6">
        <f t="shared" si="15"/>
        <v>0</v>
      </c>
      <c r="B71" s="7">
        <f t="shared" si="16"/>
        <v>0</v>
      </c>
      <c r="C71" s="7">
        <f t="shared" si="17"/>
        <v>0</v>
      </c>
      <c r="D71" s="7">
        <f t="shared" si="18"/>
        <v>0</v>
      </c>
      <c r="E71" s="7">
        <f t="shared" si="19"/>
        <v>0</v>
      </c>
      <c r="F71" s="7">
        <f t="shared" si="20"/>
        <v>0</v>
      </c>
      <c r="G71" s="7">
        <f t="shared" si="21"/>
        <v>0</v>
      </c>
      <c r="H71">
        <v>0</v>
      </c>
    </row>
    <row r="72" spans="1:8" ht="14">
      <c r="A72" s="6">
        <f t="shared" si="15"/>
        <v>0</v>
      </c>
      <c r="B72" s="7">
        <f t="shared" si="16"/>
        <v>0</v>
      </c>
      <c r="C72" s="7">
        <f t="shared" si="17"/>
        <v>0</v>
      </c>
      <c r="D72" s="7">
        <f t="shared" si="18"/>
        <v>0</v>
      </c>
      <c r="E72" s="7">
        <f t="shared" si="19"/>
        <v>0</v>
      </c>
      <c r="F72" s="7">
        <f t="shared" si="20"/>
        <v>0</v>
      </c>
      <c r="G72" s="7">
        <f t="shared" si="21"/>
        <v>0</v>
      </c>
      <c r="H72">
        <v>0</v>
      </c>
    </row>
    <row r="73" spans="1:8" ht="14">
      <c r="A73" s="6">
        <f t="shared" si="15"/>
        <v>0</v>
      </c>
      <c r="B73" s="7">
        <f t="shared" si="16"/>
        <v>0</v>
      </c>
      <c r="C73" s="7">
        <f t="shared" si="17"/>
        <v>0</v>
      </c>
      <c r="D73" s="7">
        <f t="shared" si="18"/>
        <v>0</v>
      </c>
      <c r="E73" s="7">
        <f t="shared" si="19"/>
        <v>0</v>
      </c>
      <c r="F73" s="7">
        <f t="shared" si="20"/>
        <v>0</v>
      </c>
      <c r="G73" s="7">
        <f t="shared" si="21"/>
        <v>0</v>
      </c>
      <c r="H73">
        <v>0</v>
      </c>
    </row>
    <row r="74" spans="1:8" ht="14">
      <c r="A74" s="6">
        <f t="shared" si="15"/>
        <v>0</v>
      </c>
      <c r="B74" s="7">
        <f t="shared" si="16"/>
        <v>0</v>
      </c>
      <c r="C74" s="7">
        <f t="shared" si="17"/>
        <v>0</v>
      </c>
      <c r="D74" s="7">
        <f t="shared" si="18"/>
        <v>0</v>
      </c>
      <c r="E74" s="7">
        <f t="shared" si="19"/>
        <v>0</v>
      </c>
      <c r="F74" s="7">
        <f t="shared" si="20"/>
        <v>0</v>
      </c>
      <c r="G74" s="7">
        <f t="shared" si="21"/>
        <v>0</v>
      </c>
      <c r="H74">
        <v>0</v>
      </c>
    </row>
    <row r="75" spans="1:8" ht="14">
      <c r="A75" s="6">
        <f t="shared" si="15"/>
        <v>0</v>
      </c>
      <c r="B75" s="7">
        <f t="shared" si="16"/>
        <v>0</v>
      </c>
      <c r="C75" s="7">
        <f t="shared" si="17"/>
        <v>0</v>
      </c>
      <c r="D75" s="7">
        <f t="shared" si="18"/>
        <v>0</v>
      </c>
      <c r="E75" s="7">
        <f t="shared" si="19"/>
        <v>0</v>
      </c>
      <c r="F75" s="7">
        <f t="shared" si="20"/>
        <v>0</v>
      </c>
      <c r="G75" s="7">
        <f t="shared" si="21"/>
        <v>0</v>
      </c>
      <c r="H75">
        <v>0</v>
      </c>
    </row>
    <row r="76" spans="1:8" ht="14">
      <c r="A76" s="6">
        <f t="shared" si="15"/>
        <v>0</v>
      </c>
      <c r="B76" s="7">
        <f t="shared" si="16"/>
        <v>0</v>
      </c>
      <c r="C76" s="7">
        <f t="shared" si="17"/>
        <v>0</v>
      </c>
      <c r="D76" s="7">
        <f t="shared" si="18"/>
        <v>0</v>
      </c>
      <c r="E76" s="7">
        <f t="shared" si="19"/>
        <v>0</v>
      </c>
      <c r="F76" s="7">
        <f t="shared" si="20"/>
        <v>0</v>
      </c>
      <c r="G76" s="7">
        <f t="shared" si="21"/>
        <v>0</v>
      </c>
      <c r="H76">
        <v>0</v>
      </c>
    </row>
    <row r="77" spans="1:8" ht="14">
      <c r="A77" s="6">
        <f t="shared" si="15"/>
        <v>0</v>
      </c>
      <c r="B77" s="7">
        <f t="shared" si="16"/>
        <v>0</v>
      </c>
      <c r="C77" s="7">
        <f t="shared" si="17"/>
        <v>0</v>
      </c>
      <c r="D77" s="7">
        <f t="shared" si="18"/>
        <v>0</v>
      </c>
      <c r="E77" s="7">
        <f t="shared" si="19"/>
        <v>0</v>
      </c>
      <c r="F77" s="7">
        <f t="shared" si="20"/>
        <v>0</v>
      </c>
      <c r="G77" s="7">
        <f t="shared" si="21"/>
        <v>0</v>
      </c>
      <c r="H77">
        <v>0</v>
      </c>
    </row>
    <row r="78" spans="1:8" ht="14">
      <c r="A78" s="6">
        <f t="shared" si="15"/>
        <v>0</v>
      </c>
      <c r="B78" s="7">
        <f t="shared" si="16"/>
        <v>0</v>
      </c>
      <c r="C78" s="7">
        <f t="shared" si="17"/>
        <v>0</v>
      </c>
      <c r="D78" s="7">
        <f t="shared" si="18"/>
        <v>0</v>
      </c>
      <c r="E78" s="7">
        <f t="shared" si="19"/>
        <v>0</v>
      </c>
      <c r="F78" s="7">
        <f t="shared" si="20"/>
        <v>0</v>
      </c>
      <c r="G78" s="7">
        <f t="shared" si="21"/>
        <v>0</v>
      </c>
      <c r="H78">
        <v>0</v>
      </c>
    </row>
    <row r="79" spans="1:8" ht="14">
      <c r="A79" s="6">
        <f t="shared" si="15"/>
        <v>0</v>
      </c>
      <c r="B79" s="7">
        <f t="shared" si="16"/>
        <v>0</v>
      </c>
      <c r="C79" s="7">
        <f t="shared" si="17"/>
        <v>0</v>
      </c>
      <c r="D79" s="7">
        <f t="shared" si="18"/>
        <v>0</v>
      </c>
      <c r="E79" s="7">
        <f t="shared" si="19"/>
        <v>0</v>
      </c>
      <c r="F79" s="7">
        <f t="shared" si="20"/>
        <v>0</v>
      </c>
      <c r="G79" s="7">
        <f t="shared" si="21"/>
        <v>0</v>
      </c>
      <c r="H79">
        <v>0</v>
      </c>
    </row>
    <row r="80" spans="1:8" ht="14">
      <c r="A80" s="6">
        <f t="shared" si="15"/>
        <v>0</v>
      </c>
      <c r="B80" s="7">
        <f t="shared" si="16"/>
        <v>0</v>
      </c>
      <c r="C80" s="7">
        <f t="shared" si="17"/>
        <v>0</v>
      </c>
      <c r="D80" s="7">
        <f t="shared" si="18"/>
        <v>0</v>
      </c>
      <c r="E80" s="7">
        <f t="shared" si="19"/>
        <v>0</v>
      </c>
      <c r="F80" s="7">
        <f t="shared" si="20"/>
        <v>0</v>
      </c>
      <c r="G80" s="7">
        <f t="shared" si="21"/>
        <v>0</v>
      </c>
      <c r="H80">
        <v>0</v>
      </c>
    </row>
    <row r="81" spans="1:8" ht="14">
      <c r="A81" s="6">
        <f t="shared" si="15"/>
        <v>0</v>
      </c>
      <c r="B81" s="7">
        <f t="shared" si="16"/>
        <v>0</v>
      </c>
      <c r="C81" s="7">
        <f t="shared" si="17"/>
        <v>0</v>
      </c>
      <c r="D81" s="7">
        <f t="shared" si="18"/>
        <v>0</v>
      </c>
      <c r="E81" s="7">
        <f t="shared" si="19"/>
        <v>0</v>
      </c>
      <c r="F81" s="7">
        <f t="shared" si="20"/>
        <v>0</v>
      </c>
      <c r="G81" s="7">
        <f t="shared" si="21"/>
        <v>0</v>
      </c>
      <c r="H81">
        <v>0</v>
      </c>
    </row>
    <row r="82" spans="1:8" ht="14">
      <c r="A82" s="6">
        <f t="shared" si="15"/>
        <v>0</v>
      </c>
      <c r="B82" s="7">
        <f t="shared" si="16"/>
        <v>0</v>
      </c>
      <c r="C82" s="7">
        <f t="shared" si="17"/>
        <v>0</v>
      </c>
      <c r="D82" s="7">
        <f t="shared" si="18"/>
        <v>0</v>
      </c>
      <c r="E82" s="7">
        <f t="shared" si="19"/>
        <v>0</v>
      </c>
      <c r="F82" s="7">
        <f t="shared" si="20"/>
        <v>0</v>
      </c>
      <c r="G82" s="7">
        <f t="shared" si="21"/>
        <v>0</v>
      </c>
      <c r="H82">
        <v>0</v>
      </c>
    </row>
    <row r="83" spans="1:8" ht="14">
      <c r="A83" s="6">
        <f t="shared" si="15"/>
        <v>0</v>
      </c>
      <c r="B83" s="7">
        <f t="shared" si="16"/>
        <v>0</v>
      </c>
      <c r="C83" s="7">
        <f t="shared" si="17"/>
        <v>0</v>
      </c>
      <c r="D83" s="7">
        <f t="shared" si="18"/>
        <v>0</v>
      </c>
      <c r="E83" s="7">
        <f t="shared" si="19"/>
        <v>0</v>
      </c>
      <c r="F83" s="7">
        <f t="shared" si="20"/>
        <v>0</v>
      </c>
      <c r="G83" s="7">
        <f t="shared" si="21"/>
        <v>0</v>
      </c>
      <c r="H83">
        <v>0</v>
      </c>
    </row>
    <row r="84" spans="1:8" ht="14">
      <c r="A84" s="6">
        <f t="shared" si="15"/>
        <v>0</v>
      </c>
      <c r="B84" s="7">
        <f t="shared" si="16"/>
        <v>0</v>
      </c>
      <c r="C84" s="7">
        <f t="shared" si="17"/>
        <v>0</v>
      </c>
      <c r="D84" s="7">
        <f t="shared" si="18"/>
        <v>0</v>
      </c>
      <c r="E84" s="7">
        <f t="shared" si="19"/>
        <v>0</v>
      </c>
      <c r="F84" s="7">
        <f t="shared" si="20"/>
        <v>0</v>
      </c>
      <c r="G84" s="7">
        <f t="shared" si="21"/>
        <v>0</v>
      </c>
      <c r="H84">
        <v>0</v>
      </c>
    </row>
    <row r="85" spans="1:8" ht="14">
      <c r="A85" s="6">
        <f t="shared" si="15"/>
        <v>0</v>
      </c>
      <c r="B85" s="7">
        <f t="shared" si="16"/>
        <v>0</v>
      </c>
      <c r="C85" s="7">
        <f t="shared" si="17"/>
        <v>0</v>
      </c>
      <c r="D85" s="7">
        <f t="shared" si="18"/>
        <v>0</v>
      </c>
      <c r="E85" s="7">
        <f t="shared" si="19"/>
        <v>0</v>
      </c>
      <c r="F85" s="7">
        <f t="shared" si="20"/>
        <v>0</v>
      </c>
      <c r="G85" s="7">
        <f t="shared" si="21"/>
        <v>0</v>
      </c>
      <c r="H85">
        <v>0</v>
      </c>
    </row>
    <row r="86" spans="1:8" ht="14">
      <c r="A86" s="6">
        <f t="shared" si="15"/>
        <v>0</v>
      </c>
      <c r="B86" s="7">
        <f t="shared" si="16"/>
        <v>0</v>
      </c>
      <c r="C86" s="7">
        <f t="shared" si="17"/>
        <v>0</v>
      </c>
      <c r="D86" s="7">
        <f t="shared" si="18"/>
        <v>0</v>
      </c>
      <c r="E86" s="7">
        <f t="shared" si="19"/>
        <v>0</v>
      </c>
      <c r="F86" s="7">
        <f t="shared" si="20"/>
        <v>0</v>
      </c>
      <c r="G86" s="7">
        <f t="shared" si="21"/>
        <v>0</v>
      </c>
      <c r="H86">
        <v>0</v>
      </c>
    </row>
    <row r="87" spans="1:8" ht="14">
      <c r="A87" s="6">
        <f t="shared" si="15"/>
        <v>0</v>
      </c>
      <c r="B87" s="7">
        <f t="shared" si="16"/>
        <v>0</v>
      </c>
      <c r="C87" s="7">
        <f t="shared" si="17"/>
        <v>0</v>
      </c>
      <c r="D87" s="7">
        <f t="shared" si="18"/>
        <v>0</v>
      </c>
      <c r="E87" s="7">
        <f t="shared" si="19"/>
        <v>0</v>
      </c>
      <c r="F87" s="7">
        <f t="shared" si="20"/>
        <v>0</v>
      </c>
      <c r="G87" s="7">
        <f t="shared" si="21"/>
        <v>0</v>
      </c>
      <c r="H87">
        <v>0</v>
      </c>
    </row>
    <row r="88" spans="1:8" ht="14">
      <c r="A88" s="6">
        <f t="shared" si="15"/>
        <v>0</v>
      </c>
      <c r="B88" s="7">
        <f t="shared" si="16"/>
        <v>0</v>
      </c>
      <c r="C88" s="7">
        <f t="shared" si="17"/>
        <v>0</v>
      </c>
      <c r="D88" s="7">
        <f t="shared" si="18"/>
        <v>0</v>
      </c>
      <c r="E88" s="7">
        <f t="shared" si="19"/>
        <v>0</v>
      </c>
      <c r="F88" s="7">
        <f t="shared" si="20"/>
        <v>0</v>
      </c>
      <c r="G88" s="7">
        <f t="shared" si="21"/>
        <v>0</v>
      </c>
      <c r="H88">
        <v>0</v>
      </c>
    </row>
    <row r="89" spans="1:8" ht="14">
      <c r="A89" s="6">
        <f t="shared" si="15"/>
        <v>0</v>
      </c>
      <c r="B89" s="7">
        <f t="shared" si="16"/>
        <v>0</v>
      </c>
      <c r="C89" s="7">
        <f t="shared" si="17"/>
        <v>0</v>
      </c>
      <c r="D89" s="7">
        <f t="shared" si="18"/>
        <v>0</v>
      </c>
      <c r="E89" s="7">
        <f t="shared" si="19"/>
        <v>0</v>
      </c>
      <c r="F89" s="7">
        <f t="shared" si="20"/>
        <v>0</v>
      </c>
      <c r="G89" s="7">
        <f t="shared" si="21"/>
        <v>0</v>
      </c>
      <c r="H89">
        <v>0</v>
      </c>
    </row>
    <row r="90" spans="1:8" ht="14">
      <c r="A90" s="6">
        <f t="shared" si="15"/>
        <v>0</v>
      </c>
      <c r="B90" s="7">
        <f t="shared" si="16"/>
        <v>0</v>
      </c>
      <c r="C90" s="7">
        <f t="shared" si="17"/>
        <v>0</v>
      </c>
      <c r="D90" s="7">
        <f t="shared" si="18"/>
        <v>0</v>
      </c>
      <c r="E90" s="7">
        <f t="shared" si="19"/>
        <v>0</v>
      </c>
      <c r="F90" s="7">
        <f t="shared" si="20"/>
        <v>0</v>
      </c>
      <c r="G90" s="7">
        <f t="shared" si="21"/>
        <v>0</v>
      </c>
      <c r="H90">
        <v>0</v>
      </c>
    </row>
    <row r="91" spans="1:8" ht="14">
      <c r="A91" s="6">
        <f t="shared" si="15"/>
        <v>0</v>
      </c>
      <c r="B91" s="7">
        <f t="shared" si="16"/>
        <v>0</v>
      </c>
      <c r="C91" s="7">
        <f t="shared" si="17"/>
        <v>0</v>
      </c>
      <c r="D91" s="7">
        <f t="shared" si="18"/>
        <v>0</v>
      </c>
      <c r="E91" s="7">
        <f t="shared" si="19"/>
        <v>0</v>
      </c>
      <c r="F91" s="7">
        <f t="shared" si="20"/>
        <v>0</v>
      </c>
      <c r="G91" s="7">
        <f t="shared" si="21"/>
        <v>0</v>
      </c>
      <c r="H91">
        <v>0</v>
      </c>
    </row>
    <row r="92" spans="1:8" ht="14">
      <c r="A92" s="6">
        <f t="shared" si="15"/>
        <v>0</v>
      </c>
      <c r="B92" s="7">
        <f t="shared" si="16"/>
        <v>0</v>
      </c>
      <c r="C92" s="7">
        <f t="shared" si="17"/>
        <v>0</v>
      </c>
      <c r="D92" s="7">
        <f t="shared" si="18"/>
        <v>0</v>
      </c>
      <c r="E92" s="7">
        <f t="shared" si="19"/>
        <v>0</v>
      </c>
      <c r="F92" s="7">
        <f t="shared" si="20"/>
        <v>0</v>
      </c>
      <c r="G92" s="7">
        <f t="shared" si="21"/>
        <v>0</v>
      </c>
      <c r="H92">
        <v>0</v>
      </c>
    </row>
    <row r="93" spans="1:8" ht="14">
      <c r="A93" s="6">
        <f t="shared" si="15"/>
        <v>0</v>
      </c>
      <c r="B93" s="7">
        <f t="shared" si="16"/>
        <v>0</v>
      </c>
      <c r="C93" s="7">
        <f t="shared" si="17"/>
        <v>0</v>
      </c>
      <c r="D93" s="7">
        <f t="shared" si="18"/>
        <v>0</v>
      </c>
      <c r="E93" s="7">
        <f t="shared" si="19"/>
        <v>0</v>
      </c>
      <c r="F93" s="7">
        <f t="shared" si="20"/>
        <v>0</v>
      </c>
      <c r="G93" s="7">
        <f t="shared" si="21"/>
        <v>0</v>
      </c>
      <c r="H93">
        <v>0</v>
      </c>
    </row>
    <row r="94" spans="1:8" ht="14">
      <c r="A94" s="6">
        <f t="shared" si="15"/>
        <v>0</v>
      </c>
      <c r="B94" s="7">
        <f t="shared" si="16"/>
        <v>0</v>
      </c>
      <c r="C94" s="7">
        <f t="shared" si="17"/>
        <v>0</v>
      </c>
      <c r="D94" s="7">
        <f t="shared" si="18"/>
        <v>0</v>
      </c>
      <c r="E94" s="7">
        <f t="shared" si="19"/>
        <v>0</v>
      </c>
      <c r="F94" s="7">
        <f t="shared" si="20"/>
        <v>0</v>
      </c>
      <c r="G94" s="7">
        <f t="shared" si="21"/>
        <v>0</v>
      </c>
      <c r="H94">
        <v>0</v>
      </c>
    </row>
    <row r="95" spans="1:8" ht="14">
      <c r="A95" s="6">
        <f t="shared" si="15"/>
        <v>0</v>
      </c>
      <c r="B95" s="7">
        <f t="shared" si="16"/>
        <v>0</v>
      </c>
      <c r="C95" s="7">
        <f t="shared" si="17"/>
        <v>0</v>
      </c>
      <c r="D95" s="7">
        <f t="shared" si="18"/>
        <v>0</v>
      </c>
      <c r="E95" s="7">
        <f t="shared" si="19"/>
        <v>0</v>
      </c>
      <c r="F95" s="7">
        <f t="shared" si="20"/>
        <v>0</v>
      </c>
      <c r="G95" s="7">
        <f t="shared" si="21"/>
        <v>0</v>
      </c>
      <c r="H95">
        <v>0</v>
      </c>
    </row>
    <row r="96" spans="1:8" ht="14">
      <c r="A96" s="6">
        <f t="shared" si="15"/>
        <v>0</v>
      </c>
      <c r="B96" s="7">
        <f t="shared" si="16"/>
        <v>0</v>
      </c>
      <c r="C96" s="7">
        <f t="shared" si="17"/>
        <v>0</v>
      </c>
      <c r="D96" s="7">
        <f t="shared" si="18"/>
        <v>0</v>
      </c>
      <c r="E96" s="7">
        <f t="shared" si="19"/>
        <v>0</v>
      </c>
      <c r="F96" s="7">
        <f t="shared" si="20"/>
        <v>0</v>
      </c>
      <c r="G96" s="7">
        <f t="shared" si="21"/>
        <v>0</v>
      </c>
      <c r="H96">
        <v>0</v>
      </c>
    </row>
    <row r="97" spans="1:8" ht="14">
      <c r="A97" s="6">
        <f t="shared" si="15"/>
        <v>0</v>
      </c>
      <c r="B97" s="7">
        <f t="shared" si="16"/>
        <v>0</v>
      </c>
      <c r="C97" s="7">
        <f t="shared" si="17"/>
        <v>0</v>
      </c>
      <c r="D97" s="7">
        <f t="shared" si="18"/>
        <v>0</v>
      </c>
      <c r="E97" s="7">
        <f t="shared" si="19"/>
        <v>0</v>
      </c>
      <c r="F97" s="7">
        <f t="shared" si="20"/>
        <v>0</v>
      </c>
      <c r="G97" s="7">
        <f t="shared" si="21"/>
        <v>0</v>
      </c>
      <c r="H97">
        <v>0</v>
      </c>
    </row>
    <row r="98" spans="1:8" ht="14">
      <c r="A98" s="6">
        <f t="shared" si="15"/>
        <v>0</v>
      </c>
      <c r="B98" s="7">
        <f t="shared" si="16"/>
        <v>0</v>
      </c>
      <c r="C98" s="7">
        <f t="shared" si="17"/>
        <v>0</v>
      </c>
      <c r="D98" s="7">
        <f t="shared" si="18"/>
        <v>0</v>
      </c>
      <c r="E98" s="7">
        <f t="shared" si="19"/>
        <v>0</v>
      </c>
      <c r="F98" s="7">
        <f t="shared" si="20"/>
        <v>0</v>
      </c>
      <c r="G98" s="7">
        <f t="shared" si="21"/>
        <v>0</v>
      </c>
      <c r="H98">
        <v>0</v>
      </c>
    </row>
    <row r="99" spans="1:8" ht="14">
      <c r="A99" s="6">
        <f t="shared" si="15"/>
        <v>0</v>
      </c>
      <c r="B99" s="7">
        <f t="shared" si="16"/>
        <v>0</v>
      </c>
      <c r="C99" s="7">
        <f t="shared" si="17"/>
        <v>0</v>
      </c>
      <c r="D99" s="7">
        <f t="shared" si="18"/>
        <v>0</v>
      </c>
      <c r="E99" s="7">
        <f t="shared" si="19"/>
        <v>0</v>
      </c>
      <c r="F99" s="7">
        <f t="shared" si="20"/>
        <v>0</v>
      </c>
      <c r="G99" s="7">
        <f t="shared" si="21"/>
        <v>0</v>
      </c>
      <c r="H99">
        <v>0</v>
      </c>
    </row>
    <row r="100" spans="1:8" ht="14">
      <c r="A100" s="6">
        <f t="shared" si="15"/>
        <v>0</v>
      </c>
      <c r="B100" s="7">
        <f t="shared" si="16"/>
        <v>0</v>
      </c>
      <c r="C100" s="7">
        <f t="shared" si="17"/>
        <v>0</v>
      </c>
      <c r="D100" s="7">
        <f t="shared" si="18"/>
        <v>0</v>
      </c>
      <c r="E100" s="7">
        <f t="shared" si="19"/>
        <v>0</v>
      </c>
      <c r="F100" s="7">
        <f t="shared" si="20"/>
        <v>0</v>
      </c>
      <c r="G100" s="7">
        <f t="shared" si="21"/>
        <v>0</v>
      </c>
      <c r="H100">
        <v>0</v>
      </c>
    </row>
    <row r="101" spans="1:8" ht="14">
      <c r="A101" s="6">
        <f t="shared" si="15"/>
        <v>0</v>
      </c>
      <c r="B101" s="7">
        <f t="shared" si="16"/>
        <v>0</v>
      </c>
      <c r="C101" s="7">
        <f t="shared" si="17"/>
        <v>0</v>
      </c>
      <c r="D101" s="7">
        <f t="shared" si="18"/>
        <v>0</v>
      </c>
      <c r="E101" s="7">
        <f t="shared" si="19"/>
        <v>0</v>
      </c>
      <c r="F101" s="7">
        <f t="shared" si="20"/>
        <v>0</v>
      </c>
      <c r="G101" s="7">
        <f t="shared" si="21"/>
        <v>0</v>
      </c>
      <c r="H101">
        <v>0</v>
      </c>
    </row>
    <row r="102" spans="1:8" ht="14">
      <c r="A102" s="6">
        <f t="shared" si="15"/>
        <v>0</v>
      </c>
      <c r="B102" s="7">
        <f t="shared" si="16"/>
        <v>0</v>
      </c>
      <c r="C102" s="7">
        <f t="shared" si="17"/>
        <v>0</v>
      </c>
      <c r="D102" s="7">
        <f t="shared" si="18"/>
        <v>0</v>
      </c>
      <c r="E102" s="7">
        <f t="shared" si="19"/>
        <v>0</v>
      </c>
      <c r="F102" s="7">
        <f t="shared" si="20"/>
        <v>0</v>
      </c>
      <c r="G102" s="7">
        <f t="shared" si="21"/>
        <v>0</v>
      </c>
      <c r="H102">
        <v>0</v>
      </c>
    </row>
    <row r="103" spans="1:8" ht="14">
      <c r="A103" s="6">
        <f t="shared" si="15"/>
        <v>0</v>
      </c>
      <c r="B103" s="7">
        <f t="shared" si="16"/>
        <v>0</v>
      </c>
      <c r="C103" s="7">
        <f t="shared" si="17"/>
        <v>0</v>
      </c>
      <c r="D103" s="7">
        <f t="shared" si="18"/>
        <v>0</v>
      </c>
      <c r="E103" s="7">
        <f t="shared" si="19"/>
        <v>0</v>
      </c>
      <c r="F103" s="7">
        <f t="shared" si="20"/>
        <v>0</v>
      </c>
      <c r="G103" s="7">
        <f t="shared" si="21"/>
        <v>0</v>
      </c>
      <c r="H103">
        <v>0</v>
      </c>
    </row>
    <row r="104" spans="1:8" ht="14">
      <c r="A104" s="6">
        <f t="shared" si="15"/>
        <v>0</v>
      </c>
      <c r="B104" s="7">
        <f t="shared" si="16"/>
        <v>0</v>
      </c>
      <c r="C104" s="7">
        <f t="shared" si="17"/>
        <v>0</v>
      </c>
      <c r="D104" s="7">
        <f t="shared" si="18"/>
        <v>0</v>
      </c>
      <c r="E104" s="7">
        <f t="shared" si="19"/>
        <v>0</v>
      </c>
      <c r="F104" s="7">
        <f t="shared" si="20"/>
        <v>0</v>
      </c>
      <c r="G104" s="7">
        <f t="shared" si="21"/>
        <v>0</v>
      </c>
      <c r="H104">
        <v>0</v>
      </c>
    </row>
    <row r="105" spans="1:8" ht="14">
      <c r="A105" s="6">
        <f t="shared" si="15"/>
        <v>0</v>
      </c>
      <c r="B105" s="7">
        <f t="shared" si="16"/>
        <v>0</v>
      </c>
      <c r="C105" s="7">
        <f t="shared" si="17"/>
        <v>0</v>
      </c>
      <c r="D105" s="7">
        <f t="shared" si="18"/>
        <v>0</v>
      </c>
      <c r="E105" s="7">
        <f t="shared" si="19"/>
        <v>0</v>
      </c>
      <c r="F105" s="7">
        <f t="shared" si="20"/>
        <v>0</v>
      </c>
      <c r="G105" s="7">
        <f t="shared" si="21"/>
        <v>0</v>
      </c>
      <c r="H105">
        <v>0</v>
      </c>
    </row>
    <row r="106" spans="1:8" ht="14">
      <c r="A106" s="6">
        <f t="shared" si="15"/>
        <v>0</v>
      </c>
      <c r="B106" s="7">
        <f t="shared" si="16"/>
        <v>0</v>
      </c>
      <c r="C106" s="7">
        <f t="shared" si="17"/>
        <v>0</v>
      </c>
      <c r="D106" s="7">
        <f t="shared" si="18"/>
        <v>0</v>
      </c>
      <c r="E106" s="7">
        <f t="shared" si="19"/>
        <v>0</v>
      </c>
      <c r="F106" s="7">
        <f t="shared" si="20"/>
        <v>0</v>
      </c>
      <c r="G106" s="7">
        <f t="shared" si="21"/>
        <v>0</v>
      </c>
      <c r="H106">
        <v>0</v>
      </c>
    </row>
    <row r="107" spans="1:8" ht="14">
      <c r="A107" s="6">
        <f t="shared" si="15"/>
        <v>0</v>
      </c>
      <c r="B107" s="7">
        <f t="shared" si="16"/>
        <v>0</v>
      </c>
      <c r="C107" s="7">
        <f t="shared" si="17"/>
        <v>0</v>
      </c>
      <c r="D107" s="7">
        <f t="shared" si="18"/>
        <v>0</v>
      </c>
      <c r="E107" s="7">
        <f t="shared" si="19"/>
        <v>0</v>
      </c>
      <c r="F107" s="7">
        <f t="shared" si="20"/>
        <v>0</v>
      </c>
      <c r="G107" s="7">
        <f t="shared" si="21"/>
        <v>0</v>
      </c>
      <c r="H107">
        <v>0</v>
      </c>
    </row>
    <row r="108" spans="1:8" ht="14">
      <c r="A108" s="6">
        <f t="shared" si="15"/>
        <v>0</v>
      </c>
      <c r="B108" s="7">
        <f t="shared" si="16"/>
        <v>0</v>
      </c>
      <c r="C108" s="7">
        <f t="shared" si="17"/>
        <v>0</v>
      </c>
      <c r="D108" s="7">
        <f t="shared" si="18"/>
        <v>0</v>
      </c>
      <c r="E108" s="7">
        <f t="shared" si="19"/>
        <v>0</v>
      </c>
      <c r="F108" s="7">
        <f t="shared" si="20"/>
        <v>0</v>
      </c>
      <c r="G108" s="7">
        <f t="shared" si="21"/>
        <v>0</v>
      </c>
      <c r="H108">
        <v>0</v>
      </c>
    </row>
    <row r="109" spans="1:8" ht="14">
      <c r="A109" s="6">
        <f t="shared" si="15"/>
        <v>0</v>
      </c>
      <c r="B109" s="7">
        <f t="shared" si="16"/>
        <v>0</v>
      </c>
      <c r="C109" s="7">
        <f t="shared" si="17"/>
        <v>0</v>
      </c>
      <c r="D109" s="7">
        <f t="shared" si="18"/>
        <v>0</v>
      </c>
      <c r="E109" s="7">
        <f t="shared" si="19"/>
        <v>0</v>
      </c>
      <c r="F109" s="7">
        <f t="shared" si="20"/>
        <v>0</v>
      </c>
      <c r="G109" s="7">
        <f t="shared" si="21"/>
        <v>0</v>
      </c>
      <c r="H109">
        <v>0</v>
      </c>
    </row>
    <row r="110" spans="1:8" ht="14">
      <c r="A110" s="6">
        <f t="shared" si="15"/>
        <v>0</v>
      </c>
      <c r="B110" s="7">
        <f t="shared" si="16"/>
        <v>0</v>
      </c>
      <c r="C110" s="7">
        <f t="shared" si="17"/>
        <v>0</v>
      </c>
      <c r="D110" s="7">
        <f t="shared" si="18"/>
        <v>0</v>
      </c>
      <c r="E110" s="7">
        <f t="shared" si="19"/>
        <v>0</v>
      </c>
      <c r="F110" s="7">
        <f t="shared" si="20"/>
        <v>0</v>
      </c>
      <c r="G110" s="7">
        <f t="shared" si="21"/>
        <v>0</v>
      </c>
      <c r="H110">
        <v>0</v>
      </c>
    </row>
    <row r="111" spans="1:8" ht="14">
      <c r="A111" s="6">
        <f t="shared" si="15"/>
        <v>0</v>
      </c>
      <c r="B111" s="7">
        <f t="shared" si="16"/>
        <v>0</v>
      </c>
      <c r="C111" s="7">
        <f t="shared" si="17"/>
        <v>0</v>
      </c>
      <c r="D111" s="7">
        <f t="shared" si="18"/>
        <v>0</v>
      </c>
      <c r="E111" s="7">
        <f t="shared" si="19"/>
        <v>0</v>
      </c>
      <c r="F111" s="7">
        <f t="shared" si="20"/>
        <v>0</v>
      </c>
      <c r="G111" s="7">
        <f t="shared" si="21"/>
        <v>0</v>
      </c>
      <c r="H111">
        <v>0</v>
      </c>
    </row>
    <row r="112" spans="1:8" ht="14">
      <c r="A112" s="6">
        <f t="shared" si="15"/>
        <v>0</v>
      </c>
      <c r="B112" s="7">
        <f t="shared" si="16"/>
        <v>0</v>
      </c>
      <c r="C112" s="7">
        <f t="shared" si="17"/>
        <v>0</v>
      </c>
      <c r="D112" s="7">
        <f t="shared" si="18"/>
        <v>0</v>
      </c>
      <c r="E112" s="7">
        <f t="shared" si="19"/>
        <v>0</v>
      </c>
      <c r="F112" s="7">
        <f t="shared" si="20"/>
        <v>0</v>
      </c>
      <c r="G112" s="7">
        <f t="shared" si="21"/>
        <v>0</v>
      </c>
      <c r="H112">
        <v>0</v>
      </c>
    </row>
    <row r="113" spans="1:8" ht="14">
      <c r="A113" s="6">
        <f t="shared" si="15"/>
        <v>0</v>
      </c>
      <c r="B113" s="7">
        <f t="shared" si="16"/>
        <v>0</v>
      </c>
      <c r="C113" s="7">
        <f t="shared" si="17"/>
        <v>0</v>
      </c>
      <c r="D113" s="7">
        <f t="shared" si="18"/>
        <v>0</v>
      </c>
      <c r="E113" s="7">
        <f t="shared" si="19"/>
        <v>0</v>
      </c>
      <c r="F113" s="7">
        <f t="shared" si="20"/>
        <v>0</v>
      </c>
      <c r="G113" s="7">
        <f t="shared" si="21"/>
        <v>0</v>
      </c>
      <c r="H113">
        <v>0</v>
      </c>
    </row>
    <row r="114" spans="1:8" ht="14">
      <c r="A114" s="6">
        <f t="shared" si="15"/>
        <v>0</v>
      </c>
      <c r="B114" s="7">
        <f t="shared" si="16"/>
        <v>0</v>
      </c>
      <c r="C114" s="7">
        <f t="shared" si="17"/>
        <v>0</v>
      </c>
      <c r="D114" s="7">
        <f t="shared" si="18"/>
        <v>0</v>
      </c>
      <c r="E114" s="7">
        <f t="shared" si="19"/>
        <v>0</v>
      </c>
      <c r="F114" s="7">
        <f t="shared" si="20"/>
        <v>0</v>
      </c>
      <c r="G114" s="7">
        <f t="shared" si="21"/>
        <v>0</v>
      </c>
      <c r="H114">
        <v>0</v>
      </c>
    </row>
    <row r="115" spans="1:8" ht="14">
      <c r="A115" s="6">
        <f t="shared" si="15"/>
        <v>0</v>
      </c>
      <c r="B115" s="7">
        <f t="shared" si="16"/>
        <v>0</v>
      </c>
      <c r="C115" s="7">
        <f t="shared" si="17"/>
        <v>0</v>
      </c>
      <c r="D115" s="7">
        <f t="shared" si="18"/>
        <v>0</v>
      </c>
      <c r="E115" s="7">
        <f t="shared" si="19"/>
        <v>0</v>
      </c>
      <c r="F115" s="7">
        <f t="shared" si="20"/>
        <v>0</v>
      </c>
      <c r="G115" s="7">
        <f t="shared" si="21"/>
        <v>0</v>
      </c>
      <c r="H115">
        <v>0</v>
      </c>
    </row>
    <row r="116" spans="1:8" ht="14">
      <c r="A116" s="6">
        <f t="shared" si="15"/>
        <v>0</v>
      </c>
      <c r="B116" s="7">
        <f t="shared" si="16"/>
        <v>0</v>
      </c>
      <c r="C116" s="7">
        <f t="shared" si="17"/>
        <v>0</v>
      </c>
      <c r="D116" s="7">
        <f t="shared" si="18"/>
        <v>0</v>
      </c>
      <c r="E116" s="7">
        <f t="shared" si="19"/>
        <v>0</v>
      </c>
      <c r="F116" s="7">
        <f t="shared" si="20"/>
        <v>0</v>
      </c>
      <c r="G116" s="7">
        <f t="shared" si="21"/>
        <v>0</v>
      </c>
      <c r="H116">
        <v>0</v>
      </c>
    </row>
    <row r="117" spans="1:8" ht="14">
      <c r="A117" s="6">
        <f t="shared" si="15"/>
        <v>0</v>
      </c>
      <c r="B117" s="7">
        <f t="shared" si="16"/>
        <v>0</v>
      </c>
      <c r="C117" s="7">
        <f t="shared" si="17"/>
        <v>0</v>
      </c>
      <c r="D117" s="7">
        <f t="shared" si="18"/>
        <v>0</v>
      </c>
      <c r="E117" s="7">
        <f t="shared" si="19"/>
        <v>0</v>
      </c>
      <c r="F117" s="7">
        <f t="shared" si="20"/>
        <v>0</v>
      </c>
      <c r="G117" s="7">
        <f t="shared" si="21"/>
        <v>0</v>
      </c>
      <c r="H117">
        <v>0</v>
      </c>
    </row>
    <row r="118" spans="1:8" ht="14">
      <c r="A118" s="6">
        <f t="shared" si="15"/>
        <v>0</v>
      </c>
      <c r="B118" s="7">
        <f t="shared" si="16"/>
        <v>0</v>
      </c>
      <c r="C118" s="7">
        <f t="shared" si="17"/>
        <v>0</v>
      </c>
      <c r="D118" s="7">
        <f t="shared" si="18"/>
        <v>0</v>
      </c>
      <c r="E118" s="7">
        <f t="shared" si="19"/>
        <v>0</v>
      </c>
      <c r="F118" s="7">
        <f t="shared" si="20"/>
        <v>0</v>
      </c>
      <c r="G118" s="7">
        <f t="shared" si="21"/>
        <v>0</v>
      </c>
      <c r="H118">
        <v>0</v>
      </c>
    </row>
    <row r="119" spans="1:8" ht="14">
      <c r="A119" s="6">
        <f t="shared" si="15"/>
        <v>0</v>
      </c>
      <c r="B119" s="7">
        <f t="shared" si="16"/>
        <v>0</v>
      </c>
      <c r="C119" s="7">
        <f t="shared" si="17"/>
        <v>0</v>
      </c>
      <c r="D119" s="7">
        <f t="shared" si="18"/>
        <v>0</v>
      </c>
      <c r="E119" s="7">
        <f t="shared" si="19"/>
        <v>0</v>
      </c>
      <c r="F119" s="7">
        <f t="shared" si="20"/>
        <v>0</v>
      </c>
      <c r="G119" s="7">
        <f t="shared" si="21"/>
        <v>0</v>
      </c>
      <c r="H119">
        <v>0</v>
      </c>
    </row>
    <row r="120" spans="1:8" ht="14">
      <c r="A120" s="6">
        <f t="shared" si="15"/>
        <v>0</v>
      </c>
      <c r="B120" s="7">
        <f t="shared" si="16"/>
        <v>0</v>
      </c>
      <c r="C120" s="7">
        <f t="shared" si="17"/>
        <v>0</v>
      </c>
      <c r="D120" s="7">
        <f t="shared" si="18"/>
        <v>0</v>
      </c>
      <c r="E120" s="7">
        <f t="shared" si="19"/>
        <v>0</v>
      </c>
      <c r="F120" s="7">
        <f t="shared" si="20"/>
        <v>0</v>
      </c>
      <c r="G120" s="7">
        <f t="shared" si="21"/>
        <v>0</v>
      </c>
      <c r="H120">
        <v>0</v>
      </c>
    </row>
    <row r="121" spans="1:8" ht="14">
      <c r="A121" s="6">
        <f t="shared" si="15"/>
        <v>0</v>
      </c>
      <c r="B121" s="7">
        <f t="shared" si="16"/>
        <v>0</v>
      </c>
      <c r="C121" s="7">
        <f t="shared" si="17"/>
        <v>0</v>
      </c>
      <c r="D121" s="7">
        <f t="shared" si="18"/>
        <v>0</v>
      </c>
      <c r="E121" s="7">
        <f t="shared" si="19"/>
        <v>0</v>
      </c>
      <c r="F121" s="7">
        <f t="shared" si="20"/>
        <v>0</v>
      </c>
      <c r="G121" s="7">
        <f t="shared" si="21"/>
        <v>0</v>
      </c>
      <c r="H121">
        <v>0</v>
      </c>
    </row>
    <row r="122" spans="1:8" ht="14">
      <c r="A122" s="6">
        <f t="shared" si="15"/>
        <v>0</v>
      </c>
      <c r="B122" s="7">
        <f t="shared" si="16"/>
        <v>0</v>
      </c>
      <c r="C122" s="7">
        <f t="shared" si="17"/>
        <v>0</v>
      </c>
      <c r="D122" s="7">
        <f t="shared" si="18"/>
        <v>0</v>
      </c>
      <c r="E122" s="7">
        <f t="shared" si="19"/>
        <v>0</v>
      </c>
      <c r="F122" s="7">
        <f t="shared" si="20"/>
        <v>0</v>
      </c>
      <c r="G122" s="7">
        <f t="shared" si="21"/>
        <v>0</v>
      </c>
      <c r="H122">
        <v>0</v>
      </c>
    </row>
    <row r="123" spans="1:8" ht="14">
      <c r="A123" s="6">
        <f t="shared" si="15"/>
        <v>0</v>
      </c>
      <c r="B123" s="7">
        <f t="shared" si="16"/>
        <v>0</v>
      </c>
      <c r="C123" s="7">
        <f t="shared" si="17"/>
        <v>0</v>
      </c>
      <c r="D123" s="7">
        <f t="shared" si="18"/>
        <v>0</v>
      </c>
      <c r="E123" s="7">
        <f t="shared" si="19"/>
        <v>0</v>
      </c>
      <c r="F123" s="7">
        <f t="shared" si="20"/>
        <v>0</v>
      </c>
      <c r="G123" s="7">
        <f t="shared" si="21"/>
        <v>0</v>
      </c>
      <c r="H123">
        <v>0</v>
      </c>
    </row>
    <row r="124" spans="1:8" ht="14">
      <c r="A124" s="6">
        <f t="shared" si="15"/>
        <v>0</v>
      </c>
      <c r="B124" s="7">
        <f t="shared" si="16"/>
        <v>0</v>
      </c>
      <c r="C124" s="7">
        <f t="shared" si="17"/>
        <v>0</v>
      </c>
      <c r="D124" s="7">
        <f t="shared" si="18"/>
        <v>0</v>
      </c>
      <c r="E124" s="7">
        <f t="shared" si="19"/>
        <v>0</v>
      </c>
      <c r="F124" s="7">
        <f t="shared" si="20"/>
        <v>0</v>
      </c>
      <c r="G124" s="7">
        <f t="shared" si="21"/>
        <v>0</v>
      </c>
      <c r="H124">
        <v>0</v>
      </c>
    </row>
    <row r="125" spans="1:8" ht="14">
      <c r="A125" s="6">
        <f t="shared" si="15"/>
        <v>0</v>
      </c>
      <c r="B125" s="7">
        <f t="shared" si="16"/>
        <v>0</v>
      </c>
      <c r="C125" s="7">
        <f t="shared" si="17"/>
        <v>0</v>
      </c>
      <c r="D125" s="7">
        <f t="shared" si="18"/>
        <v>0</v>
      </c>
      <c r="E125" s="7">
        <f t="shared" si="19"/>
        <v>0</v>
      </c>
      <c r="F125" s="7">
        <f t="shared" si="20"/>
        <v>0</v>
      </c>
      <c r="G125" s="7">
        <f t="shared" si="21"/>
        <v>0</v>
      </c>
      <c r="H125">
        <v>0</v>
      </c>
    </row>
    <row r="126" spans="1:8" ht="14">
      <c r="A126" s="6">
        <f t="shared" si="15"/>
        <v>0</v>
      </c>
      <c r="B126" s="7">
        <f t="shared" si="16"/>
        <v>0</v>
      </c>
      <c r="C126" s="7">
        <f t="shared" si="17"/>
        <v>0</v>
      </c>
      <c r="D126" s="7">
        <f t="shared" si="18"/>
        <v>0</v>
      </c>
      <c r="E126" s="7">
        <f t="shared" si="19"/>
        <v>0</v>
      </c>
      <c r="F126" s="7">
        <f t="shared" si="20"/>
        <v>0</v>
      </c>
      <c r="G126" s="7">
        <f t="shared" si="21"/>
        <v>0</v>
      </c>
      <c r="H126">
        <v>0</v>
      </c>
    </row>
    <row r="127" spans="1:8" ht="14">
      <c r="A127" s="6">
        <f t="shared" si="15"/>
        <v>0</v>
      </c>
      <c r="B127" s="7">
        <f t="shared" si="16"/>
        <v>0</v>
      </c>
      <c r="C127" s="7">
        <f t="shared" si="17"/>
        <v>0</v>
      </c>
      <c r="D127" s="7">
        <f t="shared" si="18"/>
        <v>0</v>
      </c>
      <c r="E127" s="7">
        <f t="shared" si="19"/>
        <v>0</v>
      </c>
      <c r="F127" s="7">
        <f t="shared" si="20"/>
        <v>0</v>
      </c>
      <c r="G127" s="7">
        <f t="shared" si="21"/>
        <v>0</v>
      </c>
      <c r="H127">
        <v>0</v>
      </c>
    </row>
    <row r="128" spans="1:8" ht="14">
      <c r="A128" s="6">
        <f t="shared" si="15"/>
        <v>0</v>
      </c>
      <c r="B128" s="7">
        <f t="shared" si="16"/>
        <v>0</v>
      </c>
      <c r="C128" s="7">
        <f t="shared" si="17"/>
        <v>0</v>
      </c>
      <c r="D128" s="7">
        <f t="shared" si="18"/>
        <v>0</v>
      </c>
      <c r="E128" s="7">
        <f t="shared" si="19"/>
        <v>0</v>
      </c>
      <c r="F128" s="7">
        <f t="shared" si="20"/>
        <v>0</v>
      </c>
      <c r="G128" s="7">
        <f t="shared" si="21"/>
        <v>0</v>
      </c>
      <c r="H128">
        <v>0</v>
      </c>
    </row>
    <row r="129" spans="1:8" ht="14">
      <c r="A129" s="6">
        <f t="shared" si="15"/>
        <v>0</v>
      </c>
      <c r="B129" s="7">
        <f t="shared" si="16"/>
        <v>0</v>
      </c>
      <c r="C129" s="7">
        <f t="shared" si="17"/>
        <v>0</v>
      </c>
      <c r="D129" s="7">
        <f t="shared" si="18"/>
        <v>0</v>
      </c>
      <c r="E129" s="7">
        <f t="shared" si="19"/>
        <v>0</v>
      </c>
      <c r="F129" s="7">
        <f t="shared" si="20"/>
        <v>0</v>
      </c>
      <c r="G129" s="7">
        <f t="shared" si="21"/>
        <v>0</v>
      </c>
      <c r="H129">
        <v>0</v>
      </c>
    </row>
    <row r="130" spans="1:8" ht="14">
      <c r="A130" s="6">
        <f t="shared" si="15"/>
        <v>0</v>
      </c>
      <c r="B130" s="7">
        <f t="shared" si="16"/>
        <v>0</v>
      </c>
      <c r="C130" s="7">
        <f t="shared" si="17"/>
        <v>0</v>
      </c>
      <c r="D130" s="7">
        <f t="shared" si="18"/>
        <v>0</v>
      </c>
      <c r="E130" s="7">
        <f t="shared" si="19"/>
        <v>0</v>
      </c>
      <c r="F130" s="7">
        <f t="shared" si="20"/>
        <v>0</v>
      </c>
      <c r="G130" s="7">
        <f t="shared" si="21"/>
        <v>0</v>
      </c>
      <c r="H130">
        <v>0</v>
      </c>
    </row>
    <row r="131" spans="1:8" ht="14">
      <c r="A131" s="6">
        <f t="shared" ref="A131:A194" si="22">IF(ISERROR(TTIEN_HDON-TTIEN_BAN),0,TTIEN_HDON-TTIEN_BAN)</f>
        <v>0</v>
      </c>
      <c r="B131" s="7">
        <f t="shared" ref="B131:B194" si="23">IF(ISERROR(IF(GIA_NHAP="",IF(GIA_1="",GIA_2*SL,GIA_1*SL),GIA_NHAP*SL)),0,IF(GIA_NHAP="",IF(GIA_1="",GIA_2*SL,GIA_1*SL),GIA_NHAP*SL))</f>
        <v>0</v>
      </c>
      <c r="C131" s="7">
        <f t="shared" ref="C131:C194" si="24">IF(ISERROR(TTIEN_NHAP*(1+VAT_dauvao)),TTIEN_NHAP,TTIEN_NHAP*(1+VAT_dauvao))</f>
        <v>0</v>
      </c>
      <c r="D131" s="7">
        <f t="shared" ref="D131:D194" si="25">IF(ISERROR(IF(AND(VAT_dauvao="K",VAT_daura&lt;&gt;"K"),TTIEN_NHAP*25%,0)),0,IF(AND(VAT_dauvao="K",VAT_daura&lt;&gt;"K"),TTIEN_NHAP*25%,0))</f>
        <v>0</v>
      </c>
      <c r="E131" s="7">
        <f t="shared" ref="E131:E194" si="26">IF(ISERROR(IF(GIA_1="",IF(GIA_2="",GIA_NHAP*SL,GIA_2*SL),GIA_1*SL)),0,IF(GIA_1="",IF(GIA_2="",GIA_NHAP*SL,GIA_2*SL),GIA_1*SL))</f>
        <v>0</v>
      </c>
      <c r="F131" s="7">
        <f t="shared" ref="F131:F194" si="27">IF(ISERROR(IF(VAT_daura="K",TTIEN_NHAP*VAT_dauvao,0)),0,IF(VAT_daura="K",TTIEN_NHAP*VAT_dauvao,0))</f>
        <v>0</v>
      </c>
      <c r="G131" s="7">
        <f t="shared" ref="G131:G194" si="28">IF(ISERROR(IF(GIA_2="",IF(GIA_1="",GIA_NHAP*SL,GIA_1*SL),GIA_2*SL)),0,IF(GIA_2="",IF(GIA_1="",GIA_NHAP*SL,GIA_1*SL),GIA_2*SL))</f>
        <v>0</v>
      </c>
      <c r="H131" s="7">
        <f t="shared" ref="H131:H194" si="29">IF(ISERROR(TTIEN_HDON*(1+VAT_daura)),TTIEN_HDON,TTIEN_HDON*(1+VAT_daura))</f>
        <v>0</v>
      </c>
    </row>
    <row r="132" spans="1:8" ht="14">
      <c r="A132" s="6">
        <f t="shared" si="22"/>
        <v>0</v>
      </c>
      <c r="B132" s="7">
        <f t="shared" si="23"/>
        <v>0</v>
      </c>
      <c r="C132" s="7">
        <f t="shared" si="24"/>
        <v>0</v>
      </c>
      <c r="D132" s="7">
        <f t="shared" si="25"/>
        <v>0</v>
      </c>
      <c r="E132" s="7">
        <f t="shared" si="26"/>
        <v>0</v>
      </c>
      <c r="F132" s="7">
        <f t="shared" si="27"/>
        <v>0</v>
      </c>
      <c r="G132" s="7">
        <f t="shared" si="28"/>
        <v>0</v>
      </c>
      <c r="H132" s="7">
        <f t="shared" si="29"/>
        <v>0</v>
      </c>
    </row>
    <row r="133" spans="1:8" ht="14">
      <c r="A133" s="6">
        <f t="shared" si="22"/>
        <v>0</v>
      </c>
      <c r="B133" s="7">
        <f t="shared" si="23"/>
        <v>0</v>
      </c>
      <c r="C133" s="7">
        <f t="shared" si="24"/>
        <v>0</v>
      </c>
      <c r="D133" s="7">
        <f t="shared" si="25"/>
        <v>0</v>
      </c>
      <c r="E133" s="7">
        <f t="shared" si="26"/>
        <v>0</v>
      </c>
      <c r="F133" s="7">
        <f t="shared" si="27"/>
        <v>0</v>
      </c>
      <c r="G133" s="7">
        <f t="shared" si="28"/>
        <v>0</v>
      </c>
      <c r="H133" s="7">
        <f t="shared" si="29"/>
        <v>0</v>
      </c>
    </row>
    <row r="134" spans="1:8" ht="14">
      <c r="A134" s="6">
        <f t="shared" si="22"/>
        <v>0</v>
      </c>
      <c r="B134" s="7">
        <f t="shared" si="23"/>
        <v>0</v>
      </c>
      <c r="C134" s="7">
        <f t="shared" si="24"/>
        <v>0</v>
      </c>
      <c r="D134" s="7">
        <f t="shared" si="25"/>
        <v>0</v>
      </c>
      <c r="E134" s="7">
        <f t="shared" si="26"/>
        <v>0</v>
      </c>
      <c r="F134" s="7">
        <f t="shared" si="27"/>
        <v>0</v>
      </c>
      <c r="G134" s="7">
        <f t="shared" si="28"/>
        <v>0</v>
      </c>
      <c r="H134" s="7">
        <f t="shared" si="29"/>
        <v>0</v>
      </c>
    </row>
    <row r="135" spans="1:8" ht="14">
      <c r="A135" s="6">
        <f t="shared" si="22"/>
        <v>0</v>
      </c>
      <c r="B135" s="7">
        <f t="shared" si="23"/>
        <v>0</v>
      </c>
      <c r="C135" s="7">
        <f t="shared" si="24"/>
        <v>0</v>
      </c>
      <c r="D135" s="7">
        <f t="shared" si="25"/>
        <v>0</v>
      </c>
      <c r="E135" s="7">
        <f t="shared" si="26"/>
        <v>0</v>
      </c>
      <c r="F135" s="7">
        <f t="shared" si="27"/>
        <v>0</v>
      </c>
      <c r="G135" s="7">
        <f t="shared" si="28"/>
        <v>0</v>
      </c>
      <c r="H135" s="7">
        <f t="shared" si="29"/>
        <v>0</v>
      </c>
    </row>
    <row r="136" spans="1:8" ht="14">
      <c r="A136" s="6">
        <f t="shared" si="22"/>
        <v>0</v>
      </c>
      <c r="B136" s="7">
        <f t="shared" si="23"/>
        <v>0</v>
      </c>
      <c r="C136" s="7">
        <f t="shared" si="24"/>
        <v>0</v>
      </c>
      <c r="D136" s="7">
        <f t="shared" si="25"/>
        <v>0</v>
      </c>
      <c r="E136" s="7">
        <f t="shared" si="26"/>
        <v>0</v>
      </c>
      <c r="F136" s="7">
        <f t="shared" si="27"/>
        <v>0</v>
      </c>
      <c r="G136" s="7">
        <f t="shared" si="28"/>
        <v>0</v>
      </c>
      <c r="H136" s="7">
        <f t="shared" si="29"/>
        <v>0</v>
      </c>
    </row>
    <row r="137" spans="1:8" ht="14">
      <c r="A137" s="6">
        <f t="shared" si="22"/>
        <v>0</v>
      </c>
      <c r="B137" s="7">
        <f t="shared" si="23"/>
        <v>0</v>
      </c>
      <c r="C137" s="7">
        <f t="shared" si="24"/>
        <v>0</v>
      </c>
      <c r="D137" s="7">
        <f t="shared" si="25"/>
        <v>0</v>
      </c>
      <c r="E137" s="7">
        <f t="shared" si="26"/>
        <v>0</v>
      </c>
      <c r="F137" s="7">
        <f t="shared" si="27"/>
        <v>0</v>
      </c>
      <c r="G137" s="7">
        <f t="shared" si="28"/>
        <v>0</v>
      </c>
      <c r="H137" s="7">
        <f t="shared" si="29"/>
        <v>0</v>
      </c>
    </row>
    <row r="138" spans="1:8" ht="14">
      <c r="A138" s="6">
        <f t="shared" si="22"/>
        <v>0</v>
      </c>
      <c r="B138" s="7">
        <f t="shared" si="23"/>
        <v>0</v>
      </c>
      <c r="C138" s="7">
        <f t="shared" si="24"/>
        <v>0</v>
      </c>
      <c r="D138" s="7">
        <f t="shared" si="25"/>
        <v>0</v>
      </c>
      <c r="E138" s="7">
        <f t="shared" si="26"/>
        <v>0</v>
      </c>
      <c r="F138" s="7">
        <f t="shared" si="27"/>
        <v>0</v>
      </c>
      <c r="G138" s="7">
        <f t="shared" si="28"/>
        <v>0</v>
      </c>
      <c r="H138" s="7">
        <f t="shared" si="29"/>
        <v>0</v>
      </c>
    </row>
    <row r="139" spans="1:8" ht="14">
      <c r="A139" s="6">
        <f t="shared" si="22"/>
        <v>0</v>
      </c>
      <c r="B139" s="7">
        <f t="shared" si="23"/>
        <v>0</v>
      </c>
      <c r="C139" s="7">
        <f t="shared" si="24"/>
        <v>0</v>
      </c>
      <c r="D139" s="7">
        <f t="shared" si="25"/>
        <v>0</v>
      </c>
      <c r="E139" s="7">
        <f t="shared" si="26"/>
        <v>0</v>
      </c>
      <c r="F139" s="7">
        <f t="shared" si="27"/>
        <v>0</v>
      </c>
      <c r="G139" s="7">
        <f t="shared" si="28"/>
        <v>0</v>
      </c>
      <c r="H139" s="7">
        <f t="shared" si="29"/>
        <v>0</v>
      </c>
    </row>
    <row r="140" spans="1:8" ht="14">
      <c r="A140" s="6">
        <f t="shared" si="22"/>
        <v>0</v>
      </c>
      <c r="B140" s="7">
        <f t="shared" si="23"/>
        <v>0</v>
      </c>
      <c r="C140" s="7">
        <f t="shared" si="24"/>
        <v>0</v>
      </c>
      <c r="D140" s="7">
        <f t="shared" si="25"/>
        <v>0</v>
      </c>
      <c r="E140" s="7">
        <f t="shared" si="26"/>
        <v>0</v>
      </c>
      <c r="F140" s="7">
        <f t="shared" si="27"/>
        <v>0</v>
      </c>
      <c r="G140" s="7">
        <f t="shared" si="28"/>
        <v>0</v>
      </c>
      <c r="H140" s="7">
        <f t="shared" si="29"/>
        <v>0</v>
      </c>
    </row>
    <row r="141" spans="1:8" ht="14">
      <c r="A141" s="6">
        <f t="shared" si="22"/>
        <v>0</v>
      </c>
      <c r="B141" s="7">
        <f t="shared" si="23"/>
        <v>0</v>
      </c>
      <c r="C141" s="7">
        <f t="shared" si="24"/>
        <v>0</v>
      </c>
      <c r="D141" s="7">
        <f t="shared" si="25"/>
        <v>0</v>
      </c>
      <c r="E141" s="7">
        <f t="shared" si="26"/>
        <v>0</v>
      </c>
      <c r="F141" s="7">
        <f t="shared" si="27"/>
        <v>0</v>
      </c>
      <c r="G141" s="7">
        <f t="shared" si="28"/>
        <v>0</v>
      </c>
      <c r="H141" s="7">
        <f t="shared" si="29"/>
        <v>0</v>
      </c>
    </row>
    <row r="142" spans="1:8" ht="14">
      <c r="A142" s="6">
        <f t="shared" si="22"/>
        <v>0</v>
      </c>
      <c r="B142" s="7">
        <f t="shared" si="23"/>
        <v>0</v>
      </c>
      <c r="C142" s="7">
        <f t="shared" si="24"/>
        <v>0</v>
      </c>
      <c r="D142" s="7">
        <f t="shared" si="25"/>
        <v>0</v>
      </c>
      <c r="E142" s="7">
        <f t="shared" si="26"/>
        <v>0</v>
      </c>
      <c r="F142" s="7">
        <f t="shared" si="27"/>
        <v>0</v>
      </c>
      <c r="G142" s="7">
        <f t="shared" si="28"/>
        <v>0</v>
      </c>
      <c r="H142" s="7">
        <f t="shared" si="29"/>
        <v>0</v>
      </c>
    </row>
    <row r="143" spans="1:8" ht="14">
      <c r="A143" s="6">
        <f t="shared" si="22"/>
        <v>0</v>
      </c>
      <c r="B143" s="7">
        <f t="shared" si="23"/>
        <v>0</v>
      </c>
      <c r="C143" s="7">
        <f t="shared" si="24"/>
        <v>0</v>
      </c>
      <c r="D143" s="7">
        <f t="shared" si="25"/>
        <v>0</v>
      </c>
      <c r="E143" s="7">
        <f t="shared" si="26"/>
        <v>0</v>
      </c>
      <c r="F143" s="7">
        <f t="shared" si="27"/>
        <v>0</v>
      </c>
      <c r="G143" s="7">
        <f t="shared" si="28"/>
        <v>0</v>
      </c>
      <c r="H143" s="7">
        <f t="shared" si="29"/>
        <v>0</v>
      </c>
    </row>
    <row r="144" spans="1:8" ht="14">
      <c r="A144" s="6">
        <f t="shared" si="22"/>
        <v>0</v>
      </c>
      <c r="B144" s="7">
        <f t="shared" si="23"/>
        <v>0</v>
      </c>
      <c r="C144" s="7">
        <f t="shared" si="24"/>
        <v>0</v>
      </c>
      <c r="D144" s="7">
        <f t="shared" si="25"/>
        <v>0</v>
      </c>
      <c r="E144" s="7">
        <f t="shared" si="26"/>
        <v>0</v>
      </c>
      <c r="F144" s="7">
        <f t="shared" si="27"/>
        <v>0</v>
      </c>
      <c r="G144" s="7">
        <f t="shared" si="28"/>
        <v>0</v>
      </c>
      <c r="H144" s="7">
        <f t="shared" si="29"/>
        <v>0</v>
      </c>
    </row>
    <row r="145" spans="1:8" ht="14">
      <c r="A145" s="6">
        <f t="shared" si="22"/>
        <v>0</v>
      </c>
      <c r="B145" s="7">
        <f t="shared" si="23"/>
        <v>0</v>
      </c>
      <c r="C145" s="7">
        <f t="shared" si="24"/>
        <v>0</v>
      </c>
      <c r="D145" s="7">
        <f t="shared" si="25"/>
        <v>0</v>
      </c>
      <c r="E145" s="7">
        <f t="shared" si="26"/>
        <v>0</v>
      </c>
      <c r="F145" s="7">
        <f t="shared" si="27"/>
        <v>0</v>
      </c>
      <c r="G145" s="7">
        <f t="shared" si="28"/>
        <v>0</v>
      </c>
      <c r="H145" s="7">
        <f t="shared" si="29"/>
        <v>0</v>
      </c>
    </row>
    <row r="146" spans="1:8" ht="14">
      <c r="A146" s="6">
        <f t="shared" si="22"/>
        <v>0</v>
      </c>
      <c r="B146" s="7">
        <f t="shared" si="23"/>
        <v>0</v>
      </c>
      <c r="C146" s="7">
        <f t="shared" si="24"/>
        <v>0</v>
      </c>
      <c r="D146" s="7">
        <f t="shared" si="25"/>
        <v>0</v>
      </c>
      <c r="E146" s="7">
        <f t="shared" si="26"/>
        <v>0</v>
      </c>
      <c r="F146" s="7">
        <f t="shared" si="27"/>
        <v>0</v>
      </c>
      <c r="G146" s="7">
        <f t="shared" si="28"/>
        <v>0</v>
      </c>
      <c r="H146" s="7">
        <f t="shared" si="29"/>
        <v>0</v>
      </c>
    </row>
    <row r="147" spans="1:8" ht="14">
      <c r="A147" s="6">
        <f t="shared" si="22"/>
        <v>0</v>
      </c>
      <c r="B147" s="7">
        <f t="shared" si="23"/>
        <v>0</v>
      </c>
      <c r="C147" s="7">
        <f t="shared" si="24"/>
        <v>0</v>
      </c>
      <c r="D147" s="7">
        <f t="shared" si="25"/>
        <v>0</v>
      </c>
      <c r="E147" s="7">
        <f t="shared" si="26"/>
        <v>0</v>
      </c>
      <c r="F147" s="7">
        <f t="shared" si="27"/>
        <v>0</v>
      </c>
      <c r="G147" s="7">
        <f t="shared" si="28"/>
        <v>0</v>
      </c>
      <c r="H147" s="7">
        <f t="shared" si="29"/>
        <v>0</v>
      </c>
    </row>
    <row r="148" spans="1:8" ht="14">
      <c r="A148" s="6">
        <f t="shared" si="22"/>
        <v>0</v>
      </c>
      <c r="B148" s="7">
        <f t="shared" si="23"/>
        <v>0</v>
      </c>
      <c r="C148" s="7">
        <f t="shared" si="24"/>
        <v>0</v>
      </c>
      <c r="D148" s="7">
        <f t="shared" si="25"/>
        <v>0</v>
      </c>
      <c r="E148" s="7">
        <f t="shared" si="26"/>
        <v>0</v>
      </c>
      <c r="F148" s="7">
        <f t="shared" si="27"/>
        <v>0</v>
      </c>
      <c r="G148" s="7">
        <f t="shared" si="28"/>
        <v>0</v>
      </c>
      <c r="H148" s="7">
        <f t="shared" si="29"/>
        <v>0</v>
      </c>
    </row>
    <row r="149" spans="1:8" ht="14">
      <c r="A149" s="6">
        <f t="shared" si="22"/>
        <v>0</v>
      </c>
      <c r="B149" s="7">
        <f t="shared" si="23"/>
        <v>0</v>
      </c>
      <c r="C149" s="7">
        <f t="shared" si="24"/>
        <v>0</v>
      </c>
      <c r="D149" s="7">
        <f t="shared" si="25"/>
        <v>0</v>
      </c>
      <c r="E149" s="7">
        <f t="shared" si="26"/>
        <v>0</v>
      </c>
      <c r="F149" s="7">
        <f t="shared" si="27"/>
        <v>0</v>
      </c>
      <c r="G149" s="7">
        <f t="shared" si="28"/>
        <v>0</v>
      </c>
      <c r="H149" s="7">
        <f t="shared" si="29"/>
        <v>0</v>
      </c>
    </row>
    <row r="150" spans="1:8" ht="14">
      <c r="A150" s="6">
        <f t="shared" si="22"/>
        <v>0</v>
      </c>
      <c r="B150" s="7">
        <f t="shared" si="23"/>
        <v>0</v>
      </c>
      <c r="C150" s="7">
        <f t="shared" si="24"/>
        <v>0</v>
      </c>
      <c r="D150" s="7">
        <f t="shared" si="25"/>
        <v>0</v>
      </c>
      <c r="E150" s="7">
        <f t="shared" si="26"/>
        <v>0</v>
      </c>
      <c r="F150" s="7">
        <f t="shared" si="27"/>
        <v>0</v>
      </c>
      <c r="G150" s="7">
        <f t="shared" si="28"/>
        <v>0</v>
      </c>
      <c r="H150" s="7">
        <f t="shared" si="29"/>
        <v>0</v>
      </c>
    </row>
    <row r="151" spans="1:8" ht="14">
      <c r="A151" s="6">
        <f t="shared" si="22"/>
        <v>0</v>
      </c>
      <c r="B151" s="7">
        <f t="shared" si="23"/>
        <v>0</v>
      </c>
      <c r="C151" s="7">
        <f t="shared" si="24"/>
        <v>0</v>
      </c>
      <c r="D151" s="7">
        <f t="shared" si="25"/>
        <v>0</v>
      </c>
      <c r="E151" s="7">
        <f t="shared" si="26"/>
        <v>0</v>
      </c>
      <c r="F151" s="7">
        <f t="shared" si="27"/>
        <v>0</v>
      </c>
      <c r="G151" s="7">
        <f t="shared" si="28"/>
        <v>0</v>
      </c>
      <c r="H151" s="7">
        <f t="shared" si="29"/>
        <v>0</v>
      </c>
    </row>
    <row r="152" spans="1:8" ht="14">
      <c r="A152" s="6">
        <f t="shared" si="22"/>
        <v>0</v>
      </c>
      <c r="B152" s="7">
        <f t="shared" si="23"/>
        <v>0</v>
      </c>
      <c r="C152" s="7">
        <f t="shared" si="24"/>
        <v>0</v>
      </c>
      <c r="D152" s="7">
        <f t="shared" si="25"/>
        <v>0</v>
      </c>
      <c r="E152" s="7">
        <f t="shared" si="26"/>
        <v>0</v>
      </c>
      <c r="F152" s="7">
        <f t="shared" si="27"/>
        <v>0</v>
      </c>
      <c r="G152" s="7">
        <f t="shared" si="28"/>
        <v>0</v>
      </c>
      <c r="H152" s="7">
        <f t="shared" si="29"/>
        <v>0</v>
      </c>
    </row>
    <row r="153" spans="1:8" ht="14">
      <c r="A153" s="6">
        <f t="shared" si="22"/>
        <v>0</v>
      </c>
      <c r="B153" s="7">
        <f t="shared" si="23"/>
        <v>0</v>
      </c>
      <c r="C153" s="7">
        <f t="shared" si="24"/>
        <v>0</v>
      </c>
      <c r="D153" s="7">
        <f t="shared" si="25"/>
        <v>0</v>
      </c>
      <c r="E153" s="7">
        <f t="shared" si="26"/>
        <v>0</v>
      </c>
      <c r="F153" s="7">
        <f t="shared" si="27"/>
        <v>0</v>
      </c>
      <c r="G153" s="7">
        <f t="shared" si="28"/>
        <v>0</v>
      </c>
      <c r="H153" s="7">
        <f t="shared" si="29"/>
        <v>0</v>
      </c>
    </row>
    <row r="154" spans="1:8" ht="14">
      <c r="A154" s="6">
        <f t="shared" si="22"/>
        <v>0</v>
      </c>
      <c r="B154" s="7">
        <f t="shared" si="23"/>
        <v>0</v>
      </c>
      <c r="C154" s="7">
        <f t="shared" si="24"/>
        <v>0</v>
      </c>
      <c r="D154" s="7">
        <f t="shared" si="25"/>
        <v>0</v>
      </c>
      <c r="E154" s="7">
        <f t="shared" si="26"/>
        <v>0</v>
      </c>
      <c r="F154" s="7">
        <f t="shared" si="27"/>
        <v>0</v>
      </c>
      <c r="G154" s="7">
        <f t="shared" si="28"/>
        <v>0</v>
      </c>
      <c r="H154" s="7">
        <f t="shared" si="29"/>
        <v>0</v>
      </c>
    </row>
    <row r="155" spans="1:8" ht="14">
      <c r="A155" s="6">
        <f t="shared" si="22"/>
        <v>0</v>
      </c>
      <c r="B155" s="7">
        <f t="shared" si="23"/>
        <v>0</v>
      </c>
      <c r="C155" s="7">
        <f t="shared" si="24"/>
        <v>0</v>
      </c>
      <c r="D155" s="7">
        <f t="shared" si="25"/>
        <v>0</v>
      </c>
      <c r="E155" s="7">
        <f t="shared" si="26"/>
        <v>0</v>
      </c>
      <c r="F155" s="7">
        <f t="shared" si="27"/>
        <v>0</v>
      </c>
      <c r="G155" s="7">
        <f t="shared" si="28"/>
        <v>0</v>
      </c>
      <c r="H155" s="7">
        <f t="shared" si="29"/>
        <v>0</v>
      </c>
    </row>
    <row r="156" spans="1:8" ht="14">
      <c r="A156" s="6">
        <f t="shared" si="22"/>
        <v>0</v>
      </c>
      <c r="B156" s="7">
        <f t="shared" si="23"/>
        <v>0</v>
      </c>
      <c r="C156" s="7">
        <f t="shared" si="24"/>
        <v>0</v>
      </c>
      <c r="D156" s="7">
        <f t="shared" si="25"/>
        <v>0</v>
      </c>
      <c r="E156" s="7">
        <f t="shared" si="26"/>
        <v>0</v>
      </c>
      <c r="F156" s="7">
        <f t="shared" si="27"/>
        <v>0</v>
      </c>
      <c r="G156" s="7">
        <f t="shared" si="28"/>
        <v>0</v>
      </c>
      <c r="H156" s="7">
        <f t="shared" si="29"/>
        <v>0</v>
      </c>
    </row>
    <row r="157" spans="1:8" ht="14">
      <c r="A157" s="6">
        <f t="shared" si="22"/>
        <v>0</v>
      </c>
      <c r="B157" s="7">
        <f t="shared" si="23"/>
        <v>0</v>
      </c>
      <c r="C157" s="7">
        <f t="shared" si="24"/>
        <v>0</v>
      </c>
      <c r="D157" s="7">
        <f t="shared" si="25"/>
        <v>0</v>
      </c>
      <c r="E157" s="7">
        <f t="shared" si="26"/>
        <v>0</v>
      </c>
      <c r="F157" s="7">
        <f t="shared" si="27"/>
        <v>0</v>
      </c>
      <c r="G157" s="7">
        <f t="shared" si="28"/>
        <v>0</v>
      </c>
      <c r="H157" s="7">
        <f t="shared" si="29"/>
        <v>0</v>
      </c>
    </row>
    <row r="158" spans="1:8" ht="14">
      <c r="A158" s="6">
        <f t="shared" si="22"/>
        <v>0</v>
      </c>
      <c r="B158" s="7">
        <f t="shared" si="23"/>
        <v>0</v>
      </c>
      <c r="C158" s="7">
        <f t="shared" si="24"/>
        <v>0</v>
      </c>
      <c r="D158" s="7">
        <f t="shared" si="25"/>
        <v>0</v>
      </c>
      <c r="E158" s="7">
        <f t="shared" si="26"/>
        <v>0</v>
      </c>
      <c r="F158" s="7">
        <f t="shared" si="27"/>
        <v>0</v>
      </c>
      <c r="G158" s="7">
        <f t="shared" si="28"/>
        <v>0</v>
      </c>
      <c r="H158" s="7">
        <f t="shared" si="29"/>
        <v>0</v>
      </c>
    </row>
    <row r="159" spans="1:8" ht="14">
      <c r="A159" s="6">
        <f t="shared" si="22"/>
        <v>0</v>
      </c>
      <c r="B159" s="7">
        <f t="shared" si="23"/>
        <v>0</v>
      </c>
      <c r="C159" s="7">
        <f t="shared" si="24"/>
        <v>0</v>
      </c>
      <c r="D159" s="7">
        <f t="shared" si="25"/>
        <v>0</v>
      </c>
      <c r="E159" s="7">
        <f t="shared" si="26"/>
        <v>0</v>
      </c>
      <c r="F159" s="7">
        <f t="shared" si="27"/>
        <v>0</v>
      </c>
      <c r="G159" s="7">
        <f t="shared" si="28"/>
        <v>0</v>
      </c>
      <c r="H159" s="7">
        <f t="shared" si="29"/>
        <v>0</v>
      </c>
    </row>
    <row r="160" spans="1:8" ht="14">
      <c r="A160" s="6">
        <f t="shared" si="22"/>
        <v>0</v>
      </c>
      <c r="B160" s="7">
        <f t="shared" si="23"/>
        <v>0</v>
      </c>
      <c r="C160" s="7">
        <f t="shared" si="24"/>
        <v>0</v>
      </c>
      <c r="D160" s="7">
        <f t="shared" si="25"/>
        <v>0</v>
      </c>
      <c r="E160" s="7">
        <f t="shared" si="26"/>
        <v>0</v>
      </c>
      <c r="F160" s="7">
        <f t="shared" si="27"/>
        <v>0</v>
      </c>
      <c r="G160" s="7">
        <f t="shared" si="28"/>
        <v>0</v>
      </c>
      <c r="H160" s="7">
        <f t="shared" si="29"/>
        <v>0</v>
      </c>
    </row>
    <row r="161" spans="1:8" ht="14">
      <c r="A161" s="6">
        <f t="shared" si="22"/>
        <v>0</v>
      </c>
      <c r="B161" s="7">
        <f t="shared" si="23"/>
        <v>0</v>
      </c>
      <c r="C161" s="7">
        <f t="shared" si="24"/>
        <v>0</v>
      </c>
      <c r="D161" s="7">
        <f t="shared" si="25"/>
        <v>0</v>
      </c>
      <c r="E161" s="7">
        <f t="shared" si="26"/>
        <v>0</v>
      </c>
      <c r="F161" s="7">
        <f t="shared" si="27"/>
        <v>0</v>
      </c>
      <c r="G161" s="7">
        <f t="shared" si="28"/>
        <v>0</v>
      </c>
      <c r="H161" s="7">
        <f t="shared" si="29"/>
        <v>0</v>
      </c>
    </row>
    <row r="162" spans="1:8" ht="14">
      <c r="A162" s="6">
        <f t="shared" si="22"/>
        <v>0</v>
      </c>
      <c r="B162" s="7">
        <f t="shared" si="23"/>
        <v>0</v>
      </c>
      <c r="C162" s="7">
        <f t="shared" si="24"/>
        <v>0</v>
      </c>
      <c r="D162" s="7">
        <f t="shared" si="25"/>
        <v>0</v>
      </c>
      <c r="E162" s="7">
        <f t="shared" si="26"/>
        <v>0</v>
      </c>
      <c r="F162" s="7">
        <f t="shared" si="27"/>
        <v>0</v>
      </c>
      <c r="G162" s="7">
        <f t="shared" si="28"/>
        <v>0</v>
      </c>
      <c r="H162" s="7">
        <f t="shared" si="29"/>
        <v>0</v>
      </c>
    </row>
    <row r="163" spans="1:8" ht="14">
      <c r="A163" s="6">
        <f t="shared" si="22"/>
        <v>0</v>
      </c>
      <c r="B163" s="7">
        <f t="shared" si="23"/>
        <v>0</v>
      </c>
      <c r="C163" s="7">
        <f t="shared" si="24"/>
        <v>0</v>
      </c>
      <c r="D163" s="7">
        <f t="shared" si="25"/>
        <v>0</v>
      </c>
      <c r="E163" s="7">
        <f t="shared" si="26"/>
        <v>0</v>
      </c>
      <c r="F163" s="7">
        <f t="shared" si="27"/>
        <v>0</v>
      </c>
      <c r="G163" s="7">
        <f t="shared" si="28"/>
        <v>0</v>
      </c>
      <c r="H163" s="7">
        <f t="shared" si="29"/>
        <v>0</v>
      </c>
    </row>
    <row r="164" spans="1:8" ht="14">
      <c r="A164" s="6">
        <f t="shared" si="22"/>
        <v>0</v>
      </c>
      <c r="B164" s="7">
        <f t="shared" si="23"/>
        <v>0</v>
      </c>
      <c r="C164" s="7">
        <f t="shared" si="24"/>
        <v>0</v>
      </c>
      <c r="D164" s="7">
        <f t="shared" si="25"/>
        <v>0</v>
      </c>
      <c r="E164" s="7">
        <f t="shared" si="26"/>
        <v>0</v>
      </c>
      <c r="F164" s="7">
        <f t="shared" si="27"/>
        <v>0</v>
      </c>
      <c r="G164" s="7">
        <f t="shared" si="28"/>
        <v>0</v>
      </c>
      <c r="H164" s="7">
        <f t="shared" si="29"/>
        <v>0</v>
      </c>
    </row>
    <row r="165" spans="1:8" ht="14">
      <c r="A165" s="6">
        <f t="shared" si="22"/>
        <v>0</v>
      </c>
      <c r="B165" s="7">
        <f t="shared" si="23"/>
        <v>0</v>
      </c>
      <c r="C165" s="7">
        <f t="shared" si="24"/>
        <v>0</v>
      </c>
      <c r="D165" s="7">
        <f t="shared" si="25"/>
        <v>0</v>
      </c>
      <c r="E165" s="7">
        <f t="shared" si="26"/>
        <v>0</v>
      </c>
      <c r="F165" s="7">
        <f t="shared" si="27"/>
        <v>0</v>
      </c>
      <c r="G165" s="7">
        <f t="shared" si="28"/>
        <v>0</v>
      </c>
      <c r="H165" s="7">
        <f t="shared" si="29"/>
        <v>0</v>
      </c>
    </row>
    <row r="166" spans="1:8" ht="14">
      <c r="A166" s="6">
        <f t="shared" si="22"/>
        <v>0</v>
      </c>
      <c r="B166" s="7">
        <f t="shared" si="23"/>
        <v>0</v>
      </c>
      <c r="C166" s="7">
        <f t="shared" si="24"/>
        <v>0</v>
      </c>
      <c r="D166" s="7">
        <f t="shared" si="25"/>
        <v>0</v>
      </c>
      <c r="E166" s="7">
        <f t="shared" si="26"/>
        <v>0</v>
      </c>
      <c r="F166" s="7">
        <f t="shared" si="27"/>
        <v>0</v>
      </c>
      <c r="G166" s="7">
        <f t="shared" si="28"/>
        <v>0</v>
      </c>
      <c r="H166" s="7">
        <f t="shared" si="29"/>
        <v>0</v>
      </c>
    </row>
    <row r="167" spans="1:8" ht="14">
      <c r="A167" s="6">
        <f t="shared" si="22"/>
        <v>0</v>
      </c>
      <c r="B167" s="7">
        <f t="shared" si="23"/>
        <v>0</v>
      </c>
      <c r="C167" s="7">
        <f t="shared" si="24"/>
        <v>0</v>
      </c>
      <c r="D167" s="7">
        <f t="shared" si="25"/>
        <v>0</v>
      </c>
      <c r="E167" s="7">
        <f t="shared" si="26"/>
        <v>0</v>
      </c>
      <c r="F167" s="7">
        <f t="shared" si="27"/>
        <v>0</v>
      </c>
      <c r="G167" s="7">
        <f t="shared" si="28"/>
        <v>0</v>
      </c>
      <c r="H167" s="7">
        <f t="shared" si="29"/>
        <v>0</v>
      </c>
    </row>
    <row r="168" spans="1:8" ht="14">
      <c r="A168" s="6">
        <f t="shared" si="22"/>
        <v>0</v>
      </c>
      <c r="B168" s="7">
        <f t="shared" si="23"/>
        <v>0</v>
      </c>
      <c r="C168" s="7">
        <f t="shared" si="24"/>
        <v>0</v>
      </c>
      <c r="D168" s="7">
        <f t="shared" si="25"/>
        <v>0</v>
      </c>
      <c r="E168" s="7">
        <f t="shared" si="26"/>
        <v>0</v>
      </c>
      <c r="F168" s="7">
        <f t="shared" si="27"/>
        <v>0</v>
      </c>
      <c r="G168" s="7">
        <f t="shared" si="28"/>
        <v>0</v>
      </c>
      <c r="H168" s="7">
        <f t="shared" si="29"/>
        <v>0</v>
      </c>
    </row>
    <row r="169" spans="1:8" ht="14">
      <c r="A169" s="6">
        <f t="shared" si="22"/>
        <v>0</v>
      </c>
      <c r="B169" s="7">
        <f t="shared" si="23"/>
        <v>0</v>
      </c>
      <c r="C169" s="7">
        <f t="shared" si="24"/>
        <v>0</v>
      </c>
      <c r="D169" s="7">
        <f t="shared" si="25"/>
        <v>0</v>
      </c>
      <c r="E169" s="7">
        <f t="shared" si="26"/>
        <v>0</v>
      </c>
      <c r="F169" s="7">
        <f t="shared" si="27"/>
        <v>0</v>
      </c>
      <c r="G169" s="7">
        <f t="shared" si="28"/>
        <v>0</v>
      </c>
      <c r="H169" s="7">
        <f t="shared" si="29"/>
        <v>0</v>
      </c>
    </row>
    <row r="170" spans="1:8" ht="14">
      <c r="A170" s="6">
        <f t="shared" si="22"/>
        <v>0</v>
      </c>
      <c r="B170" s="7">
        <f t="shared" si="23"/>
        <v>0</v>
      </c>
      <c r="C170" s="7">
        <f t="shared" si="24"/>
        <v>0</v>
      </c>
      <c r="D170" s="7">
        <f t="shared" si="25"/>
        <v>0</v>
      </c>
      <c r="E170" s="7">
        <f t="shared" si="26"/>
        <v>0</v>
      </c>
      <c r="F170" s="7">
        <f t="shared" si="27"/>
        <v>0</v>
      </c>
      <c r="G170" s="7">
        <f t="shared" si="28"/>
        <v>0</v>
      </c>
      <c r="H170" s="7">
        <f t="shared" si="29"/>
        <v>0</v>
      </c>
    </row>
    <row r="171" spans="1:8" ht="14">
      <c r="A171" s="6">
        <f t="shared" si="22"/>
        <v>0</v>
      </c>
      <c r="B171" s="7">
        <f t="shared" si="23"/>
        <v>0</v>
      </c>
      <c r="C171" s="7">
        <f t="shared" si="24"/>
        <v>0</v>
      </c>
      <c r="D171" s="7">
        <f t="shared" si="25"/>
        <v>0</v>
      </c>
      <c r="E171" s="7">
        <f t="shared" si="26"/>
        <v>0</v>
      </c>
      <c r="F171" s="7">
        <f t="shared" si="27"/>
        <v>0</v>
      </c>
      <c r="G171" s="7">
        <f t="shared" si="28"/>
        <v>0</v>
      </c>
      <c r="H171" s="7">
        <f t="shared" si="29"/>
        <v>0</v>
      </c>
    </row>
    <row r="172" spans="1:8" ht="14">
      <c r="A172" s="6">
        <f t="shared" si="22"/>
        <v>0</v>
      </c>
      <c r="B172" s="7">
        <f t="shared" si="23"/>
        <v>0</v>
      </c>
      <c r="C172" s="7">
        <f t="shared" si="24"/>
        <v>0</v>
      </c>
      <c r="D172" s="7">
        <f t="shared" si="25"/>
        <v>0</v>
      </c>
      <c r="E172" s="7">
        <f t="shared" si="26"/>
        <v>0</v>
      </c>
      <c r="F172" s="7">
        <f t="shared" si="27"/>
        <v>0</v>
      </c>
      <c r="G172" s="7">
        <f t="shared" si="28"/>
        <v>0</v>
      </c>
      <c r="H172" s="7">
        <f t="shared" si="29"/>
        <v>0</v>
      </c>
    </row>
    <row r="173" spans="1:8" ht="14">
      <c r="A173" s="6">
        <f t="shared" si="22"/>
        <v>0</v>
      </c>
      <c r="B173" s="7">
        <f t="shared" si="23"/>
        <v>0</v>
      </c>
      <c r="C173" s="7">
        <f t="shared" si="24"/>
        <v>0</v>
      </c>
      <c r="D173" s="7">
        <f t="shared" si="25"/>
        <v>0</v>
      </c>
      <c r="E173" s="7">
        <f t="shared" si="26"/>
        <v>0</v>
      </c>
      <c r="F173" s="7">
        <f t="shared" si="27"/>
        <v>0</v>
      </c>
      <c r="G173" s="7">
        <f t="shared" si="28"/>
        <v>0</v>
      </c>
      <c r="H173" s="7">
        <f t="shared" si="29"/>
        <v>0</v>
      </c>
    </row>
    <row r="174" spans="1:8" ht="14">
      <c r="A174" s="6">
        <f t="shared" si="22"/>
        <v>0</v>
      </c>
      <c r="B174" s="7">
        <f t="shared" si="23"/>
        <v>0</v>
      </c>
      <c r="C174" s="7">
        <f t="shared" si="24"/>
        <v>0</v>
      </c>
      <c r="D174" s="7">
        <f t="shared" si="25"/>
        <v>0</v>
      </c>
      <c r="E174" s="7">
        <f t="shared" si="26"/>
        <v>0</v>
      </c>
      <c r="F174" s="7">
        <f t="shared" si="27"/>
        <v>0</v>
      </c>
      <c r="G174" s="7">
        <f t="shared" si="28"/>
        <v>0</v>
      </c>
      <c r="H174" s="7">
        <f t="shared" si="29"/>
        <v>0</v>
      </c>
    </row>
    <row r="175" spans="1:8" ht="14">
      <c r="A175" s="6">
        <f t="shared" si="22"/>
        <v>0</v>
      </c>
      <c r="B175" s="7">
        <f t="shared" si="23"/>
        <v>0</v>
      </c>
      <c r="C175" s="7">
        <f t="shared" si="24"/>
        <v>0</v>
      </c>
      <c r="D175" s="7">
        <f t="shared" si="25"/>
        <v>0</v>
      </c>
      <c r="E175" s="7">
        <f t="shared" si="26"/>
        <v>0</v>
      </c>
      <c r="F175" s="7">
        <f t="shared" si="27"/>
        <v>0</v>
      </c>
      <c r="G175" s="7">
        <f t="shared" si="28"/>
        <v>0</v>
      </c>
      <c r="H175" s="7">
        <f t="shared" si="29"/>
        <v>0</v>
      </c>
    </row>
    <row r="176" spans="1:8" ht="14">
      <c r="A176" s="6">
        <f t="shared" si="22"/>
        <v>0</v>
      </c>
      <c r="B176" s="7">
        <f t="shared" si="23"/>
        <v>0</v>
      </c>
      <c r="C176" s="7">
        <f t="shared" si="24"/>
        <v>0</v>
      </c>
      <c r="D176" s="7">
        <f t="shared" si="25"/>
        <v>0</v>
      </c>
      <c r="E176" s="7">
        <f t="shared" si="26"/>
        <v>0</v>
      </c>
      <c r="F176" s="7">
        <f t="shared" si="27"/>
        <v>0</v>
      </c>
      <c r="G176" s="7">
        <f t="shared" si="28"/>
        <v>0</v>
      </c>
      <c r="H176" s="7">
        <f t="shared" si="29"/>
        <v>0</v>
      </c>
    </row>
    <row r="177" spans="1:8" ht="14">
      <c r="A177" s="6">
        <f t="shared" si="22"/>
        <v>0</v>
      </c>
      <c r="B177" s="7">
        <f t="shared" si="23"/>
        <v>0</v>
      </c>
      <c r="C177" s="7">
        <f t="shared" si="24"/>
        <v>0</v>
      </c>
      <c r="D177" s="7">
        <f t="shared" si="25"/>
        <v>0</v>
      </c>
      <c r="E177" s="7">
        <f t="shared" si="26"/>
        <v>0</v>
      </c>
      <c r="F177" s="7">
        <f t="shared" si="27"/>
        <v>0</v>
      </c>
      <c r="G177" s="7">
        <f t="shared" si="28"/>
        <v>0</v>
      </c>
      <c r="H177" s="7">
        <f t="shared" si="29"/>
        <v>0</v>
      </c>
    </row>
    <row r="178" spans="1:8" ht="14">
      <c r="A178" s="6">
        <f t="shared" si="22"/>
        <v>0</v>
      </c>
      <c r="B178" s="7">
        <f t="shared" si="23"/>
        <v>0</v>
      </c>
      <c r="C178" s="7">
        <f t="shared" si="24"/>
        <v>0</v>
      </c>
      <c r="D178" s="7">
        <f t="shared" si="25"/>
        <v>0</v>
      </c>
      <c r="E178" s="7">
        <f t="shared" si="26"/>
        <v>0</v>
      </c>
      <c r="F178" s="7">
        <f t="shared" si="27"/>
        <v>0</v>
      </c>
      <c r="G178" s="7">
        <f t="shared" si="28"/>
        <v>0</v>
      </c>
      <c r="H178" s="7">
        <f t="shared" si="29"/>
        <v>0</v>
      </c>
    </row>
    <row r="179" spans="1:8" ht="14">
      <c r="A179" s="6">
        <f t="shared" si="22"/>
        <v>0</v>
      </c>
      <c r="B179" s="7">
        <f t="shared" si="23"/>
        <v>0</v>
      </c>
      <c r="C179" s="7">
        <f t="shared" si="24"/>
        <v>0</v>
      </c>
      <c r="D179" s="7">
        <f t="shared" si="25"/>
        <v>0</v>
      </c>
      <c r="E179" s="7">
        <f t="shared" si="26"/>
        <v>0</v>
      </c>
      <c r="F179" s="7">
        <f t="shared" si="27"/>
        <v>0</v>
      </c>
      <c r="G179" s="7">
        <f t="shared" si="28"/>
        <v>0</v>
      </c>
      <c r="H179" s="7">
        <f t="shared" si="29"/>
        <v>0</v>
      </c>
    </row>
    <row r="180" spans="1:8" ht="14">
      <c r="A180" s="6">
        <f t="shared" si="22"/>
        <v>0</v>
      </c>
      <c r="B180" s="7">
        <f t="shared" si="23"/>
        <v>0</v>
      </c>
      <c r="C180" s="7">
        <f t="shared" si="24"/>
        <v>0</v>
      </c>
      <c r="D180" s="7">
        <f t="shared" si="25"/>
        <v>0</v>
      </c>
      <c r="E180" s="7">
        <f t="shared" si="26"/>
        <v>0</v>
      </c>
      <c r="F180" s="7">
        <f t="shared" si="27"/>
        <v>0</v>
      </c>
      <c r="G180" s="7">
        <f t="shared" si="28"/>
        <v>0</v>
      </c>
      <c r="H180" s="7">
        <f t="shared" si="29"/>
        <v>0</v>
      </c>
    </row>
    <row r="181" spans="1:8" ht="14">
      <c r="A181" s="6">
        <f t="shared" si="22"/>
        <v>0</v>
      </c>
      <c r="B181" s="7">
        <f t="shared" si="23"/>
        <v>0</v>
      </c>
      <c r="C181" s="7">
        <f t="shared" si="24"/>
        <v>0</v>
      </c>
      <c r="D181" s="7">
        <f t="shared" si="25"/>
        <v>0</v>
      </c>
      <c r="E181" s="7">
        <f t="shared" si="26"/>
        <v>0</v>
      </c>
      <c r="F181" s="7">
        <f t="shared" si="27"/>
        <v>0</v>
      </c>
      <c r="G181" s="7">
        <f t="shared" si="28"/>
        <v>0</v>
      </c>
      <c r="H181" s="7">
        <f t="shared" si="29"/>
        <v>0</v>
      </c>
    </row>
    <row r="182" spans="1:8" ht="14">
      <c r="A182" s="6">
        <f t="shared" si="22"/>
        <v>0</v>
      </c>
      <c r="B182" s="7">
        <f t="shared" si="23"/>
        <v>0</v>
      </c>
      <c r="C182" s="7">
        <f t="shared" si="24"/>
        <v>0</v>
      </c>
      <c r="D182" s="7">
        <f t="shared" si="25"/>
        <v>0</v>
      </c>
      <c r="E182" s="7">
        <f t="shared" si="26"/>
        <v>0</v>
      </c>
      <c r="F182" s="7">
        <f t="shared" si="27"/>
        <v>0</v>
      </c>
      <c r="G182" s="7">
        <f t="shared" si="28"/>
        <v>0</v>
      </c>
      <c r="H182" s="7">
        <f t="shared" si="29"/>
        <v>0</v>
      </c>
    </row>
    <row r="183" spans="1:8" ht="14">
      <c r="A183" s="6">
        <f t="shared" si="22"/>
        <v>0</v>
      </c>
      <c r="B183" s="7">
        <f t="shared" si="23"/>
        <v>0</v>
      </c>
      <c r="C183" s="7">
        <f t="shared" si="24"/>
        <v>0</v>
      </c>
      <c r="D183" s="7">
        <f t="shared" si="25"/>
        <v>0</v>
      </c>
      <c r="E183" s="7">
        <f t="shared" si="26"/>
        <v>0</v>
      </c>
      <c r="F183" s="7">
        <f t="shared" si="27"/>
        <v>0</v>
      </c>
      <c r="G183" s="7">
        <f t="shared" si="28"/>
        <v>0</v>
      </c>
      <c r="H183" s="7">
        <f t="shared" si="29"/>
        <v>0</v>
      </c>
    </row>
    <row r="184" spans="1:8" ht="14">
      <c r="A184" s="6">
        <f t="shared" si="22"/>
        <v>0</v>
      </c>
      <c r="B184" s="7">
        <f t="shared" si="23"/>
        <v>0</v>
      </c>
      <c r="C184" s="7">
        <f t="shared" si="24"/>
        <v>0</v>
      </c>
      <c r="D184" s="7">
        <f t="shared" si="25"/>
        <v>0</v>
      </c>
      <c r="E184" s="7">
        <f t="shared" si="26"/>
        <v>0</v>
      </c>
      <c r="F184" s="7">
        <f t="shared" si="27"/>
        <v>0</v>
      </c>
      <c r="G184" s="7">
        <f t="shared" si="28"/>
        <v>0</v>
      </c>
      <c r="H184" s="7">
        <f t="shared" si="29"/>
        <v>0</v>
      </c>
    </row>
    <row r="185" spans="1:8" ht="14">
      <c r="A185" s="6">
        <f t="shared" si="22"/>
        <v>0</v>
      </c>
      <c r="B185" s="7">
        <f t="shared" si="23"/>
        <v>0</v>
      </c>
      <c r="C185" s="7">
        <f t="shared" si="24"/>
        <v>0</v>
      </c>
      <c r="D185" s="7">
        <f t="shared" si="25"/>
        <v>0</v>
      </c>
      <c r="E185" s="7">
        <f t="shared" si="26"/>
        <v>0</v>
      </c>
      <c r="F185" s="7">
        <f t="shared" si="27"/>
        <v>0</v>
      </c>
      <c r="G185" s="7">
        <f t="shared" si="28"/>
        <v>0</v>
      </c>
      <c r="H185" s="7">
        <f t="shared" si="29"/>
        <v>0</v>
      </c>
    </row>
    <row r="186" spans="1:8" ht="14">
      <c r="A186" s="6">
        <f t="shared" si="22"/>
        <v>0</v>
      </c>
      <c r="B186" s="7">
        <f t="shared" si="23"/>
        <v>0</v>
      </c>
      <c r="C186" s="7">
        <f t="shared" si="24"/>
        <v>0</v>
      </c>
      <c r="D186" s="7">
        <f t="shared" si="25"/>
        <v>0</v>
      </c>
      <c r="E186" s="7">
        <f t="shared" si="26"/>
        <v>0</v>
      </c>
      <c r="F186" s="7">
        <f t="shared" si="27"/>
        <v>0</v>
      </c>
      <c r="G186" s="7">
        <f t="shared" si="28"/>
        <v>0</v>
      </c>
      <c r="H186" s="7">
        <f t="shared" si="29"/>
        <v>0</v>
      </c>
    </row>
    <row r="187" spans="1:8" ht="14">
      <c r="A187" s="6">
        <f t="shared" si="22"/>
        <v>0</v>
      </c>
      <c r="B187" s="7">
        <f t="shared" si="23"/>
        <v>0</v>
      </c>
      <c r="C187" s="7">
        <f t="shared" si="24"/>
        <v>0</v>
      </c>
      <c r="D187" s="7">
        <f t="shared" si="25"/>
        <v>0</v>
      </c>
      <c r="E187" s="7">
        <f t="shared" si="26"/>
        <v>0</v>
      </c>
      <c r="F187" s="7">
        <f t="shared" si="27"/>
        <v>0</v>
      </c>
      <c r="G187" s="7">
        <f t="shared" si="28"/>
        <v>0</v>
      </c>
      <c r="H187" s="7">
        <f t="shared" si="29"/>
        <v>0</v>
      </c>
    </row>
    <row r="188" spans="1:8" ht="14">
      <c r="A188" s="6">
        <f t="shared" si="22"/>
        <v>0</v>
      </c>
      <c r="B188" s="7">
        <f t="shared" si="23"/>
        <v>0</v>
      </c>
      <c r="C188" s="7">
        <f t="shared" si="24"/>
        <v>0</v>
      </c>
      <c r="D188" s="7">
        <f t="shared" si="25"/>
        <v>0</v>
      </c>
      <c r="E188" s="7">
        <f t="shared" si="26"/>
        <v>0</v>
      </c>
      <c r="F188" s="7">
        <f t="shared" si="27"/>
        <v>0</v>
      </c>
      <c r="G188" s="7">
        <f t="shared" si="28"/>
        <v>0</v>
      </c>
      <c r="H188" s="7">
        <f t="shared" si="29"/>
        <v>0</v>
      </c>
    </row>
    <row r="189" spans="1:8" ht="14">
      <c r="A189" s="6">
        <f t="shared" si="22"/>
        <v>0</v>
      </c>
      <c r="B189" s="7">
        <f t="shared" si="23"/>
        <v>0</v>
      </c>
      <c r="C189" s="7">
        <f t="shared" si="24"/>
        <v>0</v>
      </c>
      <c r="D189" s="7">
        <f t="shared" si="25"/>
        <v>0</v>
      </c>
      <c r="E189" s="7">
        <f t="shared" si="26"/>
        <v>0</v>
      </c>
      <c r="F189" s="7">
        <f t="shared" si="27"/>
        <v>0</v>
      </c>
      <c r="G189" s="7">
        <f t="shared" si="28"/>
        <v>0</v>
      </c>
      <c r="H189" s="7">
        <f t="shared" si="29"/>
        <v>0</v>
      </c>
    </row>
    <row r="190" spans="1:8" ht="14">
      <c r="A190" s="6">
        <f t="shared" si="22"/>
        <v>0</v>
      </c>
      <c r="B190" s="7">
        <f t="shared" si="23"/>
        <v>0</v>
      </c>
      <c r="C190" s="7">
        <f t="shared" si="24"/>
        <v>0</v>
      </c>
      <c r="D190" s="7">
        <f t="shared" si="25"/>
        <v>0</v>
      </c>
      <c r="E190" s="7">
        <f t="shared" si="26"/>
        <v>0</v>
      </c>
      <c r="F190" s="7">
        <f t="shared" si="27"/>
        <v>0</v>
      </c>
      <c r="G190" s="7">
        <f t="shared" si="28"/>
        <v>0</v>
      </c>
      <c r="H190" s="7">
        <f t="shared" si="29"/>
        <v>0</v>
      </c>
    </row>
    <row r="191" spans="1:8" ht="14">
      <c r="A191" s="6">
        <f t="shared" si="22"/>
        <v>0</v>
      </c>
      <c r="B191" s="7">
        <f t="shared" si="23"/>
        <v>0</v>
      </c>
      <c r="C191" s="7">
        <f t="shared" si="24"/>
        <v>0</v>
      </c>
      <c r="D191" s="7">
        <f t="shared" si="25"/>
        <v>0</v>
      </c>
      <c r="E191" s="7">
        <f t="shared" si="26"/>
        <v>0</v>
      </c>
      <c r="F191" s="7">
        <f t="shared" si="27"/>
        <v>0</v>
      </c>
      <c r="G191" s="7">
        <f t="shared" si="28"/>
        <v>0</v>
      </c>
      <c r="H191" s="7">
        <f t="shared" si="29"/>
        <v>0</v>
      </c>
    </row>
    <row r="192" spans="1:8" ht="14">
      <c r="A192" s="6">
        <f t="shared" si="22"/>
        <v>0</v>
      </c>
      <c r="B192" s="7">
        <f t="shared" si="23"/>
        <v>0</v>
      </c>
      <c r="C192" s="7">
        <f t="shared" si="24"/>
        <v>0</v>
      </c>
      <c r="D192" s="7">
        <f t="shared" si="25"/>
        <v>0</v>
      </c>
      <c r="E192" s="7">
        <f t="shared" si="26"/>
        <v>0</v>
      </c>
      <c r="F192" s="7">
        <f t="shared" si="27"/>
        <v>0</v>
      </c>
      <c r="G192" s="7">
        <f t="shared" si="28"/>
        <v>0</v>
      </c>
      <c r="H192" s="7">
        <f t="shared" si="29"/>
        <v>0</v>
      </c>
    </row>
    <row r="193" spans="1:8" ht="14">
      <c r="A193" s="6">
        <f t="shared" si="22"/>
        <v>0</v>
      </c>
      <c r="B193" s="7">
        <f t="shared" si="23"/>
        <v>0</v>
      </c>
      <c r="C193" s="7">
        <f t="shared" si="24"/>
        <v>0</v>
      </c>
      <c r="D193" s="7">
        <f t="shared" si="25"/>
        <v>0</v>
      </c>
      <c r="E193" s="7">
        <f t="shared" si="26"/>
        <v>0</v>
      </c>
      <c r="F193" s="7">
        <f t="shared" si="27"/>
        <v>0</v>
      </c>
      <c r="G193" s="7">
        <f t="shared" si="28"/>
        <v>0</v>
      </c>
      <c r="H193" s="7">
        <f t="shared" si="29"/>
        <v>0</v>
      </c>
    </row>
    <row r="194" spans="1:8" ht="14">
      <c r="A194" s="6">
        <f t="shared" si="22"/>
        <v>0</v>
      </c>
      <c r="B194" s="7">
        <f t="shared" si="23"/>
        <v>0</v>
      </c>
      <c r="C194" s="7">
        <f t="shared" si="24"/>
        <v>0</v>
      </c>
      <c r="D194" s="7">
        <f t="shared" si="25"/>
        <v>0</v>
      </c>
      <c r="E194" s="7">
        <f t="shared" si="26"/>
        <v>0</v>
      </c>
      <c r="F194" s="7">
        <f t="shared" si="27"/>
        <v>0</v>
      </c>
      <c r="G194" s="7">
        <f t="shared" si="28"/>
        <v>0</v>
      </c>
      <c r="H194" s="7">
        <f t="shared" si="29"/>
        <v>0</v>
      </c>
    </row>
    <row r="195" spans="1:8" ht="14">
      <c r="A195" s="6">
        <f t="shared" ref="A195:A258" si="30">IF(ISERROR(TTIEN_HDON-TTIEN_BAN),0,TTIEN_HDON-TTIEN_BAN)</f>
        <v>0</v>
      </c>
      <c r="B195" s="7">
        <f t="shared" ref="B195:B258" si="31">IF(ISERROR(IF(GIA_NHAP="",IF(GIA_1="",GIA_2*SL,GIA_1*SL),GIA_NHAP*SL)),0,IF(GIA_NHAP="",IF(GIA_1="",GIA_2*SL,GIA_1*SL),GIA_NHAP*SL))</f>
        <v>0</v>
      </c>
      <c r="C195" s="7">
        <f t="shared" ref="C195:C258" si="32">IF(ISERROR(TTIEN_NHAP*(1+VAT_dauvao)),TTIEN_NHAP,TTIEN_NHAP*(1+VAT_dauvao))</f>
        <v>0</v>
      </c>
      <c r="D195" s="7">
        <f t="shared" ref="D195:D258" si="33">IF(ISERROR(IF(AND(VAT_dauvao="K",VAT_daura&lt;&gt;"K"),TTIEN_NHAP*25%,0)),0,IF(AND(VAT_dauvao="K",VAT_daura&lt;&gt;"K"),TTIEN_NHAP*25%,0))</f>
        <v>0</v>
      </c>
      <c r="E195" s="7">
        <f t="shared" ref="E195:E258" si="34">IF(ISERROR(IF(GIA_1="",IF(GIA_2="",GIA_NHAP*SL,GIA_2*SL),GIA_1*SL)),0,IF(GIA_1="",IF(GIA_2="",GIA_NHAP*SL,GIA_2*SL),GIA_1*SL))</f>
        <v>0</v>
      </c>
      <c r="F195" s="7">
        <f t="shared" ref="F195:F258" si="35">IF(ISERROR(IF(VAT_daura="K",TTIEN_NHAP*VAT_dauvao,0)),0,IF(VAT_daura="K",TTIEN_NHAP*VAT_dauvao,0))</f>
        <v>0</v>
      </c>
      <c r="G195" s="7">
        <f t="shared" ref="G195:G258" si="36">IF(ISERROR(IF(GIA_2="",IF(GIA_1="",GIA_NHAP*SL,GIA_1*SL),GIA_2*SL)),0,IF(GIA_2="",IF(GIA_1="",GIA_NHAP*SL,GIA_1*SL),GIA_2*SL))</f>
        <v>0</v>
      </c>
      <c r="H195" s="7">
        <v>0</v>
      </c>
    </row>
    <row r="196" spans="1:8" ht="14">
      <c r="A196" s="6">
        <f t="shared" si="30"/>
        <v>0</v>
      </c>
      <c r="B196" s="7">
        <f t="shared" si="31"/>
        <v>0</v>
      </c>
      <c r="C196" s="7">
        <f t="shared" si="32"/>
        <v>0</v>
      </c>
      <c r="D196" s="7">
        <f t="shared" si="33"/>
        <v>0</v>
      </c>
      <c r="E196" s="7">
        <f t="shared" si="34"/>
        <v>0</v>
      </c>
      <c r="F196" s="7">
        <f t="shared" si="35"/>
        <v>0</v>
      </c>
      <c r="G196" s="7">
        <f t="shared" si="36"/>
        <v>0</v>
      </c>
      <c r="H196">
        <v>0</v>
      </c>
    </row>
    <row r="197" spans="1:8" ht="14">
      <c r="A197" s="6">
        <f t="shared" si="30"/>
        <v>0</v>
      </c>
      <c r="B197" s="7">
        <f t="shared" si="31"/>
        <v>0</v>
      </c>
      <c r="C197" s="7">
        <f t="shared" si="32"/>
        <v>0</v>
      </c>
      <c r="D197" s="7">
        <f t="shared" si="33"/>
        <v>0</v>
      </c>
      <c r="E197" s="7">
        <f t="shared" si="34"/>
        <v>0</v>
      </c>
      <c r="F197" s="7">
        <f t="shared" si="35"/>
        <v>0</v>
      </c>
      <c r="G197" s="7">
        <f t="shared" si="36"/>
        <v>0</v>
      </c>
      <c r="H197">
        <v>0</v>
      </c>
    </row>
    <row r="198" spans="1:8" ht="14">
      <c r="A198" s="6">
        <f t="shared" si="30"/>
        <v>0</v>
      </c>
      <c r="B198" s="7">
        <f t="shared" si="31"/>
        <v>0</v>
      </c>
      <c r="C198" s="7">
        <f t="shared" si="32"/>
        <v>0</v>
      </c>
      <c r="D198" s="7">
        <f t="shared" si="33"/>
        <v>0</v>
      </c>
      <c r="E198" s="7">
        <f t="shared" si="34"/>
        <v>0</v>
      </c>
      <c r="F198" s="7">
        <f t="shared" si="35"/>
        <v>0</v>
      </c>
      <c r="G198" s="7">
        <f t="shared" si="36"/>
        <v>0</v>
      </c>
      <c r="H198">
        <v>0</v>
      </c>
    </row>
    <row r="199" spans="1:8" ht="14">
      <c r="A199" s="6">
        <f t="shared" si="30"/>
        <v>0</v>
      </c>
      <c r="B199" s="7">
        <f t="shared" si="31"/>
        <v>0</v>
      </c>
      <c r="C199" s="7">
        <f t="shared" si="32"/>
        <v>0</v>
      </c>
      <c r="D199" s="7">
        <f t="shared" si="33"/>
        <v>0</v>
      </c>
      <c r="E199" s="7">
        <f t="shared" si="34"/>
        <v>0</v>
      </c>
      <c r="F199" s="7">
        <f t="shared" si="35"/>
        <v>0</v>
      </c>
      <c r="G199" s="7">
        <f t="shared" si="36"/>
        <v>0</v>
      </c>
      <c r="H199">
        <v>0</v>
      </c>
    </row>
    <row r="200" spans="1:8" ht="14">
      <c r="A200" s="6">
        <f t="shared" si="30"/>
        <v>0</v>
      </c>
      <c r="B200" s="7">
        <f t="shared" si="31"/>
        <v>0</v>
      </c>
      <c r="C200" s="7">
        <f t="shared" si="32"/>
        <v>0</v>
      </c>
      <c r="D200" s="7">
        <f t="shared" si="33"/>
        <v>0</v>
      </c>
      <c r="E200" s="7">
        <f t="shared" si="34"/>
        <v>0</v>
      </c>
      <c r="F200" s="7">
        <f t="shared" si="35"/>
        <v>0</v>
      </c>
      <c r="G200" s="7">
        <f t="shared" si="36"/>
        <v>0</v>
      </c>
      <c r="H200">
        <v>0</v>
      </c>
    </row>
    <row r="201" spans="1:8" ht="14">
      <c r="A201" s="6">
        <f t="shared" si="30"/>
        <v>0</v>
      </c>
      <c r="B201" s="7">
        <f t="shared" si="31"/>
        <v>0</v>
      </c>
      <c r="C201" s="7">
        <f t="shared" si="32"/>
        <v>0</v>
      </c>
      <c r="D201" s="7">
        <f t="shared" si="33"/>
        <v>0</v>
      </c>
      <c r="E201" s="7">
        <f t="shared" si="34"/>
        <v>0</v>
      </c>
      <c r="F201" s="7">
        <f t="shared" si="35"/>
        <v>0</v>
      </c>
      <c r="G201" s="7">
        <f t="shared" si="36"/>
        <v>0</v>
      </c>
      <c r="H201">
        <v>0</v>
      </c>
    </row>
    <row r="202" spans="1:8" ht="14">
      <c r="A202" s="6">
        <f t="shared" si="30"/>
        <v>0</v>
      </c>
      <c r="B202" s="7">
        <f t="shared" si="31"/>
        <v>0</v>
      </c>
      <c r="C202" s="7">
        <f t="shared" si="32"/>
        <v>0</v>
      </c>
      <c r="D202" s="7">
        <f t="shared" si="33"/>
        <v>0</v>
      </c>
      <c r="E202" s="7">
        <f t="shared" si="34"/>
        <v>0</v>
      </c>
      <c r="F202" s="7">
        <f t="shared" si="35"/>
        <v>0</v>
      </c>
      <c r="G202" s="7">
        <f t="shared" si="36"/>
        <v>0</v>
      </c>
      <c r="H202">
        <v>0</v>
      </c>
    </row>
    <row r="203" spans="1:8" ht="14">
      <c r="A203" s="6">
        <f t="shared" si="30"/>
        <v>0</v>
      </c>
      <c r="B203" s="7">
        <f t="shared" si="31"/>
        <v>0</v>
      </c>
      <c r="C203" s="7">
        <f t="shared" si="32"/>
        <v>0</v>
      </c>
      <c r="D203" s="7">
        <f t="shared" si="33"/>
        <v>0</v>
      </c>
      <c r="E203" s="7">
        <f t="shared" si="34"/>
        <v>0</v>
      </c>
      <c r="F203" s="7">
        <f t="shared" si="35"/>
        <v>0</v>
      </c>
      <c r="G203" s="7">
        <f t="shared" si="36"/>
        <v>0</v>
      </c>
      <c r="H203">
        <v>0</v>
      </c>
    </row>
    <row r="204" spans="1:8" ht="14">
      <c r="A204" s="6">
        <f t="shared" si="30"/>
        <v>0</v>
      </c>
      <c r="B204" s="7">
        <f t="shared" si="31"/>
        <v>0</v>
      </c>
      <c r="C204" s="7">
        <f t="shared" si="32"/>
        <v>0</v>
      </c>
      <c r="D204" s="7">
        <f t="shared" si="33"/>
        <v>0</v>
      </c>
      <c r="E204" s="7">
        <f t="shared" si="34"/>
        <v>0</v>
      </c>
      <c r="F204" s="7">
        <f t="shared" si="35"/>
        <v>0</v>
      </c>
      <c r="G204" s="7">
        <f t="shared" si="36"/>
        <v>0</v>
      </c>
      <c r="H204">
        <v>0</v>
      </c>
    </row>
    <row r="205" spans="1:8" ht="14">
      <c r="A205" s="6">
        <f t="shared" si="30"/>
        <v>0</v>
      </c>
      <c r="B205" s="7">
        <f t="shared" si="31"/>
        <v>0</v>
      </c>
      <c r="C205" s="7">
        <f t="shared" si="32"/>
        <v>0</v>
      </c>
      <c r="D205" s="7">
        <f t="shared" si="33"/>
        <v>0</v>
      </c>
      <c r="E205" s="7">
        <f t="shared" si="34"/>
        <v>0</v>
      </c>
      <c r="F205" s="7">
        <f t="shared" si="35"/>
        <v>0</v>
      </c>
      <c r="G205" s="7">
        <f t="shared" si="36"/>
        <v>0</v>
      </c>
      <c r="H205">
        <v>0</v>
      </c>
    </row>
    <row r="206" spans="1:8" ht="14">
      <c r="A206" s="6">
        <f t="shared" si="30"/>
        <v>0</v>
      </c>
      <c r="B206" s="7">
        <f t="shared" si="31"/>
        <v>0</v>
      </c>
      <c r="C206" s="7">
        <f t="shared" si="32"/>
        <v>0</v>
      </c>
      <c r="D206" s="7">
        <f t="shared" si="33"/>
        <v>0</v>
      </c>
      <c r="E206" s="7">
        <f t="shared" si="34"/>
        <v>0</v>
      </c>
      <c r="F206" s="7">
        <f t="shared" si="35"/>
        <v>0</v>
      </c>
      <c r="G206" s="7">
        <f t="shared" si="36"/>
        <v>0</v>
      </c>
      <c r="H206">
        <v>0</v>
      </c>
    </row>
    <row r="207" spans="1:8" ht="14">
      <c r="A207" s="6">
        <f t="shared" si="30"/>
        <v>0</v>
      </c>
      <c r="B207" s="7">
        <f t="shared" si="31"/>
        <v>0</v>
      </c>
      <c r="C207" s="7">
        <f t="shared" si="32"/>
        <v>0</v>
      </c>
      <c r="D207" s="7">
        <f t="shared" si="33"/>
        <v>0</v>
      </c>
      <c r="E207" s="7">
        <f t="shared" si="34"/>
        <v>0</v>
      </c>
      <c r="F207" s="7">
        <f t="shared" si="35"/>
        <v>0</v>
      </c>
      <c r="G207" s="7">
        <f t="shared" si="36"/>
        <v>0</v>
      </c>
      <c r="H207">
        <v>0</v>
      </c>
    </row>
    <row r="208" spans="1:8" ht="14">
      <c r="A208" s="6">
        <f t="shared" si="30"/>
        <v>0</v>
      </c>
      <c r="B208" s="7">
        <f t="shared" si="31"/>
        <v>0</v>
      </c>
      <c r="C208" s="7">
        <f t="shared" si="32"/>
        <v>0</v>
      </c>
      <c r="D208" s="7">
        <f t="shared" si="33"/>
        <v>0</v>
      </c>
      <c r="E208" s="7">
        <f t="shared" si="34"/>
        <v>0</v>
      </c>
      <c r="F208" s="7">
        <f t="shared" si="35"/>
        <v>0</v>
      </c>
      <c r="G208" s="7">
        <f t="shared" si="36"/>
        <v>0</v>
      </c>
      <c r="H208">
        <v>0</v>
      </c>
    </row>
    <row r="209" spans="1:8" ht="14">
      <c r="A209" s="6">
        <f t="shared" si="30"/>
        <v>0</v>
      </c>
      <c r="B209" s="7">
        <f t="shared" si="31"/>
        <v>0</v>
      </c>
      <c r="C209" s="7">
        <f t="shared" si="32"/>
        <v>0</v>
      </c>
      <c r="D209" s="7">
        <f t="shared" si="33"/>
        <v>0</v>
      </c>
      <c r="E209" s="7">
        <f t="shared" si="34"/>
        <v>0</v>
      </c>
      <c r="F209" s="7">
        <f t="shared" si="35"/>
        <v>0</v>
      </c>
      <c r="G209" s="7">
        <f t="shared" si="36"/>
        <v>0</v>
      </c>
      <c r="H209">
        <v>0</v>
      </c>
    </row>
    <row r="210" spans="1:8" ht="14">
      <c r="A210" s="6">
        <f t="shared" si="30"/>
        <v>0</v>
      </c>
      <c r="B210" s="7">
        <f t="shared" si="31"/>
        <v>0</v>
      </c>
      <c r="C210" s="7">
        <f t="shared" si="32"/>
        <v>0</v>
      </c>
      <c r="D210" s="7">
        <f t="shared" si="33"/>
        <v>0</v>
      </c>
      <c r="E210" s="7">
        <f t="shared" si="34"/>
        <v>0</v>
      </c>
      <c r="F210" s="7">
        <f t="shared" si="35"/>
        <v>0</v>
      </c>
      <c r="G210" s="7">
        <f t="shared" si="36"/>
        <v>0</v>
      </c>
      <c r="H210">
        <v>0</v>
      </c>
    </row>
    <row r="211" spans="1:8" ht="14">
      <c r="A211" s="6">
        <f t="shared" si="30"/>
        <v>0</v>
      </c>
      <c r="B211" s="7">
        <f t="shared" si="31"/>
        <v>0</v>
      </c>
      <c r="C211" s="7">
        <f t="shared" si="32"/>
        <v>0</v>
      </c>
      <c r="D211" s="7">
        <f t="shared" si="33"/>
        <v>0</v>
      </c>
      <c r="E211" s="7">
        <f t="shared" si="34"/>
        <v>0</v>
      </c>
      <c r="F211" s="7">
        <f t="shared" si="35"/>
        <v>0</v>
      </c>
      <c r="G211" s="7">
        <f t="shared" si="36"/>
        <v>0</v>
      </c>
      <c r="H211">
        <v>0</v>
      </c>
    </row>
    <row r="212" spans="1:8" ht="14">
      <c r="A212" s="6">
        <f t="shared" si="30"/>
        <v>0</v>
      </c>
      <c r="B212" s="7">
        <f t="shared" si="31"/>
        <v>0</v>
      </c>
      <c r="C212" s="7">
        <f t="shared" si="32"/>
        <v>0</v>
      </c>
      <c r="D212" s="7">
        <f t="shared" si="33"/>
        <v>0</v>
      </c>
      <c r="E212" s="7">
        <f t="shared" si="34"/>
        <v>0</v>
      </c>
      <c r="F212" s="7">
        <f t="shared" si="35"/>
        <v>0</v>
      </c>
      <c r="G212" s="7">
        <f t="shared" si="36"/>
        <v>0</v>
      </c>
      <c r="H212">
        <v>0</v>
      </c>
    </row>
    <row r="213" spans="1:8" ht="14">
      <c r="A213" s="6">
        <f t="shared" si="30"/>
        <v>0</v>
      </c>
      <c r="B213" s="7">
        <f t="shared" si="31"/>
        <v>0</v>
      </c>
      <c r="C213" s="7">
        <f t="shared" si="32"/>
        <v>0</v>
      </c>
      <c r="D213" s="7">
        <f t="shared" si="33"/>
        <v>0</v>
      </c>
      <c r="E213" s="7">
        <f t="shared" si="34"/>
        <v>0</v>
      </c>
      <c r="F213" s="7">
        <f t="shared" si="35"/>
        <v>0</v>
      </c>
      <c r="G213" s="7">
        <f t="shared" si="36"/>
        <v>0</v>
      </c>
      <c r="H213">
        <v>0</v>
      </c>
    </row>
    <row r="214" spans="1:8" ht="14">
      <c r="A214" s="6">
        <f t="shared" si="30"/>
        <v>0</v>
      </c>
      <c r="B214" s="7">
        <f t="shared" si="31"/>
        <v>0</v>
      </c>
      <c r="C214" s="7">
        <f t="shared" si="32"/>
        <v>0</v>
      </c>
      <c r="D214" s="7">
        <f t="shared" si="33"/>
        <v>0</v>
      </c>
      <c r="E214" s="7">
        <f t="shared" si="34"/>
        <v>0</v>
      </c>
      <c r="F214" s="7">
        <f t="shared" si="35"/>
        <v>0</v>
      </c>
      <c r="G214" s="7">
        <f t="shared" si="36"/>
        <v>0</v>
      </c>
      <c r="H214">
        <v>0</v>
      </c>
    </row>
    <row r="215" spans="1:8" ht="14">
      <c r="A215" s="6">
        <f t="shared" si="30"/>
        <v>0</v>
      </c>
      <c r="B215" s="7">
        <f t="shared" si="31"/>
        <v>0</v>
      </c>
      <c r="C215" s="7">
        <f t="shared" si="32"/>
        <v>0</v>
      </c>
      <c r="D215" s="7">
        <f t="shared" si="33"/>
        <v>0</v>
      </c>
      <c r="E215" s="7">
        <f t="shared" si="34"/>
        <v>0</v>
      </c>
      <c r="F215" s="7">
        <f t="shared" si="35"/>
        <v>0</v>
      </c>
      <c r="G215" s="7">
        <f t="shared" si="36"/>
        <v>0</v>
      </c>
      <c r="H215">
        <v>0</v>
      </c>
    </row>
    <row r="216" spans="1:8" ht="14">
      <c r="A216" s="6">
        <f t="shared" si="30"/>
        <v>0</v>
      </c>
      <c r="B216" s="7">
        <f t="shared" si="31"/>
        <v>0</v>
      </c>
      <c r="C216" s="7">
        <f t="shared" si="32"/>
        <v>0</v>
      </c>
      <c r="D216" s="7">
        <f t="shared" si="33"/>
        <v>0</v>
      </c>
      <c r="E216" s="7">
        <f t="shared" si="34"/>
        <v>0</v>
      </c>
      <c r="F216" s="7">
        <f t="shared" si="35"/>
        <v>0</v>
      </c>
      <c r="G216" s="7">
        <f t="shared" si="36"/>
        <v>0</v>
      </c>
      <c r="H216">
        <v>0</v>
      </c>
    </row>
    <row r="217" spans="1:8" ht="14">
      <c r="A217" s="6">
        <f t="shared" si="30"/>
        <v>0</v>
      </c>
      <c r="B217" s="7">
        <f t="shared" si="31"/>
        <v>0</v>
      </c>
      <c r="C217" s="7">
        <f t="shared" si="32"/>
        <v>0</v>
      </c>
      <c r="D217" s="7">
        <f t="shared" si="33"/>
        <v>0</v>
      </c>
      <c r="E217" s="7">
        <f t="shared" si="34"/>
        <v>0</v>
      </c>
      <c r="F217" s="7">
        <f t="shared" si="35"/>
        <v>0</v>
      </c>
      <c r="G217" s="7">
        <f t="shared" si="36"/>
        <v>0</v>
      </c>
      <c r="H217">
        <v>0</v>
      </c>
    </row>
    <row r="218" spans="1:8" ht="14">
      <c r="A218" s="6">
        <f t="shared" si="30"/>
        <v>0</v>
      </c>
      <c r="B218" s="7">
        <f t="shared" si="31"/>
        <v>0</v>
      </c>
      <c r="C218" s="7">
        <f t="shared" si="32"/>
        <v>0</v>
      </c>
      <c r="D218" s="7">
        <f t="shared" si="33"/>
        <v>0</v>
      </c>
      <c r="E218" s="7">
        <f t="shared" si="34"/>
        <v>0</v>
      </c>
      <c r="F218" s="7">
        <f t="shared" si="35"/>
        <v>0</v>
      </c>
      <c r="G218" s="7">
        <f t="shared" si="36"/>
        <v>0</v>
      </c>
      <c r="H218">
        <v>0</v>
      </c>
    </row>
    <row r="219" spans="1:8" ht="14">
      <c r="A219" s="6">
        <f t="shared" si="30"/>
        <v>0</v>
      </c>
      <c r="B219" s="7">
        <f t="shared" si="31"/>
        <v>0</v>
      </c>
      <c r="C219" s="7">
        <f t="shared" si="32"/>
        <v>0</v>
      </c>
      <c r="D219" s="7">
        <f t="shared" si="33"/>
        <v>0</v>
      </c>
      <c r="E219" s="7">
        <f t="shared" si="34"/>
        <v>0</v>
      </c>
      <c r="F219" s="7">
        <f t="shared" si="35"/>
        <v>0</v>
      </c>
      <c r="G219" s="7">
        <f t="shared" si="36"/>
        <v>0</v>
      </c>
      <c r="H219">
        <v>0</v>
      </c>
    </row>
    <row r="220" spans="1:8" ht="14">
      <c r="A220" s="6">
        <f t="shared" si="30"/>
        <v>0</v>
      </c>
      <c r="B220" s="7">
        <f t="shared" si="31"/>
        <v>0</v>
      </c>
      <c r="C220" s="7">
        <f t="shared" si="32"/>
        <v>0</v>
      </c>
      <c r="D220" s="7">
        <f t="shared" si="33"/>
        <v>0</v>
      </c>
      <c r="E220" s="7">
        <f t="shared" si="34"/>
        <v>0</v>
      </c>
      <c r="F220" s="7">
        <f t="shared" si="35"/>
        <v>0</v>
      </c>
      <c r="G220" s="7">
        <f t="shared" si="36"/>
        <v>0</v>
      </c>
      <c r="H220">
        <v>0</v>
      </c>
    </row>
    <row r="221" spans="1:8" ht="14">
      <c r="A221" s="6">
        <f t="shared" si="30"/>
        <v>0</v>
      </c>
      <c r="B221" s="7">
        <f t="shared" si="31"/>
        <v>0</v>
      </c>
      <c r="C221" s="7">
        <f t="shared" si="32"/>
        <v>0</v>
      </c>
      <c r="D221" s="7">
        <f t="shared" si="33"/>
        <v>0</v>
      </c>
      <c r="E221" s="7">
        <f t="shared" si="34"/>
        <v>0</v>
      </c>
      <c r="F221" s="7">
        <f t="shared" si="35"/>
        <v>0</v>
      </c>
      <c r="G221" s="7">
        <f t="shared" si="36"/>
        <v>0</v>
      </c>
      <c r="H221">
        <v>0</v>
      </c>
    </row>
    <row r="222" spans="1:8" ht="14">
      <c r="A222" s="6">
        <f t="shared" si="30"/>
        <v>0</v>
      </c>
      <c r="B222" s="7">
        <f t="shared" si="31"/>
        <v>0</v>
      </c>
      <c r="C222" s="7">
        <f t="shared" si="32"/>
        <v>0</v>
      </c>
      <c r="D222" s="7">
        <f t="shared" si="33"/>
        <v>0</v>
      </c>
      <c r="E222" s="7">
        <f t="shared" si="34"/>
        <v>0</v>
      </c>
      <c r="F222" s="7">
        <f t="shared" si="35"/>
        <v>0</v>
      </c>
      <c r="G222" s="7">
        <f t="shared" si="36"/>
        <v>0</v>
      </c>
      <c r="H222">
        <v>0</v>
      </c>
    </row>
    <row r="223" spans="1:8" ht="14">
      <c r="A223" s="6">
        <f t="shared" si="30"/>
        <v>0</v>
      </c>
      <c r="B223" s="7">
        <f t="shared" si="31"/>
        <v>0</v>
      </c>
      <c r="C223" s="7">
        <f t="shared" si="32"/>
        <v>0</v>
      </c>
      <c r="D223" s="7">
        <f t="shared" si="33"/>
        <v>0</v>
      </c>
      <c r="E223" s="7">
        <f t="shared" si="34"/>
        <v>0</v>
      </c>
      <c r="F223" s="7">
        <f t="shared" si="35"/>
        <v>0</v>
      </c>
      <c r="G223" s="7">
        <f t="shared" si="36"/>
        <v>0</v>
      </c>
      <c r="H223">
        <v>0</v>
      </c>
    </row>
    <row r="224" spans="1:8" ht="14">
      <c r="A224" s="6">
        <f t="shared" si="30"/>
        <v>0</v>
      </c>
      <c r="B224" s="7">
        <f t="shared" si="31"/>
        <v>0</v>
      </c>
      <c r="C224" s="7">
        <f t="shared" si="32"/>
        <v>0</v>
      </c>
      <c r="D224" s="7">
        <f t="shared" si="33"/>
        <v>0</v>
      </c>
      <c r="E224" s="7">
        <f t="shared" si="34"/>
        <v>0</v>
      </c>
      <c r="F224" s="7">
        <f t="shared" si="35"/>
        <v>0</v>
      </c>
      <c r="G224" s="7">
        <f t="shared" si="36"/>
        <v>0</v>
      </c>
      <c r="H224">
        <v>0</v>
      </c>
    </row>
    <row r="225" spans="1:8" ht="14">
      <c r="A225" s="6">
        <f t="shared" si="30"/>
        <v>0</v>
      </c>
      <c r="B225" s="7">
        <f t="shared" si="31"/>
        <v>0</v>
      </c>
      <c r="C225" s="7">
        <f t="shared" si="32"/>
        <v>0</v>
      </c>
      <c r="D225" s="7">
        <f t="shared" si="33"/>
        <v>0</v>
      </c>
      <c r="E225" s="7">
        <f t="shared" si="34"/>
        <v>0</v>
      </c>
      <c r="F225" s="7">
        <f t="shared" si="35"/>
        <v>0</v>
      </c>
      <c r="G225" s="7">
        <f t="shared" si="36"/>
        <v>0</v>
      </c>
      <c r="H225">
        <v>0</v>
      </c>
    </row>
    <row r="226" spans="1:8" ht="14">
      <c r="A226" s="6">
        <f t="shared" si="30"/>
        <v>0</v>
      </c>
      <c r="B226" s="7">
        <f t="shared" si="31"/>
        <v>0</v>
      </c>
      <c r="C226" s="7">
        <f t="shared" si="32"/>
        <v>0</v>
      </c>
      <c r="D226" s="7">
        <f t="shared" si="33"/>
        <v>0</v>
      </c>
      <c r="E226" s="7">
        <f t="shared" si="34"/>
        <v>0</v>
      </c>
      <c r="F226" s="7">
        <f t="shared" si="35"/>
        <v>0</v>
      </c>
      <c r="G226" s="7">
        <f t="shared" si="36"/>
        <v>0</v>
      </c>
      <c r="H226">
        <v>0</v>
      </c>
    </row>
    <row r="227" spans="1:8" ht="14">
      <c r="A227" s="6">
        <f t="shared" si="30"/>
        <v>0</v>
      </c>
      <c r="B227" s="7">
        <f t="shared" si="31"/>
        <v>0</v>
      </c>
      <c r="C227" s="7">
        <f t="shared" si="32"/>
        <v>0</v>
      </c>
      <c r="D227" s="7">
        <f t="shared" si="33"/>
        <v>0</v>
      </c>
      <c r="E227" s="7">
        <f t="shared" si="34"/>
        <v>0</v>
      </c>
      <c r="F227" s="7">
        <f t="shared" si="35"/>
        <v>0</v>
      </c>
      <c r="G227" s="7">
        <f t="shared" si="36"/>
        <v>0</v>
      </c>
      <c r="H227">
        <v>0</v>
      </c>
    </row>
    <row r="228" spans="1:8" ht="14">
      <c r="A228" s="6">
        <f t="shared" si="30"/>
        <v>0</v>
      </c>
      <c r="B228" s="7">
        <f t="shared" si="31"/>
        <v>0</v>
      </c>
      <c r="C228" s="7">
        <f t="shared" si="32"/>
        <v>0</v>
      </c>
      <c r="D228" s="7">
        <f t="shared" si="33"/>
        <v>0</v>
      </c>
      <c r="E228" s="7">
        <f t="shared" si="34"/>
        <v>0</v>
      </c>
      <c r="F228" s="7">
        <f t="shared" si="35"/>
        <v>0</v>
      </c>
      <c r="G228" s="7">
        <f t="shared" si="36"/>
        <v>0</v>
      </c>
      <c r="H228">
        <v>0</v>
      </c>
    </row>
    <row r="229" spans="1:8" ht="14">
      <c r="A229" s="6">
        <f t="shared" si="30"/>
        <v>0</v>
      </c>
      <c r="B229" s="7">
        <f t="shared" si="31"/>
        <v>0</v>
      </c>
      <c r="C229" s="7">
        <f t="shared" si="32"/>
        <v>0</v>
      </c>
      <c r="D229" s="7">
        <f t="shared" si="33"/>
        <v>0</v>
      </c>
      <c r="E229" s="7">
        <f t="shared" si="34"/>
        <v>0</v>
      </c>
      <c r="F229" s="7">
        <f t="shared" si="35"/>
        <v>0</v>
      </c>
      <c r="G229" s="7">
        <f t="shared" si="36"/>
        <v>0</v>
      </c>
      <c r="H229">
        <v>0</v>
      </c>
    </row>
    <row r="230" spans="1:8" ht="14">
      <c r="A230" s="6">
        <f t="shared" si="30"/>
        <v>0</v>
      </c>
      <c r="B230" s="7">
        <f t="shared" si="31"/>
        <v>0</v>
      </c>
      <c r="C230" s="7">
        <f t="shared" si="32"/>
        <v>0</v>
      </c>
      <c r="D230" s="7">
        <f t="shared" si="33"/>
        <v>0</v>
      </c>
      <c r="E230" s="7">
        <f t="shared" si="34"/>
        <v>0</v>
      </c>
      <c r="F230" s="7">
        <f t="shared" si="35"/>
        <v>0</v>
      </c>
      <c r="G230" s="7">
        <f t="shared" si="36"/>
        <v>0</v>
      </c>
      <c r="H230">
        <v>0</v>
      </c>
    </row>
    <row r="231" spans="1:8" ht="14">
      <c r="A231" s="6">
        <f t="shared" si="30"/>
        <v>0</v>
      </c>
      <c r="B231" s="7">
        <f t="shared" si="31"/>
        <v>0</v>
      </c>
      <c r="C231" s="7">
        <f t="shared" si="32"/>
        <v>0</v>
      </c>
      <c r="D231" s="7">
        <f t="shared" si="33"/>
        <v>0</v>
      </c>
      <c r="E231" s="7">
        <f t="shared" si="34"/>
        <v>0</v>
      </c>
      <c r="F231" s="7">
        <f t="shared" si="35"/>
        <v>0</v>
      </c>
      <c r="G231" s="7">
        <f t="shared" si="36"/>
        <v>0</v>
      </c>
      <c r="H231">
        <v>0</v>
      </c>
    </row>
    <row r="232" spans="1:8" ht="14">
      <c r="A232" s="6">
        <f t="shared" si="30"/>
        <v>0</v>
      </c>
      <c r="B232" s="7">
        <f t="shared" si="31"/>
        <v>0</v>
      </c>
      <c r="C232" s="7">
        <f t="shared" si="32"/>
        <v>0</v>
      </c>
      <c r="D232" s="7">
        <f t="shared" si="33"/>
        <v>0</v>
      </c>
      <c r="E232" s="7">
        <f t="shared" si="34"/>
        <v>0</v>
      </c>
      <c r="F232" s="7">
        <f t="shared" si="35"/>
        <v>0</v>
      </c>
      <c r="G232" s="7">
        <f t="shared" si="36"/>
        <v>0</v>
      </c>
      <c r="H232">
        <v>0</v>
      </c>
    </row>
    <row r="233" spans="1:8" ht="14">
      <c r="A233" s="6">
        <f t="shared" si="30"/>
        <v>0</v>
      </c>
      <c r="B233" s="7">
        <f t="shared" si="31"/>
        <v>0</v>
      </c>
      <c r="C233" s="7">
        <f t="shared" si="32"/>
        <v>0</v>
      </c>
      <c r="D233" s="7">
        <f t="shared" si="33"/>
        <v>0</v>
      </c>
      <c r="E233" s="7">
        <f t="shared" si="34"/>
        <v>0</v>
      </c>
      <c r="F233" s="7">
        <f t="shared" si="35"/>
        <v>0</v>
      </c>
      <c r="G233" s="7">
        <f t="shared" si="36"/>
        <v>0</v>
      </c>
      <c r="H233">
        <v>0</v>
      </c>
    </row>
    <row r="234" spans="1:8" ht="14">
      <c r="A234" s="6">
        <f t="shared" si="30"/>
        <v>0</v>
      </c>
      <c r="B234" s="7">
        <f t="shared" si="31"/>
        <v>0</v>
      </c>
      <c r="C234" s="7">
        <f t="shared" si="32"/>
        <v>0</v>
      </c>
      <c r="D234" s="7">
        <f t="shared" si="33"/>
        <v>0</v>
      </c>
      <c r="E234" s="7">
        <f t="shared" si="34"/>
        <v>0</v>
      </c>
      <c r="F234" s="7">
        <f t="shared" si="35"/>
        <v>0</v>
      </c>
      <c r="G234" s="7">
        <f t="shared" si="36"/>
        <v>0</v>
      </c>
      <c r="H234">
        <v>0</v>
      </c>
    </row>
    <row r="235" spans="1:8" ht="14">
      <c r="A235" s="6">
        <f t="shared" si="30"/>
        <v>0</v>
      </c>
      <c r="B235" s="7">
        <f t="shared" si="31"/>
        <v>0</v>
      </c>
      <c r="C235" s="7">
        <f t="shared" si="32"/>
        <v>0</v>
      </c>
      <c r="D235" s="7">
        <f t="shared" si="33"/>
        <v>0</v>
      </c>
      <c r="E235" s="7">
        <f t="shared" si="34"/>
        <v>0</v>
      </c>
      <c r="F235" s="7">
        <f t="shared" si="35"/>
        <v>0</v>
      </c>
      <c r="G235" s="7">
        <f t="shared" si="36"/>
        <v>0</v>
      </c>
      <c r="H235">
        <v>0</v>
      </c>
    </row>
    <row r="236" spans="1:8" ht="14">
      <c r="A236" s="6">
        <f t="shared" si="30"/>
        <v>0</v>
      </c>
      <c r="B236" s="7">
        <f t="shared" si="31"/>
        <v>0</v>
      </c>
      <c r="C236" s="7">
        <f t="shared" si="32"/>
        <v>0</v>
      </c>
      <c r="D236" s="7">
        <f t="shared" si="33"/>
        <v>0</v>
      </c>
      <c r="E236" s="7">
        <f t="shared" si="34"/>
        <v>0</v>
      </c>
      <c r="F236" s="7">
        <f t="shared" si="35"/>
        <v>0</v>
      </c>
      <c r="G236" s="7">
        <f t="shared" si="36"/>
        <v>0</v>
      </c>
      <c r="H236">
        <v>0</v>
      </c>
    </row>
    <row r="237" spans="1:8" ht="14">
      <c r="A237" s="6">
        <f t="shared" si="30"/>
        <v>0</v>
      </c>
      <c r="B237" s="7">
        <f t="shared" si="31"/>
        <v>0</v>
      </c>
      <c r="C237" s="7">
        <f t="shared" si="32"/>
        <v>0</v>
      </c>
      <c r="D237" s="7">
        <f t="shared" si="33"/>
        <v>0</v>
      </c>
      <c r="E237" s="7">
        <f t="shared" si="34"/>
        <v>0</v>
      </c>
      <c r="F237" s="7">
        <f t="shared" si="35"/>
        <v>0</v>
      </c>
      <c r="G237" s="7">
        <f t="shared" si="36"/>
        <v>0</v>
      </c>
      <c r="H237">
        <v>0</v>
      </c>
    </row>
    <row r="238" spans="1:8" ht="14">
      <c r="A238" s="6">
        <f t="shared" si="30"/>
        <v>0</v>
      </c>
      <c r="B238" s="7">
        <f t="shared" si="31"/>
        <v>0</v>
      </c>
      <c r="C238" s="7">
        <f t="shared" si="32"/>
        <v>0</v>
      </c>
      <c r="D238" s="7">
        <f t="shared" si="33"/>
        <v>0</v>
      </c>
      <c r="E238" s="7">
        <f t="shared" si="34"/>
        <v>0</v>
      </c>
      <c r="F238" s="7">
        <f t="shared" si="35"/>
        <v>0</v>
      </c>
      <c r="G238" s="7">
        <f t="shared" si="36"/>
        <v>0</v>
      </c>
      <c r="H238">
        <v>0</v>
      </c>
    </row>
    <row r="239" spans="1:8" ht="14">
      <c r="A239" s="6">
        <f t="shared" si="30"/>
        <v>0</v>
      </c>
      <c r="B239" s="7">
        <f t="shared" si="31"/>
        <v>0</v>
      </c>
      <c r="C239" s="7">
        <f t="shared" si="32"/>
        <v>0</v>
      </c>
      <c r="D239" s="7">
        <f t="shared" si="33"/>
        <v>0</v>
      </c>
      <c r="E239" s="7">
        <f t="shared" si="34"/>
        <v>0</v>
      </c>
      <c r="F239" s="7">
        <f t="shared" si="35"/>
        <v>0</v>
      </c>
      <c r="G239" s="7">
        <f t="shared" si="36"/>
        <v>0</v>
      </c>
      <c r="H239">
        <v>0</v>
      </c>
    </row>
    <row r="240" spans="1:8" ht="14">
      <c r="A240" s="6">
        <f t="shared" si="30"/>
        <v>0</v>
      </c>
      <c r="B240" s="7">
        <f t="shared" si="31"/>
        <v>0</v>
      </c>
      <c r="C240" s="7">
        <f t="shared" si="32"/>
        <v>0</v>
      </c>
      <c r="D240" s="7">
        <f t="shared" si="33"/>
        <v>0</v>
      </c>
      <c r="E240" s="7">
        <f t="shared" si="34"/>
        <v>0</v>
      </c>
      <c r="F240" s="7">
        <f t="shared" si="35"/>
        <v>0</v>
      </c>
      <c r="G240" s="7">
        <f t="shared" si="36"/>
        <v>0</v>
      </c>
      <c r="H240">
        <v>0</v>
      </c>
    </row>
    <row r="241" spans="1:8" ht="14">
      <c r="A241" s="6">
        <f t="shared" si="30"/>
        <v>0</v>
      </c>
      <c r="B241" s="7">
        <f t="shared" si="31"/>
        <v>0</v>
      </c>
      <c r="C241" s="7">
        <f t="shared" si="32"/>
        <v>0</v>
      </c>
      <c r="D241" s="7">
        <f t="shared" si="33"/>
        <v>0</v>
      </c>
      <c r="E241" s="7">
        <f t="shared" si="34"/>
        <v>0</v>
      </c>
      <c r="F241" s="7">
        <f t="shared" si="35"/>
        <v>0</v>
      </c>
      <c r="G241" s="7">
        <f t="shared" si="36"/>
        <v>0</v>
      </c>
      <c r="H241">
        <v>0</v>
      </c>
    </row>
    <row r="242" spans="1:8" ht="14">
      <c r="A242" s="6">
        <f t="shared" si="30"/>
        <v>0</v>
      </c>
      <c r="B242" s="7">
        <f t="shared" si="31"/>
        <v>0</v>
      </c>
      <c r="C242" s="7">
        <f t="shared" si="32"/>
        <v>0</v>
      </c>
      <c r="D242" s="7">
        <f t="shared" si="33"/>
        <v>0</v>
      </c>
      <c r="E242" s="7">
        <f t="shared" si="34"/>
        <v>0</v>
      </c>
      <c r="F242" s="7">
        <f t="shared" si="35"/>
        <v>0</v>
      </c>
      <c r="G242" s="7">
        <f t="shared" si="36"/>
        <v>0</v>
      </c>
      <c r="H242">
        <v>0</v>
      </c>
    </row>
    <row r="243" spans="1:8" ht="14">
      <c r="A243" s="6">
        <f t="shared" si="30"/>
        <v>0</v>
      </c>
      <c r="B243" s="7">
        <f t="shared" si="31"/>
        <v>0</v>
      </c>
      <c r="C243" s="7">
        <f t="shared" si="32"/>
        <v>0</v>
      </c>
      <c r="D243" s="7">
        <f t="shared" si="33"/>
        <v>0</v>
      </c>
      <c r="E243" s="7">
        <f t="shared" si="34"/>
        <v>0</v>
      </c>
      <c r="F243" s="7">
        <f t="shared" si="35"/>
        <v>0</v>
      </c>
      <c r="G243" s="7">
        <f t="shared" si="36"/>
        <v>0</v>
      </c>
      <c r="H243">
        <v>0</v>
      </c>
    </row>
    <row r="244" spans="1:8" ht="14">
      <c r="A244" s="6">
        <f t="shared" si="30"/>
        <v>0</v>
      </c>
      <c r="B244" s="7">
        <f t="shared" si="31"/>
        <v>0</v>
      </c>
      <c r="C244" s="7">
        <f t="shared" si="32"/>
        <v>0</v>
      </c>
      <c r="D244" s="7">
        <f t="shared" si="33"/>
        <v>0</v>
      </c>
      <c r="E244" s="7">
        <f t="shared" si="34"/>
        <v>0</v>
      </c>
      <c r="F244" s="7">
        <f t="shared" si="35"/>
        <v>0</v>
      </c>
      <c r="G244" s="7">
        <f t="shared" si="36"/>
        <v>0</v>
      </c>
      <c r="H244">
        <v>0</v>
      </c>
    </row>
    <row r="245" spans="1:8" ht="14">
      <c r="A245" s="6">
        <f t="shared" si="30"/>
        <v>0</v>
      </c>
      <c r="B245" s="7">
        <f t="shared" si="31"/>
        <v>0</v>
      </c>
      <c r="C245" s="7">
        <f t="shared" si="32"/>
        <v>0</v>
      </c>
      <c r="D245" s="7">
        <f t="shared" si="33"/>
        <v>0</v>
      </c>
      <c r="E245" s="7">
        <f t="shared" si="34"/>
        <v>0</v>
      </c>
      <c r="F245" s="7">
        <f t="shared" si="35"/>
        <v>0</v>
      </c>
      <c r="G245" s="7">
        <f t="shared" si="36"/>
        <v>0</v>
      </c>
      <c r="H245">
        <v>0</v>
      </c>
    </row>
    <row r="246" spans="1:8" ht="14">
      <c r="A246" s="6">
        <f t="shared" si="30"/>
        <v>0</v>
      </c>
      <c r="B246" s="7">
        <f t="shared" si="31"/>
        <v>0</v>
      </c>
      <c r="C246" s="7">
        <f t="shared" si="32"/>
        <v>0</v>
      </c>
      <c r="D246" s="7">
        <f t="shared" si="33"/>
        <v>0</v>
      </c>
      <c r="E246" s="7">
        <f t="shared" si="34"/>
        <v>0</v>
      </c>
      <c r="F246" s="7">
        <f t="shared" si="35"/>
        <v>0</v>
      </c>
      <c r="G246" s="7">
        <f t="shared" si="36"/>
        <v>0</v>
      </c>
      <c r="H246">
        <v>0</v>
      </c>
    </row>
    <row r="247" spans="1:8" ht="14">
      <c r="A247" s="6">
        <f t="shared" si="30"/>
        <v>0</v>
      </c>
      <c r="B247" s="7">
        <f t="shared" si="31"/>
        <v>0</v>
      </c>
      <c r="C247" s="7">
        <f t="shared" si="32"/>
        <v>0</v>
      </c>
      <c r="D247" s="7">
        <f t="shared" si="33"/>
        <v>0</v>
      </c>
      <c r="E247" s="7">
        <f t="shared" si="34"/>
        <v>0</v>
      </c>
      <c r="F247" s="7">
        <f t="shared" si="35"/>
        <v>0</v>
      </c>
      <c r="G247" s="7">
        <f t="shared" si="36"/>
        <v>0</v>
      </c>
      <c r="H247">
        <v>0</v>
      </c>
    </row>
    <row r="248" spans="1:8" ht="14">
      <c r="A248" s="6">
        <f t="shared" si="30"/>
        <v>0</v>
      </c>
      <c r="B248" s="7">
        <f t="shared" si="31"/>
        <v>0</v>
      </c>
      <c r="C248" s="7">
        <f t="shared" si="32"/>
        <v>0</v>
      </c>
      <c r="D248" s="7">
        <f t="shared" si="33"/>
        <v>0</v>
      </c>
      <c r="E248" s="7">
        <f t="shared" si="34"/>
        <v>0</v>
      </c>
      <c r="F248" s="7">
        <f t="shared" si="35"/>
        <v>0</v>
      </c>
      <c r="G248" s="7">
        <f t="shared" si="36"/>
        <v>0</v>
      </c>
      <c r="H248">
        <v>0</v>
      </c>
    </row>
    <row r="249" spans="1:8" ht="14">
      <c r="A249" s="6">
        <f t="shared" si="30"/>
        <v>0</v>
      </c>
      <c r="B249" s="7">
        <f t="shared" si="31"/>
        <v>0</v>
      </c>
      <c r="C249" s="7">
        <f t="shared" si="32"/>
        <v>0</v>
      </c>
      <c r="D249" s="7">
        <f t="shared" si="33"/>
        <v>0</v>
      </c>
      <c r="E249" s="7">
        <f t="shared" si="34"/>
        <v>0</v>
      </c>
      <c r="F249" s="7">
        <f t="shared" si="35"/>
        <v>0</v>
      </c>
      <c r="G249" s="7">
        <f t="shared" si="36"/>
        <v>0</v>
      </c>
      <c r="H249">
        <v>0</v>
      </c>
    </row>
    <row r="250" spans="1:8" ht="14">
      <c r="A250" s="6">
        <f t="shared" si="30"/>
        <v>0</v>
      </c>
      <c r="B250" s="7">
        <f t="shared" si="31"/>
        <v>0</v>
      </c>
      <c r="C250" s="7">
        <f t="shared" si="32"/>
        <v>0</v>
      </c>
      <c r="D250" s="7">
        <f t="shared" si="33"/>
        <v>0</v>
      </c>
      <c r="E250" s="7">
        <f t="shared" si="34"/>
        <v>0</v>
      </c>
      <c r="F250" s="7">
        <f t="shared" si="35"/>
        <v>0</v>
      </c>
      <c r="G250" s="7">
        <f t="shared" si="36"/>
        <v>0</v>
      </c>
      <c r="H250">
        <v>0</v>
      </c>
    </row>
    <row r="251" spans="1:8" ht="14">
      <c r="A251" s="6">
        <f t="shared" si="30"/>
        <v>0</v>
      </c>
      <c r="B251" s="7">
        <f t="shared" si="31"/>
        <v>0</v>
      </c>
      <c r="C251" s="7">
        <f t="shared" si="32"/>
        <v>0</v>
      </c>
      <c r="D251" s="7">
        <f t="shared" si="33"/>
        <v>0</v>
      </c>
      <c r="E251" s="7">
        <f t="shared" si="34"/>
        <v>0</v>
      </c>
      <c r="F251" s="7">
        <f t="shared" si="35"/>
        <v>0</v>
      </c>
      <c r="G251" s="7">
        <f t="shared" si="36"/>
        <v>0</v>
      </c>
      <c r="H251">
        <v>0</v>
      </c>
    </row>
    <row r="252" spans="1:8" ht="14">
      <c r="A252" s="6">
        <f t="shared" si="30"/>
        <v>0</v>
      </c>
      <c r="B252" s="7">
        <f t="shared" si="31"/>
        <v>0</v>
      </c>
      <c r="C252" s="7">
        <f t="shared" si="32"/>
        <v>0</v>
      </c>
      <c r="D252" s="7">
        <f t="shared" si="33"/>
        <v>0</v>
      </c>
      <c r="E252" s="7">
        <f t="shared" si="34"/>
        <v>0</v>
      </c>
      <c r="F252" s="7">
        <f t="shared" si="35"/>
        <v>0</v>
      </c>
      <c r="G252" s="7">
        <f t="shared" si="36"/>
        <v>0</v>
      </c>
      <c r="H252">
        <v>0</v>
      </c>
    </row>
    <row r="253" spans="1:8" ht="14">
      <c r="A253" s="6">
        <f t="shared" si="30"/>
        <v>0</v>
      </c>
      <c r="B253" s="7">
        <f t="shared" si="31"/>
        <v>0</v>
      </c>
      <c r="C253" s="7">
        <f t="shared" si="32"/>
        <v>0</v>
      </c>
      <c r="D253" s="7">
        <f t="shared" si="33"/>
        <v>0</v>
      </c>
      <c r="E253" s="7">
        <f t="shared" si="34"/>
        <v>0</v>
      </c>
      <c r="F253" s="7">
        <f t="shared" si="35"/>
        <v>0</v>
      </c>
      <c r="G253" s="7">
        <f t="shared" si="36"/>
        <v>0</v>
      </c>
      <c r="H253">
        <v>0</v>
      </c>
    </row>
    <row r="254" spans="1:8" ht="14">
      <c r="A254" s="6">
        <f t="shared" si="30"/>
        <v>0</v>
      </c>
      <c r="B254" s="7">
        <f t="shared" si="31"/>
        <v>0</v>
      </c>
      <c r="C254" s="7">
        <f t="shared" si="32"/>
        <v>0</v>
      </c>
      <c r="D254" s="7">
        <f t="shared" si="33"/>
        <v>0</v>
      </c>
      <c r="E254" s="7">
        <f t="shared" si="34"/>
        <v>0</v>
      </c>
      <c r="F254" s="7">
        <f t="shared" si="35"/>
        <v>0</v>
      </c>
      <c r="G254" s="7">
        <f t="shared" si="36"/>
        <v>0</v>
      </c>
      <c r="H254">
        <v>0</v>
      </c>
    </row>
    <row r="255" spans="1:8" ht="14">
      <c r="A255" s="6">
        <f t="shared" si="30"/>
        <v>0</v>
      </c>
      <c r="B255" s="7">
        <f t="shared" si="31"/>
        <v>0</v>
      </c>
      <c r="C255" s="7">
        <f t="shared" si="32"/>
        <v>0</v>
      </c>
      <c r="D255" s="7">
        <f t="shared" si="33"/>
        <v>0</v>
      </c>
      <c r="E255" s="7">
        <f t="shared" si="34"/>
        <v>0</v>
      </c>
      <c r="F255" s="7">
        <f t="shared" si="35"/>
        <v>0</v>
      </c>
      <c r="G255" s="7">
        <f t="shared" si="36"/>
        <v>0</v>
      </c>
      <c r="H255">
        <v>0</v>
      </c>
    </row>
    <row r="256" spans="1:8" ht="14">
      <c r="A256" s="6">
        <f t="shared" si="30"/>
        <v>0</v>
      </c>
      <c r="B256" s="7">
        <f t="shared" si="31"/>
        <v>0</v>
      </c>
      <c r="C256" s="7">
        <f t="shared" si="32"/>
        <v>0</v>
      </c>
      <c r="D256" s="7">
        <f t="shared" si="33"/>
        <v>0</v>
      </c>
      <c r="E256" s="7">
        <f t="shared" si="34"/>
        <v>0</v>
      </c>
      <c r="F256" s="7">
        <f t="shared" si="35"/>
        <v>0</v>
      </c>
      <c r="G256" s="7">
        <f t="shared" si="36"/>
        <v>0</v>
      </c>
      <c r="H256">
        <v>0</v>
      </c>
    </row>
    <row r="257" spans="1:8" ht="14">
      <c r="A257" s="6">
        <f t="shared" si="30"/>
        <v>0</v>
      </c>
      <c r="B257" s="7">
        <f t="shared" si="31"/>
        <v>0</v>
      </c>
      <c r="C257" s="7">
        <f t="shared" si="32"/>
        <v>0</v>
      </c>
      <c r="D257" s="7">
        <f t="shared" si="33"/>
        <v>0</v>
      </c>
      <c r="E257" s="7">
        <f t="shared" si="34"/>
        <v>0</v>
      </c>
      <c r="F257" s="7">
        <f t="shared" si="35"/>
        <v>0</v>
      </c>
      <c r="G257" s="7">
        <f t="shared" si="36"/>
        <v>0</v>
      </c>
      <c r="H257">
        <v>0</v>
      </c>
    </row>
    <row r="258" spans="1:8" ht="14">
      <c r="A258" s="6">
        <f t="shared" si="30"/>
        <v>0</v>
      </c>
      <c r="B258" s="7">
        <f t="shared" si="31"/>
        <v>0</v>
      </c>
      <c r="C258" s="7">
        <f t="shared" si="32"/>
        <v>0</v>
      </c>
      <c r="D258" s="7">
        <f t="shared" si="33"/>
        <v>0</v>
      </c>
      <c r="E258" s="7">
        <f t="shared" si="34"/>
        <v>0</v>
      </c>
      <c r="F258" s="7">
        <f t="shared" si="35"/>
        <v>0</v>
      </c>
      <c r="G258" s="7">
        <f t="shared" si="36"/>
        <v>0</v>
      </c>
      <c r="H258">
        <v>0</v>
      </c>
    </row>
    <row r="259" spans="1:8" ht="14">
      <c r="A259" s="6">
        <f t="shared" ref="A259:A300" si="37">IF(ISERROR(TTIEN_HDON-TTIEN_BAN),0,TTIEN_HDON-TTIEN_BAN)</f>
        <v>0</v>
      </c>
      <c r="B259" s="7">
        <f t="shared" ref="B259:B300" si="38">IF(ISERROR(IF(GIA_NHAP="",IF(GIA_1="",GIA_2*SL,GIA_1*SL),GIA_NHAP*SL)),0,IF(GIA_NHAP="",IF(GIA_1="",GIA_2*SL,GIA_1*SL),GIA_NHAP*SL))</f>
        <v>0</v>
      </c>
      <c r="C259" s="7">
        <f t="shared" ref="C259:C300" si="39">IF(ISERROR(TTIEN_NHAP*(1+VAT_dauvao)),TTIEN_NHAP,TTIEN_NHAP*(1+VAT_dauvao))</f>
        <v>0</v>
      </c>
      <c r="D259" s="7">
        <f t="shared" ref="D259:D300" si="40">IF(ISERROR(IF(AND(VAT_dauvao="K",VAT_daura&lt;&gt;"K"),TTIEN_NHAP*25%,0)),0,IF(AND(VAT_dauvao="K",VAT_daura&lt;&gt;"K"),TTIEN_NHAP*25%,0))</f>
        <v>0</v>
      </c>
      <c r="E259" s="7">
        <f t="shared" ref="E259:E300" si="41">IF(ISERROR(IF(GIA_1="",IF(GIA_2="",GIA_NHAP*SL,GIA_2*SL),GIA_1*SL)),0,IF(GIA_1="",IF(GIA_2="",GIA_NHAP*SL,GIA_2*SL),GIA_1*SL))</f>
        <v>0</v>
      </c>
      <c r="F259" s="7">
        <f t="shared" ref="F259:F300" si="42">IF(ISERROR(IF(VAT_daura="K",TTIEN_NHAP*VAT_dauvao,0)),0,IF(VAT_daura="K",TTIEN_NHAP*VAT_dauvao,0))</f>
        <v>0</v>
      </c>
      <c r="G259" s="7">
        <f t="shared" ref="G259:G300" si="43">IF(ISERROR(IF(GIA_2="",IF(GIA_1="",GIA_NHAP*SL,GIA_1*SL),GIA_2*SL)),0,IF(GIA_2="",IF(GIA_1="",GIA_NHAP*SL,GIA_1*SL),GIA_2*SL))</f>
        <v>0</v>
      </c>
      <c r="H259" s="7">
        <f t="shared" ref="H259:H300" si="44">IF(ISERROR(TTIEN_HDON*(1+VAT_daura)),TTIEN_HDON,TTIEN_HDON*(1+VAT_daura))</f>
        <v>0</v>
      </c>
    </row>
    <row r="260" spans="1:8" ht="14">
      <c r="A260" s="6">
        <f t="shared" si="37"/>
        <v>0</v>
      </c>
      <c r="B260" s="7">
        <f t="shared" si="38"/>
        <v>0</v>
      </c>
      <c r="C260" s="7">
        <f t="shared" si="39"/>
        <v>0</v>
      </c>
      <c r="D260" s="7">
        <f t="shared" si="40"/>
        <v>0</v>
      </c>
      <c r="E260" s="7">
        <f t="shared" si="41"/>
        <v>0</v>
      </c>
      <c r="F260" s="7">
        <f t="shared" si="42"/>
        <v>0</v>
      </c>
      <c r="G260" s="7">
        <f t="shared" si="43"/>
        <v>0</v>
      </c>
      <c r="H260" s="7">
        <f t="shared" si="44"/>
        <v>0</v>
      </c>
    </row>
    <row r="261" spans="1:8" ht="14">
      <c r="A261" s="6">
        <f t="shared" si="37"/>
        <v>0</v>
      </c>
      <c r="B261" s="7">
        <f t="shared" si="38"/>
        <v>0</v>
      </c>
      <c r="C261" s="7">
        <f t="shared" si="39"/>
        <v>0</v>
      </c>
      <c r="D261" s="7">
        <f t="shared" si="40"/>
        <v>0</v>
      </c>
      <c r="E261" s="7">
        <f t="shared" si="41"/>
        <v>0</v>
      </c>
      <c r="F261" s="7">
        <f t="shared" si="42"/>
        <v>0</v>
      </c>
      <c r="G261" s="7">
        <f t="shared" si="43"/>
        <v>0</v>
      </c>
      <c r="H261" s="7">
        <f t="shared" si="44"/>
        <v>0</v>
      </c>
    </row>
    <row r="262" spans="1:8" ht="14">
      <c r="A262" s="6">
        <f t="shared" si="37"/>
        <v>0</v>
      </c>
      <c r="B262" s="7">
        <f t="shared" si="38"/>
        <v>0</v>
      </c>
      <c r="C262" s="7">
        <f t="shared" si="39"/>
        <v>0</v>
      </c>
      <c r="D262" s="7">
        <f t="shared" si="40"/>
        <v>0</v>
      </c>
      <c r="E262" s="7">
        <f t="shared" si="41"/>
        <v>0</v>
      </c>
      <c r="F262" s="7">
        <f t="shared" si="42"/>
        <v>0</v>
      </c>
      <c r="G262" s="7">
        <f t="shared" si="43"/>
        <v>0</v>
      </c>
      <c r="H262" s="7">
        <f t="shared" si="44"/>
        <v>0</v>
      </c>
    </row>
    <row r="263" spans="1:8" ht="14">
      <c r="A263" s="6">
        <f t="shared" si="37"/>
        <v>0</v>
      </c>
      <c r="B263" s="7">
        <f t="shared" si="38"/>
        <v>0</v>
      </c>
      <c r="C263" s="7">
        <f t="shared" si="39"/>
        <v>0</v>
      </c>
      <c r="D263" s="7">
        <f t="shared" si="40"/>
        <v>0</v>
      </c>
      <c r="E263" s="7">
        <f t="shared" si="41"/>
        <v>0</v>
      </c>
      <c r="F263" s="7">
        <f t="shared" si="42"/>
        <v>0</v>
      </c>
      <c r="G263" s="7">
        <f t="shared" si="43"/>
        <v>0</v>
      </c>
      <c r="H263" s="7">
        <f t="shared" si="44"/>
        <v>0</v>
      </c>
    </row>
    <row r="264" spans="1:8" ht="14">
      <c r="A264" s="6">
        <f t="shared" si="37"/>
        <v>0</v>
      </c>
      <c r="B264" s="7">
        <f t="shared" si="38"/>
        <v>0</v>
      </c>
      <c r="C264" s="7">
        <f t="shared" si="39"/>
        <v>0</v>
      </c>
      <c r="D264" s="7">
        <f t="shared" si="40"/>
        <v>0</v>
      </c>
      <c r="E264" s="7">
        <f t="shared" si="41"/>
        <v>0</v>
      </c>
      <c r="F264" s="7">
        <f t="shared" si="42"/>
        <v>0</v>
      </c>
      <c r="G264" s="7">
        <f t="shared" si="43"/>
        <v>0</v>
      </c>
      <c r="H264" s="7">
        <f t="shared" si="44"/>
        <v>0</v>
      </c>
    </row>
    <row r="265" spans="1:8" ht="14">
      <c r="A265" s="6">
        <f t="shared" si="37"/>
        <v>0</v>
      </c>
      <c r="B265" s="7">
        <f t="shared" si="38"/>
        <v>0</v>
      </c>
      <c r="C265" s="7">
        <f t="shared" si="39"/>
        <v>0</v>
      </c>
      <c r="D265" s="7">
        <f t="shared" si="40"/>
        <v>0</v>
      </c>
      <c r="E265" s="7">
        <f t="shared" si="41"/>
        <v>0</v>
      </c>
      <c r="F265" s="7">
        <f t="shared" si="42"/>
        <v>0</v>
      </c>
      <c r="G265" s="7">
        <f t="shared" si="43"/>
        <v>0</v>
      </c>
      <c r="H265" s="7">
        <f t="shared" si="44"/>
        <v>0</v>
      </c>
    </row>
    <row r="266" spans="1:8" ht="14">
      <c r="A266" s="6">
        <f t="shared" si="37"/>
        <v>0</v>
      </c>
      <c r="B266" s="7">
        <f t="shared" si="38"/>
        <v>0</v>
      </c>
      <c r="C266" s="7">
        <f t="shared" si="39"/>
        <v>0</v>
      </c>
      <c r="D266" s="7">
        <f t="shared" si="40"/>
        <v>0</v>
      </c>
      <c r="E266" s="7">
        <f t="shared" si="41"/>
        <v>0</v>
      </c>
      <c r="F266" s="7">
        <f t="shared" si="42"/>
        <v>0</v>
      </c>
      <c r="G266" s="7">
        <f t="shared" si="43"/>
        <v>0</v>
      </c>
      <c r="H266" s="7">
        <f t="shared" si="44"/>
        <v>0</v>
      </c>
    </row>
    <row r="267" spans="1:8" ht="14">
      <c r="A267" s="6">
        <f t="shared" si="37"/>
        <v>0</v>
      </c>
      <c r="B267" s="7">
        <f t="shared" si="38"/>
        <v>0</v>
      </c>
      <c r="C267" s="7">
        <f t="shared" si="39"/>
        <v>0</v>
      </c>
      <c r="D267" s="7">
        <f t="shared" si="40"/>
        <v>0</v>
      </c>
      <c r="E267" s="7">
        <f t="shared" si="41"/>
        <v>0</v>
      </c>
      <c r="F267" s="7">
        <f t="shared" si="42"/>
        <v>0</v>
      </c>
      <c r="G267" s="7">
        <f t="shared" si="43"/>
        <v>0</v>
      </c>
      <c r="H267" s="7">
        <f t="shared" si="44"/>
        <v>0</v>
      </c>
    </row>
    <row r="268" spans="1:8" ht="14">
      <c r="A268" s="6">
        <f t="shared" si="37"/>
        <v>0</v>
      </c>
      <c r="B268" s="7">
        <f t="shared" si="38"/>
        <v>0</v>
      </c>
      <c r="C268" s="7">
        <f t="shared" si="39"/>
        <v>0</v>
      </c>
      <c r="D268" s="7">
        <f t="shared" si="40"/>
        <v>0</v>
      </c>
      <c r="E268" s="7">
        <f t="shared" si="41"/>
        <v>0</v>
      </c>
      <c r="F268" s="7">
        <f t="shared" si="42"/>
        <v>0</v>
      </c>
      <c r="G268" s="7">
        <f t="shared" si="43"/>
        <v>0</v>
      </c>
      <c r="H268" s="7">
        <f t="shared" si="44"/>
        <v>0</v>
      </c>
    </row>
    <row r="269" spans="1:8" ht="14">
      <c r="A269" s="6">
        <f t="shared" si="37"/>
        <v>0</v>
      </c>
      <c r="B269" s="7">
        <f t="shared" si="38"/>
        <v>0</v>
      </c>
      <c r="C269" s="7">
        <f t="shared" si="39"/>
        <v>0</v>
      </c>
      <c r="D269" s="7">
        <f t="shared" si="40"/>
        <v>0</v>
      </c>
      <c r="E269" s="7">
        <f t="shared" si="41"/>
        <v>0</v>
      </c>
      <c r="F269" s="7">
        <f t="shared" si="42"/>
        <v>0</v>
      </c>
      <c r="G269" s="7">
        <f t="shared" si="43"/>
        <v>0</v>
      </c>
      <c r="H269" s="7">
        <f t="shared" si="44"/>
        <v>0</v>
      </c>
    </row>
    <row r="270" spans="1:8" ht="14">
      <c r="A270" s="6">
        <f t="shared" si="37"/>
        <v>0</v>
      </c>
      <c r="B270" s="7">
        <f t="shared" si="38"/>
        <v>0</v>
      </c>
      <c r="C270" s="7">
        <f t="shared" si="39"/>
        <v>0</v>
      </c>
      <c r="D270" s="7">
        <f t="shared" si="40"/>
        <v>0</v>
      </c>
      <c r="E270" s="7">
        <f t="shared" si="41"/>
        <v>0</v>
      </c>
      <c r="F270" s="7">
        <f t="shared" si="42"/>
        <v>0</v>
      </c>
      <c r="G270" s="7">
        <f t="shared" si="43"/>
        <v>0</v>
      </c>
      <c r="H270" s="7">
        <f t="shared" si="44"/>
        <v>0</v>
      </c>
    </row>
    <row r="271" spans="1:8" ht="14">
      <c r="A271" s="6">
        <f t="shared" si="37"/>
        <v>0</v>
      </c>
      <c r="B271" s="7">
        <f t="shared" si="38"/>
        <v>0</v>
      </c>
      <c r="C271" s="7">
        <f t="shared" si="39"/>
        <v>0</v>
      </c>
      <c r="D271" s="7">
        <f t="shared" si="40"/>
        <v>0</v>
      </c>
      <c r="E271" s="7">
        <f t="shared" si="41"/>
        <v>0</v>
      </c>
      <c r="F271" s="7">
        <f t="shared" si="42"/>
        <v>0</v>
      </c>
      <c r="G271" s="7">
        <f t="shared" si="43"/>
        <v>0</v>
      </c>
      <c r="H271" s="7">
        <f t="shared" si="44"/>
        <v>0</v>
      </c>
    </row>
    <row r="272" spans="1:8" ht="14">
      <c r="A272" s="6">
        <f t="shared" si="37"/>
        <v>0</v>
      </c>
      <c r="B272" s="7">
        <f t="shared" si="38"/>
        <v>0</v>
      </c>
      <c r="C272" s="7">
        <f t="shared" si="39"/>
        <v>0</v>
      </c>
      <c r="D272" s="7">
        <f t="shared" si="40"/>
        <v>0</v>
      </c>
      <c r="E272" s="7">
        <f t="shared" si="41"/>
        <v>0</v>
      </c>
      <c r="F272" s="7">
        <f t="shared" si="42"/>
        <v>0</v>
      </c>
      <c r="G272" s="7">
        <f t="shared" si="43"/>
        <v>0</v>
      </c>
      <c r="H272" s="7">
        <f t="shared" si="44"/>
        <v>0</v>
      </c>
    </row>
    <row r="273" spans="1:8" ht="14">
      <c r="A273" s="6">
        <f t="shared" si="37"/>
        <v>0</v>
      </c>
      <c r="B273" s="7">
        <f t="shared" si="38"/>
        <v>0</v>
      </c>
      <c r="C273" s="7">
        <f t="shared" si="39"/>
        <v>0</v>
      </c>
      <c r="D273" s="7">
        <f t="shared" si="40"/>
        <v>0</v>
      </c>
      <c r="E273" s="7">
        <f t="shared" si="41"/>
        <v>0</v>
      </c>
      <c r="F273" s="7">
        <f t="shared" si="42"/>
        <v>0</v>
      </c>
      <c r="G273" s="7">
        <f t="shared" si="43"/>
        <v>0</v>
      </c>
      <c r="H273" s="7">
        <f t="shared" si="44"/>
        <v>0</v>
      </c>
    </row>
    <row r="274" spans="1:8" ht="14">
      <c r="A274" s="6">
        <f t="shared" si="37"/>
        <v>0</v>
      </c>
      <c r="B274" s="7">
        <f t="shared" si="38"/>
        <v>0</v>
      </c>
      <c r="C274" s="7">
        <f t="shared" si="39"/>
        <v>0</v>
      </c>
      <c r="D274" s="7">
        <f t="shared" si="40"/>
        <v>0</v>
      </c>
      <c r="E274" s="7">
        <f t="shared" si="41"/>
        <v>0</v>
      </c>
      <c r="F274" s="7">
        <f t="shared" si="42"/>
        <v>0</v>
      </c>
      <c r="G274" s="7">
        <f t="shared" si="43"/>
        <v>0</v>
      </c>
      <c r="H274" s="7">
        <f t="shared" si="44"/>
        <v>0</v>
      </c>
    </row>
    <row r="275" spans="1:8" ht="14">
      <c r="A275" s="6">
        <f t="shared" si="37"/>
        <v>0</v>
      </c>
      <c r="B275" s="7">
        <f t="shared" si="38"/>
        <v>0</v>
      </c>
      <c r="C275" s="7">
        <f t="shared" si="39"/>
        <v>0</v>
      </c>
      <c r="D275" s="7">
        <f t="shared" si="40"/>
        <v>0</v>
      </c>
      <c r="E275" s="7">
        <f t="shared" si="41"/>
        <v>0</v>
      </c>
      <c r="F275" s="7">
        <f t="shared" si="42"/>
        <v>0</v>
      </c>
      <c r="G275" s="7">
        <f t="shared" si="43"/>
        <v>0</v>
      </c>
      <c r="H275" s="7">
        <f t="shared" si="44"/>
        <v>0</v>
      </c>
    </row>
    <row r="276" spans="1:8" ht="14">
      <c r="A276" s="6">
        <f t="shared" si="37"/>
        <v>0</v>
      </c>
      <c r="B276" s="7">
        <f t="shared" si="38"/>
        <v>0</v>
      </c>
      <c r="C276" s="7">
        <f t="shared" si="39"/>
        <v>0</v>
      </c>
      <c r="D276" s="7">
        <f t="shared" si="40"/>
        <v>0</v>
      </c>
      <c r="E276" s="7">
        <f t="shared" si="41"/>
        <v>0</v>
      </c>
      <c r="F276" s="7">
        <f t="shared" si="42"/>
        <v>0</v>
      </c>
      <c r="G276" s="7">
        <f t="shared" si="43"/>
        <v>0</v>
      </c>
      <c r="H276" s="7">
        <f t="shared" si="44"/>
        <v>0</v>
      </c>
    </row>
    <row r="277" spans="1:8" ht="14">
      <c r="A277" s="6">
        <f t="shared" si="37"/>
        <v>0</v>
      </c>
      <c r="B277" s="7">
        <f t="shared" si="38"/>
        <v>0</v>
      </c>
      <c r="C277" s="7">
        <f t="shared" si="39"/>
        <v>0</v>
      </c>
      <c r="D277" s="7">
        <f t="shared" si="40"/>
        <v>0</v>
      </c>
      <c r="E277" s="7">
        <f t="shared" si="41"/>
        <v>0</v>
      </c>
      <c r="F277" s="7">
        <f t="shared" si="42"/>
        <v>0</v>
      </c>
      <c r="G277" s="7">
        <f t="shared" si="43"/>
        <v>0</v>
      </c>
      <c r="H277" s="7">
        <f t="shared" si="44"/>
        <v>0</v>
      </c>
    </row>
    <row r="278" spans="1:8" ht="14">
      <c r="A278" s="6">
        <f t="shared" si="37"/>
        <v>0</v>
      </c>
      <c r="B278" s="7">
        <f t="shared" si="38"/>
        <v>0</v>
      </c>
      <c r="C278" s="7">
        <f t="shared" si="39"/>
        <v>0</v>
      </c>
      <c r="D278" s="7">
        <f t="shared" si="40"/>
        <v>0</v>
      </c>
      <c r="E278" s="7">
        <f t="shared" si="41"/>
        <v>0</v>
      </c>
      <c r="F278" s="7">
        <f t="shared" si="42"/>
        <v>0</v>
      </c>
      <c r="G278" s="7">
        <f t="shared" si="43"/>
        <v>0</v>
      </c>
      <c r="H278" s="7">
        <f t="shared" si="44"/>
        <v>0</v>
      </c>
    </row>
    <row r="279" spans="1:8" ht="14">
      <c r="A279" s="6">
        <f t="shared" si="37"/>
        <v>0</v>
      </c>
      <c r="B279" s="7">
        <f t="shared" si="38"/>
        <v>0</v>
      </c>
      <c r="C279" s="7">
        <f t="shared" si="39"/>
        <v>0</v>
      </c>
      <c r="D279" s="7">
        <f t="shared" si="40"/>
        <v>0</v>
      </c>
      <c r="E279" s="7">
        <f t="shared" si="41"/>
        <v>0</v>
      </c>
      <c r="F279" s="7">
        <f t="shared" si="42"/>
        <v>0</v>
      </c>
      <c r="G279" s="7">
        <f t="shared" si="43"/>
        <v>0</v>
      </c>
      <c r="H279" s="7">
        <f t="shared" si="44"/>
        <v>0</v>
      </c>
    </row>
    <row r="280" spans="1:8" ht="14">
      <c r="A280" s="6">
        <f t="shared" si="37"/>
        <v>0</v>
      </c>
      <c r="B280" s="7">
        <f t="shared" si="38"/>
        <v>0</v>
      </c>
      <c r="C280" s="7">
        <f t="shared" si="39"/>
        <v>0</v>
      </c>
      <c r="D280" s="7">
        <f t="shared" si="40"/>
        <v>0</v>
      </c>
      <c r="E280" s="7">
        <f t="shared" si="41"/>
        <v>0</v>
      </c>
      <c r="F280" s="7">
        <f t="shared" si="42"/>
        <v>0</v>
      </c>
      <c r="G280" s="7">
        <f t="shared" si="43"/>
        <v>0</v>
      </c>
      <c r="H280" s="7">
        <f t="shared" si="44"/>
        <v>0</v>
      </c>
    </row>
    <row r="281" spans="1:8" ht="14">
      <c r="A281" s="6">
        <f t="shared" si="37"/>
        <v>0</v>
      </c>
      <c r="B281" s="7">
        <f t="shared" si="38"/>
        <v>0</v>
      </c>
      <c r="C281" s="7">
        <f t="shared" si="39"/>
        <v>0</v>
      </c>
      <c r="D281" s="7">
        <f t="shared" si="40"/>
        <v>0</v>
      </c>
      <c r="E281" s="7">
        <f t="shared" si="41"/>
        <v>0</v>
      </c>
      <c r="F281" s="7">
        <f t="shared" si="42"/>
        <v>0</v>
      </c>
      <c r="G281" s="7">
        <f t="shared" si="43"/>
        <v>0</v>
      </c>
      <c r="H281" s="7">
        <f t="shared" si="44"/>
        <v>0</v>
      </c>
    </row>
    <row r="282" spans="1:8" ht="14">
      <c r="A282" s="6">
        <f t="shared" si="37"/>
        <v>0</v>
      </c>
      <c r="B282" s="7">
        <f t="shared" si="38"/>
        <v>0</v>
      </c>
      <c r="C282" s="7">
        <f t="shared" si="39"/>
        <v>0</v>
      </c>
      <c r="D282" s="7">
        <f t="shared" si="40"/>
        <v>0</v>
      </c>
      <c r="E282" s="7">
        <f t="shared" si="41"/>
        <v>0</v>
      </c>
      <c r="F282" s="7">
        <f t="shared" si="42"/>
        <v>0</v>
      </c>
      <c r="G282" s="7">
        <f t="shared" si="43"/>
        <v>0</v>
      </c>
      <c r="H282" s="7">
        <f t="shared" si="44"/>
        <v>0</v>
      </c>
    </row>
    <row r="283" spans="1:8" ht="14">
      <c r="A283" s="6">
        <f t="shared" si="37"/>
        <v>0</v>
      </c>
      <c r="B283" s="7">
        <f t="shared" si="38"/>
        <v>0</v>
      </c>
      <c r="C283" s="7">
        <f t="shared" si="39"/>
        <v>0</v>
      </c>
      <c r="D283" s="7">
        <f t="shared" si="40"/>
        <v>0</v>
      </c>
      <c r="E283" s="7">
        <f t="shared" si="41"/>
        <v>0</v>
      </c>
      <c r="F283" s="7">
        <f t="shared" si="42"/>
        <v>0</v>
      </c>
      <c r="G283" s="7">
        <f t="shared" si="43"/>
        <v>0</v>
      </c>
      <c r="H283" s="7">
        <f t="shared" si="44"/>
        <v>0</v>
      </c>
    </row>
    <row r="284" spans="1:8" ht="14">
      <c r="A284" s="6">
        <f t="shared" si="37"/>
        <v>0</v>
      </c>
      <c r="B284" s="7">
        <f t="shared" si="38"/>
        <v>0</v>
      </c>
      <c r="C284" s="7">
        <f t="shared" si="39"/>
        <v>0</v>
      </c>
      <c r="D284" s="7">
        <f t="shared" si="40"/>
        <v>0</v>
      </c>
      <c r="E284" s="7">
        <f t="shared" si="41"/>
        <v>0</v>
      </c>
      <c r="F284" s="7">
        <f t="shared" si="42"/>
        <v>0</v>
      </c>
      <c r="G284" s="7">
        <f t="shared" si="43"/>
        <v>0</v>
      </c>
      <c r="H284" s="7">
        <f t="shared" si="44"/>
        <v>0</v>
      </c>
    </row>
    <row r="285" spans="1:8" ht="14">
      <c r="A285" s="6">
        <f t="shared" si="37"/>
        <v>0</v>
      </c>
      <c r="B285" s="7">
        <f t="shared" si="38"/>
        <v>0</v>
      </c>
      <c r="C285" s="7">
        <f t="shared" si="39"/>
        <v>0</v>
      </c>
      <c r="D285" s="7">
        <f t="shared" si="40"/>
        <v>0</v>
      </c>
      <c r="E285" s="7">
        <f t="shared" si="41"/>
        <v>0</v>
      </c>
      <c r="F285" s="7">
        <f t="shared" si="42"/>
        <v>0</v>
      </c>
      <c r="G285" s="7">
        <f t="shared" si="43"/>
        <v>0</v>
      </c>
      <c r="H285" s="7">
        <f t="shared" si="44"/>
        <v>0</v>
      </c>
    </row>
    <row r="286" spans="1:8" ht="14">
      <c r="A286" s="6">
        <f t="shared" si="37"/>
        <v>0</v>
      </c>
      <c r="B286" s="7">
        <f t="shared" si="38"/>
        <v>0</v>
      </c>
      <c r="C286" s="7">
        <f t="shared" si="39"/>
        <v>0</v>
      </c>
      <c r="D286" s="7">
        <f t="shared" si="40"/>
        <v>0</v>
      </c>
      <c r="E286" s="7">
        <f t="shared" si="41"/>
        <v>0</v>
      </c>
      <c r="F286" s="7">
        <f t="shared" si="42"/>
        <v>0</v>
      </c>
      <c r="G286" s="7">
        <f t="shared" si="43"/>
        <v>0</v>
      </c>
      <c r="H286" s="7">
        <f t="shared" si="44"/>
        <v>0</v>
      </c>
    </row>
    <row r="287" spans="1:8" ht="14">
      <c r="A287" s="6">
        <f t="shared" si="37"/>
        <v>0</v>
      </c>
      <c r="B287" s="7">
        <f t="shared" si="38"/>
        <v>0</v>
      </c>
      <c r="C287" s="7">
        <f t="shared" si="39"/>
        <v>0</v>
      </c>
      <c r="D287" s="7">
        <f t="shared" si="40"/>
        <v>0</v>
      </c>
      <c r="E287" s="7">
        <f t="shared" si="41"/>
        <v>0</v>
      </c>
      <c r="F287" s="7">
        <f t="shared" si="42"/>
        <v>0</v>
      </c>
      <c r="G287" s="7">
        <f t="shared" si="43"/>
        <v>0</v>
      </c>
      <c r="H287" s="7">
        <f t="shared" si="44"/>
        <v>0</v>
      </c>
    </row>
    <row r="288" spans="1:8" ht="14">
      <c r="A288" s="6">
        <f t="shared" si="37"/>
        <v>0</v>
      </c>
      <c r="B288" s="7">
        <f t="shared" si="38"/>
        <v>0</v>
      </c>
      <c r="C288" s="7">
        <f t="shared" si="39"/>
        <v>0</v>
      </c>
      <c r="D288" s="7">
        <f t="shared" si="40"/>
        <v>0</v>
      </c>
      <c r="E288" s="7">
        <f t="shared" si="41"/>
        <v>0</v>
      </c>
      <c r="F288" s="7">
        <f t="shared" si="42"/>
        <v>0</v>
      </c>
      <c r="G288" s="7">
        <f t="shared" si="43"/>
        <v>0</v>
      </c>
      <c r="H288" s="7">
        <f t="shared" si="44"/>
        <v>0</v>
      </c>
    </row>
    <row r="289" spans="1:8" ht="14">
      <c r="A289" s="6">
        <f t="shared" si="37"/>
        <v>0</v>
      </c>
      <c r="B289" s="7">
        <f t="shared" si="38"/>
        <v>0</v>
      </c>
      <c r="C289" s="7">
        <f t="shared" si="39"/>
        <v>0</v>
      </c>
      <c r="D289" s="7">
        <f t="shared" si="40"/>
        <v>0</v>
      </c>
      <c r="E289" s="7">
        <f t="shared" si="41"/>
        <v>0</v>
      </c>
      <c r="F289" s="7">
        <f t="shared" si="42"/>
        <v>0</v>
      </c>
      <c r="G289" s="7">
        <f t="shared" si="43"/>
        <v>0</v>
      </c>
      <c r="H289" s="7">
        <f t="shared" si="44"/>
        <v>0</v>
      </c>
    </row>
    <row r="290" spans="1:8" ht="14">
      <c r="A290" s="6">
        <f t="shared" si="37"/>
        <v>0</v>
      </c>
      <c r="B290" s="7">
        <f t="shared" si="38"/>
        <v>0</v>
      </c>
      <c r="C290" s="7">
        <f t="shared" si="39"/>
        <v>0</v>
      </c>
      <c r="D290" s="7">
        <f t="shared" si="40"/>
        <v>0</v>
      </c>
      <c r="E290" s="7">
        <f t="shared" si="41"/>
        <v>0</v>
      </c>
      <c r="F290" s="7">
        <f t="shared" si="42"/>
        <v>0</v>
      </c>
      <c r="G290" s="7">
        <f t="shared" si="43"/>
        <v>0</v>
      </c>
      <c r="H290" s="7">
        <f t="shared" si="44"/>
        <v>0</v>
      </c>
    </row>
    <row r="291" spans="1:8" ht="14">
      <c r="A291" s="6">
        <f t="shared" si="37"/>
        <v>0</v>
      </c>
      <c r="B291" s="7">
        <f t="shared" si="38"/>
        <v>0</v>
      </c>
      <c r="C291" s="7">
        <f t="shared" si="39"/>
        <v>0</v>
      </c>
      <c r="D291" s="7">
        <f t="shared" si="40"/>
        <v>0</v>
      </c>
      <c r="E291" s="7">
        <f t="shared" si="41"/>
        <v>0</v>
      </c>
      <c r="F291" s="7">
        <f t="shared" si="42"/>
        <v>0</v>
      </c>
      <c r="G291" s="7">
        <f t="shared" si="43"/>
        <v>0</v>
      </c>
      <c r="H291" s="7">
        <f t="shared" si="44"/>
        <v>0</v>
      </c>
    </row>
    <row r="292" spans="1:8" ht="14">
      <c r="A292" s="6">
        <f t="shared" si="37"/>
        <v>0</v>
      </c>
      <c r="B292" s="7">
        <f t="shared" si="38"/>
        <v>0</v>
      </c>
      <c r="C292" s="7">
        <f t="shared" si="39"/>
        <v>0</v>
      </c>
      <c r="D292" s="7">
        <f t="shared" si="40"/>
        <v>0</v>
      </c>
      <c r="E292" s="7">
        <f t="shared" si="41"/>
        <v>0</v>
      </c>
      <c r="F292" s="7">
        <f t="shared" si="42"/>
        <v>0</v>
      </c>
      <c r="G292" s="7">
        <f t="shared" si="43"/>
        <v>0</v>
      </c>
      <c r="H292" s="7">
        <f t="shared" si="44"/>
        <v>0</v>
      </c>
    </row>
    <row r="293" spans="1:8" ht="14">
      <c r="A293" s="6">
        <f t="shared" si="37"/>
        <v>0</v>
      </c>
      <c r="B293" s="7">
        <f t="shared" si="38"/>
        <v>0</v>
      </c>
      <c r="C293" s="7">
        <f t="shared" si="39"/>
        <v>0</v>
      </c>
      <c r="D293" s="7">
        <f t="shared" si="40"/>
        <v>0</v>
      </c>
      <c r="E293" s="7">
        <f t="shared" si="41"/>
        <v>0</v>
      </c>
      <c r="F293" s="7">
        <f t="shared" si="42"/>
        <v>0</v>
      </c>
      <c r="G293" s="7">
        <f t="shared" si="43"/>
        <v>0</v>
      </c>
      <c r="H293" s="7">
        <f t="shared" si="44"/>
        <v>0</v>
      </c>
    </row>
    <row r="294" spans="1:8" ht="14">
      <c r="A294" s="6">
        <f t="shared" si="37"/>
        <v>0</v>
      </c>
      <c r="B294" s="7">
        <f t="shared" si="38"/>
        <v>0</v>
      </c>
      <c r="C294" s="7">
        <f t="shared" si="39"/>
        <v>0</v>
      </c>
      <c r="D294" s="7">
        <f t="shared" si="40"/>
        <v>0</v>
      </c>
      <c r="E294" s="7">
        <f t="shared" si="41"/>
        <v>0</v>
      </c>
      <c r="F294" s="7">
        <f t="shared" si="42"/>
        <v>0</v>
      </c>
      <c r="G294" s="7">
        <f t="shared" si="43"/>
        <v>0</v>
      </c>
      <c r="H294" s="7">
        <f t="shared" si="44"/>
        <v>0</v>
      </c>
    </row>
    <row r="295" spans="1:8" ht="14">
      <c r="A295" s="6">
        <f t="shared" si="37"/>
        <v>0</v>
      </c>
      <c r="B295" s="7">
        <f t="shared" si="38"/>
        <v>0</v>
      </c>
      <c r="C295" s="7">
        <f t="shared" si="39"/>
        <v>0</v>
      </c>
      <c r="D295" s="7">
        <f t="shared" si="40"/>
        <v>0</v>
      </c>
      <c r="E295" s="7">
        <f t="shared" si="41"/>
        <v>0</v>
      </c>
      <c r="F295" s="7">
        <f t="shared" si="42"/>
        <v>0</v>
      </c>
      <c r="G295" s="7">
        <f t="shared" si="43"/>
        <v>0</v>
      </c>
      <c r="H295" s="7">
        <f t="shared" si="44"/>
        <v>0</v>
      </c>
    </row>
    <row r="296" spans="1:8" ht="14">
      <c r="A296" s="6">
        <f t="shared" si="37"/>
        <v>0</v>
      </c>
      <c r="B296" s="7">
        <f t="shared" si="38"/>
        <v>0</v>
      </c>
      <c r="C296" s="7">
        <f t="shared" si="39"/>
        <v>0</v>
      </c>
      <c r="D296" s="7">
        <f t="shared" si="40"/>
        <v>0</v>
      </c>
      <c r="E296" s="7">
        <f t="shared" si="41"/>
        <v>0</v>
      </c>
      <c r="F296" s="7">
        <f t="shared" si="42"/>
        <v>0</v>
      </c>
      <c r="G296" s="7">
        <f t="shared" si="43"/>
        <v>0</v>
      </c>
      <c r="H296" s="7">
        <f t="shared" si="44"/>
        <v>0</v>
      </c>
    </row>
    <row r="297" spans="1:8" ht="14">
      <c r="A297" s="6">
        <f t="shared" si="37"/>
        <v>0</v>
      </c>
      <c r="B297" s="7">
        <f t="shared" si="38"/>
        <v>0</v>
      </c>
      <c r="C297" s="7">
        <f t="shared" si="39"/>
        <v>0</v>
      </c>
      <c r="D297" s="7">
        <f t="shared" si="40"/>
        <v>0</v>
      </c>
      <c r="E297" s="7">
        <f t="shared" si="41"/>
        <v>0</v>
      </c>
      <c r="F297" s="7">
        <f t="shared" si="42"/>
        <v>0</v>
      </c>
      <c r="G297" s="7">
        <f t="shared" si="43"/>
        <v>0</v>
      </c>
      <c r="H297" s="7">
        <f t="shared" si="44"/>
        <v>0</v>
      </c>
    </row>
    <row r="298" spans="1:8" ht="14">
      <c r="A298" s="6">
        <f t="shared" si="37"/>
        <v>0</v>
      </c>
      <c r="B298" s="7">
        <f t="shared" si="38"/>
        <v>0</v>
      </c>
      <c r="C298" s="7">
        <f t="shared" si="39"/>
        <v>0</v>
      </c>
      <c r="D298" s="7">
        <f t="shared" si="40"/>
        <v>0</v>
      </c>
      <c r="E298" s="7">
        <f t="shared" si="41"/>
        <v>0</v>
      </c>
      <c r="F298" s="7">
        <f t="shared" si="42"/>
        <v>0</v>
      </c>
      <c r="G298" s="7">
        <f t="shared" si="43"/>
        <v>0</v>
      </c>
      <c r="H298" s="7">
        <f t="shared" si="44"/>
        <v>0</v>
      </c>
    </row>
    <row r="299" spans="1:8" ht="14">
      <c r="A299" s="6">
        <f t="shared" si="37"/>
        <v>0</v>
      </c>
      <c r="B299" s="7">
        <f t="shared" si="38"/>
        <v>0</v>
      </c>
      <c r="C299" s="7">
        <f t="shared" si="39"/>
        <v>0</v>
      </c>
      <c r="D299" s="7">
        <f t="shared" si="40"/>
        <v>0</v>
      </c>
      <c r="E299" s="7">
        <f t="shared" si="41"/>
        <v>0</v>
      </c>
      <c r="F299" s="7">
        <f t="shared" si="42"/>
        <v>0</v>
      </c>
      <c r="G299" s="7">
        <f t="shared" si="43"/>
        <v>0</v>
      </c>
      <c r="H299" s="7">
        <f t="shared" si="44"/>
        <v>0</v>
      </c>
    </row>
    <row r="300" spans="1:8" ht="14">
      <c r="A300" s="6">
        <f t="shared" si="37"/>
        <v>0</v>
      </c>
      <c r="B300" s="7">
        <f t="shared" si="38"/>
        <v>0</v>
      </c>
      <c r="C300" s="7">
        <f t="shared" si="39"/>
        <v>0</v>
      </c>
      <c r="D300" s="7">
        <f t="shared" si="40"/>
        <v>0</v>
      </c>
      <c r="E300" s="7">
        <f t="shared" si="41"/>
        <v>0</v>
      </c>
      <c r="F300" s="7">
        <f t="shared" si="42"/>
        <v>0</v>
      </c>
      <c r="G300" s="7">
        <f t="shared" si="43"/>
        <v>0</v>
      </c>
      <c r="H300" s="7">
        <f t="shared" si="44"/>
        <v>0</v>
      </c>
    </row>
  </sheetData>
  <dataValidations count="2">
    <dataValidation allowBlank="1" showInputMessage="1" showErrorMessage="1" sqref="A2"/>
    <dataValidation showInputMessage="1" showErrorMessage="1" sqref="A3:A300"/>
  </dataValidation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Vietnamese USD</vt:lpstr>
      <vt:lpstr>EN</vt:lpstr>
      <vt:lpstr>v3</vt:lpstr>
      <vt:lpstr>DGDA</vt:lpstr>
      <vt:lpstr>CHIPHITHUE_daura</vt:lpstr>
      <vt:lpstr>CHIPHITHUE_dauvao</vt:lpstr>
      <vt:lpstr>CL</vt:lpstr>
      <vt:lpstr>DGDA!Print_Area</vt:lpstr>
      <vt:lpstr>EN!Print_Area</vt:lpstr>
      <vt:lpstr>'v3'!Print_Area</vt:lpstr>
      <vt:lpstr>'Vietnamese USD'!Print_Area</vt:lpstr>
      <vt:lpstr>TTIEN_BAN</vt:lpstr>
      <vt:lpstr>TTIEN_HDON</vt:lpstr>
      <vt:lpstr>TTIEN_HDON_VAT</vt:lpstr>
      <vt:lpstr>TTIEN_NHAP</vt:lpstr>
      <vt:lpstr>TTIEN_NHAP_VAT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</dc:creator>
  <cp:lastModifiedBy>T470s</cp:lastModifiedBy>
  <cp:lastPrinted>2021-07-29T10:03:32Z</cp:lastPrinted>
  <dcterms:created xsi:type="dcterms:W3CDTF">2005-06-15T04:06:00Z</dcterms:created>
  <dcterms:modified xsi:type="dcterms:W3CDTF">2021-10-11T07:42:19Z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